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tin\Documents\Mini R56 D-CAN Logs\"/>
    </mc:Choice>
  </mc:AlternateContent>
  <xr:revisionPtr revIDLastSave="0" documentId="13_ncr:1_{E31336CD-DD9C-461A-B4CE-D2C51B363A33}" xr6:coauthVersionLast="47" xr6:coauthVersionMax="47" xr10:uidLastSave="{00000000-0000-0000-0000-000000000000}"/>
  <bookViews>
    <workbookView xWindow="25680" yWindow="0" windowWidth="25920" windowHeight="20955" activeTab="3" xr2:uid="{F1EE6339-C8F9-41B7-B8A0-D554EAFFAD24}"/>
  </bookViews>
  <sheets>
    <sheet name="0811_173439" sheetId="3" r:id="rId1"/>
    <sheet name="CommonIdentifierList" sheetId="2" r:id="rId2"/>
    <sheet name="MVD1722" sheetId="1" r:id="rId3"/>
    <sheet name="DDLI DME" sheetId="5" r:id="rId4"/>
    <sheet name="Sheet1" sheetId="4" r:id="rId5"/>
  </sheets>
  <definedNames>
    <definedName name="ExternalData_1" localSheetId="0" hidden="1">'0811_173439'!$B$7:$G$2083</definedName>
    <definedName name="ExternalData_1" localSheetId="3" hidden="1">'DDLI DME'!$A$1:$O$400</definedName>
    <definedName name="ExternalData_2" localSheetId="0" hidden="1">'0811_173439'!$P$7:$U$2083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" i="5" l="1"/>
  <c r="R2" i="5" s="1"/>
  <c r="Q3" i="5"/>
  <c r="R3" i="5" s="1"/>
  <c r="Q4" i="5"/>
  <c r="R4" i="5" s="1"/>
  <c r="Q5" i="5"/>
  <c r="R5" i="5" s="1"/>
  <c r="Q6" i="5"/>
  <c r="R6" i="5" s="1"/>
  <c r="Q7" i="5"/>
  <c r="R7" i="5" s="1"/>
  <c r="Q8" i="5"/>
  <c r="R8" i="5" s="1"/>
  <c r="Q9" i="5"/>
  <c r="R9" i="5" s="1"/>
  <c r="Q10" i="5"/>
  <c r="R10" i="5" s="1"/>
  <c r="Q11" i="5"/>
  <c r="R11" i="5" s="1"/>
  <c r="Q12" i="5"/>
  <c r="R12" i="5" s="1"/>
  <c r="Q13" i="5"/>
  <c r="R13" i="5" s="1"/>
  <c r="Q14" i="5"/>
  <c r="R14" i="5" s="1"/>
  <c r="Q15" i="5"/>
  <c r="R15" i="5" s="1"/>
  <c r="Q16" i="5"/>
  <c r="R16" i="5" s="1"/>
  <c r="Q17" i="5"/>
  <c r="R17" i="5" s="1"/>
  <c r="Q18" i="5"/>
  <c r="R18" i="5" s="1"/>
  <c r="Q19" i="5"/>
  <c r="R19" i="5" s="1"/>
  <c r="Q20" i="5"/>
  <c r="R20" i="5" s="1"/>
  <c r="Q21" i="5"/>
  <c r="R21" i="5" s="1"/>
  <c r="Q22" i="5"/>
  <c r="R22" i="5" s="1"/>
  <c r="Q23" i="5"/>
  <c r="R23" i="5" s="1"/>
  <c r="Q24" i="5"/>
  <c r="R24" i="5" s="1"/>
  <c r="Q25" i="5"/>
  <c r="R25" i="5" s="1"/>
  <c r="Q26" i="5"/>
  <c r="R26" i="5" s="1"/>
  <c r="Q27" i="5"/>
  <c r="R27" i="5" s="1"/>
  <c r="Q28" i="5"/>
  <c r="R28" i="5" s="1"/>
  <c r="Q29" i="5"/>
  <c r="R29" i="5" s="1"/>
  <c r="Q30" i="5"/>
  <c r="R30" i="5" s="1"/>
  <c r="Q31" i="5"/>
  <c r="R31" i="5" s="1"/>
  <c r="Q32" i="5"/>
  <c r="R32" i="5" s="1"/>
  <c r="Q33" i="5"/>
  <c r="R33" i="5" s="1"/>
  <c r="Q34" i="5"/>
  <c r="R34" i="5" s="1"/>
  <c r="Q35" i="5"/>
  <c r="R35" i="5" s="1"/>
  <c r="Q36" i="5"/>
  <c r="R36" i="5" s="1"/>
  <c r="Q37" i="5"/>
  <c r="R37" i="5" s="1"/>
  <c r="Q38" i="5"/>
  <c r="R38" i="5" s="1"/>
  <c r="Q39" i="5"/>
  <c r="R39" i="5" s="1"/>
  <c r="Q40" i="5"/>
  <c r="R40" i="5" s="1"/>
  <c r="Q41" i="5"/>
  <c r="R41" i="5" s="1"/>
  <c r="Q42" i="5"/>
  <c r="R42" i="5" s="1"/>
  <c r="Q43" i="5"/>
  <c r="R43" i="5" s="1"/>
  <c r="Q44" i="5"/>
  <c r="R44" i="5" s="1"/>
  <c r="Q45" i="5"/>
  <c r="R45" i="5" s="1"/>
  <c r="Q46" i="5"/>
  <c r="R46" i="5" s="1"/>
  <c r="Q47" i="5"/>
  <c r="R47" i="5" s="1"/>
  <c r="Q48" i="5"/>
  <c r="R48" i="5" s="1"/>
  <c r="Q49" i="5"/>
  <c r="R49" i="5" s="1"/>
  <c r="Q50" i="5"/>
  <c r="R50" i="5" s="1"/>
  <c r="Q51" i="5"/>
  <c r="R51" i="5" s="1"/>
  <c r="Q52" i="5"/>
  <c r="R52" i="5" s="1"/>
  <c r="Q53" i="5"/>
  <c r="R53" i="5" s="1"/>
  <c r="Q54" i="5"/>
  <c r="R54" i="5" s="1"/>
  <c r="Q55" i="5"/>
  <c r="R55" i="5" s="1"/>
  <c r="Q56" i="5"/>
  <c r="R56" i="5" s="1"/>
  <c r="Q57" i="5"/>
  <c r="R57" i="5" s="1"/>
  <c r="Q58" i="5"/>
  <c r="R58" i="5" s="1"/>
  <c r="Q59" i="5"/>
  <c r="R59" i="5" s="1"/>
  <c r="Q60" i="5"/>
  <c r="R60" i="5" s="1"/>
  <c r="Q61" i="5"/>
  <c r="R61" i="5" s="1"/>
  <c r="Q62" i="5"/>
  <c r="R62" i="5" s="1"/>
  <c r="Q63" i="5"/>
  <c r="R63" i="5" s="1"/>
  <c r="Q64" i="5"/>
  <c r="R64" i="5" s="1"/>
  <c r="Q65" i="5"/>
  <c r="R65" i="5" s="1"/>
  <c r="Q66" i="5"/>
  <c r="R66" i="5" s="1"/>
  <c r="Q67" i="5"/>
  <c r="R67" i="5" s="1"/>
  <c r="Q68" i="5"/>
  <c r="R68" i="5" s="1"/>
  <c r="Q69" i="5"/>
  <c r="R69" i="5" s="1"/>
  <c r="Q70" i="5"/>
  <c r="R70" i="5" s="1"/>
  <c r="Q71" i="5"/>
  <c r="R71" i="5" s="1"/>
  <c r="Q72" i="5"/>
  <c r="R72" i="5" s="1"/>
  <c r="Q73" i="5"/>
  <c r="R73" i="5" s="1"/>
  <c r="Q74" i="5"/>
  <c r="R74" i="5" s="1"/>
  <c r="Q75" i="5"/>
  <c r="R75" i="5" s="1"/>
  <c r="Q76" i="5"/>
  <c r="R76" i="5" s="1"/>
  <c r="Q77" i="5"/>
  <c r="R77" i="5" s="1"/>
  <c r="Q78" i="5"/>
  <c r="R78" i="5" s="1"/>
  <c r="Q79" i="5"/>
  <c r="R79" i="5" s="1"/>
  <c r="Q80" i="5"/>
  <c r="R80" i="5" s="1"/>
  <c r="Q81" i="5"/>
  <c r="R81" i="5" s="1"/>
  <c r="Q82" i="5"/>
  <c r="R82" i="5" s="1"/>
  <c r="Q83" i="5"/>
  <c r="R83" i="5" s="1"/>
  <c r="Q84" i="5"/>
  <c r="R84" i="5" s="1"/>
  <c r="Q85" i="5"/>
  <c r="R85" i="5" s="1"/>
  <c r="Q86" i="5"/>
  <c r="R86" i="5" s="1"/>
  <c r="Q87" i="5"/>
  <c r="R87" i="5" s="1"/>
  <c r="Q88" i="5"/>
  <c r="R88" i="5" s="1"/>
  <c r="Q89" i="5"/>
  <c r="R89" i="5" s="1"/>
  <c r="Q90" i="5"/>
  <c r="R90" i="5" s="1"/>
  <c r="Q91" i="5"/>
  <c r="R91" i="5" s="1"/>
  <c r="Q92" i="5"/>
  <c r="R92" i="5" s="1"/>
  <c r="Q93" i="5"/>
  <c r="R93" i="5" s="1"/>
  <c r="Q94" i="5"/>
  <c r="R94" i="5" s="1"/>
  <c r="Q95" i="5"/>
  <c r="R95" i="5" s="1"/>
  <c r="Q96" i="5"/>
  <c r="R96" i="5" s="1"/>
  <c r="Q97" i="5"/>
  <c r="R97" i="5" s="1"/>
  <c r="Q98" i="5"/>
  <c r="R98" i="5" s="1"/>
  <c r="Q99" i="5"/>
  <c r="R99" i="5" s="1"/>
  <c r="Q100" i="5"/>
  <c r="R100" i="5" s="1"/>
  <c r="Q101" i="5"/>
  <c r="R101" i="5" s="1"/>
  <c r="Q102" i="5"/>
  <c r="R102" i="5" s="1"/>
  <c r="Q103" i="5"/>
  <c r="R103" i="5" s="1"/>
  <c r="Q104" i="5"/>
  <c r="R104" i="5" s="1"/>
  <c r="Q105" i="5"/>
  <c r="R105" i="5" s="1"/>
  <c r="Q106" i="5"/>
  <c r="R106" i="5" s="1"/>
  <c r="Q107" i="5"/>
  <c r="R107" i="5" s="1"/>
  <c r="Q108" i="5"/>
  <c r="R108" i="5" s="1"/>
  <c r="Q109" i="5"/>
  <c r="R109" i="5" s="1"/>
  <c r="Q110" i="5"/>
  <c r="R110" i="5" s="1"/>
  <c r="Q111" i="5"/>
  <c r="R111" i="5" s="1"/>
  <c r="Q112" i="5"/>
  <c r="R112" i="5" s="1"/>
  <c r="Q113" i="5"/>
  <c r="R113" i="5" s="1"/>
  <c r="Q114" i="5"/>
  <c r="R114" i="5" s="1"/>
  <c r="Q115" i="5"/>
  <c r="R115" i="5" s="1"/>
  <c r="Q116" i="5"/>
  <c r="R116" i="5" s="1"/>
  <c r="Q117" i="5"/>
  <c r="R117" i="5" s="1"/>
  <c r="Q118" i="5"/>
  <c r="R118" i="5" s="1"/>
  <c r="Q119" i="5"/>
  <c r="R119" i="5" s="1"/>
  <c r="Q120" i="5"/>
  <c r="R120" i="5" s="1"/>
  <c r="Q121" i="5"/>
  <c r="R121" i="5" s="1"/>
  <c r="Q122" i="5"/>
  <c r="R122" i="5" s="1"/>
  <c r="Q123" i="5"/>
  <c r="R123" i="5" s="1"/>
  <c r="Q124" i="5"/>
  <c r="R124" i="5" s="1"/>
  <c r="Q125" i="5"/>
  <c r="R125" i="5" s="1"/>
  <c r="Q126" i="5"/>
  <c r="R126" i="5" s="1"/>
  <c r="Q127" i="5"/>
  <c r="R127" i="5" s="1"/>
  <c r="Q128" i="5"/>
  <c r="R128" i="5" s="1"/>
  <c r="Q129" i="5"/>
  <c r="R129" i="5" s="1"/>
  <c r="Q130" i="5"/>
  <c r="R130" i="5" s="1"/>
  <c r="Q131" i="5"/>
  <c r="R131" i="5" s="1"/>
  <c r="Q132" i="5"/>
  <c r="R132" i="5" s="1"/>
  <c r="Q133" i="5"/>
  <c r="R133" i="5" s="1"/>
  <c r="Q134" i="5"/>
  <c r="R134" i="5" s="1"/>
  <c r="Q135" i="5"/>
  <c r="R135" i="5" s="1"/>
  <c r="Q136" i="5"/>
  <c r="R136" i="5" s="1"/>
  <c r="Q137" i="5"/>
  <c r="R137" i="5" s="1"/>
  <c r="Q138" i="5"/>
  <c r="R138" i="5" s="1"/>
  <c r="Q139" i="5"/>
  <c r="R139" i="5" s="1"/>
  <c r="Q140" i="5"/>
  <c r="R140" i="5" s="1"/>
  <c r="Q141" i="5"/>
  <c r="R141" i="5" s="1"/>
  <c r="Q142" i="5"/>
  <c r="R142" i="5" s="1"/>
  <c r="Q143" i="5"/>
  <c r="R143" i="5" s="1"/>
  <c r="Q144" i="5"/>
  <c r="R144" i="5" s="1"/>
  <c r="Q145" i="5"/>
  <c r="R145" i="5" s="1"/>
  <c r="Q146" i="5"/>
  <c r="R146" i="5" s="1"/>
  <c r="Q147" i="5"/>
  <c r="R147" i="5" s="1"/>
  <c r="Q148" i="5"/>
  <c r="R148" i="5" s="1"/>
  <c r="Q149" i="5"/>
  <c r="R149" i="5" s="1"/>
  <c r="Q150" i="5"/>
  <c r="R150" i="5" s="1"/>
  <c r="Q151" i="5"/>
  <c r="R151" i="5" s="1"/>
  <c r="Q152" i="5"/>
  <c r="R152" i="5" s="1"/>
  <c r="Q153" i="5"/>
  <c r="R153" i="5" s="1"/>
  <c r="Q154" i="5"/>
  <c r="R154" i="5" s="1"/>
  <c r="Q155" i="5"/>
  <c r="R155" i="5" s="1"/>
  <c r="Q156" i="5"/>
  <c r="R156" i="5" s="1"/>
  <c r="Q157" i="5"/>
  <c r="R157" i="5" s="1"/>
  <c r="Q158" i="5"/>
  <c r="R158" i="5" s="1"/>
  <c r="Q159" i="5"/>
  <c r="R159" i="5" s="1"/>
  <c r="Q160" i="5"/>
  <c r="R160" i="5" s="1"/>
  <c r="Q161" i="5"/>
  <c r="R161" i="5" s="1"/>
  <c r="Q162" i="5"/>
  <c r="R162" i="5" s="1"/>
  <c r="Q163" i="5"/>
  <c r="R163" i="5" s="1"/>
  <c r="Q164" i="5"/>
  <c r="R164" i="5" s="1"/>
  <c r="Q165" i="5"/>
  <c r="R165" i="5" s="1"/>
  <c r="Q166" i="5"/>
  <c r="R166" i="5" s="1"/>
  <c r="Q167" i="5"/>
  <c r="R167" i="5" s="1"/>
  <c r="Q168" i="5"/>
  <c r="R168" i="5" s="1"/>
  <c r="Q169" i="5"/>
  <c r="R169" i="5" s="1"/>
  <c r="Q170" i="5"/>
  <c r="R170" i="5" s="1"/>
  <c r="Q171" i="5"/>
  <c r="R171" i="5" s="1"/>
  <c r="Q172" i="5"/>
  <c r="R172" i="5" s="1"/>
  <c r="Q173" i="5"/>
  <c r="R173" i="5" s="1"/>
  <c r="Q174" i="5"/>
  <c r="R174" i="5" s="1"/>
  <c r="Q175" i="5"/>
  <c r="R175" i="5" s="1"/>
  <c r="Q176" i="5"/>
  <c r="R176" i="5" s="1"/>
  <c r="Q177" i="5"/>
  <c r="R177" i="5" s="1"/>
  <c r="Q178" i="5"/>
  <c r="R178" i="5" s="1"/>
  <c r="Q179" i="5"/>
  <c r="R179" i="5" s="1"/>
  <c r="Q180" i="5"/>
  <c r="R180" i="5" s="1"/>
  <c r="Q181" i="5"/>
  <c r="R181" i="5" s="1"/>
  <c r="Q182" i="5"/>
  <c r="R182" i="5" s="1"/>
  <c r="Q183" i="5"/>
  <c r="R183" i="5" s="1"/>
  <c r="Q184" i="5"/>
  <c r="R184" i="5" s="1"/>
  <c r="Q185" i="5"/>
  <c r="R185" i="5" s="1"/>
  <c r="Q186" i="5"/>
  <c r="R186" i="5" s="1"/>
  <c r="Q187" i="5"/>
  <c r="R187" i="5" s="1"/>
  <c r="Q188" i="5"/>
  <c r="R188" i="5" s="1"/>
  <c r="Q189" i="5"/>
  <c r="R189" i="5" s="1"/>
  <c r="Q190" i="5"/>
  <c r="R190" i="5" s="1"/>
  <c r="Q191" i="5"/>
  <c r="R191" i="5" s="1"/>
  <c r="Q192" i="5"/>
  <c r="R192" i="5" s="1"/>
  <c r="Q193" i="5"/>
  <c r="R193" i="5" s="1"/>
  <c r="Q194" i="5"/>
  <c r="R194" i="5" s="1"/>
  <c r="Q195" i="5"/>
  <c r="R195" i="5" s="1"/>
  <c r="Q196" i="5"/>
  <c r="R196" i="5" s="1"/>
  <c r="Q197" i="5"/>
  <c r="R197" i="5" s="1"/>
  <c r="Q198" i="5"/>
  <c r="R198" i="5" s="1"/>
  <c r="Q199" i="5"/>
  <c r="R199" i="5" s="1"/>
  <c r="Q200" i="5"/>
  <c r="R200" i="5" s="1"/>
  <c r="Q201" i="5"/>
  <c r="R201" i="5" s="1"/>
  <c r="Q202" i="5"/>
  <c r="R202" i="5" s="1"/>
  <c r="Q203" i="5"/>
  <c r="R203" i="5" s="1"/>
  <c r="Q204" i="5"/>
  <c r="R204" i="5" s="1"/>
  <c r="Q205" i="5"/>
  <c r="R205" i="5" s="1"/>
  <c r="Q206" i="5"/>
  <c r="R206" i="5" s="1"/>
  <c r="Q207" i="5"/>
  <c r="R207" i="5" s="1"/>
  <c r="Q208" i="5"/>
  <c r="R208" i="5" s="1"/>
  <c r="Q209" i="5"/>
  <c r="R209" i="5" s="1"/>
  <c r="Q210" i="5"/>
  <c r="R210" i="5" s="1"/>
  <c r="Q211" i="5"/>
  <c r="R211" i="5" s="1"/>
  <c r="Q212" i="5"/>
  <c r="R212" i="5" s="1"/>
  <c r="Q213" i="5"/>
  <c r="R213" i="5" s="1"/>
  <c r="Q214" i="5"/>
  <c r="R214" i="5" s="1"/>
  <c r="Q215" i="5"/>
  <c r="R215" i="5" s="1"/>
  <c r="Q216" i="5"/>
  <c r="R216" i="5" s="1"/>
  <c r="Q217" i="5"/>
  <c r="R217" i="5" s="1"/>
  <c r="Q218" i="5"/>
  <c r="R218" i="5" s="1"/>
  <c r="Q219" i="5"/>
  <c r="R219" i="5" s="1"/>
  <c r="Q220" i="5"/>
  <c r="R220" i="5" s="1"/>
  <c r="Q221" i="5"/>
  <c r="R221" i="5" s="1"/>
  <c r="Q222" i="5"/>
  <c r="R222" i="5" s="1"/>
  <c r="Q223" i="5"/>
  <c r="R223" i="5" s="1"/>
  <c r="Q224" i="5"/>
  <c r="R224" i="5" s="1"/>
  <c r="Q225" i="5"/>
  <c r="R225" i="5" s="1"/>
  <c r="Q226" i="5"/>
  <c r="R226" i="5" s="1"/>
  <c r="Q227" i="5"/>
  <c r="R227" i="5" s="1"/>
  <c r="Q228" i="5"/>
  <c r="R228" i="5" s="1"/>
  <c r="Q229" i="5"/>
  <c r="R229" i="5" s="1"/>
  <c r="Q230" i="5"/>
  <c r="R230" i="5" s="1"/>
  <c r="Q231" i="5"/>
  <c r="R231" i="5" s="1"/>
  <c r="Q232" i="5"/>
  <c r="R232" i="5" s="1"/>
  <c r="Q233" i="5"/>
  <c r="R233" i="5" s="1"/>
  <c r="Q234" i="5"/>
  <c r="R234" i="5" s="1"/>
  <c r="Q235" i="5"/>
  <c r="R235" i="5" s="1"/>
  <c r="Q236" i="5"/>
  <c r="R236" i="5" s="1"/>
  <c r="Q237" i="5"/>
  <c r="R237" i="5" s="1"/>
  <c r="Q238" i="5"/>
  <c r="R238" i="5" s="1"/>
  <c r="Q239" i="5"/>
  <c r="R239" i="5" s="1"/>
  <c r="Q240" i="5"/>
  <c r="R240" i="5" s="1"/>
  <c r="Q241" i="5"/>
  <c r="R241" i="5" s="1"/>
  <c r="Q242" i="5"/>
  <c r="R242" i="5" s="1"/>
  <c r="Q243" i="5"/>
  <c r="R243" i="5" s="1"/>
  <c r="Q244" i="5"/>
  <c r="R244" i="5" s="1"/>
  <c r="Q245" i="5"/>
  <c r="R245" i="5" s="1"/>
  <c r="Q246" i="5"/>
  <c r="R246" i="5" s="1"/>
  <c r="Q247" i="5"/>
  <c r="R247" i="5" s="1"/>
  <c r="Q248" i="5"/>
  <c r="R248" i="5" s="1"/>
  <c r="Q249" i="5"/>
  <c r="R249" i="5" s="1"/>
  <c r="Q250" i="5"/>
  <c r="R250" i="5" s="1"/>
  <c r="Q251" i="5"/>
  <c r="R251" i="5" s="1"/>
  <c r="Q252" i="5"/>
  <c r="R252" i="5" s="1"/>
  <c r="Q253" i="5"/>
  <c r="R253" i="5" s="1"/>
  <c r="Q254" i="5"/>
  <c r="R254" i="5" s="1"/>
  <c r="Q255" i="5"/>
  <c r="R255" i="5" s="1"/>
  <c r="Q256" i="5"/>
  <c r="R256" i="5" s="1"/>
  <c r="Q257" i="5"/>
  <c r="R257" i="5" s="1"/>
  <c r="Q258" i="5"/>
  <c r="R258" i="5" s="1"/>
  <c r="Q259" i="5"/>
  <c r="R259" i="5" s="1"/>
  <c r="Q260" i="5"/>
  <c r="R260" i="5" s="1"/>
  <c r="Q261" i="5"/>
  <c r="R261" i="5" s="1"/>
  <c r="Q262" i="5"/>
  <c r="R262" i="5" s="1"/>
  <c r="Q263" i="5"/>
  <c r="R263" i="5" s="1"/>
  <c r="Q264" i="5"/>
  <c r="R264" i="5" s="1"/>
  <c r="Q265" i="5"/>
  <c r="R265" i="5" s="1"/>
  <c r="Q266" i="5"/>
  <c r="R266" i="5" s="1"/>
  <c r="Q267" i="5"/>
  <c r="R267" i="5" s="1"/>
  <c r="Q268" i="5"/>
  <c r="R268" i="5" s="1"/>
  <c r="Q269" i="5"/>
  <c r="R269" i="5" s="1"/>
  <c r="Q270" i="5"/>
  <c r="R270" i="5" s="1"/>
  <c r="Q271" i="5"/>
  <c r="R271" i="5" s="1"/>
  <c r="Q272" i="5"/>
  <c r="R272" i="5" s="1"/>
  <c r="Q273" i="5"/>
  <c r="R273" i="5" s="1"/>
  <c r="Q274" i="5"/>
  <c r="R274" i="5" s="1"/>
  <c r="Q275" i="5"/>
  <c r="R275" i="5" s="1"/>
  <c r="Q276" i="5"/>
  <c r="R276" i="5" s="1"/>
  <c r="Q277" i="5"/>
  <c r="R277" i="5" s="1"/>
  <c r="Q278" i="5"/>
  <c r="R278" i="5" s="1"/>
  <c r="Q279" i="5"/>
  <c r="R279" i="5" s="1"/>
  <c r="Q280" i="5"/>
  <c r="R280" i="5" s="1"/>
  <c r="Q281" i="5"/>
  <c r="R281" i="5" s="1"/>
  <c r="Q282" i="5"/>
  <c r="R282" i="5" s="1"/>
  <c r="Q283" i="5"/>
  <c r="R283" i="5" s="1"/>
  <c r="Q284" i="5"/>
  <c r="R284" i="5" s="1"/>
  <c r="Q285" i="5"/>
  <c r="R285" i="5" s="1"/>
  <c r="Q286" i="5"/>
  <c r="R286" i="5" s="1"/>
  <c r="Q287" i="5"/>
  <c r="R287" i="5" s="1"/>
  <c r="Q288" i="5"/>
  <c r="R288" i="5" s="1"/>
  <c r="Q289" i="5"/>
  <c r="R289" i="5" s="1"/>
  <c r="Q290" i="5"/>
  <c r="R290" i="5" s="1"/>
  <c r="Q291" i="5"/>
  <c r="R291" i="5" s="1"/>
  <c r="Q292" i="5"/>
  <c r="R292" i="5" s="1"/>
  <c r="Q293" i="5"/>
  <c r="R293" i="5" s="1"/>
  <c r="Q294" i="5"/>
  <c r="R294" i="5" s="1"/>
  <c r="Q295" i="5"/>
  <c r="R295" i="5" s="1"/>
  <c r="Q296" i="5"/>
  <c r="R296" i="5" s="1"/>
  <c r="Q297" i="5"/>
  <c r="R297" i="5" s="1"/>
  <c r="Q298" i="5"/>
  <c r="R298" i="5" s="1"/>
  <c r="Q299" i="5"/>
  <c r="R299" i="5" s="1"/>
  <c r="Q300" i="5"/>
  <c r="R300" i="5" s="1"/>
  <c r="Q301" i="5"/>
  <c r="R301" i="5" s="1"/>
  <c r="Q302" i="5"/>
  <c r="R302" i="5" s="1"/>
  <c r="Q303" i="5"/>
  <c r="R303" i="5" s="1"/>
  <c r="Q304" i="5"/>
  <c r="R304" i="5" s="1"/>
  <c r="Q305" i="5"/>
  <c r="R305" i="5" s="1"/>
  <c r="Q306" i="5"/>
  <c r="R306" i="5" s="1"/>
  <c r="Q307" i="5"/>
  <c r="R307" i="5" s="1"/>
  <c r="Q308" i="5"/>
  <c r="R308" i="5" s="1"/>
  <c r="Q309" i="5"/>
  <c r="R309" i="5" s="1"/>
  <c r="Q310" i="5"/>
  <c r="R310" i="5" s="1"/>
  <c r="Q311" i="5"/>
  <c r="R311" i="5" s="1"/>
  <c r="Q312" i="5"/>
  <c r="R312" i="5" s="1"/>
  <c r="Q313" i="5"/>
  <c r="R313" i="5" s="1"/>
  <c r="Q314" i="5"/>
  <c r="R314" i="5" s="1"/>
  <c r="Q315" i="5"/>
  <c r="R315" i="5" s="1"/>
  <c r="Q316" i="5"/>
  <c r="R316" i="5" s="1"/>
  <c r="Q317" i="5"/>
  <c r="R317" i="5" s="1"/>
  <c r="Q318" i="5"/>
  <c r="R318" i="5" s="1"/>
  <c r="Q319" i="5"/>
  <c r="R319" i="5" s="1"/>
  <c r="Q320" i="5"/>
  <c r="R320" i="5" s="1"/>
  <c r="Q321" i="5"/>
  <c r="R321" i="5" s="1"/>
  <c r="Q322" i="5"/>
  <c r="R322" i="5" s="1"/>
  <c r="Q323" i="5"/>
  <c r="R323" i="5" s="1"/>
  <c r="Q324" i="5"/>
  <c r="R324" i="5" s="1"/>
  <c r="Q325" i="5"/>
  <c r="R325" i="5" s="1"/>
  <c r="Q326" i="5"/>
  <c r="R326" i="5" s="1"/>
  <c r="Q327" i="5"/>
  <c r="R327" i="5" s="1"/>
  <c r="Q328" i="5"/>
  <c r="R328" i="5" s="1"/>
  <c r="Q329" i="5"/>
  <c r="R329" i="5" s="1"/>
  <c r="Q330" i="5"/>
  <c r="R330" i="5" s="1"/>
  <c r="Q331" i="5"/>
  <c r="R331" i="5" s="1"/>
  <c r="Q332" i="5"/>
  <c r="R332" i="5" s="1"/>
  <c r="Q333" i="5"/>
  <c r="R333" i="5" s="1"/>
  <c r="Q334" i="5"/>
  <c r="R334" i="5" s="1"/>
  <c r="Q335" i="5"/>
  <c r="R335" i="5" s="1"/>
  <c r="Q336" i="5"/>
  <c r="R336" i="5" s="1"/>
  <c r="Q337" i="5"/>
  <c r="R337" i="5" s="1"/>
  <c r="Q338" i="5"/>
  <c r="R338" i="5" s="1"/>
  <c r="Q339" i="5"/>
  <c r="R339" i="5" s="1"/>
  <c r="Q340" i="5"/>
  <c r="R340" i="5" s="1"/>
  <c r="Q341" i="5"/>
  <c r="R341" i="5" s="1"/>
  <c r="Q342" i="5"/>
  <c r="R342" i="5" s="1"/>
  <c r="Q343" i="5"/>
  <c r="R343" i="5" s="1"/>
  <c r="Q344" i="5"/>
  <c r="R344" i="5" s="1"/>
  <c r="Q345" i="5"/>
  <c r="R345" i="5" s="1"/>
  <c r="Q346" i="5"/>
  <c r="R346" i="5" s="1"/>
  <c r="Q347" i="5"/>
  <c r="R347" i="5" s="1"/>
  <c r="Q348" i="5"/>
  <c r="R348" i="5" s="1"/>
  <c r="Q349" i="5"/>
  <c r="R349" i="5" s="1"/>
  <c r="Q350" i="5"/>
  <c r="R350" i="5" s="1"/>
  <c r="Q351" i="5"/>
  <c r="R351" i="5" s="1"/>
  <c r="Q352" i="5"/>
  <c r="R352" i="5" s="1"/>
  <c r="Q353" i="5"/>
  <c r="R353" i="5" s="1"/>
  <c r="Q354" i="5"/>
  <c r="R354" i="5" s="1"/>
  <c r="Q355" i="5"/>
  <c r="R355" i="5" s="1"/>
  <c r="Q356" i="5"/>
  <c r="R356" i="5" s="1"/>
  <c r="Q357" i="5"/>
  <c r="R357" i="5" s="1"/>
  <c r="Q358" i="5"/>
  <c r="R358" i="5" s="1"/>
  <c r="Q359" i="5"/>
  <c r="R359" i="5" s="1"/>
  <c r="Q360" i="5"/>
  <c r="R360" i="5" s="1"/>
  <c r="Q361" i="5"/>
  <c r="R361" i="5" s="1"/>
  <c r="Q362" i="5"/>
  <c r="R362" i="5" s="1"/>
  <c r="Q363" i="5"/>
  <c r="R363" i="5" s="1"/>
  <c r="Q364" i="5"/>
  <c r="R364" i="5" s="1"/>
  <c r="Q365" i="5"/>
  <c r="R365" i="5" s="1"/>
  <c r="Q366" i="5"/>
  <c r="R366" i="5" s="1"/>
  <c r="Q367" i="5"/>
  <c r="R367" i="5" s="1"/>
  <c r="Q368" i="5"/>
  <c r="R368" i="5" s="1"/>
  <c r="Q369" i="5"/>
  <c r="R369" i="5" s="1"/>
  <c r="Q370" i="5"/>
  <c r="R370" i="5" s="1"/>
  <c r="Q371" i="5"/>
  <c r="R371" i="5" s="1"/>
  <c r="Q372" i="5"/>
  <c r="R372" i="5" s="1"/>
  <c r="Q373" i="5"/>
  <c r="R373" i="5" s="1"/>
  <c r="Q374" i="5"/>
  <c r="R374" i="5" s="1"/>
  <c r="Q375" i="5"/>
  <c r="R375" i="5" s="1"/>
  <c r="Q376" i="5"/>
  <c r="R376" i="5" s="1"/>
  <c r="Q377" i="5"/>
  <c r="R377" i="5" s="1"/>
  <c r="Q378" i="5"/>
  <c r="R378" i="5" s="1"/>
  <c r="Q379" i="5"/>
  <c r="R379" i="5" s="1"/>
  <c r="Q380" i="5"/>
  <c r="R380" i="5" s="1"/>
  <c r="Q381" i="5"/>
  <c r="R381" i="5" s="1"/>
  <c r="Q382" i="5"/>
  <c r="R382" i="5" s="1"/>
  <c r="Q383" i="5"/>
  <c r="R383" i="5" s="1"/>
  <c r="Q384" i="5"/>
  <c r="R384" i="5" s="1"/>
  <c r="Q385" i="5"/>
  <c r="R385" i="5" s="1"/>
  <c r="Q386" i="5"/>
  <c r="R386" i="5" s="1"/>
  <c r="Q387" i="5"/>
  <c r="R387" i="5" s="1"/>
  <c r="Q388" i="5"/>
  <c r="R388" i="5" s="1"/>
  <c r="Q389" i="5"/>
  <c r="R389" i="5" s="1"/>
  <c r="Q390" i="5"/>
  <c r="R390" i="5" s="1"/>
  <c r="Q391" i="5"/>
  <c r="R391" i="5" s="1"/>
  <c r="Q392" i="5"/>
  <c r="R392" i="5" s="1"/>
  <c r="Q393" i="5"/>
  <c r="R393" i="5" s="1"/>
  <c r="Q394" i="5"/>
  <c r="R394" i="5" s="1"/>
  <c r="Q395" i="5"/>
  <c r="R395" i="5" s="1"/>
  <c r="Q396" i="5"/>
  <c r="R396" i="5" s="1"/>
  <c r="Q397" i="5"/>
  <c r="R397" i="5" s="1"/>
  <c r="Q398" i="5"/>
  <c r="R398" i="5" s="1"/>
  <c r="Q399" i="5"/>
  <c r="R399" i="5" s="1"/>
  <c r="Q400" i="5"/>
  <c r="R400" i="5" s="1"/>
  <c r="B16" i="1"/>
  <c r="D16" i="1" s="1"/>
  <c r="E16" i="1" s="1"/>
  <c r="J2" i="5" a="1"/>
  <c r="J2" i="5" s="1"/>
  <c r="J3" i="5" a="1"/>
  <c r="J3" i="5" s="1"/>
  <c r="J4" i="5" a="1"/>
  <c r="J4" i="5" s="1"/>
  <c r="J5" i="5" a="1"/>
  <c r="J5" i="5" s="1"/>
  <c r="J6" i="5" a="1"/>
  <c r="J6" i="5" s="1"/>
  <c r="J7" i="5" a="1"/>
  <c r="J7" i="5" s="1"/>
  <c r="J8" i="5" a="1"/>
  <c r="J8" i="5" s="1"/>
  <c r="J9" i="5" a="1"/>
  <c r="J9" i="5" s="1"/>
  <c r="J10" i="5" a="1"/>
  <c r="J10" i="5" s="1"/>
  <c r="J11" i="5" a="1"/>
  <c r="J11" i="5" s="1"/>
  <c r="J12" i="5" a="1"/>
  <c r="J12" i="5" s="1"/>
  <c r="J13" i="5" a="1"/>
  <c r="J13" i="5" s="1"/>
  <c r="J14" i="5" a="1"/>
  <c r="J14" i="5" s="1"/>
  <c r="J15" i="5" a="1"/>
  <c r="J15" i="5" s="1"/>
  <c r="J16" i="5" a="1"/>
  <c r="J16" i="5" s="1"/>
  <c r="J17" i="5" a="1"/>
  <c r="J17" i="5" s="1"/>
  <c r="J18" i="5" a="1"/>
  <c r="J18" i="5" s="1"/>
  <c r="J19" i="5" a="1"/>
  <c r="J19" i="5" s="1"/>
  <c r="J20" i="5" a="1"/>
  <c r="J20" i="5" s="1"/>
  <c r="J21" i="5" a="1"/>
  <c r="J21" i="5" s="1"/>
  <c r="J22" i="5" a="1"/>
  <c r="J22" i="5" s="1"/>
  <c r="J23" i="5" a="1"/>
  <c r="J23" i="5" s="1"/>
  <c r="J24" i="5" a="1"/>
  <c r="J24" i="5" s="1"/>
  <c r="J25" i="5" a="1"/>
  <c r="J25" i="5" s="1"/>
  <c r="J26" i="5" a="1"/>
  <c r="J26" i="5" s="1"/>
  <c r="J27" i="5" a="1"/>
  <c r="J27" i="5" s="1"/>
  <c r="J28" i="5" a="1"/>
  <c r="J28" i="5" s="1"/>
  <c r="J29" i="5" a="1"/>
  <c r="J29" i="5" s="1"/>
  <c r="J30" i="5" a="1"/>
  <c r="J30" i="5" s="1"/>
  <c r="J31" i="5" a="1"/>
  <c r="J31" i="5" s="1"/>
  <c r="J32" i="5" a="1"/>
  <c r="J32" i="5" s="1"/>
  <c r="J33" i="5" a="1"/>
  <c r="J33" i="5" s="1"/>
  <c r="J34" i="5" a="1"/>
  <c r="J34" i="5" s="1"/>
  <c r="J35" i="5" a="1"/>
  <c r="J35" i="5" s="1"/>
  <c r="J36" i="5" a="1"/>
  <c r="J36" i="5" s="1"/>
  <c r="J37" i="5" a="1"/>
  <c r="J37" i="5" s="1"/>
  <c r="J38" i="5" a="1"/>
  <c r="J38" i="5" s="1"/>
  <c r="J39" i="5" a="1"/>
  <c r="J39" i="5" s="1"/>
  <c r="J40" i="5" a="1"/>
  <c r="J40" i="5" s="1"/>
  <c r="J41" i="5" a="1"/>
  <c r="J41" i="5" s="1"/>
  <c r="J42" i="5" a="1"/>
  <c r="J42" i="5" s="1"/>
  <c r="J43" i="5" a="1"/>
  <c r="J43" i="5" s="1"/>
  <c r="J44" i="5" a="1"/>
  <c r="J44" i="5" s="1"/>
  <c r="J45" i="5" a="1"/>
  <c r="J45" i="5" s="1"/>
  <c r="J46" i="5" a="1"/>
  <c r="J46" i="5" s="1"/>
  <c r="J47" i="5" a="1"/>
  <c r="J47" i="5" s="1"/>
  <c r="J48" i="5" a="1"/>
  <c r="J48" i="5" s="1"/>
  <c r="J49" i="5" a="1"/>
  <c r="J49" i="5" s="1"/>
  <c r="J50" i="5" a="1"/>
  <c r="J50" i="5" s="1"/>
  <c r="J51" i="5" a="1"/>
  <c r="J51" i="5" s="1"/>
  <c r="J52" i="5" a="1"/>
  <c r="J52" i="5" s="1"/>
  <c r="J53" i="5" a="1"/>
  <c r="J53" i="5" s="1"/>
  <c r="J54" i="5" a="1"/>
  <c r="J54" i="5" s="1"/>
  <c r="J55" i="5" a="1"/>
  <c r="J55" i="5" s="1"/>
  <c r="J56" i="5" a="1"/>
  <c r="J56" i="5" s="1"/>
  <c r="J57" i="5" a="1"/>
  <c r="J57" i="5" s="1"/>
  <c r="J58" i="5" a="1"/>
  <c r="J58" i="5" s="1"/>
  <c r="J59" i="5" a="1"/>
  <c r="J59" i="5" s="1"/>
  <c r="J60" i="5" a="1"/>
  <c r="J60" i="5" s="1"/>
  <c r="J61" i="5" a="1"/>
  <c r="J61" i="5" s="1"/>
  <c r="J62" i="5" a="1"/>
  <c r="J62" i="5" s="1"/>
  <c r="J63" i="5" a="1"/>
  <c r="J63" i="5" s="1"/>
  <c r="J64" i="5" a="1"/>
  <c r="J64" i="5" s="1"/>
  <c r="J65" i="5" a="1"/>
  <c r="J65" i="5" s="1"/>
  <c r="J66" i="5" a="1"/>
  <c r="J66" i="5" s="1"/>
  <c r="J67" i="5" a="1"/>
  <c r="J67" i="5" s="1"/>
  <c r="J68" i="5" a="1"/>
  <c r="J68" i="5" s="1"/>
  <c r="J69" i="5" a="1"/>
  <c r="J69" i="5" s="1"/>
  <c r="J70" i="5" a="1"/>
  <c r="J70" i="5" s="1"/>
  <c r="J71" i="5" a="1"/>
  <c r="J71" i="5" s="1"/>
  <c r="J72" i="5" a="1"/>
  <c r="J72" i="5" s="1"/>
  <c r="J73" i="5" a="1"/>
  <c r="J73" i="5" s="1"/>
  <c r="J74" i="5" a="1"/>
  <c r="J74" i="5" s="1"/>
  <c r="J75" i="5" a="1"/>
  <c r="J75" i="5" s="1"/>
  <c r="J76" i="5" a="1"/>
  <c r="J76" i="5" s="1"/>
  <c r="J77" i="5" a="1"/>
  <c r="J77" i="5" s="1"/>
  <c r="J78" i="5" a="1"/>
  <c r="J78" i="5" s="1"/>
  <c r="J79" i="5" a="1"/>
  <c r="J79" i="5" s="1"/>
  <c r="J80" i="5" a="1"/>
  <c r="J80" i="5" s="1"/>
  <c r="J81" i="5" a="1"/>
  <c r="J81" i="5" s="1"/>
  <c r="J82" i="5" a="1"/>
  <c r="J82" i="5" s="1"/>
  <c r="J83" i="5" a="1"/>
  <c r="J83" i="5" s="1"/>
  <c r="J84" i="5" a="1"/>
  <c r="J84" i="5" s="1"/>
  <c r="J85" i="5" a="1"/>
  <c r="J85" i="5" s="1"/>
  <c r="J86" i="5" a="1"/>
  <c r="J86" i="5" s="1"/>
  <c r="J87" i="5" a="1"/>
  <c r="J87" i="5" s="1"/>
  <c r="J88" i="5" a="1"/>
  <c r="J88" i="5" s="1"/>
  <c r="J89" i="5" a="1"/>
  <c r="J89" i="5" s="1"/>
  <c r="J90" i="5" a="1"/>
  <c r="J90" i="5" s="1"/>
  <c r="J91" i="5" a="1"/>
  <c r="J91" i="5" s="1"/>
  <c r="J92" i="5" a="1"/>
  <c r="J92" i="5" s="1"/>
  <c r="J93" i="5" a="1"/>
  <c r="J93" i="5" s="1"/>
  <c r="J94" i="5" a="1"/>
  <c r="J94" i="5" s="1"/>
  <c r="J95" i="5" a="1"/>
  <c r="J95" i="5" s="1"/>
  <c r="J96" i="5" a="1"/>
  <c r="J96" i="5" s="1"/>
  <c r="J97" i="5" a="1"/>
  <c r="J97" i="5" s="1"/>
  <c r="J98" i="5" a="1"/>
  <c r="J98" i="5" s="1"/>
  <c r="J99" i="5" a="1"/>
  <c r="J99" i="5" s="1"/>
  <c r="J100" i="5" a="1"/>
  <c r="J100" i="5" s="1"/>
  <c r="J101" i="5" a="1"/>
  <c r="J101" i="5" s="1"/>
  <c r="J102" i="5" a="1"/>
  <c r="J102" i="5" s="1"/>
  <c r="J103" i="5" a="1"/>
  <c r="J103" i="5" s="1"/>
  <c r="J104" i="5" a="1"/>
  <c r="J104" i="5" s="1"/>
  <c r="J105" i="5" a="1"/>
  <c r="J105" i="5" s="1"/>
  <c r="J106" i="5" a="1"/>
  <c r="J106" i="5" s="1"/>
  <c r="J107" i="5" a="1"/>
  <c r="J107" i="5" s="1"/>
  <c r="J108" i="5" a="1"/>
  <c r="J108" i="5" s="1"/>
  <c r="J109" i="5" a="1"/>
  <c r="J109" i="5" s="1"/>
  <c r="J110" i="5" a="1"/>
  <c r="J110" i="5" s="1"/>
  <c r="J111" i="5" a="1"/>
  <c r="J111" i="5" s="1"/>
  <c r="J112" i="5" a="1"/>
  <c r="J112" i="5" s="1"/>
  <c r="J113" i="5" a="1"/>
  <c r="J113" i="5" s="1"/>
  <c r="J114" i="5" a="1"/>
  <c r="J114" i="5" s="1"/>
  <c r="J115" i="5" a="1"/>
  <c r="J115" i="5" s="1"/>
  <c r="J116" i="5" a="1"/>
  <c r="J116" i="5" s="1"/>
  <c r="J117" i="5" a="1"/>
  <c r="J117" i="5" s="1"/>
  <c r="J118" i="5" a="1"/>
  <c r="J118" i="5" s="1"/>
  <c r="J119" i="5" a="1"/>
  <c r="J119" i="5" s="1"/>
  <c r="J120" i="5" a="1"/>
  <c r="J120" i="5" s="1"/>
  <c r="J121" i="5" a="1"/>
  <c r="J121" i="5" s="1"/>
  <c r="J122" i="5" a="1"/>
  <c r="J122" i="5" s="1"/>
  <c r="J123" i="5" a="1"/>
  <c r="J123" i="5" s="1"/>
  <c r="J124" i="5" a="1"/>
  <c r="J124" i="5" s="1"/>
  <c r="J125" i="5" a="1"/>
  <c r="J125" i="5" s="1"/>
  <c r="J126" i="5" a="1"/>
  <c r="J126" i="5" s="1"/>
  <c r="J127" i="5" a="1"/>
  <c r="J127" i="5" s="1"/>
  <c r="J128" i="5" a="1"/>
  <c r="J128" i="5" s="1"/>
  <c r="J129" i="5" a="1"/>
  <c r="J129" i="5" s="1"/>
  <c r="J130" i="5" a="1"/>
  <c r="J130" i="5" s="1"/>
  <c r="J131" i="5" a="1"/>
  <c r="J131" i="5" s="1"/>
  <c r="J132" i="5" a="1"/>
  <c r="J132" i="5" s="1"/>
  <c r="J133" i="5" a="1"/>
  <c r="J133" i="5" s="1"/>
  <c r="J134" i="5" a="1"/>
  <c r="J134" i="5" s="1"/>
  <c r="J135" i="5" a="1"/>
  <c r="J135" i="5" s="1"/>
  <c r="J136" i="5" a="1"/>
  <c r="J136" i="5" s="1"/>
  <c r="J137" i="5" a="1"/>
  <c r="J137" i="5" s="1"/>
  <c r="J138" i="5" a="1"/>
  <c r="J138" i="5" s="1"/>
  <c r="J139" i="5" a="1"/>
  <c r="J139" i="5" s="1"/>
  <c r="J140" i="5" a="1"/>
  <c r="J140" i="5" s="1"/>
  <c r="J141" i="5" a="1"/>
  <c r="J141" i="5" s="1"/>
  <c r="J142" i="5" a="1"/>
  <c r="J142" i="5" s="1"/>
  <c r="J143" i="5" a="1"/>
  <c r="J143" i="5" s="1"/>
  <c r="J144" i="5" a="1"/>
  <c r="J144" i="5" s="1"/>
  <c r="J145" i="5" a="1"/>
  <c r="J145" i="5" s="1"/>
  <c r="J146" i="5" a="1"/>
  <c r="J146" i="5" s="1"/>
  <c r="J147" i="5" a="1"/>
  <c r="J147" i="5" s="1"/>
  <c r="J148" i="5" a="1"/>
  <c r="J148" i="5" s="1"/>
  <c r="J149" i="5" a="1"/>
  <c r="J149" i="5" s="1"/>
  <c r="J150" i="5" a="1"/>
  <c r="J150" i="5" s="1"/>
  <c r="J151" i="5" a="1"/>
  <c r="J151" i="5" s="1"/>
  <c r="J152" i="5" a="1"/>
  <c r="J152" i="5" s="1"/>
  <c r="J153" i="5" a="1"/>
  <c r="J153" i="5" s="1"/>
  <c r="J154" i="5" a="1"/>
  <c r="J154" i="5" s="1"/>
  <c r="J155" i="5" a="1"/>
  <c r="J155" i="5" s="1"/>
  <c r="J156" i="5" a="1"/>
  <c r="J156" i="5" s="1"/>
  <c r="J157" i="5" a="1"/>
  <c r="J157" i="5" s="1"/>
  <c r="J158" i="5" a="1"/>
  <c r="J158" i="5" s="1"/>
  <c r="J159" i="5" a="1"/>
  <c r="J159" i="5" s="1"/>
  <c r="J160" i="5" a="1"/>
  <c r="J160" i="5" s="1"/>
  <c r="J161" i="5" a="1"/>
  <c r="J161" i="5" s="1"/>
  <c r="J162" i="5" a="1"/>
  <c r="J162" i="5" s="1"/>
  <c r="J163" i="5" a="1"/>
  <c r="J163" i="5" s="1"/>
  <c r="J164" i="5" a="1"/>
  <c r="J164" i="5" s="1"/>
  <c r="J165" i="5" a="1"/>
  <c r="J165" i="5" s="1"/>
  <c r="J166" i="5" a="1"/>
  <c r="J166" i="5" s="1"/>
  <c r="J167" i="5" a="1"/>
  <c r="J167" i="5" s="1"/>
  <c r="J168" i="5" a="1"/>
  <c r="J168" i="5" s="1"/>
  <c r="J169" i="5" a="1"/>
  <c r="J169" i="5" s="1"/>
  <c r="J170" i="5" a="1"/>
  <c r="J170" i="5" s="1"/>
  <c r="J171" i="5" a="1"/>
  <c r="J171" i="5" s="1"/>
  <c r="J172" i="5" a="1"/>
  <c r="J172" i="5" s="1"/>
  <c r="J173" i="5" a="1"/>
  <c r="J173" i="5" s="1"/>
  <c r="J174" i="5" a="1"/>
  <c r="J174" i="5" s="1"/>
  <c r="J175" i="5" a="1"/>
  <c r="J175" i="5" s="1"/>
  <c r="J176" i="5" a="1"/>
  <c r="J176" i="5" s="1"/>
  <c r="J177" i="5" a="1"/>
  <c r="J177" i="5" s="1"/>
  <c r="J178" i="5" a="1"/>
  <c r="J178" i="5" s="1"/>
  <c r="J179" i="5" a="1"/>
  <c r="J179" i="5" s="1"/>
  <c r="J180" i="5" a="1"/>
  <c r="J180" i="5" s="1"/>
  <c r="J181" i="5" a="1"/>
  <c r="J181" i="5" s="1"/>
  <c r="J182" i="5" a="1"/>
  <c r="J182" i="5" s="1"/>
  <c r="J183" i="5" a="1"/>
  <c r="J183" i="5" s="1"/>
  <c r="J184" i="5" a="1"/>
  <c r="J184" i="5" s="1"/>
  <c r="J185" i="5" a="1"/>
  <c r="J185" i="5" s="1"/>
  <c r="J186" i="5" a="1"/>
  <c r="J186" i="5" s="1"/>
  <c r="J187" i="5" a="1"/>
  <c r="J187" i="5" s="1"/>
  <c r="J188" i="5" a="1"/>
  <c r="J188" i="5" s="1"/>
  <c r="J189" i="5" a="1"/>
  <c r="J189" i="5" s="1"/>
  <c r="J190" i="5" a="1"/>
  <c r="J190" i="5" s="1"/>
  <c r="J191" i="5" a="1"/>
  <c r="J191" i="5" s="1"/>
  <c r="J192" i="5" a="1"/>
  <c r="J192" i="5" s="1"/>
  <c r="J193" i="5" a="1"/>
  <c r="J193" i="5" s="1"/>
  <c r="J194" i="5" a="1"/>
  <c r="J194" i="5" s="1"/>
  <c r="J195" i="5" a="1"/>
  <c r="J195" i="5" s="1"/>
  <c r="J196" i="5" a="1"/>
  <c r="J196" i="5" s="1"/>
  <c r="J197" i="5" a="1"/>
  <c r="J197" i="5" s="1"/>
  <c r="J198" i="5" a="1"/>
  <c r="J198" i="5" s="1"/>
  <c r="J199" i="5" a="1"/>
  <c r="J199" i="5" s="1"/>
  <c r="J200" i="5" a="1"/>
  <c r="J200" i="5" s="1"/>
  <c r="J201" i="5" a="1"/>
  <c r="J201" i="5" s="1"/>
  <c r="J202" i="5" a="1"/>
  <c r="J202" i="5" s="1"/>
  <c r="J203" i="5" a="1"/>
  <c r="J203" i="5" s="1"/>
  <c r="J204" i="5" a="1"/>
  <c r="J204" i="5" s="1"/>
  <c r="J205" i="5" a="1"/>
  <c r="J205" i="5" s="1"/>
  <c r="J206" i="5" a="1"/>
  <c r="J206" i="5" s="1"/>
  <c r="J207" i="5" a="1"/>
  <c r="J207" i="5" s="1"/>
  <c r="J208" i="5" a="1"/>
  <c r="J208" i="5" s="1"/>
  <c r="J209" i="5" a="1"/>
  <c r="J209" i="5" s="1"/>
  <c r="J210" i="5" a="1"/>
  <c r="J210" i="5" s="1"/>
  <c r="J211" i="5" a="1"/>
  <c r="J211" i="5" s="1"/>
  <c r="J212" i="5" a="1"/>
  <c r="J212" i="5" s="1"/>
  <c r="J213" i="5" a="1"/>
  <c r="J213" i="5" s="1"/>
  <c r="J214" i="5" a="1"/>
  <c r="J214" i="5" s="1"/>
  <c r="J215" i="5" a="1"/>
  <c r="J215" i="5" s="1"/>
  <c r="J216" i="5" a="1"/>
  <c r="J216" i="5" s="1"/>
  <c r="J217" i="5" a="1"/>
  <c r="J217" i="5" s="1"/>
  <c r="J218" i="5" a="1"/>
  <c r="J218" i="5" s="1"/>
  <c r="J219" i="5" a="1"/>
  <c r="J219" i="5" s="1"/>
  <c r="J220" i="5" a="1"/>
  <c r="J220" i="5" s="1"/>
  <c r="J221" i="5" a="1"/>
  <c r="J221" i="5" s="1"/>
  <c r="J222" i="5" a="1"/>
  <c r="J222" i="5" s="1"/>
  <c r="J223" i="5" a="1"/>
  <c r="J223" i="5" s="1"/>
  <c r="J224" i="5" a="1"/>
  <c r="J224" i="5" s="1"/>
  <c r="J225" i="5" a="1"/>
  <c r="J225" i="5" s="1"/>
  <c r="J226" i="5" a="1"/>
  <c r="J226" i="5" s="1"/>
  <c r="J227" i="5" a="1"/>
  <c r="J227" i="5" s="1"/>
  <c r="J228" i="5" a="1"/>
  <c r="J228" i="5" s="1"/>
  <c r="J229" i="5" a="1"/>
  <c r="J229" i="5" s="1"/>
  <c r="J230" i="5" a="1"/>
  <c r="J230" i="5" s="1"/>
  <c r="J231" i="5" a="1"/>
  <c r="J231" i="5" s="1"/>
  <c r="J232" i="5" a="1"/>
  <c r="J232" i="5" s="1"/>
  <c r="J233" i="5" a="1"/>
  <c r="J233" i="5" s="1"/>
  <c r="J234" i="5" a="1"/>
  <c r="J234" i="5" s="1"/>
  <c r="J235" i="5" a="1"/>
  <c r="J235" i="5" s="1"/>
  <c r="J236" i="5" a="1"/>
  <c r="J236" i="5" s="1"/>
  <c r="J237" i="5" a="1"/>
  <c r="J237" i="5" s="1"/>
  <c r="J238" i="5" a="1"/>
  <c r="J238" i="5" s="1"/>
  <c r="J239" i="5" a="1"/>
  <c r="J239" i="5" s="1"/>
  <c r="J240" i="5" a="1"/>
  <c r="J240" i="5" s="1"/>
  <c r="J241" i="5" a="1"/>
  <c r="J241" i="5" s="1"/>
  <c r="J242" i="5" a="1"/>
  <c r="J242" i="5" s="1"/>
  <c r="J243" i="5" a="1"/>
  <c r="J243" i="5" s="1"/>
  <c r="J244" i="5" a="1"/>
  <c r="J244" i="5" s="1"/>
  <c r="J245" i="5" a="1"/>
  <c r="J245" i="5" s="1"/>
  <c r="J246" i="5" a="1"/>
  <c r="J246" i="5" s="1"/>
  <c r="J247" i="5" a="1"/>
  <c r="J247" i="5" s="1"/>
  <c r="J248" i="5" a="1"/>
  <c r="J248" i="5" s="1"/>
  <c r="J249" i="5" a="1"/>
  <c r="J249" i="5" s="1"/>
  <c r="J250" i="5" a="1"/>
  <c r="J250" i="5" s="1"/>
  <c r="J251" i="5" a="1"/>
  <c r="J251" i="5" s="1"/>
  <c r="J252" i="5" a="1"/>
  <c r="J252" i="5" s="1"/>
  <c r="J253" i="5" a="1"/>
  <c r="J253" i="5" s="1"/>
  <c r="J254" i="5" a="1"/>
  <c r="J254" i="5" s="1"/>
  <c r="J255" i="5" a="1"/>
  <c r="J255" i="5" s="1"/>
  <c r="J256" i="5" a="1"/>
  <c r="J256" i="5" s="1"/>
  <c r="J257" i="5" a="1"/>
  <c r="J257" i="5" s="1"/>
  <c r="J258" i="5" a="1"/>
  <c r="J258" i="5" s="1"/>
  <c r="J259" i="5" a="1"/>
  <c r="J259" i="5" s="1"/>
  <c r="J260" i="5" a="1"/>
  <c r="J260" i="5" s="1"/>
  <c r="J261" i="5" a="1"/>
  <c r="J261" i="5" s="1"/>
  <c r="J262" i="5" a="1"/>
  <c r="J262" i="5" s="1"/>
  <c r="J263" i="5" a="1"/>
  <c r="J263" i="5" s="1"/>
  <c r="J264" i="5" a="1"/>
  <c r="J264" i="5" s="1"/>
  <c r="J265" i="5" a="1"/>
  <c r="J265" i="5" s="1"/>
  <c r="J266" i="5" a="1"/>
  <c r="J266" i="5" s="1"/>
  <c r="J267" i="5" a="1"/>
  <c r="J267" i="5" s="1"/>
  <c r="J268" i="5" a="1"/>
  <c r="J268" i="5" s="1"/>
  <c r="J269" i="5" a="1"/>
  <c r="J269" i="5" s="1"/>
  <c r="J270" i="5" a="1"/>
  <c r="J270" i="5" s="1"/>
  <c r="J271" i="5" a="1"/>
  <c r="J271" i="5" s="1"/>
  <c r="J272" i="5" a="1"/>
  <c r="J272" i="5" s="1"/>
  <c r="J273" i="5" a="1"/>
  <c r="J273" i="5" s="1"/>
  <c r="J274" i="5" a="1"/>
  <c r="J274" i="5" s="1"/>
  <c r="J275" i="5" a="1"/>
  <c r="J275" i="5" s="1"/>
  <c r="J276" i="5" a="1"/>
  <c r="J276" i="5" s="1"/>
  <c r="J277" i="5" a="1"/>
  <c r="J277" i="5" s="1"/>
  <c r="J278" i="5" a="1"/>
  <c r="J278" i="5" s="1"/>
  <c r="J279" i="5" a="1"/>
  <c r="J279" i="5" s="1"/>
  <c r="J280" i="5" a="1"/>
  <c r="J280" i="5" s="1"/>
  <c r="J281" i="5" a="1"/>
  <c r="J281" i="5" s="1"/>
  <c r="J282" i="5" a="1"/>
  <c r="J282" i="5" s="1"/>
  <c r="J283" i="5" a="1"/>
  <c r="J283" i="5" s="1"/>
  <c r="J284" i="5" a="1"/>
  <c r="J284" i="5" s="1"/>
  <c r="J285" i="5" a="1"/>
  <c r="J285" i="5" s="1"/>
  <c r="J286" i="5" a="1"/>
  <c r="J286" i="5" s="1"/>
  <c r="J287" i="5" a="1"/>
  <c r="J287" i="5" s="1"/>
  <c r="J288" i="5" a="1"/>
  <c r="J288" i="5" s="1"/>
  <c r="J289" i="5" a="1"/>
  <c r="J289" i="5" s="1"/>
  <c r="J290" i="5" a="1"/>
  <c r="J290" i="5" s="1"/>
  <c r="J291" i="5" a="1"/>
  <c r="J291" i="5" s="1"/>
  <c r="J292" i="5" a="1"/>
  <c r="J292" i="5" s="1"/>
  <c r="J293" i="5" a="1"/>
  <c r="J293" i="5" s="1"/>
  <c r="J294" i="5" a="1"/>
  <c r="J294" i="5" s="1"/>
  <c r="J295" i="5" a="1"/>
  <c r="J295" i="5" s="1"/>
  <c r="J296" i="5" a="1"/>
  <c r="J296" i="5" s="1"/>
  <c r="J297" i="5" a="1"/>
  <c r="J297" i="5" s="1"/>
  <c r="J298" i="5" a="1"/>
  <c r="J298" i="5" s="1"/>
  <c r="J299" i="5" a="1"/>
  <c r="J299" i="5" s="1"/>
  <c r="J300" i="5" a="1"/>
  <c r="J300" i="5" s="1"/>
  <c r="J301" i="5" a="1"/>
  <c r="J301" i="5" s="1"/>
  <c r="J302" i="5" a="1"/>
  <c r="J302" i="5" s="1"/>
  <c r="J303" i="5" a="1"/>
  <c r="J303" i="5" s="1"/>
  <c r="J304" i="5" a="1"/>
  <c r="J304" i="5" s="1"/>
  <c r="J305" i="5" a="1"/>
  <c r="J305" i="5" s="1"/>
  <c r="J306" i="5" a="1"/>
  <c r="J306" i="5" s="1"/>
  <c r="J307" i="5" a="1"/>
  <c r="J307" i="5" s="1"/>
  <c r="J308" i="5" a="1"/>
  <c r="J308" i="5" s="1"/>
  <c r="J309" i="5" a="1"/>
  <c r="J309" i="5" s="1"/>
  <c r="J310" i="5" a="1"/>
  <c r="J310" i="5" s="1"/>
  <c r="J311" i="5" a="1"/>
  <c r="J311" i="5" s="1"/>
  <c r="J312" i="5" a="1"/>
  <c r="J312" i="5" s="1"/>
  <c r="J313" i="5" a="1"/>
  <c r="J313" i="5" s="1"/>
  <c r="J314" i="5" a="1"/>
  <c r="J314" i="5" s="1"/>
  <c r="J315" i="5" a="1"/>
  <c r="J315" i="5" s="1"/>
  <c r="J316" i="5" a="1"/>
  <c r="J316" i="5" s="1"/>
  <c r="J317" i="5" a="1"/>
  <c r="J317" i="5" s="1"/>
  <c r="J318" i="5" a="1"/>
  <c r="J318" i="5" s="1"/>
  <c r="J319" i="5" a="1"/>
  <c r="J319" i="5" s="1"/>
  <c r="J320" i="5" a="1"/>
  <c r="J320" i="5" s="1"/>
  <c r="J321" i="5" a="1"/>
  <c r="J321" i="5" s="1"/>
  <c r="J322" i="5" a="1"/>
  <c r="J322" i="5" s="1"/>
  <c r="J323" i="5" a="1"/>
  <c r="J323" i="5" s="1"/>
  <c r="J324" i="5" a="1"/>
  <c r="J324" i="5" s="1"/>
  <c r="J325" i="5" a="1"/>
  <c r="J325" i="5" s="1"/>
  <c r="J326" i="5" a="1"/>
  <c r="J326" i="5" s="1"/>
  <c r="J327" i="5" a="1"/>
  <c r="J327" i="5" s="1"/>
  <c r="J328" i="5" a="1"/>
  <c r="J328" i="5" s="1"/>
  <c r="J329" i="5" a="1"/>
  <c r="J329" i="5" s="1"/>
  <c r="J330" i="5" a="1"/>
  <c r="J330" i="5" s="1"/>
  <c r="J331" i="5" a="1"/>
  <c r="J331" i="5" s="1"/>
  <c r="J332" i="5" a="1"/>
  <c r="J332" i="5" s="1"/>
  <c r="J333" i="5" a="1"/>
  <c r="J333" i="5" s="1"/>
  <c r="J334" i="5" a="1"/>
  <c r="J334" i="5" s="1"/>
  <c r="J335" i="5" a="1"/>
  <c r="J335" i="5" s="1"/>
  <c r="J336" i="5" a="1"/>
  <c r="J336" i="5" s="1"/>
  <c r="J337" i="5" a="1"/>
  <c r="J337" i="5" s="1"/>
  <c r="J338" i="5" a="1"/>
  <c r="J338" i="5" s="1"/>
  <c r="J339" i="5" a="1"/>
  <c r="J339" i="5" s="1"/>
  <c r="J340" i="5" a="1"/>
  <c r="J340" i="5" s="1"/>
  <c r="J341" i="5" a="1"/>
  <c r="J341" i="5" s="1"/>
  <c r="J342" i="5" a="1"/>
  <c r="J342" i="5" s="1"/>
  <c r="J343" i="5" a="1"/>
  <c r="J343" i="5" s="1"/>
  <c r="J344" i="5" a="1"/>
  <c r="J344" i="5" s="1"/>
  <c r="J345" i="5" a="1"/>
  <c r="J345" i="5" s="1"/>
  <c r="J346" i="5" a="1"/>
  <c r="J346" i="5" s="1"/>
  <c r="J347" i="5" a="1"/>
  <c r="J347" i="5" s="1"/>
  <c r="J348" i="5" a="1"/>
  <c r="J348" i="5" s="1"/>
  <c r="J349" i="5" a="1"/>
  <c r="J349" i="5" s="1"/>
  <c r="J350" i="5" a="1"/>
  <c r="J350" i="5" s="1"/>
  <c r="J351" i="5" a="1"/>
  <c r="J351" i="5" s="1"/>
  <c r="J352" i="5" a="1"/>
  <c r="J352" i="5" s="1"/>
  <c r="J353" i="5" a="1"/>
  <c r="J353" i="5" s="1"/>
  <c r="J354" i="5" a="1"/>
  <c r="J354" i="5" s="1"/>
  <c r="J355" i="5" a="1"/>
  <c r="J355" i="5" s="1"/>
  <c r="J356" i="5" a="1"/>
  <c r="J356" i="5" s="1"/>
  <c r="J357" i="5" a="1"/>
  <c r="J357" i="5" s="1"/>
  <c r="J358" i="5" a="1"/>
  <c r="J358" i="5" s="1"/>
  <c r="J359" i="5" a="1"/>
  <c r="J359" i="5" s="1"/>
  <c r="J360" i="5" a="1"/>
  <c r="J360" i="5" s="1"/>
  <c r="J361" i="5" a="1"/>
  <c r="J361" i="5" s="1"/>
  <c r="J362" i="5" a="1"/>
  <c r="J362" i="5" s="1"/>
  <c r="J363" i="5" a="1"/>
  <c r="J363" i="5" s="1"/>
  <c r="J364" i="5" a="1"/>
  <c r="J364" i="5" s="1"/>
  <c r="J365" i="5" a="1"/>
  <c r="J365" i="5" s="1"/>
  <c r="J366" i="5" a="1"/>
  <c r="J366" i="5" s="1"/>
  <c r="J367" i="5" a="1"/>
  <c r="J367" i="5" s="1"/>
  <c r="J368" i="5" a="1"/>
  <c r="J368" i="5" s="1"/>
  <c r="J369" i="5" a="1"/>
  <c r="J369" i="5" s="1"/>
  <c r="J370" i="5" a="1"/>
  <c r="J370" i="5" s="1"/>
  <c r="J371" i="5" a="1"/>
  <c r="J371" i="5" s="1"/>
  <c r="J372" i="5" a="1"/>
  <c r="J372" i="5" s="1"/>
  <c r="J373" i="5" a="1"/>
  <c r="J373" i="5" s="1"/>
  <c r="J374" i="5" a="1"/>
  <c r="J374" i="5" s="1"/>
  <c r="J375" i="5" a="1"/>
  <c r="J375" i="5" s="1"/>
  <c r="J376" i="5" a="1"/>
  <c r="J376" i="5" s="1"/>
  <c r="J377" i="5" a="1"/>
  <c r="J377" i="5" s="1"/>
  <c r="J378" i="5" a="1"/>
  <c r="J378" i="5" s="1"/>
  <c r="J379" i="5" a="1"/>
  <c r="J379" i="5" s="1"/>
  <c r="J380" i="5" a="1"/>
  <c r="J380" i="5" s="1"/>
  <c r="J381" i="5" a="1"/>
  <c r="J381" i="5" s="1"/>
  <c r="J382" i="5" a="1"/>
  <c r="J382" i="5" s="1"/>
  <c r="J383" i="5" a="1"/>
  <c r="J383" i="5" s="1"/>
  <c r="J384" i="5" a="1"/>
  <c r="J384" i="5" s="1"/>
  <c r="J385" i="5" a="1"/>
  <c r="J385" i="5" s="1"/>
  <c r="J386" i="5" a="1"/>
  <c r="J386" i="5" s="1"/>
  <c r="J387" i="5" a="1"/>
  <c r="J387" i="5" s="1"/>
  <c r="J388" i="5" a="1"/>
  <c r="J388" i="5" s="1"/>
  <c r="J389" i="5" a="1"/>
  <c r="J389" i="5" s="1"/>
  <c r="J390" i="5" a="1"/>
  <c r="J390" i="5" s="1"/>
  <c r="J391" i="5" a="1"/>
  <c r="J391" i="5" s="1"/>
  <c r="J392" i="5" a="1"/>
  <c r="J392" i="5" s="1"/>
  <c r="J393" i="5" a="1"/>
  <c r="J393" i="5" s="1"/>
  <c r="J394" i="5" a="1"/>
  <c r="J394" i="5" s="1"/>
  <c r="J395" i="5" a="1"/>
  <c r="J395" i="5" s="1"/>
  <c r="J396" i="5" a="1"/>
  <c r="J396" i="5" s="1"/>
  <c r="J397" i="5" a="1"/>
  <c r="J397" i="5" s="1"/>
  <c r="J398" i="5" a="1"/>
  <c r="J398" i="5" s="1"/>
  <c r="J399" i="5" a="1"/>
  <c r="J399" i="5" s="1"/>
  <c r="J400" i="5" a="1"/>
  <c r="J400" i="5" s="1"/>
  <c r="N2" i="5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N41" i="5"/>
  <c r="N42" i="5"/>
  <c r="N43" i="5"/>
  <c r="N44" i="5"/>
  <c r="N45" i="5"/>
  <c r="N46" i="5"/>
  <c r="N47" i="5"/>
  <c r="N48" i="5"/>
  <c r="N49" i="5"/>
  <c r="N50" i="5"/>
  <c r="N51" i="5"/>
  <c r="N52" i="5"/>
  <c r="N53" i="5"/>
  <c r="N54" i="5"/>
  <c r="N55" i="5"/>
  <c r="N56" i="5"/>
  <c r="N57" i="5"/>
  <c r="N58" i="5"/>
  <c r="N59" i="5"/>
  <c r="N60" i="5"/>
  <c r="N61" i="5"/>
  <c r="N62" i="5"/>
  <c r="N63" i="5"/>
  <c r="N64" i="5"/>
  <c r="N65" i="5"/>
  <c r="N66" i="5"/>
  <c r="N67" i="5"/>
  <c r="N68" i="5"/>
  <c r="N69" i="5"/>
  <c r="N70" i="5"/>
  <c r="N71" i="5"/>
  <c r="N72" i="5"/>
  <c r="N73" i="5"/>
  <c r="N74" i="5"/>
  <c r="N75" i="5"/>
  <c r="N76" i="5"/>
  <c r="N77" i="5"/>
  <c r="N78" i="5"/>
  <c r="N79" i="5"/>
  <c r="N80" i="5"/>
  <c r="N81" i="5"/>
  <c r="N82" i="5"/>
  <c r="N83" i="5"/>
  <c r="N84" i="5"/>
  <c r="N85" i="5"/>
  <c r="N86" i="5"/>
  <c r="N87" i="5"/>
  <c r="N88" i="5"/>
  <c r="N89" i="5"/>
  <c r="N90" i="5"/>
  <c r="N91" i="5"/>
  <c r="N92" i="5"/>
  <c r="N93" i="5"/>
  <c r="N94" i="5"/>
  <c r="N95" i="5"/>
  <c r="N96" i="5"/>
  <c r="N97" i="5"/>
  <c r="N98" i="5"/>
  <c r="N99" i="5"/>
  <c r="N100" i="5"/>
  <c r="N101" i="5"/>
  <c r="N102" i="5"/>
  <c r="N103" i="5"/>
  <c r="N104" i="5"/>
  <c r="N105" i="5"/>
  <c r="N106" i="5"/>
  <c r="N107" i="5"/>
  <c r="N108" i="5"/>
  <c r="N109" i="5"/>
  <c r="N110" i="5"/>
  <c r="N111" i="5"/>
  <c r="N112" i="5"/>
  <c r="N113" i="5"/>
  <c r="N114" i="5"/>
  <c r="N115" i="5"/>
  <c r="N116" i="5"/>
  <c r="N117" i="5"/>
  <c r="N118" i="5"/>
  <c r="N119" i="5"/>
  <c r="N120" i="5"/>
  <c r="N121" i="5"/>
  <c r="N122" i="5"/>
  <c r="N123" i="5"/>
  <c r="N124" i="5"/>
  <c r="N125" i="5"/>
  <c r="N126" i="5"/>
  <c r="N127" i="5"/>
  <c r="N128" i="5"/>
  <c r="N129" i="5"/>
  <c r="N130" i="5"/>
  <c r="N131" i="5"/>
  <c r="N132" i="5"/>
  <c r="N133" i="5"/>
  <c r="N134" i="5"/>
  <c r="N135" i="5"/>
  <c r="N136" i="5"/>
  <c r="N137" i="5"/>
  <c r="N138" i="5"/>
  <c r="N139" i="5"/>
  <c r="N140" i="5"/>
  <c r="N141" i="5"/>
  <c r="N142" i="5"/>
  <c r="N143" i="5"/>
  <c r="N144" i="5"/>
  <c r="N145" i="5"/>
  <c r="N146" i="5"/>
  <c r="N147" i="5"/>
  <c r="N148" i="5"/>
  <c r="N149" i="5"/>
  <c r="N150" i="5"/>
  <c r="N151" i="5"/>
  <c r="N152" i="5"/>
  <c r="N153" i="5"/>
  <c r="N154" i="5"/>
  <c r="N155" i="5"/>
  <c r="N156" i="5"/>
  <c r="N157" i="5"/>
  <c r="N158" i="5"/>
  <c r="N159" i="5"/>
  <c r="N160" i="5"/>
  <c r="N161" i="5"/>
  <c r="N162" i="5"/>
  <c r="N163" i="5"/>
  <c r="N164" i="5"/>
  <c r="N165" i="5"/>
  <c r="N166" i="5"/>
  <c r="N167" i="5"/>
  <c r="N168" i="5"/>
  <c r="N169" i="5"/>
  <c r="N170" i="5"/>
  <c r="N171" i="5"/>
  <c r="N172" i="5"/>
  <c r="N173" i="5"/>
  <c r="N174" i="5"/>
  <c r="N175" i="5"/>
  <c r="N176" i="5"/>
  <c r="N177" i="5"/>
  <c r="N178" i="5"/>
  <c r="N179" i="5"/>
  <c r="N180" i="5"/>
  <c r="N181" i="5"/>
  <c r="N182" i="5"/>
  <c r="N183" i="5"/>
  <c r="N184" i="5"/>
  <c r="N185" i="5"/>
  <c r="N186" i="5"/>
  <c r="N187" i="5"/>
  <c r="N188" i="5"/>
  <c r="N189" i="5"/>
  <c r="N190" i="5"/>
  <c r="N191" i="5"/>
  <c r="N192" i="5"/>
  <c r="N193" i="5"/>
  <c r="N194" i="5"/>
  <c r="N195" i="5"/>
  <c r="N196" i="5"/>
  <c r="N197" i="5"/>
  <c r="N198" i="5"/>
  <c r="N199" i="5"/>
  <c r="N200" i="5"/>
  <c r="N201" i="5"/>
  <c r="N202" i="5"/>
  <c r="N203" i="5"/>
  <c r="N204" i="5"/>
  <c r="N205" i="5"/>
  <c r="N206" i="5"/>
  <c r="N207" i="5"/>
  <c r="N208" i="5"/>
  <c r="N209" i="5"/>
  <c r="N210" i="5"/>
  <c r="N211" i="5"/>
  <c r="N212" i="5"/>
  <c r="N213" i="5"/>
  <c r="N214" i="5"/>
  <c r="N215" i="5"/>
  <c r="N216" i="5"/>
  <c r="N217" i="5"/>
  <c r="N218" i="5"/>
  <c r="N219" i="5"/>
  <c r="N220" i="5"/>
  <c r="N221" i="5"/>
  <c r="N222" i="5"/>
  <c r="N223" i="5"/>
  <c r="N224" i="5"/>
  <c r="N225" i="5"/>
  <c r="N226" i="5"/>
  <c r="N227" i="5"/>
  <c r="N228" i="5"/>
  <c r="N229" i="5"/>
  <c r="N230" i="5"/>
  <c r="N231" i="5"/>
  <c r="N232" i="5"/>
  <c r="N233" i="5"/>
  <c r="N234" i="5"/>
  <c r="N235" i="5"/>
  <c r="N236" i="5"/>
  <c r="N237" i="5"/>
  <c r="N238" i="5"/>
  <c r="N239" i="5"/>
  <c r="N240" i="5"/>
  <c r="N241" i="5"/>
  <c r="N242" i="5"/>
  <c r="N243" i="5"/>
  <c r="N244" i="5"/>
  <c r="N245" i="5"/>
  <c r="N246" i="5"/>
  <c r="N247" i="5"/>
  <c r="N248" i="5"/>
  <c r="N249" i="5"/>
  <c r="N250" i="5"/>
  <c r="N251" i="5"/>
  <c r="N252" i="5"/>
  <c r="N253" i="5"/>
  <c r="N254" i="5"/>
  <c r="N255" i="5"/>
  <c r="N256" i="5"/>
  <c r="N257" i="5"/>
  <c r="N258" i="5"/>
  <c r="N259" i="5"/>
  <c r="N260" i="5"/>
  <c r="N261" i="5"/>
  <c r="N262" i="5"/>
  <c r="N263" i="5"/>
  <c r="N264" i="5"/>
  <c r="N265" i="5"/>
  <c r="N266" i="5"/>
  <c r="N267" i="5"/>
  <c r="N268" i="5"/>
  <c r="N269" i="5"/>
  <c r="N270" i="5"/>
  <c r="N271" i="5"/>
  <c r="N272" i="5"/>
  <c r="N273" i="5"/>
  <c r="N274" i="5"/>
  <c r="N275" i="5"/>
  <c r="N276" i="5"/>
  <c r="N277" i="5"/>
  <c r="N278" i="5"/>
  <c r="N279" i="5"/>
  <c r="N280" i="5"/>
  <c r="N281" i="5"/>
  <c r="N282" i="5"/>
  <c r="N283" i="5"/>
  <c r="N284" i="5"/>
  <c r="N285" i="5"/>
  <c r="N286" i="5"/>
  <c r="N287" i="5"/>
  <c r="N288" i="5"/>
  <c r="N289" i="5"/>
  <c r="N290" i="5"/>
  <c r="N291" i="5"/>
  <c r="N292" i="5"/>
  <c r="N293" i="5"/>
  <c r="N294" i="5"/>
  <c r="N295" i="5"/>
  <c r="N296" i="5"/>
  <c r="N297" i="5"/>
  <c r="N298" i="5"/>
  <c r="N299" i="5"/>
  <c r="N300" i="5"/>
  <c r="N301" i="5"/>
  <c r="N302" i="5"/>
  <c r="N303" i="5"/>
  <c r="N304" i="5"/>
  <c r="N305" i="5"/>
  <c r="N306" i="5"/>
  <c r="N307" i="5"/>
  <c r="N308" i="5"/>
  <c r="N309" i="5"/>
  <c r="N310" i="5"/>
  <c r="N311" i="5"/>
  <c r="N312" i="5"/>
  <c r="N313" i="5"/>
  <c r="N314" i="5"/>
  <c r="N315" i="5"/>
  <c r="N316" i="5"/>
  <c r="N317" i="5"/>
  <c r="N318" i="5"/>
  <c r="N319" i="5"/>
  <c r="N320" i="5"/>
  <c r="N321" i="5"/>
  <c r="N322" i="5"/>
  <c r="N323" i="5"/>
  <c r="N324" i="5"/>
  <c r="N325" i="5"/>
  <c r="N326" i="5"/>
  <c r="N327" i="5"/>
  <c r="N328" i="5"/>
  <c r="N329" i="5"/>
  <c r="N330" i="5"/>
  <c r="N331" i="5"/>
  <c r="N332" i="5"/>
  <c r="N333" i="5"/>
  <c r="N334" i="5"/>
  <c r="N335" i="5"/>
  <c r="N336" i="5"/>
  <c r="N337" i="5"/>
  <c r="N338" i="5"/>
  <c r="N339" i="5"/>
  <c r="N340" i="5"/>
  <c r="N341" i="5"/>
  <c r="N342" i="5"/>
  <c r="N343" i="5"/>
  <c r="N344" i="5"/>
  <c r="N345" i="5"/>
  <c r="N346" i="5"/>
  <c r="N347" i="5"/>
  <c r="N348" i="5"/>
  <c r="N349" i="5"/>
  <c r="N350" i="5"/>
  <c r="N351" i="5"/>
  <c r="N352" i="5"/>
  <c r="N353" i="5"/>
  <c r="N354" i="5"/>
  <c r="N355" i="5"/>
  <c r="N356" i="5"/>
  <c r="N357" i="5"/>
  <c r="N358" i="5"/>
  <c r="N359" i="5"/>
  <c r="N360" i="5"/>
  <c r="N361" i="5"/>
  <c r="N362" i="5"/>
  <c r="N363" i="5"/>
  <c r="N364" i="5"/>
  <c r="N365" i="5"/>
  <c r="N366" i="5"/>
  <c r="N367" i="5"/>
  <c r="N368" i="5"/>
  <c r="N369" i="5"/>
  <c r="N370" i="5"/>
  <c r="N371" i="5"/>
  <c r="N372" i="5"/>
  <c r="N373" i="5"/>
  <c r="N374" i="5"/>
  <c r="N375" i="5"/>
  <c r="N376" i="5"/>
  <c r="N377" i="5"/>
  <c r="N378" i="5"/>
  <c r="N379" i="5"/>
  <c r="N380" i="5"/>
  <c r="N381" i="5"/>
  <c r="N382" i="5"/>
  <c r="N383" i="5"/>
  <c r="N384" i="5"/>
  <c r="N385" i="5"/>
  <c r="N386" i="5"/>
  <c r="N387" i="5"/>
  <c r="N388" i="5"/>
  <c r="N389" i="5"/>
  <c r="N390" i="5"/>
  <c r="N391" i="5"/>
  <c r="N392" i="5"/>
  <c r="N393" i="5"/>
  <c r="N394" i="5"/>
  <c r="N395" i="5"/>
  <c r="N396" i="5"/>
  <c r="N397" i="5"/>
  <c r="N398" i="5"/>
  <c r="N399" i="5"/>
  <c r="N400" i="5"/>
  <c r="D34" i="1"/>
  <c r="D35" i="1"/>
  <c r="D36" i="1"/>
  <c r="D37" i="1"/>
  <c r="D38" i="1"/>
  <c r="B38" i="1"/>
  <c r="E38" i="1" s="1"/>
  <c r="B37" i="1"/>
  <c r="E37" i="1" s="1"/>
  <c r="B36" i="1"/>
  <c r="E36" i="1" s="1"/>
  <c r="B35" i="1"/>
  <c r="E35" i="1" s="1"/>
  <c r="B34" i="1"/>
  <c r="E34" i="1" s="1"/>
  <c r="C29" i="1"/>
  <c r="A24" i="1" a="1"/>
  <c r="A24" i="1" s="1"/>
  <c r="C24" i="1" s="1"/>
  <c r="W15" i="1"/>
  <c r="Y15" i="1" s="1"/>
  <c r="Z15" i="1" s="1"/>
  <c r="W14" i="1"/>
  <c r="Y14" i="1" s="1"/>
  <c r="Z14" i="1" s="1"/>
  <c r="W13" i="1"/>
  <c r="Y13" i="1" s="1"/>
  <c r="Z13" i="1" s="1"/>
  <c r="Q1" i="1"/>
  <c r="J1" i="1"/>
  <c r="W12" i="1"/>
  <c r="Y12" i="1" s="1"/>
  <c r="Z12" i="1" s="1"/>
  <c r="W11" i="1"/>
  <c r="Y11" i="1" s="1"/>
  <c r="Z11" i="1" s="1"/>
  <c r="X6" i="1"/>
  <c r="P11" i="1"/>
  <c r="O1" i="1" s="1" a="1"/>
  <c r="O1" i="1" s="1"/>
  <c r="Q6" i="1"/>
  <c r="I20" i="1"/>
  <c r="K20" i="1" s="1"/>
  <c r="L20" i="1" s="1"/>
  <c r="I19" i="1"/>
  <c r="K19" i="1" s="1"/>
  <c r="L19" i="1" s="1"/>
  <c r="I18" i="1"/>
  <c r="K18" i="1" s="1"/>
  <c r="L18" i="1" s="1"/>
  <c r="I17" i="1"/>
  <c r="K17" i="1" s="1"/>
  <c r="L17" i="1" s="1"/>
  <c r="C6" i="1"/>
  <c r="J6" i="1"/>
  <c r="I16" i="1"/>
  <c r="K16" i="1" s="1"/>
  <c r="L16" i="1" s="1"/>
  <c r="I15" i="1"/>
  <c r="K15" i="1" s="1"/>
  <c r="L15" i="1" s="1"/>
  <c r="B15" i="1"/>
  <c r="D15" i="1" s="1"/>
  <c r="E15" i="1" s="1"/>
  <c r="I14" i="1"/>
  <c r="K14" i="1" s="1"/>
  <c r="L14" i="1" s="1"/>
  <c r="I13" i="1"/>
  <c r="K13" i="1" s="1"/>
  <c r="L13" i="1" s="1"/>
  <c r="I12" i="1"/>
  <c r="K12" i="1" s="1"/>
  <c r="L12" i="1" s="1"/>
  <c r="I11" i="1"/>
  <c r="K11" i="1" s="1"/>
  <c r="L11" i="1" s="1"/>
  <c r="B14" i="1"/>
  <c r="D14" i="1" s="1"/>
  <c r="E14" i="1" s="1"/>
  <c r="B11" i="1"/>
  <c r="B12" i="1"/>
  <c r="B13" i="1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248" i="3"/>
  <c r="M249" i="3"/>
  <c r="M250" i="3"/>
  <c r="M251" i="3"/>
  <c r="M252" i="3"/>
  <c r="M253" i="3"/>
  <c r="M254" i="3"/>
  <c r="M255" i="3"/>
  <c r="M256" i="3"/>
  <c r="M257" i="3"/>
  <c r="M258" i="3"/>
  <c r="M259" i="3"/>
  <c r="M260" i="3"/>
  <c r="M261" i="3"/>
  <c r="M262" i="3"/>
  <c r="M263" i="3"/>
  <c r="M264" i="3"/>
  <c r="M265" i="3"/>
  <c r="M266" i="3"/>
  <c r="M267" i="3"/>
  <c r="M268" i="3"/>
  <c r="M269" i="3"/>
  <c r="M270" i="3"/>
  <c r="M271" i="3"/>
  <c r="M272" i="3"/>
  <c r="M273" i="3"/>
  <c r="M274" i="3"/>
  <c r="M275" i="3"/>
  <c r="M276" i="3"/>
  <c r="M277" i="3"/>
  <c r="M278" i="3"/>
  <c r="M279" i="3"/>
  <c r="M280" i="3"/>
  <c r="M281" i="3"/>
  <c r="M282" i="3"/>
  <c r="M283" i="3"/>
  <c r="M284" i="3"/>
  <c r="M285" i="3"/>
  <c r="M286" i="3"/>
  <c r="M287" i="3"/>
  <c r="M288" i="3"/>
  <c r="M289" i="3"/>
  <c r="M290" i="3"/>
  <c r="M291" i="3"/>
  <c r="M292" i="3"/>
  <c r="M293" i="3"/>
  <c r="M294" i="3"/>
  <c r="M295" i="3"/>
  <c r="M296" i="3"/>
  <c r="M297" i="3"/>
  <c r="M298" i="3"/>
  <c r="M299" i="3"/>
  <c r="M300" i="3"/>
  <c r="M301" i="3"/>
  <c r="M302" i="3"/>
  <c r="M303" i="3"/>
  <c r="M304" i="3"/>
  <c r="M305" i="3"/>
  <c r="M306" i="3"/>
  <c r="M307" i="3"/>
  <c r="M308" i="3"/>
  <c r="M309" i="3"/>
  <c r="M310" i="3"/>
  <c r="M311" i="3"/>
  <c r="M312" i="3"/>
  <c r="M313" i="3"/>
  <c r="M314" i="3"/>
  <c r="M315" i="3"/>
  <c r="M316" i="3"/>
  <c r="M317" i="3"/>
  <c r="M318" i="3"/>
  <c r="M319" i="3"/>
  <c r="M320" i="3"/>
  <c r="M321" i="3"/>
  <c r="M322" i="3"/>
  <c r="M323" i="3"/>
  <c r="M324" i="3"/>
  <c r="M325" i="3"/>
  <c r="M326" i="3"/>
  <c r="M327" i="3"/>
  <c r="M328" i="3"/>
  <c r="M329" i="3"/>
  <c r="M330" i="3"/>
  <c r="M331" i="3"/>
  <c r="M332" i="3"/>
  <c r="M333" i="3"/>
  <c r="M334" i="3"/>
  <c r="M335" i="3"/>
  <c r="M336" i="3"/>
  <c r="M337" i="3"/>
  <c r="M338" i="3"/>
  <c r="M339" i="3"/>
  <c r="M340" i="3"/>
  <c r="M341" i="3"/>
  <c r="M342" i="3"/>
  <c r="M343" i="3"/>
  <c r="M344" i="3"/>
  <c r="M345" i="3"/>
  <c r="M346" i="3"/>
  <c r="M347" i="3"/>
  <c r="M348" i="3"/>
  <c r="M349" i="3"/>
  <c r="M350" i="3"/>
  <c r="M351" i="3"/>
  <c r="M352" i="3"/>
  <c r="M353" i="3"/>
  <c r="M354" i="3"/>
  <c r="M355" i="3"/>
  <c r="M356" i="3"/>
  <c r="M357" i="3"/>
  <c r="M358" i="3"/>
  <c r="M359" i="3"/>
  <c r="M360" i="3"/>
  <c r="M361" i="3"/>
  <c r="M362" i="3"/>
  <c r="M363" i="3"/>
  <c r="M364" i="3"/>
  <c r="M365" i="3"/>
  <c r="M366" i="3"/>
  <c r="M367" i="3"/>
  <c r="M368" i="3"/>
  <c r="M369" i="3"/>
  <c r="M370" i="3"/>
  <c r="M371" i="3"/>
  <c r="M372" i="3"/>
  <c r="M373" i="3"/>
  <c r="M374" i="3"/>
  <c r="M375" i="3"/>
  <c r="M376" i="3"/>
  <c r="M377" i="3"/>
  <c r="M378" i="3"/>
  <c r="M379" i="3"/>
  <c r="M380" i="3"/>
  <c r="M381" i="3"/>
  <c r="M382" i="3"/>
  <c r="M383" i="3"/>
  <c r="M384" i="3"/>
  <c r="M385" i="3"/>
  <c r="M386" i="3"/>
  <c r="M387" i="3"/>
  <c r="M388" i="3"/>
  <c r="M389" i="3"/>
  <c r="M390" i="3"/>
  <c r="M391" i="3"/>
  <c r="M392" i="3"/>
  <c r="M393" i="3"/>
  <c r="M394" i="3"/>
  <c r="M395" i="3"/>
  <c r="M396" i="3"/>
  <c r="M397" i="3"/>
  <c r="M398" i="3"/>
  <c r="M399" i="3"/>
  <c r="M400" i="3"/>
  <c r="M401" i="3"/>
  <c r="M402" i="3"/>
  <c r="M403" i="3"/>
  <c r="M404" i="3"/>
  <c r="M405" i="3"/>
  <c r="M406" i="3"/>
  <c r="M407" i="3"/>
  <c r="M408" i="3"/>
  <c r="M409" i="3"/>
  <c r="M410" i="3"/>
  <c r="M411" i="3"/>
  <c r="M412" i="3"/>
  <c r="M413" i="3"/>
  <c r="M414" i="3"/>
  <c r="M415" i="3"/>
  <c r="M416" i="3"/>
  <c r="M417" i="3"/>
  <c r="M418" i="3"/>
  <c r="M419" i="3"/>
  <c r="M420" i="3"/>
  <c r="M421" i="3"/>
  <c r="M422" i="3"/>
  <c r="M423" i="3"/>
  <c r="M424" i="3"/>
  <c r="M425" i="3"/>
  <c r="M426" i="3"/>
  <c r="M427" i="3"/>
  <c r="M428" i="3"/>
  <c r="M429" i="3"/>
  <c r="M430" i="3"/>
  <c r="M431" i="3"/>
  <c r="M432" i="3"/>
  <c r="M433" i="3"/>
  <c r="M434" i="3"/>
  <c r="M435" i="3"/>
  <c r="M436" i="3"/>
  <c r="M437" i="3"/>
  <c r="M438" i="3"/>
  <c r="M439" i="3"/>
  <c r="M440" i="3"/>
  <c r="M441" i="3"/>
  <c r="M442" i="3"/>
  <c r="M443" i="3"/>
  <c r="M444" i="3"/>
  <c r="M445" i="3"/>
  <c r="M446" i="3"/>
  <c r="M447" i="3"/>
  <c r="M448" i="3"/>
  <c r="M449" i="3"/>
  <c r="M450" i="3"/>
  <c r="M451" i="3"/>
  <c r="M452" i="3"/>
  <c r="M453" i="3"/>
  <c r="M454" i="3"/>
  <c r="M455" i="3"/>
  <c r="M456" i="3"/>
  <c r="M457" i="3"/>
  <c r="M458" i="3"/>
  <c r="M459" i="3"/>
  <c r="M460" i="3"/>
  <c r="M461" i="3"/>
  <c r="M462" i="3"/>
  <c r="M463" i="3"/>
  <c r="M464" i="3"/>
  <c r="M465" i="3"/>
  <c r="M466" i="3"/>
  <c r="M467" i="3"/>
  <c r="M468" i="3"/>
  <c r="M469" i="3"/>
  <c r="M470" i="3"/>
  <c r="M471" i="3"/>
  <c r="M472" i="3"/>
  <c r="M473" i="3"/>
  <c r="M474" i="3"/>
  <c r="M475" i="3"/>
  <c r="M476" i="3"/>
  <c r="M477" i="3"/>
  <c r="M478" i="3"/>
  <c r="M479" i="3"/>
  <c r="M480" i="3"/>
  <c r="M481" i="3"/>
  <c r="M482" i="3"/>
  <c r="M483" i="3"/>
  <c r="M484" i="3"/>
  <c r="M485" i="3"/>
  <c r="M486" i="3"/>
  <c r="M487" i="3"/>
  <c r="M488" i="3"/>
  <c r="M489" i="3"/>
  <c r="M490" i="3"/>
  <c r="M491" i="3"/>
  <c r="M492" i="3"/>
  <c r="M493" i="3"/>
  <c r="M494" i="3"/>
  <c r="M495" i="3"/>
  <c r="M496" i="3"/>
  <c r="M497" i="3"/>
  <c r="M498" i="3"/>
  <c r="M499" i="3"/>
  <c r="M500" i="3"/>
  <c r="M501" i="3"/>
  <c r="M502" i="3"/>
  <c r="M503" i="3"/>
  <c r="M504" i="3"/>
  <c r="M505" i="3"/>
  <c r="M506" i="3"/>
  <c r="M507" i="3"/>
  <c r="M508" i="3"/>
  <c r="M509" i="3"/>
  <c r="M510" i="3"/>
  <c r="M511" i="3"/>
  <c r="M512" i="3"/>
  <c r="M513" i="3"/>
  <c r="M514" i="3"/>
  <c r="M515" i="3"/>
  <c r="M516" i="3"/>
  <c r="M517" i="3"/>
  <c r="M518" i="3"/>
  <c r="M519" i="3"/>
  <c r="M520" i="3"/>
  <c r="M521" i="3"/>
  <c r="M522" i="3"/>
  <c r="M523" i="3"/>
  <c r="M524" i="3"/>
  <c r="M525" i="3"/>
  <c r="M526" i="3"/>
  <c r="M527" i="3"/>
  <c r="M528" i="3"/>
  <c r="M529" i="3"/>
  <c r="M530" i="3"/>
  <c r="M531" i="3"/>
  <c r="M532" i="3"/>
  <c r="M533" i="3"/>
  <c r="M534" i="3"/>
  <c r="M535" i="3"/>
  <c r="M536" i="3"/>
  <c r="M537" i="3"/>
  <c r="M538" i="3"/>
  <c r="M539" i="3"/>
  <c r="M540" i="3"/>
  <c r="M541" i="3"/>
  <c r="M542" i="3"/>
  <c r="M543" i="3"/>
  <c r="M544" i="3"/>
  <c r="M545" i="3"/>
  <c r="M546" i="3"/>
  <c r="M547" i="3"/>
  <c r="M548" i="3"/>
  <c r="M549" i="3"/>
  <c r="M550" i="3"/>
  <c r="M551" i="3"/>
  <c r="M552" i="3"/>
  <c r="M553" i="3"/>
  <c r="M554" i="3"/>
  <c r="M555" i="3"/>
  <c r="M556" i="3"/>
  <c r="M557" i="3"/>
  <c r="M558" i="3"/>
  <c r="M559" i="3"/>
  <c r="M560" i="3"/>
  <c r="M561" i="3"/>
  <c r="M562" i="3"/>
  <c r="M563" i="3"/>
  <c r="M564" i="3"/>
  <c r="M565" i="3"/>
  <c r="M566" i="3"/>
  <c r="M567" i="3"/>
  <c r="M568" i="3"/>
  <c r="M569" i="3"/>
  <c r="M570" i="3"/>
  <c r="M571" i="3"/>
  <c r="M572" i="3"/>
  <c r="M573" i="3"/>
  <c r="M574" i="3"/>
  <c r="M575" i="3"/>
  <c r="M576" i="3"/>
  <c r="M577" i="3"/>
  <c r="M578" i="3"/>
  <c r="M579" i="3"/>
  <c r="M580" i="3"/>
  <c r="M581" i="3"/>
  <c r="M582" i="3"/>
  <c r="M583" i="3"/>
  <c r="M584" i="3"/>
  <c r="M585" i="3"/>
  <c r="M586" i="3"/>
  <c r="M587" i="3"/>
  <c r="M588" i="3"/>
  <c r="M589" i="3"/>
  <c r="M590" i="3"/>
  <c r="M591" i="3"/>
  <c r="M592" i="3"/>
  <c r="M593" i="3"/>
  <c r="M594" i="3"/>
  <c r="M595" i="3"/>
  <c r="M596" i="3"/>
  <c r="M597" i="3"/>
  <c r="M598" i="3"/>
  <c r="M599" i="3"/>
  <c r="M600" i="3"/>
  <c r="M601" i="3"/>
  <c r="M602" i="3"/>
  <c r="M603" i="3"/>
  <c r="M604" i="3"/>
  <c r="M605" i="3"/>
  <c r="M606" i="3"/>
  <c r="M607" i="3"/>
  <c r="M608" i="3"/>
  <c r="M609" i="3"/>
  <c r="M610" i="3"/>
  <c r="M611" i="3"/>
  <c r="M612" i="3"/>
  <c r="M613" i="3"/>
  <c r="M614" i="3"/>
  <c r="M615" i="3"/>
  <c r="M616" i="3"/>
  <c r="M617" i="3"/>
  <c r="M618" i="3"/>
  <c r="M619" i="3"/>
  <c r="M620" i="3"/>
  <c r="M621" i="3"/>
  <c r="M622" i="3"/>
  <c r="M623" i="3"/>
  <c r="M624" i="3"/>
  <c r="M625" i="3"/>
  <c r="M626" i="3"/>
  <c r="M627" i="3"/>
  <c r="M628" i="3"/>
  <c r="M629" i="3"/>
  <c r="M630" i="3"/>
  <c r="M631" i="3"/>
  <c r="M632" i="3"/>
  <c r="M633" i="3"/>
  <c r="M634" i="3"/>
  <c r="M635" i="3"/>
  <c r="M636" i="3"/>
  <c r="M637" i="3"/>
  <c r="M638" i="3"/>
  <c r="M639" i="3"/>
  <c r="M640" i="3"/>
  <c r="M641" i="3"/>
  <c r="M642" i="3"/>
  <c r="M643" i="3"/>
  <c r="M644" i="3"/>
  <c r="M645" i="3"/>
  <c r="M646" i="3"/>
  <c r="M647" i="3"/>
  <c r="M648" i="3"/>
  <c r="M649" i="3"/>
  <c r="M650" i="3"/>
  <c r="M651" i="3"/>
  <c r="M652" i="3"/>
  <c r="M653" i="3"/>
  <c r="M654" i="3"/>
  <c r="M655" i="3"/>
  <c r="M656" i="3"/>
  <c r="M657" i="3"/>
  <c r="M658" i="3"/>
  <c r="M659" i="3"/>
  <c r="M660" i="3"/>
  <c r="M661" i="3"/>
  <c r="M662" i="3"/>
  <c r="M663" i="3"/>
  <c r="M664" i="3"/>
  <c r="M665" i="3"/>
  <c r="M666" i="3"/>
  <c r="M667" i="3"/>
  <c r="M668" i="3"/>
  <c r="M669" i="3"/>
  <c r="M670" i="3"/>
  <c r="M671" i="3"/>
  <c r="M672" i="3"/>
  <c r="M673" i="3"/>
  <c r="M674" i="3"/>
  <c r="M675" i="3"/>
  <c r="M676" i="3"/>
  <c r="M677" i="3"/>
  <c r="M678" i="3"/>
  <c r="M679" i="3"/>
  <c r="M680" i="3"/>
  <c r="M681" i="3"/>
  <c r="M682" i="3"/>
  <c r="M683" i="3"/>
  <c r="M684" i="3"/>
  <c r="M685" i="3"/>
  <c r="M686" i="3"/>
  <c r="M687" i="3"/>
  <c r="M688" i="3"/>
  <c r="M689" i="3"/>
  <c r="M690" i="3"/>
  <c r="M691" i="3"/>
  <c r="M692" i="3"/>
  <c r="M693" i="3"/>
  <c r="M694" i="3"/>
  <c r="M695" i="3"/>
  <c r="M696" i="3"/>
  <c r="M697" i="3"/>
  <c r="M698" i="3"/>
  <c r="M699" i="3"/>
  <c r="M700" i="3"/>
  <c r="M701" i="3"/>
  <c r="M702" i="3"/>
  <c r="M703" i="3"/>
  <c r="M704" i="3"/>
  <c r="M705" i="3"/>
  <c r="M706" i="3"/>
  <c r="M707" i="3"/>
  <c r="M708" i="3"/>
  <c r="M709" i="3"/>
  <c r="M710" i="3"/>
  <c r="M711" i="3"/>
  <c r="M712" i="3"/>
  <c r="M713" i="3"/>
  <c r="M714" i="3"/>
  <c r="M715" i="3"/>
  <c r="M716" i="3"/>
  <c r="M717" i="3"/>
  <c r="M718" i="3"/>
  <c r="M719" i="3"/>
  <c r="M720" i="3"/>
  <c r="M721" i="3"/>
  <c r="M722" i="3"/>
  <c r="M723" i="3"/>
  <c r="M724" i="3"/>
  <c r="M725" i="3"/>
  <c r="M726" i="3"/>
  <c r="M727" i="3"/>
  <c r="M728" i="3"/>
  <c r="M729" i="3"/>
  <c r="M730" i="3"/>
  <c r="M731" i="3"/>
  <c r="M732" i="3"/>
  <c r="M733" i="3"/>
  <c r="M734" i="3"/>
  <c r="M735" i="3"/>
  <c r="M736" i="3"/>
  <c r="M737" i="3"/>
  <c r="M738" i="3"/>
  <c r="M739" i="3"/>
  <c r="M740" i="3"/>
  <c r="M741" i="3"/>
  <c r="M742" i="3"/>
  <c r="M743" i="3"/>
  <c r="M744" i="3"/>
  <c r="M745" i="3"/>
  <c r="M746" i="3"/>
  <c r="M747" i="3"/>
  <c r="M748" i="3"/>
  <c r="M749" i="3"/>
  <c r="M750" i="3"/>
  <c r="M751" i="3"/>
  <c r="M752" i="3"/>
  <c r="M753" i="3"/>
  <c r="M754" i="3"/>
  <c r="M755" i="3"/>
  <c r="M756" i="3"/>
  <c r="M757" i="3"/>
  <c r="M758" i="3"/>
  <c r="M759" i="3"/>
  <c r="M760" i="3"/>
  <c r="M761" i="3"/>
  <c r="M762" i="3"/>
  <c r="M763" i="3"/>
  <c r="M764" i="3"/>
  <c r="M765" i="3"/>
  <c r="M766" i="3"/>
  <c r="M767" i="3"/>
  <c r="M768" i="3"/>
  <c r="M769" i="3"/>
  <c r="M770" i="3"/>
  <c r="M771" i="3"/>
  <c r="M772" i="3"/>
  <c r="M773" i="3"/>
  <c r="M774" i="3"/>
  <c r="M775" i="3"/>
  <c r="M776" i="3"/>
  <c r="M777" i="3"/>
  <c r="M778" i="3"/>
  <c r="M779" i="3"/>
  <c r="M780" i="3"/>
  <c r="M781" i="3"/>
  <c r="M782" i="3"/>
  <c r="M783" i="3"/>
  <c r="M784" i="3"/>
  <c r="M785" i="3"/>
  <c r="M786" i="3"/>
  <c r="M787" i="3"/>
  <c r="M788" i="3"/>
  <c r="M789" i="3"/>
  <c r="M790" i="3"/>
  <c r="M791" i="3"/>
  <c r="M792" i="3"/>
  <c r="M793" i="3"/>
  <c r="M794" i="3"/>
  <c r="M795" i="3"/>
  <c r="M796" i="3"/>
  <c r="M797" i="3"/>
  <c r="M798" i="3"/>
  <c r="M799" i="3"/>
  <c r="M800" i="3"/>
  <c r="M801" i="3"/>
  <c r="M802" i="3"/>
  <c r="M803" i="3"/>
  <c r="M804" i="3"/>
  <c r="M805" i="3"/>
  <c r="M806" i="3"/>
  <c r="M807" i="3"/>
  <c r="M808" i="3"/>
  <c r="M809" i="3"/>
  <c r="M810" i="3"/>
  <c r="M811" i="3"/>
  <c r="M812" i="3"/>
  <c r="M813" i="3"/>
  <c r="M814" i="3"/>
  <c r="M815" i="3"/>
  <c r="M816" i="3"/>
  <c r="M817" i="3"/>
  <c r="M818" i="3"/>
  <c r="M819" i="3"/>
  <c r="M820" i="3"/>
  <c r="M821" i="3"/>
  <c r="M822" i="3"/>
  <c r="M823" i="3"/>
  <c r="M824" i="3"/>
  <c r="M825" i="3"/>
  <c r="M826" i="3"/>
  <c r="M827" i="3"/>
  <c r="M828" i="3"/>
  <c r="M829" i="3"/>
  <c r="M830" i="3"/>
  <c r="M831" i="3"/>
  <c r="M832" i="3"/>
  <c r="M833" i="3"/>
  <c r="M834" i="3"/>
  <c r="M835" i="3"/>
  <c r="M836" i="3"/>
  <c r="M837" i="3"/>
  <c r="M838" i="3"/>
  <c r="M839" i="3"/>
  <c r="M840" i="3"/>
  <c r="M841" i="3"/>
  <c r="M842" i="3"/>
  <c r="M843" i="3"/>
  <c r="M844" i="3"/>
  <c r="M845" i="3"/>
  <c r="M846" i="3"/>
  <c r="M847" i="3"/>
  <c r="M848" i="3"/>
  <c r="M849" i="3"/>
  <c r="M850" i="3"/>
  <c r="M851" i="3"/>
  <c r="M852" i="3"/>
  <c r="M853" i="3"/>
  <c r="M854" i="3"/>
  <c r="M855" i="3"/>
  <c r="M856" i="3"/>
  <c r="M857" i="3"/>
  <c r="M858" i="3"/>
  <c r="M859" i="3"/>
  <c r="M860" i="3"/>
  <c r="M861" i="3"/>
  <c r="M862" i="3"/>
  <c r="M863" i="3"/>
  <c r="M864" i="3"/>
  <c r="M865" i="3"/>
  <c r="M866" i="3"/>
  <c r="M867" i="3"/>
  <c r="M868" i="3"/>
  <c r="M869" i="3"/>
  <c r="M870" i="3"/>
  <c r="M871" i="3"/>
  <c r="M872" i="3"/>
  <c r="M873" i="3"/>
  <c r="M874" i="3"/>
  <c r="M875" i="3"/>
  <c r="M876" i="3"/>
  <c r="M877" i="3"/>
  <c r="M878" i="3"/>
  <c r="M879" i="3"/>
  <c r="M880" i="3"/>
  <c r="M881" i="3"/>
  <c r="M882" i="3"/>
  <c r="M883" i="3"/>
  <c r="M884" i="3"/>
  <c r="M885" i="3"/>
  <c r="M886" i="3"/>
  <c r="M887" i="3"/>
  <c r="M888" i="3"/>
  <c r="M889" i="3"/>
  <c r="M890" i="3"/>
  <c r="M891" i="3"/>
  <c r="M892" i="3"/>
  <c r="M893" i="3"/>
  <c r="M894" i="3"/>
  <c r="M895" i="3"/>
  <c r="M896" i="3"/>
  <c r="M897" i="3"/>
  <c r="M898" i="3"/>
  <c r="M899" i="3"/>
  <c r="M900" i="3"/>
  <c r="M901" i="3"/>
  <c r="M902" i="3"/>
  <c r="M903" i="3"/>
  <c r="M904" i="3"/>
  <c r="M905" i="3"/>
  <c r="M906" i="3"/>
  <c r="M907" i="3"/>
  <c r="M908" i="3"/>
  <c r="M909" i="3"/>
  <c r="M910" i="3"/>
  <c r="M911" i="3"/>
  <c r="M912" i="3"/>
  <c r="M913" i="3"/>
  <c r="M914" i="3"/>
  <c r="M915" i="3"/>
  <c r="M916" i="3"/>
  <c r="M917" i="3"/>
  <c r="M918" i="3"/>
  <c r="M919" i="3"/>
  <c r="M920" i="3"/>
  <c r="M921" i="3"/>
  <c r="M922" i="3"/>
  <c r="M923" i="3"/>
  <c r="M924" i="3"/>
  <c r="M925" i="3"/>
  <c r="M926" i="3"/>
  <c r="M927" i="3"/>
  <c r="M928" i="3"/>
  <c r="M929" i="3"/>
  <c r="M930" i="3"/>
  <c r="M931" i="3"/>
  <c r="M932" i="3"/>
  <c r="M933" i="3"/>
  <c r="M934" i="3"/>
  <c r="M935" i="3"/>
  <c r="M936" i="3"/>
  <c r="M937" i="3"/>
  <c r="M938" i="3"/>
  <c r="M939" i="3"/>
  <c r="M940" i="3"/>
  <c r="M941" i="3"/>
  <c r="M942" i="3"/>
  <c r="M943" i="3"/>
  <c r="M944" i="3"/>
  <c r="M945" i="3"/>
  <c r="M946" i="3"/>
  <c r="M947" i="3"/>
  <c r="M948" i="3"/>
  <c r="M949" i="3"/>
  <c r="M950" i="3"/>
  <c r="M951" i="3"/>
  <c r="M952" i="3"/>
  <c r="M953" i="3"/>
  <c r="M954" i="3"/>
  <c r="M955" i="3"/>
  <c r="M956" i="3"/>
  <c r="M957" i="3"/>
  <c r="M958" i="3"/>
  <c r="M959" i="3"/>
  <c r="M960" i="3"/>
  <c r="M961" i="3"/>
  <c r="M962" i="3"/>
  <c r="M963" i="3"/>
  <c r="M964" i="3"/>
  <c r="M965" i="3"/>
  <c r="M966" i="3"/>
  <c r="M967" i="3"/>
  <c r="M968" i="3"/>
  <c r="M969" i="3"/>
  <c r="M970" i="3"/>
  <c r="M971" i="3"/>
  <c r="M972" i="3"/>
  <c r="M973" i="3"/>
  <c r="M974" i="3"/>
  <c r="M975" i="3"/>
  <c r="M976" i="3"/>
  <c r="M977" i="3"/>
  <c r="M978" i="3"/>
  <c r="M979" i="3"/>
  <c r="M980" i="3"/>
  <c r="M981" i="3"/>
  <c r="M982" i="3"/>
  <c r="M983" i="3"/>
  <c r="M984" i="3"/>
  <c r="M985" i="3"/>
  <c r="M986" i="3"/>
  <c r="M987" i="3"/>
  <c r="M988" i="3"/>
  <c r="M989" i="3"/>
  <c r="M990" i="3"/>
  <c r="M991" i="3"/>
  <c r="M992" i="3"/>
  <c r="M993" i="3"/>
  <c r="M994" i="3"/>
  <c r="M995" i="3"/>
  <c r="M996" i="3"/>
  <c r="M997" i="3"/>
  <c r="M998" i="3"/>
  <c r="M999" i="3"/>
  <c r="M1000" i="3"/>
  <c r="M1001" i="3"/>
  <c r="M1002" i="3"/>
  <c r="M1003" i="3"/>
  <c r="M1004" i="3"/>
  <c r="M1005" i="3"/>
  <c r="M1006" i="3"/>
  <c r="M1007" i="3"/>
  <c r="M1008" i="3"/>
  <c r="M1009" i="3"/>
  <c r="M1010" i="3"/>
  <c r="M1011" i="3"/>
  <c r="M1012" i="3"/>
  <c r="M1013" i="3"/>
  <c r="M1014" i="3"/>
  <c r="M1015" i="3"/>
  <c r="M1016" i="3"/>
  <c r="M1017" i="3"/>
  <c r="M1018" i="3"/>
  <c r="M1019" i="3"/>
  <c r="M1020" i="3"/>
  <c r="M1021" i="3"/>
  <c r="M1022" i="3"/>
  <c r="M1023" i="3"/>
  <c r="M1024" i="3"/>
  <c r="M1025" i="3"/>
  <c r="M1026" i="3"/>
  <c r="M1027" i="3"/>
  <c r="M1028" i="3"/>
  <c r="M1029" i="3"/>
  <c r="M1030" i="3"/>
  <c r="M1031" i="3"/>
  <c r="M1032" i="3"/>
  <c r="M1033" i="3"/>
  <c r="M1034" i="3"/>
  <c r="M1035" i="3"/>
  <c r="M1036" i="3"/>
  <c r="M1037" i="3"/>
  <c r="M1038" i="3"/>
  <c r="M1039" i="3"/>
  <c r="M1040" i="3"/>
  <c r="M1041" i="3"/>
  <c r="M1042" i="3"/>
  <c r="M1043" i="3"/>
  <c r="M1044" i="3"/>
  <c r="M1045" i="3"/>
  <c r="M1046" i="3"/>
  <c r="M1047" i="3"/>
  <c r="M1048" i="3"/>
  <c r="M1049" i="3"/>
  <c r="M1050" i="3"/>
  <c r="M1051" i="3"/>
  <c r="M1052" i="3"/>
  <c r="M1053" i="3"/>
  <c r="M1054" i="3"/>
  <c r="M1055" i="3"/>
  <c r="M1056" i="3"/>
  <c r="M1057" i="3"/>
  <c r="M1058" i="3"/>
  <c r="M1059" i="3"/>
  <c r="M1060" i="3"/>
  <c r="M1061" i="3"/>
  <c r="M1062" i="3"/>
  <c r="M1063" i="3"/>
  <c r="M1064" i="3"/>
  <c r="M1065" i="3"/>
  <c r="M1066" i="3"/>
  <c r="M1067" i="3"/>
  <c r="M1068" i="3"/>
  <c r="M1069" i="3"/>
  <c r="M1070" i="3"/>
  <c r="M1071" i="3"/>
  <c r="M1072" i="3"/>
  <c r="M1073" i="3"/>
  <c r="M1074" i="3"/>
  <c r="M1075" i="3"/>
  <c r="M1076" i="3"/>
  <c r="M1077" i="3"/>
  <c r="M1078" i="3"/>
  <c r="M1079" i="3"/>
  <c r="M1080" i="3"/>
  <c r="M1081" i="3"/>
  <c r="M1082" i="3"/>
  <c r="M1083" i="3"/>
  <c r="M1084" i="3"/>
  <c r="M1085" i="3"/>
  <c r="M1086" i="3"/>
  <c r="M1087" i="3"/>
  <c r="M1088" i="3"/>
  <c r="M1089" i="3"/>
  <c r="M1090" i="3"/>
  <c r="M1091" i="3"/>
  <c r="M1092" i="3"/>
  <c r="M1093" i="3"/>
  <c r="M1094" i="3"/>
  <c r="M1095" i="3"/>
  <c r="M1096" i="3"/>
  <c r="M1097" i="3"/>
  <c r="M1098" i="3"/>
  <c r="M1099" i="3"/>
  <c r="M1100" i="3"/>
  <c r="M1101" i="3"/>
  <c r="M1102" i="3"/>
  <c r="M1103" i="3"/>
  <c r="M1104" i="3"/>
  <c r="M1105" i="3"/>
  <c r="M1106" i="3"/>
  <c r="M1107" i="3"/>
  <c r="M1108" i="3"/>
  <c r="M1109" i="3"/>
  <c r="M1110" i="3"/>
  <c r="M1111" i="3"/>
  <c r="M1112" i="3"/>
  <c r="M1113" i="3"/>
  <c r="M1114" i="3"/>
  <c r="M1115" i="3"/>
  <c r="M1116" i="3"/>
  <c r="M1117" i="3"/>
  <c r="M1118" i="3"/>
  <c r="M1119" i="3"/>
  <c r="M1120" i="3"/>
  <c r="M1121" i="3"/>
  <c r="M1122" i="3"/>
  <c r="M1123" i="3"/>
  <c r="M1124" i="3"/>
  <c r="M1125" i="3"/>
  <c r="M1126" i="3"/>
  <c r="M1127" i="3"/>
  <c r="M1128" i="3"/>
  <c r="M1129" i="3"/>
  <c r="M1130" i="3"/>
  <c r="M1131" i="3"/>
  <c r="M1132" i="3"/>
  <c r="M1133" i="3"/>
  <c r="M1134" i="3"/>
  <c r="M1135" i="3"/>
  <c r="M1136" i="3"/>
  <c r="M1137" i="3"/>
  <c r="M1138" i="3"/>
  <c r="M1139" i="3"/>
  <c r="M1140" i="3"/>
  <c r="M1141" i="3"/>
  <c r="M1142" i="3"/>
  <c r="M1143" i="3"/>
  <c r="M1144" i="3"/>
  <c r="M1145" i="3"/>
  <c r="M1146" i="3"/>
  <c r="M1147" i="3"/>
  <c r="M1148" i="3"/>
  <c r="M1149" i="3"/>
  <c r="M1150" i="3"/>
  <c r="M1151" i="3"/>
  <c r="M1152" i="3"/>
  <c r="M1153" i="3"/>
  <c r="M1154" i="3"/>
  <c r="M1155" i="3"/>
  <c r="M1156" i="3"/>
  <c r="M1157" i="3"/>
  <c r="M1158" i="3"/>
  <c r="M1159" i="3"/>
  <c r="M1160" i="3"/>
  <c r="M1161" i="3"/>
  <c r="M1162" i="3"/>
  <c r="M1163" i="3"/>
  <c r="M1164" i="3"/>
  <c r="M1165" i="3"/>
  <c r="M1166" i="3"/>
  <c r="M1167" i="3"/>
  <c r="M1168" i="3"/>
  <c r="M1169" i="3"/>
  <c r="M1170" i="3"/>
  <c r="M1171" i="3"/>
  <c r="M1172" i="3"/>
  <c r="M1173" i="3"/>
  <c r="M1174" i="3"/>
  <c r="M1175" i="3"/>
  <c r="M1176" i="3"/>
  <c r="M1177" i="3"/>
  <c r="M1178" i="3"/>
  <c r="M1179" i="3"/>
  <c r="M1180" i="3"/>
  <c r="M1181" i="3"/>
  <c r="M1182" i="3"/>
  <c r="M1183" i="3"/>
  <c r="M1184" i="3"/>
  <c r="M1185" i="3"/>
  <c r="M1186" i="3"/>
  <c r="M1187" i="3"/>
  <c r="M1188" i="3"/>
  <c r="M1189" i="3"/>
  <c r="M1190" i="3"/>
  <c r="M1191" i="3"/>
  <c r="M1192" i="3"/>
  <c r="M1193" i="3"/>
  <c r="M1194" i="3"/>
  <c r="M1195" i="3"/>
  <c r="M1196" i="3"/>
  <c r="M1197" i="3"/>
  <c r="M1198" i="3"/>
  <c r="M1199" i="3"/>
  <c r="M1200" i="3"/>
  <c r="M1201" i="3"/>
  <c r="M1202" i="3"/>
  <c r="M1203" i="3"/>
  <c r="M1204" i="3"/>
  <c r="M1205" i="3"/>
  <c r="M1206" i="3"/>
  <c r="M1207" i="3"/>
  <c r="M1208" i="3"/>
  <c r="M1209" i="3"/>
  <c r="M1210" i="3"/>
  <c r="M1211" i="3"/>
  <c r="M1212" i="3"/>
  <c r="M1213" i="3"/>
  <c r="M1214" i="3"/>
  <c r="M1215" i="3"/>
  <c r="M1216" i="3"/>
  <c r="M1217" i="3"/>
  <c r="M1218" i="3"/>
  <c r="M1219" i="3"/>
  <c r="M1220" i="3"/>
  <c r="M1221" i="3"/>
  <c r="M1222" i="3"/>
  <c r="M1223" i="3"/>
  <c r="M1224" i="3"/>
  <c r="M1225" i="3"/>
  <c r="M1226" i="3"/>
  <c r="M1227" i="3"/>
  <c r="M1228" i="3"/>
  <c r="M1229" i="3"/>
  <c r="M1230" i="3"/>
  <c r="M1231" i="3"/>
  <c r="M1232" i="3"/>
  <c r="M1233" i="3"/>
  <c r="M1234" i="3"/>
  <c r="M1235" i="3"/>
  <c r="M1236" i="3"/>
  <c r="M1237" i="3"/>
  <c r="M1238" i="3"/>
  <c r="M1239" i="3"/>
  <c r="M1240" i="3"/>
  <c r="M1241" i="3"/>
  <c r="M1242" i="3"/>
  <c r="M1243" i="3"/>
  <c r="M1244" i="3"/>
  <c r="M1245" i="3"/>
  <c r="M1246" i="3"/>
  <c r="M1247" i="3"/>
  <c r="M1248" i="3"/>
  <c r="M1249" i="3"/>
  <c r="M1250" i="3"/>
  <c r="M1251" i="3"/>
  <c r="M1252" i="3"/>
  <c r="M1253" i="3"/>
  <c r="M1254" i="3"/>
  <c r="M1255" i="3"/>
  <c r="M1256" i="3"/>
  <c r="M1257" i="3"/>
  <c r="M1258" i="3"/>
  <c r="M1259" i="3"/>
  <c r="M1260" i="3"/>
  <c r="M1261" i="3"/>
  <c r="M1262" i="3"/>
  <c r="M1263" i="3"/>
  <c r="M1264" i="3"/>
  <c r="M1265" i="3"/>
  <c r="M1266" i="3"/>
  <c r="M1267" i="3"/>
  <c r="M1268" i="3"/>
  <c r="M1269" i="3"/>
  <c r="M1270" i="3"/>
  <c r="M1271" i="3"/>
  <c r="M1272" i="3"/>
  <c r="M1273" i="3"/>
  <c r="M1274" i="3"/>
  <c r="M1275" i="3"/>
  <c r="M1276" i="3"/>
  <c r="M1277" i="3"/>
  <c r="M1278" i="3"/>
  <c r="M1279" i="3"/>
  <c r="M1280" i="3"/>
  <c r="M1281" i="3"/>
  <c r="M1282" i="3"/>
  <c r="M1283" i="3"/>
  <c r="M1284" i="3"/>
  <c r="M1285" i="3"/>
  <c r="M1286" i="3"/>
  <c r="M1287" i="3"/>
  <c r="M1288" i="3"/>
  <c r="M1289" i="3"/>
  <c r="M1290" i="3"/>
  <c r="M1291" i="3"/>
  <c r="M1292" i="3"/>
  <c r="M1293" i="3"/>
  <c r="M1294" i="3"/>
  <c r="M1295" i="3"/>
  <c r="M1296" i="3"/>
  <c r="M1297" i="3"/>
  <c r="M1298" i="3"/>
  <c r="M1299" i="3"/>
  <c r="M1300" i="3"/>
  <c r="M1301" i="3"/>
  <c r="M1302" i="3"/>
  <c r="M1303" i="3"/>
  <c r="M1304" i="3"/>
  <c r="M1305" i="3"/>
  <c r="M1306" i="3"/>
  <c r="M1307" i="3"/>
  <c r="M1308" i="3"/>
  <c r="M1309" i="3"/>
  <c r="M1310" i="3"/>
  <c r="M1311" i="3"/>
  <c r="M1312" i="3"/>
  <c r="M1313" i="3"/>
  <c r="M1314" i="3"/>
  <c r="M1315" i="3"/>
  <c r="M1316" i="3"/>
  <c r="M1317" i="3"/>
  <c r="M1318" i="3"/>
  <c r="M1319" i="3"/>
  <c r="M1320" i="3"/>
  <c r="M1321" i="3"/>
  <c r="M1322" i="3"/>
  <c r="M1323" i="3"/>
  <c r="M1324" i="3"/>
  <c r="M1325" i="3"/>
  <c r="M1326" i="3"/>
  <c r="M1327" i="3"/>
  <c r="M1328" i="3"/>
  <c r="M1329" i="3"/>
  <c r="M1330" i="3"/>
  <c r="M1331" i="3"/>
  <c r="M1332" i="3"/>
  <c r="M1333" i="3"/>
  <c r="M1334" i="3"/>
  <c r="M1335" i="3"/>
  <c r="M1336" i="3"/>
  <c r="M1337" i="3"/>
  <c r="M1338" i="3"/>
  <c r="M1339" i="3"/>
  <c r="M1340" i="3"/>
  <c r="M1341" i="3"/>
  <c r="M1342" i="3"/>
  <c r="M1343" i="3"/>
  <c r="M1344" i="3"/>
  <c r="M1345" i="3"/>
  <c r="M1346" i="3"/>
  <c r="M1347" i="3"/>
  <c r="M1348" i="3"/>
  <c r="M1349" i="3"/>
  <c r="M1350" i="3"/>
  <c r="M1351" i="3"/>
  <c r="M1352" i="3"/>
  <c r="M1353" i="3"/>
  <c r="M1354" i="3"/>
  <c r="M1355" i="3"/>
  <c r="M1356" i="3"/>
  <c r="M1357" i="3"/>
  <c r="M1358" i="3"/>
  <c r="M1359" i="3"/>
  <c r="M1360" i="3"/>
  <c r="M1361" i="3"/>
  <c r="M1362" i="3"/>
  <c r="M1363" i="3"/>
  <c r="M1364" i="3"/>
  <c r="M1365" i="3"/>
  <c r="M1366" i="3"/>
  <c r="M1367" i="3"/>
  <c r="M1368" i="3"/>
  <c r="M1369" i="3"/>
  <c r="M1370" i="3"/>
  <c r="M1371" i="3"/>
  <c r="M1372" i="3"/>
  <c r="M1373" i="3"/>
  <c r="M1374" i="3"/>
  <c r="M1375" i="3"/>
  <c r="M1376" i="3"/>
  <c r="M1377" i="3"/>
  <c r="M1378" i="3"/>
  <c r="M1379" i="3"/>
  <c r="M1380" i="3"/>
  <c r="M1381" i="3"/>
  <c r="M1382" i="3"/>
  <c r="M1383" i="3"/>
  <c r="M1384" i="3"/>
  <c r="M1385" i="3"/>
  <c r="M1386" i="3"/>
  <c r="M1387" i="3"/>
  <c r="M1388" i="3"/>
  <c r="M1389" i="3"/>
  <c r="M1390" i="3"/>
  <c r="M1391" i="3"/>
  <c r="M1392" i="3"/>
  <c r="M1393" i="3"/>
  <c r="M1394" i="3"/>
  <c r="M1395" i="3"/>
  <c r="M1396" i="3"/>
  <c r="M1397" i="3"/>
  <c r="M1398" i="3"/>
  <c r="M1399" i="3"/>
  <c r="M1400" i="3"/>
  <c r="M1401" i="3"/>
  <c r="M1402" i="3"/>
  <c r="M1403" i="3"/>
  <c r="M1404" i="3"/>
  <c r="M1405" i="3"/>
  <c r="M1406" i="3"/>
  <c r="M1407" i="3"/>
  <c r="M1408" i="3"/>
  <c r="M1409" i="3"/>
  <c r="M1410" i="3"/>
  <c r="M1411" i="3"/>
  <c r="M1412" i="3"/>
  <c r="M1413" i="3"/>
  <c r="M1414" i="3"/>
  <c r="M1415" i="3"/>
  <c r="M1416" i="3"/>
  <c r="M1417" i="3"/>
  <c r="M1418" i="3"/>
  <c r="M1419" i="3"/>
  <c r="M1420" i="3"/>
  <c r="M1421" i="3"/>
  <c r="M1422" i="3"/>
  <c r="M1423" i="3"/>
  <c r="M1424" i="3"/>
  <c r="M1425" i="3"/>
  <c r="M1426" i="3"/>
  <c r="M1427" i="3"/>
  <c r="M1428" i="3"/>
  <c r="M1429" i="3"/>
  <c r="M1430" i="3"/>
  <c r="M1431" i="3"/>
  <c r="M1432" i="3"/>
  <c r="M1433" i="3"/>
  <c r="M1434" i="3"/>
  <c r="M1435" i="3"/>
  <c r="M1436" i="3"/>
  <c r="M1437" i="3"/>
  <c r="M1438" i="3"/>
  <c r="M1439" i="3"/>
  <c r="M1440" i="3"/>
  <c r="M1441" i="3"/>
  <c r="M1442" i="3"/>
  <c r="M1443" i="3"/>
  <c r="M1444" i="3"/>
  <c r="M1445" i="3"/>
  <c r="M1446" i="3"/>
  <c r="M1447" i="3"/>
  <c r="M1448" i="3"/>
  <c r="M1449" i="3"/>
  <c r="M1450" i="3"/>
  <c r="M1451" i="3"/>
  <c r="M1452" i="3"/>
  <c r="M1453" i="3"/>
  <c r="M1454" i="3"/>
  <c r="M1455" i="3"/>
  <c r="M1456" i="3"/>
  <c r="M1457" i="3"/>
  <c r="M1458" i="3"/>
  <c r="M1459" i="3"/>
  <c r="M1460" i="3"/>
  <c r="M1461" i="3"/>
  <c r="M1462" i="3"/>
  <c r="M1463" i="3"/>
  <c r="M1464" i="3"/>
  <c r="M1465" i="3"/>
  <c r="M1466" i="3"/>
  <c r="M1467" i="3"/>
  <c r="M1468" i="3"/>
  <c r="M1469" i="3"/>
  <c r="M1470" i="3"/>
  <c r="M1471" i="3"/>
  <c r="M1472" i="3"/>
  <c r="M1473" i="3"/>
  <c r="M1474" i="3"/>
  <c r="M1475" i="3"/>
  <c r="M1476" i="3"/>
  <c r="M1477" i="3"/>
  <c r="M1478" i="3"/>
  <c r="M1479" i="3"/>
  <c r="M1480" i="3"/>
  <c r="M1481" i="3"/>
  <c r="M1482" i="3"/>
  <c r="M1483" i="3"/>
  <c r="M1484" i="3"/>
  <c r="M1485" i="3"/>
  <c r="M1486" i="3"/>
  <c r="M1487" i="3"/>
  <c r="M1488" i="3"/>
  <c r="M1489" i="3"/>
  <c r="M1490" i="3"/>
  <c r="M1491" i="3"/>
  <c r="M1492" i="3"/>
  <c r="M1493" i="3"/>
  <c r="M1494" i="3"/>
  <c r="M1495" i="3"/>
  <c r="M1496" i="3"/>
  <c r="M1497" i="3"/>
  <c r="M1498" i="3"/>
  <c r="M1499" i="3"/>
  <c r="M1500" i="3"/>
  <c r="M1501" i="3"/>
  <c r="M1502" i="3"/>
  <c r="M1503" i="3"/>
  <c r="M1504" i="3"/>
  <c r="M1505" i="3"/>
  <c r="M1506" i="3"/>
  <c r="M1507" i="3"/>
  <c r="M1508" i="3"/>
  <c r="M1509" i="3"/>
  <c r="M1510" i="3"/>
  <c r="M1511" i="3"/>
  <c r="M1512" i="3"/>
  <c r="M1513" i="3"/>
  <c r="M1514" i="3"/>
  <c r="M1515" i="3"/>
  <c r="M1516" i="3"/>
  <c r="M1517" i="3"/>
  <c r="M1518" i="3"/>
  <c r="M1519" i="3"/>
  <c r="M1520" i="3"/>
  <c r="M1521" i="3"/>
  <c r="M1522" i="3"/>
  <c r="M1523" i="3"/>
  <c r="M1524" i="3"/>
  <c r="M1525" i="3"/>
  <c r="M1526" i="3"/>
  <c r="M1527" i="3"/>
  <c r="M1528" i="3"/>
  <c r="M1529" i="3"/>
  <c r="M1530" i="3"/>
  <c r="M1531" i="3"/>
  <c r="M1532" i="3"/>
  <c r="M1533" i="3"/>
  <c r="M1534" i="3"/>
  <c r="M1535" i="3"/>
  <c r="M1536" i="3"/>
  <c r="M1537" i="3"/>
  <c r="M1538" i="3"/>
  <c r="M1539" i="3"/>
  <c r="M1540" i="3"/>
  <c r="M1541" i="3"/>
  <c r="M1542" i="3"/>
  <c r="M1543" i="3"/>
  <c r="M1544" i="3"/>
  <c r="M1545" i="3"/>
  <c r="M1546" i="3"/>
  <c r="M1547" i="3"/>
  <c r="M1548" i="3"/>
  <c r="M1549" i="3"/>
  <c r="M1550" i="3"/>
  <c r="M1551" i="3"/>
  <c r="M1552" i="3"/>
  <c r="M1553" i="3"/>
  <c r="M1554" i="3"/>
  <c r="M1555" i="3"/>
  <c r="M1556" i="3"/>
  <c r="M1557" i="3"/>
  <c r="M1558" i="3"/>
  <c r="M1559" i="3"/>
  <c r="M1560" i="3"/>
  <c r="M1561" i="3"/>
  <c r="M1562" i="3"/>
  <c r="M1563" i="3"/>
  <c r="M1564" i="3"/>
  <c r="M1565" i="3"/>
  <c r="M1566" i="3"/>
  <c r="M1567" i="3"/>
  <c r="M1568" i="3"/>
  <c r="M1569" i="3"/>
  <c r="M1570" i="3"/>
  <c r="M1571" i="3"/>
  <c r="M1572" i="3"/>
  <c r="M1573" i="3"/>
  <c r="M1574" i="3"/>
  <c r="M1575" i="3"/>
  <c r="M1576" i="3"/>
  <c r="M1577" i="3"/>
  <c r="M1578" i="3"/>
  <c r="M1579" i="3"/>
  <c r="M1580" i="3"/>
  <c r="M1581" i="3"/>
  <c r="M1582" i="3"/>
  <c r="M1583" i="3"/>
  <c r="M1584" i="3"/>
  <c r="M1585" i="3"/>
  <c r="M1586" i="3"/>
  <c r="M1587" i="3"/>
  <c r="M1588" i="3"/>
  <c r="M1589" i="3"/>
  <c r="M1590" i="3"/>
  <c r="M1591" i="3"/>
  <c r="M1592" i="3"/>
  <c r="M1593" i="3"/>
  <c r="M1594" i="3"/>
  <c r="M1595" i="3"/>
  <c r="M1596" i="3"/>
  <c r="M1597" i="3"/>
  <c r="M1598" i="3"/>
  <c r="M1599" i="3"/>
  <c r="M1600" i="3"/>
  <c r="M1601" i="3"/>
  <c r="M1602" i="3"/>
  <c r="M1603" i="3"/>
  <c r="M1604" i="3"/>
  <c r="M1605" i="3"/>
  <c r="M1606" i="3"/>
  <c r="M1607" i="3"/>
  <c r="M1608" i="3"/>
  <c r="M1609" i="3"/>
  <c r="M1610" i="3"/>
  <c r="M1611" i="3"/>
  <c r="M1612" i="3"/>
  <c r="M1613" i="3"/>
  <c r="M1614" i="3"/>
  <c r="M1615" i="3"/>
  <c r="M1616" i="3"/>
  <c r="M1617" i="3"/>
  <c r="M1618" i="3"/>
  <c r="M1619" i="3"/>
  <c r="M1620" i="3"/>
  <c r="M1621" i="3"/>
  <c r="M1622" i="3"/>
  <c r="M1623" i="3"/>
  <c r="M1624" i="3"/>
  <c r="M1625" i="3"/>
  <c r="M1626" i="3"/>
  <c r="M1627" i="3"/>
  <c r="M1628" i="3"/>
  <c r="M1629" i="3"/>
  <c r="M1630" i="3"/>
  <c r="M1631" i="3"/>
  <c r="M1632" i="3"/>
  <c r="M1633" i="3"/>
  <c r="M1634" i="3"/>
  <c r="M1635" i="3"/>
  <c r="M1636" i="3"/>
  <c r="M1637" i="3"/>
  <c r="M1638" i="3"/>
  <c r="M1639" i="3"/>
  <c r="M1640" i="3"/>
  <c r="M1641" i="3"/>
  <c r="M1642" i="3"/>
  <c r="M1643" i="3"/>
  <c r="M1644" i="3"/>
  <c r="M1645" i="3"/>
  <c r="M1646" i="3"/>
  <c r="M1647" i="3"/>
  <c r="M1648" i="3"/>
  <c r="M1649" i="3"/>
  <c r="M1650" i="3"/>
  <c r="M1651" i="3"/>
  <c r="M1652" i="3"/>
  <c r="M1653" i="3"/>
  <c r="M1654" i="3"/>
  <c r="M1655" i="3"/>
  <c r="M1656" i="3"/>
  <c r="M1657" i="3"/>
  <c r="M1658" i="3"/>
  <c r="M1659" i="3"/>
  <c r="M1660" i="3"/>
  <c r="M1661" i="3"/>
  <c r="M1662" i="3"/>
  <c r="M1663" i="3"/>
  <c r="M1664" i="3"/>
  <c r="M1665" i="3"/>
  <c r="M1666" i="3"/>
  <c r="M1667" i="3"/>
  <c r="M1668" i="3"/>
  <c r="M1669" i="3"/>
  <c r="M1670" i="3"/>
  <c r="M1671" i="3"/>
  <c r="M1672" i="3"/>
  <c r="M1673" i="3"/>
  <c r="M1674" i="3"/>
  <c r="M1675" i="3"/>
  <c r="M1676" i="3"/>
  <c r="M1677" i="3"/>
  <c r="M1678" i="3"/>
  <c r="M1679" i="3"/>
  <c r="M1680" i="3"/>
  <c r="M1681" i="3"/>
  <c r="M1682" i="3"/>
  <c r="M1683" i="3"/>
  <c r="M1684" i="3"/>
  <c r="M1685" i="3"/>
  <c r="M1686" i="3"/>
  <c r="M1687" i="3"/>
  <c r="M1688" i="3"/>
  <c r="M1689" i="3"/>
  <c r="M1690" i="3"/>
  <c r="M1691" i="3"/>
  <c r="M1692" i="3"/>
  <c r="M1693" i="3"/>
  <c r="M1694" i="3"/>
  <c r="M1695" i="3"/>
  <c r="M1696" i="3"/>
  <c r="M1697" i="3"/>
  <c r="M1698" i="3"/>
  <c r="M1699" i="3"/>
  <c r="M1700" i="3"/>
  <c r="M1701" i="3"/>
  <c r="M1702" i="3"/>
  <c r="M1703" i="3"/>
  <c r="M1704" i="3"/>
  <c r="M1705" i="3"/>
  <c r="M1706" i="3"/>
  <c r="M1707" i="3"/>
  <c r="M1708" i="3"/>
  <c r="M1709" i="3"/>
  <c r="M1710" i="3"/>
  <c r="M1711" i="3"/>
  <c r="M1712" i="3"/>
  <c r="M1713" i="3"/>
  <c r="M1714" i="3"/>
  <c r="M1715" i="3"/>
  <c r="M1716" i="3"/>
  <c r="M1717" i="3"/>
  <c r="M1718" i="3"/>
  <c r="M1719" i="3"/>
  <c r="M1720" i="3"/>
  <c r="M1721" i="3"/>
  <c r="M1722" i="3"/>
  <c r="M1723" i="3"/>
  <c r="M1724" i="3"/>
  <c r="M1725" i="3"/>
  <c r="M1726" i="3"/>
  <c r="M1727" i="3"/>
  <c r="M1728" i="3"/>
  <c r="M1729" i="3"/>
  <c r="M1730" i="3"/>
  <c r="M1731" i="3"/>
  <c r="M1732" i="3"/>
  <c r="M1733" i="3"/>
  <c r="M1734" i="3"/>
  <c r="M1735" i="3"/>
  <c r="M1736" i="3"/>
  <c r="M1737" i="3"/>
  <c r="M1738" i="3"/>
  <c r="M1739" i="3"/>
  <c r="M1740" i="3"/>
  <c r="M1741" i="3"/>
  <c r="M1742" i="3"/>
  <c r="M1743" i="3"/>
  <c r="M1744" i="3"/>
  <c r="M1745" i="3"/>
  <c r="M1746" i="3"/>
  <c r="M1747" i="3"/>
  <c r="M1748" i="3"/>
  <c r="M1749" i="3"/>
  <c r="M1750" i="3"/>
  <c r="M1751" i="3"/>
  <c r="M1752" i="3"/>
  <c r="M1753" i="3"/>
  <c r="M1754" i="3"/>
  <c r="M1755" i="3"/>
  <c r="M1756" i="3"/>
  <c r="M1757" i="3"/>
  <c r="M1758" i="3"/>
  <c r="M1759" i="3"/>
  <c r="M1760" i="3"/>
  <c r="M1761" i="3"/>
  <c r="M1762" i="3"/>
  <c r="M1763" i="3"/>
  <c r="M1764" i="3"/>
  <c r="M1765" i="3"/>
  <c r="M1766" i="3"/>
  <c r="M1767" i="3"/>
  <c r="M1768" i="3"/>
  <c r="M1769" i="3"/>
  <c r="M1770" i="3"/>
  <c r="M1771" i="3"/>
  <c r="M1772" i="3"/>
  <c r="M1773" i="3"/>
  <c r="M1774" i="3"/>
  <c r="M1775" i="3"/>
  <c r="M1776" i="3"/>
  <c r="M1777" i="3"/>
  <c r="M1778" i="3"/>
  <c r="M1779" i="3"/>
  <c r="M1780" i="3"/>
  <c r="M1781" i="3"/>
  <c r="M1782" i="3"/>
  <c r="M1783" i="3"/>
  <c r="M1784" i="3"/>
  <c r="M1785" i="3"/>
  <c r="M1786" i="3"/>
  <c r="M1787" i="3"/>
  <c r="M1788" i="3"/>
  <c r="M1789" i="3"/>
  <c r="M1790" i="3"/>
  <c r="M1791" i="3"/>
  <c r="M1792" i="3"/>
  <c r="M1793" i="3"/>
  <c r="M1794" i="3"/>
  <c r="M1795" i="3"/>
  <c r="M1796" i="3"/>
  <c r="M1797" i="3"/>
  <c r="M1798" i="3"/>
  <c r="M1799" i="3"/>
  <c r="M1800" i="3"/>
  <c r="M1801" i="3"/>
  <c r="M1802" i="3"/>
  <c r="M1803" i="3"/>
  <c r="M1804" i="3"/>
  <c r="M1805" i="3"/>
  <c r="M1806" i="3"/>
  <c r="M1807" i="3"/>
  <c r="M1808" i="3"/>
  <c r="M1809" i="3"/>
  <c r="M1810" i="3"/>
  <c r="M1811" i="3"/>
  <c r="M1812" i="3"/>
  <c r="M1813" i="3"/>
  <c r="M1814" i="3"/>
  <c r="M1815" i="3"/>
  <c r="M1816" i="3"/>
  <c r="M1817" i="3"/>
  <c r="M1818" i="3"/>
  <c r="M1819" i="3"/>
  <c r="M1820" i="3"/>
  <c r="M1821" i="3"/>
  <c r="M1822" i="3"/>
  <c r="M1823" i="3"/>
  <c r="M1824" i="3"/>
  <c r="M1825" i="3"/>
  <c r="M1826" i="3"/>
  <c r="M1827" i="3"/>
  <c r="M1828" i="3"/>
  <c r="M1829" i="3"/>
  <c r="M1830" i="3"/>
  <c r="M1831" i="3"/>
  <c r="M1832" i="3"/>
  <c r="M1833" i="3"/>
  <c r="M1834" i="3"/>
  <c r="M1835" i="3"/>
  <c r="M1836" i="3"/>
  <c r="M1837" i="3"/>
  <c r="M1838" i="3"/>
  <c r="M1839" i="3"/>
  <c r="M1840" i="3"/>
  <c r="M1841" i="3"/>
  <c r="M1842" i="3"/>
  <c r="M1843" i="3"/>
  <c r="M1844" i="3"/>
  <c r="M1845" i="3"/>
  <c r="M1846" i="3"/>
  <c r="M1847" i="3"/>
  <c r="M1848" i="3"/>
  <c r="M1849" i="3"/>
  <c r="M1850" i="3"/>
  <c r="M1851" i="3"/>
  <c r="M1852" i="3"/>
  <c r="M1853" i="3"/>
  <c r="M1854" i="3"/>
  <c r="M1855" i="3"/>
  <c r="M1856" i="3"/>
  <c r="M1857" i="3"/>
  <c r="M1858" i="3"/>
  <c r="M1859" i="3"/>
  <c r="M1860" i="3"/>
  <c r="M1861" i="3"/>
  <c r="M1862" i="3"/>
  <c r="M1863" i="3"/>
  <c r="M1864" i="3"/>
  <c r="M1865" i="3"/>
  <c r="M1866" i="3"/>
  <c r="M1867" i="3"/>
  <c r="M1868" i="3"/>
  <c r="M1869" i="3"/>
  <c r="M1870" i="3"/>
  <c r="M1871" i="3"/>
  <c r="M1872" i="3"/>
  <c r="M1873" i="3"/>
  <c r="M1874" i="3"/>
  <c r="M1875" i="3"/>
  <c r="M1876" i="3"/>
  <c r="M1877" i="3"/>
  <c r="M1878" i="3"/>
  <c r="M1879" i="3"/>
  <c r="M1880" i="3"/>
  <c r="M1881" i="3"/>
  <c r="M1882" i="3"/>
  <c r="M1883" i="3"/>
  <c r="M1884" i="3"/>
  <c r="M1885" i="3"/>
  <c r="M1886" i="3"/>
  <c r="M1887" i="3"/>
  <c r="M1888" i="3"/>
  <c r="M1889" i="3"/>
  <c r="M1890" i="3"/>
  <c r="M1891" i="3"/>
  <c r="M1892" i="3"/>
  <c r="M1893" i="3"/>
  <c r="M1894" i="3"/>
  <c r="M1895" i="3"/>
  <c r="M1896" i="3"/>
  <c r="M1897" i="3"/>
  <c r="M1898" i="3"/>
  <c r="M1899" i="3"/>
  <c r="M1900" i="3"/>
  <c r="M1901" i="3"/>
  <c r="M1902" i="3"/>
  <c r="M1903" i="3"/>
  <c r="M1904" i="3"/>
  <c r="M1905" i="3"/>
  <c r="M1906" i="3"/>
  <c r="M1907" i="3"/>
  <c r="M1908" i="3"/>
  <c r="M1909" i="3"/>
  <c r="M1910" i="3"/>
  <c r="M1911" i="3"/>
  <c r="M1912" i="3"/>
  <c r="M1913" i="3"/>
  <c r="M1914" i="3"/>
  <c r="M1915" i="3"/>
  <c r="M1916" i="3"/>
  <c r="M1917" i="3"/>
  <c r="M1918" i="3"/>
  <c r="M1919" i="3"/>
  <c r="M1920" i="3"/>
  <c r="M1921" i="3"/>
  <c r="M1922" i="3"/>
  <c r="M1923" i="3"/>
  <c r="M1924" i="3"/>
  <c r="M1925" i="3"/>
  <c r="M1926" i="3"/>
  <c r="M1927" i="3"/>
  <c r="M1928" i="3"/>
  <c r="M1929" i="3"/>
  <c r="M1930" i="3"/>
  <c r="M1931" i="3"/>
  <c r="M1932" i="3"/>
  <c r="M1933" i="3"/>
  <c r="M1934" i="3"/>
  <c r="M1935" i="3"/>
  <c r="M1936" i="3"/>
  <c r="M1937" i="3"/>
  <c r="M1938" i="3"/>
  <c r="M1939" i="3"/>
  <c r="M1940" i="3"/>
  <c r="M1941" i="3"/>
  <c r="M1942" i="3"/>
  <c r="M1943" i="3"/>
  <c r="M1944" i="3"/>
  <c r="M1945" i="3"/>
  <c r="M1946" i="3"/>
  <c r="M1947" i="3"/>
  <c r="M1948" i="3"/>
  <c r="M1949" i="3"/>
  <c r="M1950" i="3"/>
  <c r="M1951" i="3"/>
  <c r="M1952" i="3"/>
  <c r="M1953" i="3"/>
  <c r="M1954" i="3"/>
  <c r="M1955" i="3"/>
  <c r="M1956" i="3"/>
  <c r="M1957" i="3"/>
  <c r="M1958" i="3"/>
  <c r="M1959" i="3"/>
  <c r="M1960" i="3"/>
  <c r="M1961" i="3"/>
  <c r="M1962" i="3"/>
  <c r="M1963" i="3"/>
  <c r="M1964" i="3"/>
  <c r="M1965" i="3"/>
  <c r="M1966" i="3"/>
  <c r="M1967" i="3"/>
  <c r="M1968" i="3"/>
  <c r="M1969" i="3"/>
  <c r="M1970" i="3"/>
  <c r="M1971" i="3"/>
  <c r="M1972" i="3"/>
  <c r="M1973" i="3"/>
  <c r="M1974" i="3"/>
  <c r="M1975" i="3"/>
  <c r="M1976" i="3"/>
  <c r="M1977" i="3"/>
  <c r="M1978" i="3"/>
  <c r="M1979" i="3"/>
  <c r="M1980" i="3"/>
  <c r="M1981" i="3"/>
  <c r="M1982" i="3"/>
  <c r="M1983" i="3"/>
  <c r="M1984" i="3"/>
  <c r="M1985" i="3"/>
  <c r="M1986" i="3"/>
  <c r="M1987" i="3"/>
  <c r="M1988" i="3"/>
  <c r="M1989" i="3"/>
  <c r="M1990" i="3"/>
  <c r="M1991" i="3"/>
  <c r="M1992" i="3"/>
  <c r="M1993" i="3"/>
  <c r="M1994" i="3"/>
  <c r="M1995" i="3"/>
  <c r="M1996" i="3"/>
  <c r="M1997" i="3"/>
  <c r="M1998" i="3"/>
  <c r="M1999" i="3"/>
  <c r="M2000" i="3"/>
  <c r="M2001" i="3"/>
  <c r="M2002" i="3"/>
  <c r="M2003" i="3"/>
  <c r="M2004" i="3"/>
  <c r="M2005" i="3"/>
  <c r="M2006" i="3"/>
  <c r="M2007" i="3"/>
  <c r="M2008" i="3"/>
  <c r="M2009" i="3"/>
  <c r="M2010" i="3"/>
  <c r="M2011" i="3"/>
  <c r="M2012" i="3"/>
  <c r="M2013" i="3"/>
  <c r="M2014" i="3"/>
  <c r="M2015" i="3"/>
  <c r="M2016" i="3"/>
  <c r="M2017" i="3"/>
  <c r="M2018" i="3"/>
  <c r="M2019" i="3"/>
  <c r="M2020" i="3"/>
  <c r="M2021" i="3"/>
  <c r="M2022" i="3"/>
  <c r="M2023" i="3"/>
  <c r="M2024" i="3"/>
  <c r="M2025" i="3"/>
  <c r="M2026" i="3"/>
  <c r="M2027" i="3"/>
  <c r="M2028" i="3"/>
  <c r="M2029" i="3"/>
  <c r="M2030" i="3"/>
  <c r="M2031" i="3"/>
  <c r="M2032" i="3"/>
  <c r="M2033" i="3"/>
  <c r="M2034" i="3"/>
  <c r="M2035" i="3"/>
  <c r="M2036" i="3"/>
  <c r="M2037" i="3"/>
  <c r="M2038" i="3"/>
  <c r="M2039" i="3"/>
  <c r="M2040" i="3"/>
  <c r="M2041" i="3"/>
  <c r="M2042" i="3"/>
  <c r="M2043" i="3"/>
  <c r="M2044" i="3"/>
  <c r="M2045" i="3"/>
  <c r="M2046" i="3"/>
  <c r="M2047" i="3"/>
  <c r="M2048" i="3"/>
  <c r="M2049" i="3"/>
  <c r="M2050" i="3"/>
  <c r="M2051" i="3"/>
  <c r="M2052" i="3"/>
  <c r="M2053" i="3"/>
  <c r="M2054" i="3"/>
  <c r="M2055" i="3"/>
  <c r="M2056" i="3"/>
  <c r="M2057" i="3"/>
  <c r="M2058" i="3"/>
  <c r="M2059" i="3"/>
  <c r="M2060" i="3"/>
  <c r="M2061" i="3"/>
  <c r="M2062" i="3"/>
  <c r="M2063" i="3"/>
  <c r="M2064" i="3"/>
  <c r="M2065" i="3"/>
  <c r="M2066" i="3"/>
  <c r="M2067" i="3"/>
  <c r="M2068" i="3"/>
  <c r="M2069" i="3"/>
  <c r="M2070" i="3"/>
  <c r="M2071" i="3"/>
  <c r="M2072" i="3"/>
  <c r="M2073" i="3"/>
  <c r="M2074" i="3"/>
  <c r="M2075" i="3"/>
  <c r="M2076" i="3"/>
  <c r="M2077" i="3"/>
  <c r="M2078" i="3"/>
  <c r="M2079" i="3"/>
  <c r="M2080" i="3"/>
  <c r="M2081" i="3"/>
  <c r="M2082" i="3"/>
  <c r="M2083" i="3"/>
  <c r="D4" i="3"/>
  <c r="D5" i="3"/>
  <c r="D6" i="3"/>
  <c r="B4" i="3"/>
  <c r="Q4" i="3"/>
  <c r="R4" i="3"/>
  <c r="S4" i="3"/>
  <c r="T4" i="3"/>
  <c r="U4" i="3"/>
  <c r="Q5" i="3"/>
  <c r="R5" i="3"/>
  <c r="S5" i="3"/>
  <c r="T5" i="3"/>
  <c r="U5" i="3"/>
  <c r="Q6" i="3"/>
  <c r="R6" i="3"/>
  <c r="S6" i="3"/>
  <c r="T6" i="3"/>
  <c r="U6" i="3"/>
  <c r="P5" i="3"/>
  <c r="P4" i="3"/>
  <c r="P6" i="3"/>
  <c r="C6" i="3"/>
  <c r="C4" i="3"/>
  <c r="E4" i="3"/>
  <c r="N1159" i="3"/>
  <c r="C5" i="3"/>
  <c r="E6" i="3"/>
  <c r="B6" i="3"/>
  <c r="B5" i="3"/>
  <c r="C3" i="3"/>
  <c r="J3" i="3" s="1"/>
  <c r="D3" i="3"/>
  <c r="K3" i="3" s="1"/>
  <c r="E3" i="3"/>
  <c r="L3" i="3" s="1"/>
  <c r="F3" i="3"/>
  <c r="M3" i="3" s="1"/>
  <c r="G3" i="3"/>
  <c r="N3" i="3" s="1"/>
  <c r="B3" i="3"/>
  <c r="I3" i="3" s="1"/>
  <c r="V1" i="1" l="1" a="1"/>
  <c r="V1" i="1" s="1"/>
  <c r="X1" i="1" s="1"/>
  <c r="R11" i="1"/>
  <c r="S11" i="1" s="1"/>
  <c r="D13" i="1"/>
  <c r="E13" i="1" s="1"/>
  <c r="D12" i="1"/>
  <c r="E12" i="1" s="1"/>
  <c r="D11" i="1"/>
  <c r="E11" i="1" s="1"/>
  <c r="H1" i="1" a="1"/>
  <c r="H1" i="1" s="1"/>
  <c r="A1" i="1" a="1"/>
  <c r="A1" i="1" s="1"/>
  <c r="C1" i="1" s="1"/>
  <c r="L1794" i="3"/>
  <c r="L25" i="3"/>
  <c r="L1638" i="3"/>
  <c r="L446" i="3"/>
  <c r="L2074" i="3"/>
  <c r="L2035" i="3"/>
  <c r="L1989" i="3"/>
  <c r="L1950" i="3"/>
  <c r="L1910" i="3"/>
  <c r="L1853" i="3"/>
  <c r="L1793" i="3"/>
  <c r="L1729" i="3"/>
  <c r="L1637" i="3"/>
  <c r="Z1637" i="3" s="1"/>
  <c r="L1559" i="3"/>
  <c r="L1473" i="3"/>
  <c r="L1350" i="3"/>
  <c r="L1095" i="3"/>
  <c r="L412" i="3"/>
  <c r="L2073" i="3"/>
  <c r="L2034" i="3"/>
  <c r="L1988" i="3"/>
  <c r="L1949" i="3"/>
  <c r="L1908" i="3"/>
  <c r="L1852" i="3"/>
  <c r="L1792" i="3"/>
  <c r="L1728" i="3"/>
  <c r="L1636" i="3"/>
  <c r="L1558" i="3"/>
  <c r="L1472" i="3"/>
  <c r="L1349" i="3"/>
  <c r="L1094" i="3"/>
  <c r="L378" i="3"/>
  <c r="Z378" i="3" s="1"/>
  <c r="L2072" i="3"/>
  <c r="Z2072" i="3" s="1"/>
  <c r="L2033" i="3"/>
  <c r="L1987" i="3"/>
  <c r="Z1987" i="3" s="1"/>
  <c r="L1948" i="3"/>
  <c r="L1907" i="3"/>
  <c r="L1851" i="3"/>
  <c r="L1791" i="3"/>
  <c r="L1727" i="3"/>
  <c r="L1635" i="3"/>
  <c r="L1543" i="3"/>
  <c r="L1471" i="3"/>
  <c r="L1348" i="3"/>
  <c r="L1093" i="3"/>
  <c r="L342" i="3"/>
  <c r="L2071" i="3"/>
  <c r="L2032" i="3"/>
  <c r="L1986" i="3"/>
  <c r="L1947" i="3"/>
  <c r="L1903" i="3"/>
  <c r="L1850" i="3"/>
  <c r="L1790" i="3"/>
  <c r="L1726" i="3"/>
  <c r="L1634" i="3"/>
  <c r="L1542" i="3"/>
  <c r="L1470" i="3"/>
  <c r="L1347" i="3"/>
  <c r="L1063" i="3"/>
  <c r="L305" i="3"/>
  <c r="L2070" i="3"/>
  <c r="L2031" i="3"/>
  <c r="L1985" i="3"/>
  <c r="L1946" i="3"/>
  <c r="Z1946" i="3" s="1"/>
  <c r="L1895" i="3"/>
  <c r="Z1895" i="3" s="1"/>
  <c r="L1849" i="3"/>
  <c r="L1789" i="3"/>
  <c r="Z1789" i="3" s="1"/>
  <c r="L1719" i="3"/>
  <c r="L1633" i="3"/>
  <c r="L1541" i="3"/>
  <c r="L1447" i="3"/>
  <c r="L1346" i="3"/>
  <c r="L1062" i="3"/>
  <c r="L266" i="3"/>
  <c r="L2069" i="3"/>
  <c r="L2023" i="3"/>
  <c r="L1984" i="3"/>
  <c r="L1945" i="3"/>
  <c r="L1894" i="3"/>
  <c r="L1848" i="3"/>
  <c r="L1788" i="3"/>
  <c r="L1718" i="3"/>
  <c r="L1632" i="3"/>
  <c r="L1540" i="3"/>
  <c r="L1446" i="3"/>
  <c r="L1319" i="3"/>
  <c r="L1061" i="3"/>
  <c r="L227" i="3"/>
  <c r="L2075" i="3"/>
  <c r="L2068" i="3"/>
  <c r="L2022" i="3"/>
  <c r="L1983" i="3"/>
  <c r="L1944" i="3"/>
  <c r="L1893" i="3"/>
  <c r="L1847" i="3"/>
  <c r="L1787" i="3"/>
  <c r="Z1787" i="3" s="1"/>
  <c r="L1703" i="3"/>
  <c r="Z1703" i="3" s="1"/>
  <c r="L1631" i="3"/>
  <c r="L1539" i="3"/>
  <c r="Z1539" i="3" s="1"/>
  <c r="L1445" i="3"/>
  <c r="L1318" i="3"/>
  <c r="L1031" i="3"/>
  <c r="L188" i="3"/>
  <c r="L1854" i="3"/>
  <c r="L2067" i="3"/>
  <c r="L2021" i="3"/>
  <c r="L1982" i="3"/>
  <c r="L1943" i="3"/>
  <c r="L1892" i="3"/>
  <c r="Z1892" i="3" s="1"/>
  <c r="L1846" i="3"/>
  <c r="L1786" i="3"/>
  <c r="L1702" i="3"/>
  <c r="L1630" i="3"/>
  <c r="L1538" i="3"/>
  <c r="L1444" i="3"/>
  <c r="L1317" i="3"/>
  <c r="L1029" i="3"/>
  <c r="L149" i="3"/>
  <c r="L1911" i="3"/>
  <c r="L1623" i="3"/>
  <c r="L1537" i="3"/>
  <c r="L1443" i="3"/>
  <c r="L1316" i="3"/>
  <c r="L999" i="3"/>
  <c r="L103" i="3"/>
  <c r="L2036" i="3"/>
  <c r="L2065" i="3"/>
  <c r="L2019" i="3"/>
  <c r="Z2019" i="3" s="1"/>
  <c r="L1980" i="3"/>
  <c r="Z1980" i="3" s="1"/>
  <c r="L1940" i="3"/>
  <c r="L1890" i="3"/>
  <c r="Z1890" i="3" s="1"/>
  <c r="L1830" i="3"/>
  <c r="L1783" i="3"/>
  <c r="L1700" i="3"/>
  <c r="L1622" i="3"/>
  <c r="L1536" i="3"/>
  <c r="L1442" i="3"/>
  <c r="L1315" i="3"/>
  <c r="L997" i="3"/>
  <c r="L64" i="3"/>
  <c r="L2064" i="3"/>
  <c r="Z2064" i="3" s="1"/>
  <c r="L2018" i="3"/>
  <c r="L1979" i="3"/>
  <c r="L1939" i="3"/>
  <c r="L1889" i="3"/>
  <c r="L1829" i="3"/>
  <c r="L1782" i="3"/>
  <c r="L1699" i="3"/>
  <c r="L1607" i="3"/>
  <c r="L1535" i="3"/>
  <c r="L1441" i="3"/>
  <c r="L1314" i="3"/>
  <c r="L967" i="3"/>
  <c r="L12" i="3"/>
  <c r="L44" i="3"/>
  <c r="L76" i="3"/>
  <c r="L108" i="3"/>
  <c r="L140" i="3"/>
  <c r="L172" i="3"/>
  <c r="L204" i="3"/>
  <c r="Z204" i="3" s="1"/>
  <c r="L236" i="3"/>
  <c r="Z236" i="3" s="1"/>
  <c r="L268" i="3"/>
  <c r="L300" i="3"/>
  <c r="Z300" i="3" s="1"/>
  <c r="L332" i="3"/>
  <c r="L364" i="3"/>
  <c r="L396" i="3"/>
  <c r="L428" i="3"/>
  <c r="L460" i="3"/>
  <c r="L492" i="3"/>
  <c r="L524" i="3"/>
  <c r="L13" i="3"/>
  <c r="L45" i="3"/>
  <c r="L77" i="3"/>
  <c r="L109" i="3"/>
  <c r="L141" i="3"/>
  <c r="L173" i="3"/>
  <c r="L205" i="3"/>
  <c r="L237" i="3"/>
  <c r="L269" i="3"/>
  <c r="L301" i="3"/>
  <c r="L333" i="3"/>
  <c r="L365" i="3"/>
  <c r="L397" i="3"/>
  <c r="L429" i="3"/>
  <c r="L461" i="3"/>
  <c r="L493" i="3"/>
  <c r="L525" i="3"/>
  <c r="L557" i="3"/>
  <c r="L589" i="3"/>
  <c r="L621" i="3"/>
  <c r="L14" i="3"/>
  <c r="L46" i="3"/>
  <c r="Z46" i="3" s="1"/>
  <c r="L78" i="3"/>
  <c r="Z78" i="3" s="1"/>
  <c r="L110" i="3"/>
  <c r="L142" i="3"/>
  <c r="Z142" i="3" s="1"/>
  <c r="L174" i="3"/>
  <c r="L206" i="3"/>
  <c r="L238" i="3"/>
  <c r="L270" i="3"/>
  <c r="L302" i="3"/>
  <c r="L334" i="3"/>
  <c r="L366" i="3"/>
  <c r="L15" i="3"/>
  <c r="L47" i="3"/>
  <c r="L79" i="3"/>
  <c r="L111" i="3"/>
  <c r="L143" i="3"/>
  <c r="L175" i="3"/>
  <c r="L207" i="3"/>
  <c r="L239" i="3"/>
  <c r="L16" i="3"/>
  <c r="L48" i="3"/>
  <c r="L80" i="3"/>
  <c r="L112" i="3"/>
  <c r="L144" i="3"/>
  <c r="L176" i="3"/>
  <c r="L208" i="3"/>
  <c r="L240" i="3"/>
  <c r="L17" i="3"/>
  <c r="L49" i="3"/>
  <c r="L81" i="3"/>
  <c r="L113" i="3"/>
  <c r="L145" i="3"/>
  <c r="L177" i="3"/>
  <c r="Z177" i="3" s="1"/>
  <c r="L209" i="3"/>
  <c r="Z209" i="3" s="1"/>
  <c r="L241" i="3"/>
  <c r="L18" i="3"/>
  <c r="Z18" i="3" s="1"/>
  <c r="L50" i="3"/>
  <c r="L82" i="3"/>
  <c r="L114" i="3"/>
  <c r="L146" i="3"/>
  <c r="L178" i="3"/>
  <c r="L210" i="3"/>
  <c r="L242" i="3"/>
  <c r="L274" i="3"/>
  <c r="L306" i="3"/>
  <c r="L338" i="3"/>
  <c r="Z338" i="3" s="1"/>
  <c r="L370" i="3"/>
  <c r="L26" i="3"/>
  <c r="L65" i="3"/>
  <c r="L104" i="3"/>
  <c r="L150" i="3"/>
  <c r="L189" i="3"/>
  <c r="L228" i="3"/>
  <c r="L267" i="3"/>
  <c r="L307" i="3"/>
  <c r="L343" i="3"/>
  <c r="L379" i="3"/>
  <c r="L413" i="3"/>
  <c r="L447" i="3"/>
  <c r="L481" i="3"/>
  <c r="L515" i="3"/>
  <c r="L549" i="3"/>
  <c r="L582" i="3"/>
  <c r="L615" i="3"/>
  <c r="L648" i="3"/>
  <c r="Z648" i="3" s="1"/>
  <c r="L680" i="3"/>
  <c r="Z680" i="3" s="1"/>
  <c r="L712" i="3"/>
  <c r="L744" i="3"/>
  <c r="Z744" i="3" s="1"/>
  <c r="L776" i="3"/>
  <c r="L808" i="3"/>
  <c r="L840" i="3"/>
  <c r="L872" i="3"/>
  <c r="L904" i="3"/>
  <c r="L936" i="3"/>
  <c r="L968" i="3"/>
  <c r="L1000" i="3"/>
  <c r="L1032" i="3"/>
  <c r="L1064" i="3"/>
  <c r="L1096" i="3"/>
  <c r="L1128" i="3"/>
  <c r="L1160" i="3"/>
  <c r="L1192" i="3"/>
  <c r="L1224" i="3"/>
  <c r="L1256" i="3"/>
  <c r="L1288" i="3"/>
  <c r="L1320" i="3"/>
  <c r="L1352" i="3"/>
  <c r="L1384" i="3"/>
  <c r="L1416" i="3"/>
  <c r="L1448" i="3"/>
  <c r="L1480" i="3"/>
  <c r="L1512" i="3"/>
  <c r="L1544" i="3"/>
  <c r="L1576" i="3"/>
  <c r="L1608" i="3"/>
  <c r="L1640" i="3"/>
  <c r="L1672" i="3"/>
  <c r="Z1672" i="3" s="1"/>
  <c r="L1704" i="3"/>
  <c r="Z1704" i="3" s="1"/>
  <c r="L1736" i="3"/>
  <c r="L1768" i="3"/>
  <c r="Z1768" i="3" s="1"/>
  <c r="L1800" i="3"/>
  <c r="L1832" i="3"/>
  <c r="L1864" i="3"/>
  <c r="L1896" i="3"/>
  <c r="L1928" i="3"/>
  <c r="L1960" i="3"/>
  <c r="L1992" i="3"/>
  <c r="L2024" i="3"/>
  <c r="L2056" i="3"/>
  <c r="L1838" i="3"/>
  <c r="L27" i="3"/>
  <c r="L66" i="3"/>
  <c r="L105" i="3"/>
  <c r="L151" i="3"/>
  <c r="L190" i="3"/>
  <c r="L229" i="3"/>
  <c r="L271" i="3"/>
  <c r="L308" i="3"/>
  <c r="L344" i="3"/>
  <c r="L380" i="3"/>
  <c r="L414" i="3"/>
  <c r="L448" i="3"/>
  <c r="L482" i="3"/>
  <c r="L516" i="3"/>
  <c r="L550" i="3"/>
  <c r="L583" i="3"/>
  <c r="L616" i="3"/>
  <c r="L649" i="3"/>
  <c r="L681" i="3"/>
  <c r="Z681" i="3" s="1"/>
  <c r="L713" i="3"/>
  <c r="L745" i="3"/>
  <c r="L777" i="3"/>
  <c r="L809" i="3"/>
  <c r="L841" i="3"/>
  <c r="L873" i="3"/>
  <c r="L905" i="3"/>
  <c r="L937" i="3"/>
  <c r="L969" i="3"/>
  <c r="L1001" i="3"/>
  <c r="L1033" i="3"/>
  <c r="L1065" i="3"/>
  <c r="L1097" i="3"/>
  <c r="Z1097" i="3" s="1"/>
  <c r="L1129" i="3"/>
  <c r="L1161" i="3"/>
  <c r="L1193" i="3"/>
  <c r="L1225" i="3"/>
  <c r="L1257" i="3"/>
  <c r="L1289" i="3"/>
  <c r="L1321" i="3"/>
  <c r="L1353" i="3"/>
  <c r="L1385" i="3"/>
  <c r="L1417" i="3"/>
  <c r="L1449" i="3"/>
  <c r="L1481" i="3"/>
  <c r="L1513" i="3"/>
  <c r="L1545" i="3"/>
  <c r="L1577" i="3"/>
  <c r="L1609" i="3"/>
  <c r="L1641" i="3"/>
  <c r="L1673" i="3"/>
  <c r="L1705" i="3"/>
  <c r="Z1705" i="3" s="1"/>
  <c r="L1737" i="3"/>
  <c r="Z1737" i="3" s="1"/>
  <c r="L1769" i="3"/>
  <c r="L1801" i="3"/>
  <c r="Z1801" i="3" s="1"/>
  <c r="L1833" i="3"/>
  <c r="L1865" i="3"/>
  <c r="L1897" i="3"/>
  <c r="L1929" i="3"/>
  <c r="L1961" i="3"/>
  <c r="L1993" i="3"/>
  <c r="L2025" i="3"/>
  <c r="L2057" i="3"/>
  <c r="L1806" i="3"/>
  <c r="L28" i="3"/>
  <c r="Z28" i="3" s="1"/>
  <c r="L67" i="3"/>
  <c r="L106" i="3"/>
  <c r="L152" i="3"/>
  <c r="L191" i="3"/>
  <c r="L230" i="3"/>
  <c r="L272" i="3"/>
  <c r="L309" i="3"/>
  <c r="L345" i="3"/>
  <c r="L381" i="3"/>
  <c r="L415" i="3"/>
  <c r="L449" i="3"/>
  <c r="L483" i="3"/>
  <c r="L517" i="3"/>
  <c r="L551" i="3"/>
  <c r="L584" i="3"/>
  <c r="L617" i="3"/>
  <c r="L650" i="3"/>
  <c r="L682" i="3"/>
  <c r="L714" i="3"/>
  <c r="Z714" i="3" s="1"/>
  <c r="L746" i="3"/>
  <c r="Z746" i="3" s="1"/>
  <c r="L778" i="3"/>
  <c r="L810" i="3"/>
  <c r="Z810" i="3" s="1"/>
  <c r="L842" i="3"/>
  <c r="L874" i="3"/>
  <c r="L906" i="3"/>
  <c r="L938" i="3"/>
  <c r="L970" i="3"/>
  <c r="L1002" i="3"/>
  <c r="L1034" i="3"/>
  <c r="L1066" i="3"/>
  <c r="L1098" i="3"/>
  <c r="L1130" i="3"/>
  <c r="Z1130" i="3" s="1"/>
  <c r="L1162" i="3"/>
  <c r="L1194" i="3"/>
  <c r="L1226" i="3"/>
  <c r="L1258" i="3"/>
  <c r="L1290" i="3"/>
  <c r="L1322" i="3"/>
  <c r="L1354" i="3"/>
  <c r="L1386" i="3"/>
  <c r="L1418" i="3"/>
  <c r="L1450" i="3"/>
  <c r="L1482" i="3"/>
  <c r="L1514" i="3"/>
  <c r="L1546" i="3"/>
  <c r="L1578" i="3"/>
  <c r="L1610" i="3"/>
  <c r="L1642" i="3"/>
  <c r="L1674" i="3"/>
  <c r="L1706" i="3"/>
  <c r="L1738" i="3"/>
  <c r="Z1738" i="3" s="1"/>
  <c r="L1770" i="3"/>
  <c r="Z1770" i="3" s="1"/>
  <c r="L1802" i="3"/>
  <c r="L1834" i="3"/>
  <c r="Z1834" i="3" s="1"/>
  <c r="L1866" i="3"/>
  <c r="L1898" i="3"/>
  <c r="L1930" i="3"/>
  <c r="L1962" i="3"/>
  <c r="L1994" i="3"/>
  <c r="L2026" i="3"/>
  <c r="L2058" i="3"/>
  <c r="L1902" i="3"/>
  <c r="L29" i="3"/>
  <c r="L68" i="3"/>
  <c r="Z68" i="3" s="1"/>
  <c r="L107" i="3"/>
  <c r="L153" i="3"/>
  <c r="L192" i="3"/>
  <c r="L231" i="3"/>
  <c r="L273" i="3"/>
  <c r="L310" i="3"/>
  <c r="L346" i="3"/>
  <c r="L382" i="3"/>
  <c r="L416" i="3"/>
  <c r="L450" i="3"/>
  <c r="L484" i="3"/>
  <c r="L518" i="3"/>
  <c r="L552" i="3"/>
  <c r="L585" i="3"/>
  <c r="L618" i="3"/>
  <c r="L651" i="3"/>
  <c r="L683" i="3"/>
  <c r="L715" i="3"/>
  <c r="L747" i="3"/>
  <c r="Z747" i="3" s="1"/>
  <c r="L779" i="3"/>
  <c r="Z779" i="3" s="1"/>
  <c r="L811" i="3"/>
  <c r="L843" i="3"/>
  <c r="Z843" i="3" s="1"/>
  <c r="L875" i="3"/>
  <c r="L907" i="3"/>
  <c r="L939" i="3"/>
  <c r="L971" i="3"/>
  <c r="L1003" i="3"/>
  <c r="L1035" i="3"/>
  <c r="L1067" i="3"/>
  <c r="L1099" i="3"/>
  <c r="L1131" i="3"/>
  <c r="L1163" i="3"/>
  <c r="Z1163" i="3" s="1"/>
  <c r="L1195" i="3"/>
  <c r="L1227" i="3"/>
  <c r="L1259" i="3"/>
  <c r="L1291" i="3"/>
  <c r="L1323" i="3"/>
  <c r="L1355" i="3"/>
  <c r="L1387" i="3"/>
  <c r="L1419" i="3"/>
  <c r="L1451" i="3"/>
  <c r="L1483" i="3"/>
  <c r="L1515" i="3"/>
  <c r="L1547" i="3"/>
  <c r="L1579" i="3"/>
  <c r="L1611" i="3"/>
  <c r="L1643" i="3"/>
  <c r="L1675" i="3"/>
  <c r="L1707" i="3"/>
  <c r="L1739" i="3"/>
  <c r="L1771" i="3"/>
  <c r="Z1771" i="3" s="1"/>
  <c r="L1803" i="3"/>
  <c r="Z1803" i="3" s="1"/>
  <c r="L1835" i="3"/>
  <c r="L1867" i="3"/>
  <c r="Z1867" i="3" s="1"/>
  <c r="L1899" i="3"/>
  <c r="L1931" i="3"/>
  <c r="L1963" i="3"/>
  <c r="L1995" i="3"/>
  <c r="L2027" i="3"/>
  <c r="L2059" i="3"/>
  <c r="L1774" i="3"/>
  <c r="L1998" i="3"/>
  <c r="L30" i="3"/>
  <c r="L69" i="3"/>
  <c r="Z69" i="3" s="1"/>
  <c r="L115" i="3"/>
  <c r="L154" i="3"/>
  <c r="L193" i="3"/>
  <c r="L232" i="3"/>
  <c r="L275" i="3"/>
  <c r="L311" i="3"/>
  <c r="L347" i="3"/>
  <c r="L383" i="3"/>
  <c r="L417" i="3"/>
  <c r="L451" i="3"/>
  <c r="L485" i="3"/>
  <c r="L519" i="3"/>
  <c r="L553" i="3"/>
  <c r="L586" i="3"/>
  <c r="L619" i="3"/>
  <c r="L652" i="3"/>
  <c r="L684" i="3"/>
  <c r="L716" i="3"/>
  <c r="L748" i="3"/>
  <c r="Z748" i="3" s="1"/>
  <c r="L780" i="3"/>
  <c r="Z780" i="3" s="1"/>
  <c r="L812" i="3"/>
  <c r="L844" i="3"/>
  <c r="Z844" i="3" s="1"/>
  <c r="L876" i="3"/>
  <c r="L908" i="3"/>
  <c r="L940" i="3"/>
  <c r="L972" i="3"/>
  <c r="L1004" i="3"/>
  <c r="L1036" i="3"/>
  <c r="L1068" i="3"/>
  <c r="L1100" i="3"/>
  <c r="L1132" i="3"/>
  <c r="L1164" i="3"/>
  <c r="Z1164" i="3" s="1"/>
  <c r="L1196" i="3"/>
  <c r="L1228" i="3"/>
  <c r="L1260" i="3"/>
  <c r="L1292" i="3"/>
  <c r="L1324" i="3"/>
  <c r="L1356" i="3"/>
  <c r="L1388" i="3"/>
  <c r="L1420" i="3"/>
  <c r="L1452" i="3"/>
  <c r="L1484" i="3"/>
  <c r="L1516" i="3"/>
  <c r="L1548" i="3"/>
  <c r="L1580" i="3"/>
  <c r="L1612" i="3"/>
  <c r="L1644" i="3"/>
  <c r="L1676" i="3"/>
  <c r="L1708" i="3"/>
  <c r="L1740" i="3"/>
  <c r="L1772" i="3"/>
  <c r="Z1772" i="3" s="1"/>
  <c r="L1804" i="3"/>
  <c r="Z1804" i="3" s="1"/>
  <c r="L1836" i="3"/>
  <c r="L1868" i="3"/>
  <c r="Z1868" i="3" s="1"/>
  <c r="L1900" i="3"/>
  <c r="L1932" i="3"/>
  <c r="L1964" i="3"/>
  <c r="L1996" i="3"/>
  <c r="L2028" i="3"/>
  <c r="L2060" i="3"/>
  <c r="L1678" i="3"/>
  <c r="L31" i="3"/>
  <c r="L70" i="3"/>
  <c r="L116" i="3"/>
  <c r="L155" i="3"/>
  <c r="L194" i="3"/>
  <c r="L233" i="3"/>
  <c r="L276" i="3"/>
  <c r="L312" i="3"/>
  <c r="L348" i="3"/>
  <c r="L384" i="3"/>
  <c r="L418" i="3"/>
  <c r="L452" i="3"/>
  <c r="L486" i="3"/>
  <c r="L520" i="3"/>
  <c r="L554" i="3"/>
  <c r="L587" i="3"/>
  <c r="L620" i="3"/>
  <c r="L653" i="3"/>
  <c r="L685" i="3"/>
  <c r="L717" i="3"/>
  <c r="L749" i="3"/>
  <c r="L781" i="3"/>
  <c r="Z781" i="3" s="1"/>
  <c r="L813" i="3"/>
  <c r="Z813" i="3" s="1"/>
  <c r="L845" i="3"/>
  <c r="L877" i="3"/>
  <c r="Z877" i="3" s="1"/>
  <c r="L909" i="3"/>
  <c r="L941" i="3"/>
  <c r="L973" i="3"/>
  <c r="L1005" i="3"/>
  <c r="L1037" i="3"/>
  <c r="L1069" i="3"/>
  <c r="L1101" i="3"/>
  <c r="L1133" i="3"/>
  <c r="L1165" i="3"/>
  <c r="L1197" i="3"/>
  <c r="Z1197" i="3" s="1"/>
  <c r="L1229" i="3"/>
  <c r="L1261" i="3"/>
  <c r="L1293" i="3"/>
  <c r="L1325" i="3"/>
  <c r="L1357" i="3"/>
  <c r="L1389" i="3"/>
  <c r="L1421" i="3"/>
  <c r="L1453" i="3"/>
  <c r="L1485" i="3"/>
  <c r="L1517" i="3"/>
  <c r="L1549" i="3"/>
  <c r="L1581" i="3"/>
  <c r="L1613" i="3"/>
  <c r="L1645" i="3"/>
  <c r="L1677" i="3"/>
  <c r="L1709" i="3"/>
  <c r="L1741" i="3"/>
  <c r="L1773" i="3"/>
  <c r="L1805" i="3"/>
  <c r="Z1805" i="3" s="1"/>
  <c r="L1837" i="3"/>
  <c r="Z1837" i="3" s="1"/>
  <c r="L1869" i="3"/>
  <c r="L1901" i="3"/>
  <c r="Z1901" i="3" s="1"/>
  <c r="L1933" i="3"/>
  <c r="L1965" i="3"/>
  <c r="L1997" i="3"/>
  <c r="L2029" i="3"/>
  <c r="L2061" i="3"/>
  <c r="L1710" i="3"/>
  <c r="L2062" i="3"/>
  <c r="L32" i="3"/>
  <c r="L71" i="3"/>
  <c r="L117" i="3"/>
  <c r="Z117" i="3" s="1"/>
  <c r="L156" i="3"/>
  <c r="L195" i="3"/>
  <c r="L234" i="3"/>
  <c r="L277" i="3"/>
  <c r="L313" i="3"/>
  <c r="L349" i="3"/>
  <c r="L385" i="3"/>
  <c r="L419" i="3"/>
  <c r="L453" i="3"/>
  <c r="L487" i="3"/>
  <c r="L521" i="3"/>
  <c r="L555" i="3"/>
  <c r="L588" i="3"/>
  <c r="L622" i="3"/>
  <c r="L654" i="3"/>
  <c r="L686" i="3"/>
  <c r="L718" i="3"/>
  <c r="L750" i="3"/>
  <c r="L782" i="3"/>
  <c r="Z782" i="3" s="1"/>
  <c r="L814" i="3"/>
  <c r="Z814" i="3" s="1"/>
  <c r="L846" i="3"/>
  <c r="L878" i="3"/>
  <c r="Z878" i="3" s="1"/>
  <c r="L910" i="3"/>
  <c r="L942" i="3"/>
  <c r="L974" i="3"/>
  <c r="L1006" i="3"/>
  <c r="L1038" i="3"/>
  <c r="L1070" i="3"/>
  <c r="L1102" i="3"/>
  <c r="L1134" i="3"/>
  <c r="L1166" i="3"/>
  <c r="L1198" i="3"/>
  <c r="Z1198" i="3" s="1"/>
  <c r="L1230" i="3"/>
  <c r="L1262" i="3"/>
  <c r="L1294" i="3"/>
  <c r="L1326" i="3"/>
  <c r="L1358" i="3"/>
  <c r="L1390" i="3"/>
  <c r="L1422" i="3"/>
  <c r="L1454" i="3"/>
  <c r="L1486" i="3"/>
  <c r="L1518" i="3"/>
  <c r="L1550" i="3"/>
  <c r="L1582" i="3"/>
  <c r="L1614" i="3"/>
  <c r="L1646" i="3"/>
  <c r="L1742" i="3"/>
  <c r="L1870" i="3"/>
  <c r="L1934" i="3"/>
  <c r="L1966" i="3"/>
  <c r="L2030" i="3"/>
  <c r="Z2030" i="3" s="1"/>
  <c r="L33" i="3"/>
  <c r="Z33" i="3" s="1"/>
  <c r="L72" i="3"/>
  <c r="L118" i="3"/>
  <c r="Z118" i="3" s="1"/>
  <c r="L157" i="3"/>
  <c r="L196" i="3"/>
  <c r="L235" i="3"/>
  <c r="L278" i="3"/>
  <c r="L314" i="3"/>
  <c r="L350" i="3"/>
  <c r="L386" i="3"/>
  <c r="L420" i="3"/>
  <c r="L454" i="3"/>
  <c r="L488" i="3"/>
  <c r="Z488" i="3" s="1"/>
  <c r="L522" i="3"/>
  <c r="L556" i="3"/>
  <c r="L590" i="3"/>
  <c r="L623" i="3"/>
  <c r="L655" i="3"/>
  <c r="L687" i="3"/>
  <c r="L719" i="3"/>
  <c r="L751" i="3"/>
  <c r="L783" i="3"/>
  <c r="L815" i="3"/>
  <c r="L847" i="3"/>
  <c r="L879" i="3"/>
  <c r="L911" i="3"/>
  <c r="L943" i="3"/>
  <c r="L975" i="3"/>
  <c r="L1007" i="3"/>
  <c r="L1039" i="3"/>
  <c r="L1071" i="3"/>
  <c r="L1103" i="3"/>
  <c r="Z1103" i="3" s="1"/>
  <c r="L1135" i="3"/>
  <c r="Z1135" i="3" s="1"/>
  <c r="L1167" i="3"/>
  <c r="L1199" i="3"/>
  <c r="Z1199" i="3" s="1"/>
  <c r="L1231" i="3"/>
  <c r="L1263" i="3"/>
  <c r="L1295" i="3"/>
  <c r="L1327" i="3"/>
  <c r="L1359" i="3"/>
  <c r="L1391" i="3"/>
  <c r="L1423" i="3"/>
  <c r="L1455" i="3"/>
  <c r="L1487" i="3"/>
  <c r="L1519" i="3"/>
  <c r="Z1519" i="3" s="1"/>
  <c r="L1551" i="3"/>
  <c r="L1583" i="3"/>
  <c r="L1615" i="3"/>
  <c r="L1647" i="3"/>
  <c r="L1679" i="3"/>
  <c r="L1711" i="3"/>
  <c r="L1743" i="3"/>
  <c r="L1775" i="3"/>
  <c r="L1807" i="3"/>
  <c r="L1839" i="3"/>
  <c r="L1871" i="3"/>
  <c r="L34" i="3"/>
  <c r="L73" i="3"/>
  <c r="L119" i="3"/>
  <c r="L158" i="3"/>
  <c r="L197" i="3"/>
  <c r="L243" i="3"/>
  <c r="L279" i="3"/>
  <c r="L315" i="3"/>
  <c r="Z315" i="3" s="1"/>
  <c r="L351" i="3"/>
  <c r="Z351" i="3" s="1"/>
  <c r="L387" i="3"/>
  <c r="L421" i="3"/>
  <c r="Z421" i="3" s="1"/>
  <c r="L455" i="3"/>
  <c r="L489" i="3"/>
  <c r="L523" i="3"/>
  <c r="L558" i="3"/>
  <c r="L591" i="3"/>
  <c r="L624" i="3"/>
  <c r="L656" i="3"/>
  <c r="L688" i="3"/>
  <c r="L720" i="3"/>
  <c r="L752" i="3"/>
  <c r="Z752" i="3" s="1"/>
  <c r="L784" i="3"/>
  <c r="L816" i="3"/>
  <c r="L848" i="3"/>
  <c r="L880" i="3"/>
  <c r="L912" i="3"/>
  <c r="L944" i="3"/>
  <c r="L976" i="3"/>
  <c r="L1008" i="3"/>
  <c r="L1040" i="3"/>
  <c r="L1072" i="3"/>
  <c r="L1104" i="3"/>
  <c r="L1136" i="3"/>
  <c r="L1168" i="3"/>
  <c r="L1200" i="3"/>
  <c r="L1232" i="3"/>
  <c r="L1264" i="3"/>
  <c r="L1296" i="3"/>
  <c r="L1328" i="3"/>
  <c r="L1360" i="3"/>
  <c r="Z1360" i="3" s="1"/>
  <c r="L1392" i="3"/>
  <c r="L1424" i="3"/>
  <c r="L1456" i="3"/>
  <c r="Z1456" i="3" s="1"/>
  <c r="L1488" i="3"/>
  <c r="L1520" i="3"/>
  <c r="L1552" i="3"/>
  <c r="L1584" i="3"/>
  <c r="L1616" i="3"/>
  <c r="L1648" i="3"/>
  <c r="L1680" i="3"/>
  <c r="L1712" i="3"/>
  <c r="L1744" i="3"/>
  <c r="L1776" i="3"/>
  <c r="L1808" i="3"/>
  <c r="L1840" i="3"/>
  <c r="L1872" i="3"/>
  <c r="L1904" i="3"/>
  <c r="L35" i="3"/>
  <c r="L74" i="3"/>
  <c r="L120" i="3"/>
  <c r="L159" i="3"/>
  <c r="L198" i="3"/>
  <c r="L244" i="3"/>
  <c r="L280" i="3"/>
  <c r="L316" i="3"/>
  <c r="L352" i="3"/>
  <c r="L388" i="3"/>
  <c r="L422" i="3"/>
  <c r="L456" i="3"/>
  <c r="L490" i="3"/>
  <c r="L526" i="3"/>
  <c r="L559" i="3"/>
  <c r="Z559" i="3" s="1"/>
  <c r="L592" i="3"/>
  <c r="Z592" i="3" s="1"/>
  <c r="L625" i="3"/>
  <c r="L657" i="3"/>
  <c r="Z657" i="3" s="1"/>
  <c r="L689" i="3"/>
  <c r="L721" i="3"/>
  <c r="L753" i="3"/>
  <c r="L785" i="3"/>
  <c r="L817" i="3"/>
  <c r="L849" i="3"/>
  <c r="L881" i="3"/>
  <c r="L913" i="3"/>
  <c r="L945" i="3"/>
  <c r="L977" i="3"/>
  <c r="Z977" i="3" s="1"/>
  <c r="L1009" i="3"/>
  <c r="L1041" i="3"/>
  <c r="L1073" i="3"/>
  <c r="L1105" i="3"/>
  <c r="L1137" i="3"/>
  <c r="L1169" i="3"/>
  <c r="L1201" i="3"/>
  <c r="L1233" i="3"/>
  <c r="L1265" i="3"/>
  <c r="L1297" i="3"/>
  <c r="L1329" i="3"/>
  <c r="L1361" i="3"/>
  <c r="L1393" i="3"/>
  <c r="L1425" i="3"/>
  <c r="L1457" i="3"/>
  <c r="L1489" i="3"/>
  <c r="L1521" i="3"/>
  <c r="L1553" i="3"/>
  <c r="L1585" i="3"/>
  <c r="Z1585" i="3" s="1"/>
  <c r="L1617" i="3"/>
  <c r="Z1617" i="3" s="1"/>
  <c r="L1649" i="3"/>
  <c r="L1681" i="3"/>
  <c r="Z1681" i="3" s="1"/>
  <c r="L1713" i="3"/>
  <c r="L1745" i="3"/>
  <c r="L1777" i="3"/>
  <c r="L1809" i="3"/>
  <c r="L1841" i="3"/>
  <c r="L1873" i="3"/>
  <c r="L1905" i="3"/>
  <c r="L36" i="3"/>
  <c r="L75" i="3"/>
  <c r="L121" i="3"/>
  <c r="Z121" i="3" s="1"/>
  <c r="L160" i="3"/>
  <c r="L199" i="3"/>
  <c r="L245" i="3"/>
  <c r="L281" i="3"/>
  <c r="L317" i="3"/>
  <c r="L353" i="3"/>
  <c r="L389" i="3"/>
  <c r="L423" i="3"/>
  <c r="L457" i="3"/>
  <c r="L491" i="3"/>
  <c r="L527" i="3"/>
  <c r="L560" i="3"/>
  <c r="L593" i="3"/>
  <c r="L626" i="3"/>
  <c r="L658" i="3"/>
  <c r="L690" i="3"/>
  <c r="L722" i="3"/>
  <c r="L754" i="3"/>
  <c r="L786" i="3"/>
  <c r="Z786" i="3" s="1"/>
  <c r="L818" i="3"/>
  <c r="Z818" i="3" s="1"/>
  <c r="L850" i="3"/>
  <c r="L882" i="3"/>
  <c r="Z882" i="3" s="1"/>
  <c r="L914" i="3"/>
  <c r="L946" i="3"/>
  <c r="L978" i="3"/>
  <c r="L1010" i="3"/>
  <c r="L1042" i="3"/>
  <c r="L1074" i="3"/>
  <c r="L1106" i="3"/>
  <c r="L1138" i="3"/>
  <c r="L1170" i="3"/>
  <c r="L1202" i="3"/>
  <c r="Z1202" i="3" s="1"/>
  <c r="L1234" i="3"/>
  <c r="L1266" i="3"/>
  <c r="L1298" i="3"/>
  <c r="L1330" i="3"/>
  <c r="L1362" i="3"/>
  <c r="L1394" i="3"/>
  <c r="L1426" i="3"/>
  <c r="L1458" i="3"/>
  <c r="L1490" i="3"/>
  <c r="L1522" i="3"/>
  <c r="L1554" i="3"/>
  <c r="L1586" i="3"/>
  <c r="L1618" i="3"/>
  <c r="L1650" i="3"/>
  <c r="L1682" i="3"/>
  <c r="L1714" i="3"/>
  <c r="L1746" i="3"/>
  <c r="L1778" i="3"/>
  <c r="L1810" i="3"/>
  <c r="Z1810" i="3" s="1"/>
  <c r="L1842" i="3"/>
  <c r="Z1842" i="3" s="1"/>
  <c r="L1874" i="3"/>
  <c r="L1906" i="3"/>
  <c r="Z1906" i="3" s="1"/>
  <c r="L37" i="3"/>
  <c r="L83" i="3"/>
  <c r="L122" i="3"/>
  <c r="L161" i="3"/>
  <c r="L200" i="3"/>
  <c r="L246" i="3"/>
  <c r="L282" i="3"/>
  <c r="L318" i="3"/>
  <c r="L354" i="3"/>
  <c r="L390" i="3"/>
  <c r="Z390" i="3" s="1"/>
  <c r="L424" i="3"/>
  <c r="L458" i="3"/>
  <c r="L494" i="3"/>
  <c r="L528" i="3"/>
  <c r="L561" i="3"/>
  <c r="L594" i="3"/>
  <c r="L627" i="3"/>
  <c r="L659" i="3"/>
  <c r="L691" i="3"/>
  <c r="L723" i="3"/>
  <c r="L755" i="3"/>
  <c r="L787" i="3"/>
  <c r="L819" i="3"/>
  <c r="L851" i="3"/>
  <c r="L883" i="3"/>
  <c r="L915" i="3"/>
  <c r="L947" i="3"/>
  <c r="L979" i="3"/>
  <c r="L1011" i="3"/>
  <c r="Z1011" i="3" s="1"/>
  <c r="L1043" i="3"/>
  <c r="Z1043" i="3" s="1"/>
  <c r="L1075" i="3"/>
  <c r="L1107" i="3"/>
  <c r="Z1107" i="3" s="1"/>
  <c r="L1139" i="3"/>
  <c r="L1171" i="3"/>
  <c r="L1203" i="3"/>
  <c r="L1235" i="3"/>
  <c r="L1267" i="3"/>
  <c r="L1299" i="3"/>
  <c r="L1331" i="3"/>
  <c r="L1363" i="3"/>
  <c r="L1395" i="3"/>
  <c r="L1427" i="3"/>
  <c r="L1459" i="3"/>
  <c r="L1491" i="3"/>
  <c r="L1523" i="3"/>
  <c r="L1555" i="3"/>
  <c r="L1587" i="3"/>
  <c r="L1619" i="3"/>
  <c r="L1651" i="3"/>
  <c r="L1683" i="3"/>
  <c r="L1715" i="3"/>
  <c r="L1747" i="3"/>
  <c r="L1779" i="3"/>
  <c r="L1811" i="3"/>
  <c r="L1843" i="3"/>
  <c r="L1875" i="3"/>
  <c r="L38" i="3"/>
  <c r="L84" i="3"/>
  <c r="L123" i="3"/>
  <c r="L162" i="3"/>
  <c r="L201" i="3"/>
  <c r="Z201" i="3" s="1"/>
  <c r="L247" i="3"/>
  <c r="Z247" i="3" s="1"/>
  <c r="L283" i="3"/>
  <c r="L319" i="3"/>
  <c r="Z319" i="3" s="1"/>
  <c r="L355" i="3"/>
  <c r="L391" i="3"/>
  <c r="L425" i="3"/>
  <c r="L459" i="3"/>
  <c r="L495" i="3"/>
  <c r="L529" i="3"/>
  <c r="L562" i="3"/>
  <c r="L595" i="3"/>
  <c r="L628" i="3"/>
  <c r="L660" i="3"/>
  <c r="Z660" i="3" s="1"/>
  <c r="L692" i="3"/>
  <c r="L724" i="3"/>
  <c r="L756" i="3"/>
  <c r="L788" i="3"/>
  <c r="L820" i="3"/>
  <c r="L852" i="3"/>
  <c r="L884" i="3"/>
  <c r="L916" i="3"/>
  <c r="L948" i="3"/>
  <c r="L980" i="3"/>
  <c r="L1012" i="3"/>
  <c r="L1044" i="3"/>
  <c r="L1076" i="3"/>
  <c r="L1108" i="3"/>
  <c r="L1140" i="3"/>
  <c r="L1172" i="3"/>
  <c r="L1204" i="3"/>
  <c r="L1236" i="3"/>
  <c r="L1268" i="3"/>
  <c r="Z1268" i="3" s="1"/>
  <c r="L1300" i="3"/>
  <c r="Z1300" i="3" s="1"/>
  <c r="L1332" i="3"/>
  <c r="L1364" i="3"/>
  <c r="Z1364" i="3" s="1"/>
  <c r="L1396" i="3"/>
  <c r="L1428" i="3"/>
  <c r="L1460" i="3"/>
  <c r="L1492" i="3"/>
  <c r="L1524" i="3"/>
  <c r="L1556" i="3"/>
  <c r="L1588" i="3"/>
  <c r="L1620" i="3"/>
  <c r="L1652" i="3"/>
  <c r="L1684" i="3"/>
  <c r="L1716" i="3"/>
  <c r="L1748" i="3"/>
  <c r="L1780" i="3"/>
  <c r="L1812" i="3"/>
  <c r="L1844" i="3"/>
  <c r="L1876" i="3"/>
  <c r="L39" i="3"/>
  <c r="L85" i="3"/>
  <c r="L124" i="3"/>
  <c r="L163" i="3"/>
  <c r="L202" i="3"/>
  <c r="L248" i="3"/>
  <c r="L284" i="3"/>
  <c r="L320" i="3"/>
  <c r="L356" i="3"/>
  <c r="L392" i="3"/>
  <c r="L426" i="3"/>
  <c r="L462" i="3"/>
  <c r="L496" i="3"/>
  <c r="Z496" i="3" s="1"/>
  <c r="L530" i="3"/>
  <c r="Z530" i="3" s="1"/>
  <c r="L563" i="3"/>
  <c r="L596" i="3"/>
  <c r="Z596" i="3" s="1"/>
  <c r="L629" i="3"/>
  <c r="L661" i="3"/>
  <c r="L693" i="3"/>
  <c r="L725" i="3"/>
  <c r="L757" i="3"/>
  <c r="L789" i="3"/>
  <c r="L821" i="3"/>
  <c r="L853" i="3"/>
  <c r="L885" i="3"/>
  <c r="L917" i="3"/>
  <c r="Z917" i="3" s="1"/>
  <c r="L949" i="3"/>
  <c r="L981" i="3"/>
  <c r="L1013" i="3"/>
  <c r="L1045" i="3"/>
  <c r="L1077" i="3"/>
  <c r="L1109" i="3"/>
  <c r="L1141" i="3"/>
  <c r="L1173" i="3"/>
  <c r="L1205" i="3"/>
  <c r="L1237" i="3"/>
  <c r="L1269" i="3"/>
  <c r="L1301" i="3"/>
  <c r="L1333" i="3"/>
  <c r="L1365" i="3"/>
  <c r="L1397" i="3"/>
  <c r="L1429" i="3"/>
  <c r="L1461" i="3"/>
  <c r="L1493" i="3"/>
  <c r="L1525" i="3"/>
  <c r="Z1525" i="3" s="1"/>
  <c r="L1557" i="3"/>
  <c r="Z1557" i="3" s="1"/>
  <c r="L1589" i="3"/>
  <c r="L1621" i="3"/>
  <c r="L1653" i="3"/>
  <c r="L1685" i="3"/>
  <c r="L1717" i="3"/>
  <c r="L1749" i="3"/>
  <c r="L1781" i="3"/>
  <c r="L1813" i="3"/>
  <c r="L1845" i="3"/>
  <c r="L1877" i="3"/>
  <c r="L1909" i="3"/>
  <c r="L1941" i="3"/>
  <c r="Z1941" i="3" s="1"/>
  <c r="L40" i="3"/>
  <c r="L86" i="3"/>
  <c r="L125" i="3"/>
  <c r="L164" i="3"/>
  <c r="L203" i="3"/>
  <c r="L249" i="3"/>
  <c r="L285" i="3"/>
  <c r="L321" i="3"/>
  <c r="L357" i="3"/>
  <c r="L393" i="3"/>
  <c r="L427" i="3"/>
  <c r="L463" i="3"/>
  <c r="L497" i="3"/>
  <c r="L531" i="3"/>
  <c r="L564" i="3"/>
  <c r="L597" i="3"/>
  <c r="L630" i="3"/>
  <c r="L662" i="3"/>
  <c r="L694" i="3"/>
  <c r="Z694" i="3" s="1"/>
  <c r="L726" i="3"/>
  <c r="Z726" i="3" s="1"/>
  <c r="L758" i="3"/>
  <c r="L790" i="3"/>
  <c r="Z790" i="3" s="1"/>
  <c r="L822" i="3"/>
  <c r="L854" i="3"/>
  <c r="L886" i="3"/>
  <c r="L918" i="3"/>
  <c r="L950" i="3"/>
  <c r="L982" i="3"/>
  <c r="L1014" i="3"/>
  <c r="L1046" i="3"/>
  <c r="L1078" i="3"/>
  <c r="L1110" i="3"/>
  <c r="Z1110" i="3" s="1"/>
  <c r="L1142" i="3"/>
  <c r="L1174" i="3"/>
  <c r="L1206" i="3"/>
  <c r="L1238" i="3"/>
  <c r="L1270" i="3"/>
  <c r="L1302" i="3"/>
  <c r="L1334" i="3"/>
  <c r="L1366" i="3"/>
  <c r="L1398" i="3"/>
  <c r="L1430" i="3"/>
  <c r="L1462" i="3"/>
  <c r="L41" i="3"/>
  <c r="L87" i="3"/>
  <c r="L126" i="3"/>
  <c r="L165" i="3"/>
  <c r="L211" i="3"/>
  <c r="L250" i="3"/>
  <c r="L286" i="3"/>
  <c r="L322" i="3"/>
  <c r="Z322" i="3" s="1"/>
  <c r="L358" i="3"/>
  <c r="Z358" i="3" s="1"/>
  <c r="L394" i="3"/>
  <c r="L430" i="3"/>
  <c r="Z430" i="3" s="1"/>
  <c r="L464" i="3"/>
  <c r="L498" i="3"/>
  <c r="L532" i="3"/>
  <c r="L565" i="3"/>
  <c r="L598" i="3"/>
  <c r="L631" i="3"/>
  <c r="L663" i="3"/>
  <c r="L695" i="3"/>
  <c r="L727" i="3"/>
  <c r="L759" i="3"/>
  <c r="Z759" i="3" s="1"/>
  <c r="L791" i="3"/>
  <c r="L823" i="3"/>
  <c r="L855" i="3"/>
  <c r="L887" i="3"/>
  <c r="L919" i="3"/>
  <c r="L951" i="3"/>
  <c r="L983" i="3"/>
  <c r="L1015" i="3"/>
  <c r="L1047" i="3"/>
  <c r="L1079" i="3"/>
  <c r="L1111" i="3"/>
  <c r="L1143" i="3"/>
  <c r="L1175" i="3"/>
  <c r="L1207" i="3"/>
  <c r="L1239" i="3"/>
  <c r="L1271" i="3"/>
  <c r="L1303" i="3"/>
  <c r="L1335" i="3"/>
  <c r="L1367" i="3"/>
  <c r="Z1367" i="3" s="1"/>
  <c r="L1399" i="3"/>
  <c r="Z1399" i="3" s="1"/>
  <c r="L1431" i="3"/>
  <c r="L1463" i="3"/>
  <c r="Z1463" i="3" s="1"/>
  <c r="L42" i="3"/>
  <c r="L88" i="3"/>
  <c r="L127" i="3"/>
  <c r="L166" i="3"/>
  <c r="L212" i="3"/>
  <c r="L251" i="3"/>
  <c r="L287" i="3"/>
  <c r="L323" i="3"/>
  <c r="L359" i="3"/>
  <c r="L395" i="3"/>
  <c r="L431" i="3"/>
  <c r="L465" i="3"/>
  <c r="L499" i="3"/>
  <c r="L533" i="3"/>
  <c r="L566" i="3"/>
  <c r="L599" i="3"/>
  <c r="L632" i="3"/>
  <c r="L664" i="3"/>
  <c r="L696" i="3"/>
  <c r="L728" i="3"/>
  <c r="L760" i="3"/>
  <c r="L792" i="3"/>
  <c r="L824" i="3"/>
  <c r="L856" i="3"/>
  <c r="L888" i="3"/>
  <c r="L920" i="3"/>
  <c r="L952" i="3"/>
  <c r="L984" i="3"/>
  <c r="L1016" i="3"/>
  <c r="Z1016" i="3" s="1"/>
  <c r="L1048" i="3"/>
  <c r="Z1048" i="3" s="1"/>
  <c r="L1080" i="3"/>
  <c r="L1112" i="3"/>
  <c r="Z1112" i="3" s="1"/>
  <c r="L1144" i="3"/>
  <c r="L1176" i="3"/>
  <c r="L1208" i="3"/>
  <c r="L1240" i="3"/>
  <c r="L1272" i="3"/>
  <c r="L1304" i="3"/>
  <c r="L1336" i="3"/>
  <c r="L1368" i="3"/>
  <c r="L1400" i="3"/>
  <c r="L1432" i="3"/>
  <c r="Z1432" i="3" s="1"/>
  <c r="L1464" i="3"/>
  <c r="L1496" i="3"/>
  <c r="L1528" i="3"/>
  <c r="L1560" i="3"/>
  <c r="L1592" i="3"/>
  <c r="L1624" i="3"/>
  <c r="L1656" i="3"/>
  <c r="L1688" i="3"/>
  <c r="L1720" i="3"/>
  <c r="L1752" i="3"/>
  <c r="L1784" i="3"/>
  <c r="L43" i="3"/>
  <c r="L89" i="3"/>
  <c r="L128" i="3"/>
  <c r="L167" i="3"/>
  <c r="L213" i="3"/>
  <c r="L252" i="3"/>
  <c r="L288" i="3"/>
  <c r="L324" i="3"/>
  <c r="Z324" i="3" s="1"/>
  <c r="L360" i="3"/>
  <c r="Z360" i="3" s="1"/>
  <c r="L398" i="3"/>
  <c r="L432" i="3"/>
  <c r="Z432" i="3" s="1"/>
  <c r="L466" i="3"/>
  <c r="L500" i="3"/>
  <c r="L534" i="3"/>
  <c r="L567" i="3"/>
  <c r="L600" i="3"/>
  <c r="L633" i="3"/>
  <c r="L665" i="3"/>
  <c r="L697" i="3"/>
  <c r="L729" i="3"/>
  <c r="L761" i="3"/>
  <c r="L793" i="3"/>
  <c r="L825" i="3"/>
  <c r="L857" i="3"/>
  <c r="L889" i="3"/>
  <c r="L921" i="3"/>
  <c r="L953" i="3"/>
  <c r="L985" i="3"/>
  <c r="L1017" i="3"/>
  <c r="L1049" i="3"/>
  <c r="L1081" i="3"/>
  <c r="L1113" i="3"/>
  <c r="L1145" i="3"/>
  <c r="L1177" i="3"/>
  <c r="L1209" i="3"/>
  <c r="L1241" i="3"/>
  <c r="L1273" i="3"/>
  <c r="L1305" i="3"/>
  <c r="L1337" i="3"/>
  <c r="L1369" i="3"/>
  <c r="Z1369" i="3" s="1"/>
  <c r="L1401" i="3"/>
  <c r="Z1401" i="3" s="1"/>
  <c r="L1433" i="3"/>
  <c r="L1465" i="3"/>
  <c r="Z1465" i="3" s="1"/>
  <c r="L1497" i="3"/>
  <c r="L1529" i="3"/>
  <c r="L1561" i="3"/>
  <c r="L1593" i="3"/>
  <c r="L1625" i="3"/>
  <c r="L1657" i="3"/>
  <c r="L1689" i="3"/>
  <c r="L1721" i="3"/>
  <c r="L51" i="3"/>
  <c r="L90" i="3"/>
  <c r="Z90" i="3" s="1"/>
  <c r="L129" i="3"/>
  <c r="L168" i="3"/>
  <c r="L214" i="3"/>
  <c r="L253" i="3"/>
  <c r="L289" i="3"/>
  <c r="L325" i="3"/>
  <c r="L361" i="3"/>
  <c r="L399" i="3"/>
  <c r="L433" i="3"/>
  <c r="L467" i="3"/>
  <c r="L501" i="3"/>
  <c r="L535" i="3"/>
  <c r="L568" i="3"/>
  <c r="L601" i="3"/>
  <c r="L634" i="3"/>
  <c r="L666" i="3"/>
  <c r="L698" i="3"/>
  <c r="L730" i="3"/>
  <c r="L762" i="3"/>
  <c r="Z762" i="3" s="1"/>
  <c r="L794" i="3"/>
  <c r="Z794" i="3" s="1"/>
  <c r="L826" i="3"/>
  <c r="L858" i="3"/>
  <c r="Z858" i="3" s="1"/>
  <c r="L890" i="3"/>
  <c r="L922" i="3"/>
  <c r="L954" i="3"/>
  <c r="L986" i="3"/>
  <c r="L1018" i="3"/>
  <c r="L1050" i="3"/>
  <c r="L1082" i="3"/>
  <c r="L1114" i="3"/>
  <c r="L1146" i="3"/>
  <c r="L1178" i="3"/>
  <c r="Z1178" i="3" s="1"/>
  <c r="L1210" i="3"/>
  <c r="L1242" i="3"/>
  <c r="L1274" i="3"/>
  <c r="L1306" i="3"/>
  <c r="L1338" i="3"/>
  <c r="L1370" i="3"/>
  <c r="L1402" i="3"/>
  <c r="L1434" i="3"/>
  <c r="L1466" i="3"/>
  <c r="L1498" i="3"/>
  <c r="L1530" i="3"/>
  <c r="L1562" i="3"/>
  <c r="L1594" i="3"/>
  <c r="L1626" i="3"/>
  <c r="L1658" i="3"/>
  <c r="L1690" i="3"/>
  <c r="L1722" i="3"/>
  <c r="L1754" i="3"/>
  <c r="L52" i="3"/>
  <c r="Z52" i="3" s="1"/>
  <c r="L91" i="3"/>
  <c r="Z91" i="3" s="1"/>
  <c r="L130" i="3"/>
  <c r="L169" i="3"/>
  <c r="Z169" i="3" s="1"/>
  <c r="L215" i="3"/>
  <c r="L254" i="3"/>
  <c r="L290" i="3"/>
  <c r="L326" i="3"/>
  <c r="L362" i="3"/>
  <c r="L400" i="3"/>
  <c r="L434" i="3"/>
  <c r="L468" i="3"/>
  <c r="L502" i="3"/>
  <c r="L536" i="3"/>
  <c r="L569" i="3"/>
  <c r="L602" i="3"/>
  <c r="L635" i="3"/>
  <c r="L667" i="3"/>
  <c r="L699" i="3"/>
  <c r="L731" i="3"/>
  <c r="L763" i="3"/>
  <c r="L795" i="3"/>
  <c r="L827" i="3"/>
  <c r="L859" i="3"/>
  <c r="L891" i="3"/>
  <c r="L923" i="3"/>
  <c r="L955" i="3"/>
  <c r="L987" i="3"/>
  <c r="L1019" i="3"/>
  <c r="L1051" i="3"/>
  <c r="L1083" i="3"/>
  <c r="L1115" i="3"/>
  <c r="L1147" i="3"/>
  <c r="Z1147" i="3" s="1"/>
  <c r="L1179" i="3"/>
  <c r="Z1179" i="3" s="1"/>
  <c r="L1211" i="3"/>
  <c r="L1243" i="3"/>
  <c r="Z1243" i="3" s="1"/>
  <c r="L1275" i="3"/>
  <c r="L1307" i="3"/>
  <c r="L1339" i="3"/>
  <c r="L1371" i="3"/>
  <c r="L1403" i="3"/>
  <c r="L1435" i="3"/>
  <c r="L1467" i="3"/>
  <c r="L1499" i="3"/>
  <c r="L1531" i="3"/>
  <c r="L1563" i="3"/>
  <c r="Z1563" i="3" s="1"/>
  <c r="L1595" i="3"/>
  <c r="L1627" i="3"/>
  <c r="L1659" i="3"/>
  <c r="L1691" i="3"/>
  <c r="L1723" i="3"/>
  <c r="L1755" i="3"/>
  <c r="L53" i="3"/>
  <c r="L92" i="3"/>
  <c r="L131" i="3"/>
  <c r="L170" i="3"/>
  <c r="L216" i="3"/>
  <c r="L255" i="3"/>
  <c r="L291" i="3"/>
  <c r="L327" i="3"/>
  <c r="L363" i="3"/>
  <c r="L401" i="3"/>
  <c r="L435" i="3"/>
  <c r="L469" i="3"/>
  <c r="L503" i="3"/>
  <c r="Z503" i="3" s="1"/>
  <c r="L537" i="3"/>
  <c r="Z537" i="3" s="1"/>
  <c r="L570" i="3"/>
  <c r="L603" i="3"/>
  <c r="Z603" i="3" s="1"/>
  <c r="L636" i="3"/>
  <c r="L668" i="3"/>
  <c r="L700" i="3"/>
  <c r="L732" i="3"/>
  <c r="L764" i="3"/>
  <c r="L796" i="3"/>
  <c r="L828" i="3"/>
  <c r="L860" i="3"/>
  <c r="L892" i="3"/>
  <c r="L924" i="3"/>
  <c r="Z924" i="3" s="1"/>
  <c r="L956" i="3"/>
  <c r="L988" i="3"/>
  <c r="L1020" i="3"/>
  <c r="L1052" i="3"/>
  <c r="L1084" i="3"/>
  <c r="L1116" i="3"/>
  <c r="L1148" i="3"/>
  <c r="L1180" i="3"/>
  <c r="L1212" i="3"/>
  <c r="L1244" i="3"/>
  <c r="L1276" i="3"/>
  <c r="L1308" i="3"/>
  <c r="L1340" i="3"/>
  <c r="L1372" i="3"/>
  <c r="L1404" i="3"/>
  <c r="L1436" i="3"/>
  <c r="L1468" i="3"/>
  <c r="L1500" i="3"/>
  <c r="L1532" i="3"/>
  <c r="Z1532" i="3" s="1"/>
  <c r="L1564" i="3"/>
  <c r="Z1564" i="3" s="1"/>
  <c r="L1596" i="3"/>
  <c r="L1628" i="3"/>
  <c r="Z1628" i="3" s="1"/>
  <c r="L1660" i="3"/>
  <c r="L1692" i="3"/>
  <c r="L1724" i="3"/>
  <c r="L8" i="3"/>
  <c r="L54" i="3"/>
  <c r="L93" i="3"/>
  <c r="L132" i="3"/>
  <c r="L171" i="3"/>
  <c r="L217" i="3"/>
  <c r="L256" i="3"/>
  <c r="L292" i="3"/>
  <c r="L328" i="3"/>
  <c r="L367" i="3"/>
  <c r="L402" i="3"/>
  <c r="L436" i="3"/>
  <c r="L470" i="3"/>
  <c r="L504" i="3"/>
  <c r="L538" i="3"/>
  <c r="L571" i="3"/>
  <c r="L604" i="3"/>
  <c r="L637" i="3"/>
  <c r="L669" i="3"/>
  <c r="L701" i="3"/>
  <c r="L733" i="3"/>
  <c r="L765" i="3"/>
  <c r="L797" i="3"/>
  <c r="L829" i="3"/>
  <c r="L861" i="3"/>
  <c r="L893" i="3"/>
  <c r="Z893" i="3" s="1"/>
  <c r="L925" i="3"/>
  <c r="Z925" i="3" s="1"/>
  <c r="L957" i="3"/>
  <c r="L989" i="3"/>
  <c r="Z989" i="3" s="1"/>
  <c r="L1021" i="3"/>
  <c r="L1053" i="3"/>
  <c r="L1085" i="3"/>
  <c r="L1117" i="3"/>
  <c r="L1149" i="3"/>
  <c r="L1181" i="3"/>
  <c r="L1213" i="3"/>
  <c r="L1245" i="3"/>
  <c r="L1277" i="3"/>
  <c r="L1309" i="3"/>
  <c r="Z1309" i="3" s="1"/>
  <c r="L1341" i="3"/>
  <c r="L1373" i="3"/>
  <c r="L1405" i="3"/>
  <c r="L1437" i="3"/>
  <c r="L1469" i="3"/>
  <c r="L1501" i="3"/>
  <c r="L1533" i="3"/>
  <c r="L1565" i="3"/>
  <c r="L1597" i="3"/>
  <c r="L1629" i="3"/>
  <c r="L1661" i="3"/>
  <c r="L1693" i="3"/>
  <c r="L1725" i="3"/>
  <c r="L9" i="3"/>
  <c r="L55" i="3"/>
  <c r="L94" i="3"/>
  <c r="L133" i="3"/>
  <c r="L179" i="3"/>
  <c r="L218" i="3"/>
  <c r="Z218" i="3" s="1"/>
  <c r="L257" i="3"/>
  <c r="Z257" i="3" s="1"/>
  <c r="L293" i="3"/>
  <c r="L329" i="3"/>
  <c r="Z329" i="3" s="1"/>
  <c r="L368" i="3"/>
  <c r="L403" i="3"/>
  <c r="L437" i="3"/>
  <c r="L471" i="3"/>
  <c r="L505" i="3"/>
  <c r="L539" i="3"/>
  <c r="L572" i="3"/>
  <c r="L605" i="3"/>
  <c r="L638" i="3"/>
  <c r="L670" i="3"/>
  <c r="Z670" i="3" s="1"/>
  <c r="L702" i="3"/>
  <c r="L734" i="3"/>
  <c r="L766" i="3"/>
  <c r="L798" i="3"/>
  <c r="L830" i="3"/>
  <c r="L862" i="3"/>
  <c r="L894" i="3"/>
  <c r="L926" i="3"/>
  <c r="L958" i="3"/>
  <c r="L990" i="3"/>
  <c r="L1022" i="3"/>
  <c r="L1054" i="3"/>
  <c r="L1086" i="3"/>
  <c r="L1118" i="3"/>
  <c r="L1150" i="3"/>
  <c r="L1182" i="3"/>
  <c r="L1214" i="3"/>
  <c r="L1246" i="3"/>
  <c r="L1278" i="3"/>
  <c r="Z1278" i="3" s="1"/>
  <c r="L1310" i="3"/>
  <c r="Z1310" i="3" s="1"/>
  <c r="L1342" i="3"/>
  <c r="L1374" i="3"/>
  <c r="Z1374" i="3" s="1"/>
  <c r="L10" i="3"/>
  <c r="L56" i="3"/>
  <c r="L95" i="3"/>
  <c r="L134" i="3"/>
  <c r="L180" i="3"/>
  <c r="L219" i="3"/>
  <c r="L258" i="3"/>
  <c r="L294" i="3"/>
  <c r="L330" i="3"/>
  <c r="L369" i="3"/>
  <c r="L404" i="3"/>
  <c r="L438" i="3"/>
  <c r="L472" i="3"/>
  <c r="L506" i="3"/>
  <c r="L540" i="3"/>
  <c r="L573" i="3"/>
  <c r="L606" i="3"/>
  <c r="L639" i="3"/>
  <c r="L671" i="3"/>
  <c r="L703" i="3"/>
  <c r="L735" i="3"/>
  <c r="L767" i="3"/>
  <c r="L799" i="3"/>
  <c r="L831" i="3"/>
  <c r="L863" i="3"/>
  <c r="L895" i="3"/>
  <c r="L927" i="3"/>
  <c r="L959" i="3"/>
  <c r="L991" i="3"/>
  <c r="Z991" i="3" s="1"/>
  <c r="L1023" i="3"/>
  <c r="Z1023" i="3" s="1"/>
  <c r="L1055" i="3"/>
  <c r="L1087" i="3"/>
  <c r="Z1087" i="3" s="1"/>
  <c r="L1119" i="3"/>
  <c r="L1151" i="3"/>
  <c r="L1183" i="3"/>
  <c r="L1215" i="3"/>
  <c r="L1247" i="3"/>
  <c r="L1279" i="3"/>
  <c r="L1311" i="3"/>
  <c r="L1343" i="3"/>
  <c r="L1375" i="3"/>
  <c r="L11" i="3"/>
  <c r="Z11" i="3" s="1"/>
  <c r="L57" i="3"/>
  <c r="L96" i="3"/>
  <c r="L135" i="3"/>
  <c r="L181" i="3"/>
  <c r="L220" i="3"/>
  <c r="L259" i="3"/>
  <c r="L295" i="3"/>
  <c r="L331" i="3"/>
  <c r="L371" i="3"/>
  <c r="L405" i="3"/>
  <c r="L439" i="3"/>
  <c r="L473" i="3"/>
  <c r="L507" i="3"/>
  <c r="L541" i="3"/>
  <c r="L574" i="3"/>
  <c r="L607" i="3"/>
  <c r="L640" i="3"/>
  <c r="L672" i="3"/>
  <c r="L704" i="3"/>
  <c r="Z704" i="3" s="1"/>
  <c r="L736" i="3"/>
  <c r="Z736" i="3" s="1"/>
  <c r="L768" i="3"/>
  <c r="L800" i="3"/>
  <c r="Z800" i="3" s="1"/>
  <c r="L832" i="3"/>
  <c r="L864" i="3"/>
  <c r="L896" i="3"/>
  <c r="L928" i="3"/>
  <c r="L960" i="3"/>
  <c r="L992" i="3"/>
  <c r="L1024" i="3"/>
  <c r="L1056" i="3"/>
  <c r="L1088" i="3"/>
  <c r="L1120" i="3"/>
  <c r="L1152" i="3"/>
  <c r="L1184" i="3"/>
  <c r="L1216" i="3"/>
  <c r="L1248" i="3"/>
  <c r="L1280" i="3"/>
  <c r="L1312" i="3"/>
  <c r="L1344" i="3"/>
  <c r="L19" i="3"/>
  <c r="L58" i="3"/>
  <c r="L97" i="3"/>
  <c r="L136" i="3"/>
  <c r="L182" i="3"/>
  <c r="L221" i="3"/>
  <c r="L260" i="3"/>
  <c r="L296" i="3"/>
  <c r="L335" i="3"/>
  <c r="L372" i="3"/>
  <c r="L406" i="3"/>
  <c r="L440" i="3"/>
  <c r="Z440" i="3" s="1"/>
  <c r="L474" i="3"/>
  <c r="Z474" i="3" s="1"/>
  <c r="L508" i="3"/>
  <c r="L542" i="3"/>
  <c r="Z542" i="3" s="1"/>
  <c r="L575" i="3"/>
  <c r="L608" i="3"/>
  <c r="L641" i="3"/>
  <c r="L673" i="3"/>
  <c r="L705" i="3"/>
  <c r="L737" i="3"/>
  <c r="L769" i="3"/>
  <c r="L801" i="3"/>
  <c r="L833" i="3"/>
  <c r="L865" i="3"/>
  <c r="Z865" i="3" s="1"/>
  <c r="L897" i="3"/>
  <c r="L929" i="3"/>
  <c r="L961" i="3"/>
  <c r="L993" i="3"/>
  <c r="L1025" i="3"/>
  <c r="L1057" i="3"/>
  <c r="L1089" i="3"/>
  <c r="L1121" i="3"/>
  <c r="L1153" i="3"/>
  <c r="L1185" i="3"/>
  <c r="L1217" i="3"/>
  <c r="L1249" i="3"/>
  <c r="L1281" i="3"/>
  <c r="L1313" i="3"/>
  <c r="L1345" i="3"/>
  <c r="L1377" i="3"/>
  <c r="L20" i="3"/>
  <c r="L59" i="3"/>
  <c r="L98" i="3"/>
  <c r="Z98" i="3" s="1"/>
  <c r="L137" i="3"/>
  <c r="L183" i="3"/>
  <c r="L222" i="3"/>
  <c r="L261" i="3"/>
  <c r="L297" i="3"/>
  <c r="L336" i="3"/>
  <c r="L373" i="3"/>
  <c r="L407" i="3"/>
  <c r="L441" i="3"/>
  <c r="L475" i="3"/>
  <c r="L509" i="3"/>
  <c r="L543" i="3"/>
  <c r="L576" i="3"/>
  <c r="L609" i="3"/>
  <c r="L642" i="3"/>
  <c r="L674" i="3"/>
  <c r="L706" i="3"/>
  <c r="L738" i="3"/>
  <c r="L770" i="3"/>
  <c r="L802" i="3"/>
  <c r="L834" i="3"/>
  <c r="L866" i="3"/>
  <c r="L898" i="3"/>
  <c r="L930" i="3"/>
  <c r="L962" i="3"/>
  <c r="L994" i="3"/>
  <c r="L1026" i="3"/>
  <c r="L1058" i="3"/>
  <c r="L1090" i="3"/>
  <c r="L1122" i="3"/>
  <c r="L1154" i="3"/>
  <c r="L1186" i="3"/>
  <c r="Z1186" i="3" s="1"/>
  <c r="L21" i="3"/>
  <c r="Z21" i="3" s="1"/>
  <c r="L60" i="3"/>
  <c r="L99" i="3"/>
  <c r="Z99" i="3" s="1"/>
  <c r="L138" i="3"/>
  <c r="L184" i="3"/>
  <c r="L223" i="3"/>
  <c r="L262" i="3"/>
  <c r="L298" i="3"/>
  <c r="L337" i="3"/>
  <c r="L374" i="3"/>
  <c r="L408" i="3"/>
  <c r="L442" i="3"/>
  <c r="L476" i="3"/>
  <c r="Z476" i="3" s="1"/>
  <c r="L510" i="3"/>
  <c r="L544" i="3"/>
  <c r="L577" i="3"/>
  <c r="L610" i="3"/>
  <c r="L643" i="3"/>
  <c r="L675" i="3"/>
  <c r="L707" i="3"/>
  <c r="L739" i="3"/>
  <c r="L771" i="3"/>
  <c r="L803" i="3"/>
  <c r="L835" i="3"/>
  <c r="L867" i="3"/>
  <c r="L899" i="3"/>
  <c r="L931" i="3"/>
  <c r="L963" i="3"/>
  <c r="L995" i="3"/>
  <c r="L1027" i="3"/>
  <c r="L1059" i="3"/>
  <c r="L1091" i="3"/>
  <c r="Z1091" i="3" s="1"/>
  <c r="L1123" i="3"/>
  <c r="Z1123" i="3" s="1"/>
  <c r="L1155" i="3"/>
  <c r="L1187" i="3"/>
  <c r="Z1187" i="3" s="1"/>
  <c r="L1219" i="3"/>
  <c r="L1251" i="3"/>
  <c r="L1283" i="3"/>
  <c r="L22" i="3"/>
  <c r="L61" i="3"/>
  <c r="L100" i="3"/>
  <c r="L139" i="3"/>
  <c r="L185" i="3"/>
  <c r="L224" i="3"/>
  <c r="L263" i="3"/>
  <c r="Z263" i="3" s="1"/>
  <c r="L299" i="3"/>
  <c r="L339" i="3"/>
  <c r="L375" i="3"/>
  <c r="L409" i="3"/>
  <c r="L443" i="3"/>
  <c r="L477" i="3"/>
  <c r="L511" i="3"/>
  <c r="L545" i="3"/>
  <c r="L578" i="3"/>
  <c r="L611" i="3"/>
  <c r="L644" i="3"/>
  <c r="L676" i="3"/>
  <c r="L708" i="3"/>
  <c r="L740" i="3"/>
  <c r="L772" i="3"/>
  <c r="L804" i="3"/>
  <c r="L836" i="3"/>
  <c r="L868" i="3"/>
  <c r="L900" i="3"/>
  <c r="Z900" i="3" s="1"/>
  <c r="L932" i="3"/>
  <c r="Z932" i="3" s="1"/>
  <c r="L964" i="3"/>
  <c r="L996" i="3"/>
  <c r="L1028" i="3"/>
  <c r="L1060" i="3"/>
  <c r="L1092" i="3"/>
  <c r="L1124" i="3"/>
  <c r="L1156" i="3"/>
  <c r="L1188" i="3"/>
  <c r="L1220" i="3"/>
  <c r="L1252" i="3"/>
  <c r="L1284" i="3"/>
  <c r="L23" i="3"/>
  <c r="L62" i="3"/>
  <c r="L101" i="3"/>
  <c r="L147" i="3"/>
  <c r="L186" i="3"/>
  <c r="L225" i="3"/>
  <c r="L264" i="3"/>
  <c r="L303" i="3"/>
  <c r="L340" i="3"/>
  <c r="L376" i="3"/>
  <c r="L410" i="3"/>
  <c r="L444" i="3"/>
  <c r="L478" i="3"/>
  <c r="L512" i="3"/>
  <c r="L546" i="3"/>
  <c r="L579" i="3"/>
  <c r="L612" i="3"/>
  <c r="L645" i="3"/>
  <c r="L677" i="3"/>
  <c r="L709" i="3"/>
  <c r="Z709" i="3" s="1"/>
  <c r="L741" i="3"/>
  <c r="Z741" i="3" s="1"/>
  <c r="L773" i="3"/>
  <c r="L805" i="3"/>
  <c r="Z805" i="3" s="1"/>
  <c r="L24" i="3"/>
  <c r="L63" i="3"/>
  <c r="L102" i="3"/>
  <c r="L148" i="3"/>
  <c r="L187" i="3"/>
  <c r="L226" i="3"/>
  <c r="L265" i="3"/>
  <c r="L304" i="3"/>
  <c r="L341" i="3"/>
  <c r="L377" i="3"/>
  <c r="Z377" i="3" s="1"/>
  <c r="L411" i="3"/>
  <c r="L445" i="3"/>
  <c r="L479" i="3"/>
  <c r="L513" i="3"/>
  <c r="L547" i="3"/>
  <c r="L580" i="3"/>
  <c r="L613" i="3"/>
  <c r="L646" i="3"/>
  <c r="L678" i="3"/>
  <c r="L710" i="3"/>
  <c r="L742" i="3"/>
  <c r="L774" i="3"/>
  <c r="L806" i="3"/>
  <c r="L838" i="3"/>
  <c r="L870" i="3"/>
  <c r="L902" i="3"/>
  <c r="L934" i="3"/>
  <c r="L966" i="3"/>
  <c r="L998" i="3"/>
  <c r="Z998" i="3" s="1"/>
  <c r="L1030" i="3"/>
  <c r="Z1030" i="3" s="1"/>
  <c r="L2063" i="3"/>
  <c r="L2017" i="3"/>
  <c r="Z2017" i="3" s="1"/>
  <c r="L1978" i="3"/>
  <c r="L1938" i="3"/>
  <c r="L1888" i="3"/>
  <c r="L1828" i="3"/>
  <c r="L1767" i="3"/>
  <c r="L1698" i="3"/>
  <c r="L1606" i="3"/>
  <c r="L1534" i="3"/>
  <c r="L1440" i="3"/>
  <c r="L1287" i="3"/>
  <c r="L965" i="3"/>
  <c r="N2055" i="3"/>
  <c r="AB2055" i="3" s="1"/>
  <c r="L2055" i="3"/>
  <c r="L2016" i="3"/>
  <c r="L1977" i="3"/>
  <c r="L1937" i="3"/>
  <c r="L1887" i="3"/>
  <c r="L1827" i="3"/>
  <c r="L1766" i="3"/>
  <c r="L1697" i="3"/>
  <c r="L1605" i="3"/>
  <c r="L1527" i="3"/>
  <c r="L1439" i="3"/>
  <c r="L1286" i="3"/>
  <c r="L935" i="3"/>
  <c r="N2016" i="3"/>
  <c r="L2054" i="3"/>
  <c r="L2015" i="3"/>
  <c r="L1976" i="3"/>
  <c r="Z1976" i="3" s="1"/>
  <c r="L1936" i="3"/>
  <c r="Z1936" i="3" s="1"/>
  <c r="L1886" i="3"/>
  <c r="L1826" i="3"/>
  <c r="Z1826" i="3" s="1"/>
  <c r="L1765" i="3"/>
  <c r="L1696" i="3"/>
  <c r="L1604" i="3"/>
  <c r="L1526" i="3"/>
  <c r="L1438" i="3"/>
  <c r="L1285" i="3"/>
  <c r="L933" i="3"/>
  <c r="N1977" i="3"/>
  <c r="L1566" i="3"/>
  <c r="L2053" i="3"/>
  <c r="Z2053" i="3" s="1"/>
  <c r="L2014" i="3"/>
  <c r="L1975" i="3"/>
  <c r="L1935" i="3"/>
  <c r="L1885" i="3"/>
  <c r="L1825" i="3"/>
  <c r="L1764" i="3"/>
  <c r="L1695" i="3"/>
  <c r="L1603" i="3"/>
  <c r="L1511" i="3"/>
  <c r="L1415" i="3"/>
  <c r="L1282" i="3"/>
  <c r="L903" i="3"/>
  <c r="N1938" i="3"/>
  <c r="L1474" i="3"/>
  <c r="L2052" i="3"/>
  <c r="L2013" i="3"/>
  <c r="L1974" i="3"/>
  <c r="L1927" i="3"/>
  <c r="L1884" i="3"/>
  <c r="Z1884" i="3" s="1"/>
  <c r="L1824" i="3"/>
  <c r="Z1824" i="3" s="1"/>
  <c r="L1763" i="3"/>
  <c r="L1694" i="3"/>
  <c r="Z1694" i="3" s="1"/>
  <c r="L1602" i="3"/>
  <c r="L1510" i="3"/>
  <c r="L1414" i="3"/>
  <c r="L1255" i="3"/>
  <c r="L901" i="3"/>
  <c r="N1892" i="3"/>
  <c r="L2051" i="3"/>
  <c r="L2012" i="3"/>
  <c r="L1973" i="3"/>
  <c r="L1926" i="3"/>
  <c r="Z1926" i="3" s="1"/>
  <c r="L1883" i="3"/>
  <c r="L1823" i="3"/>
  <c r="L1762" i="3"/>
  <c r="L1687" i="3"/>
  <c r="L1601" i="3"/>
  <c r="L1509" i="3"/>
  <c r="L1413" i="3"/>
  <c r="L1254" i="3"/>
  <c r="L871" i="3"/>
  <c r="N1853" i="3"/>
  <c r="AB1853" i="3" s="1"/>
  <c r="L1891" i="3"/>
  <c r="L2050" i="3"/>
  <c r="L2011" i="3"/>
  <c r="L1972" i="3"/>
  <c r="L1925" i="3"/>
  <c r="L1882" i="3"/>
  <c r="L1822" i="3"/>
  <c r="L1761" i="3"/>
  <c r="L1686" i="3"/>
  <c r="Z1686" i="3" s="1"/>
  <c r="L1600" i="3"/>
  <c r="Z1600" i="3" s="1"/>
  <c r="L1508" i="3"/>
  <c r="L1412" i="3"/>
  <c r="Z1412" i="3" s="1"/>
  <c r="L1253" i="3"/>
  <c r="L869" i="3"/>
  <c r="N1812" i="3"/>
  <c r="L1981" i="3"/>
  <c r="L2049" i="3"/>
  <c r="L2010" i="3"/>
  <c r="L1971" i="3"/>
  <c r="L1924" i="3"/>
  <c r="L1881" i="3"/>
  <c r="L1821" i="3"/>
  <c r="Z1821" i="3" s="1"/>
  <c r="L1760" i="3"/>
  <c r="L1671" i="3"/>
  <c r="L1599" i="3"/>
  <c r="L1507" i="3"/>
  <c r="L1411" i="3"/>
  <c r="L1250" i="3"/>
  <c r="L839" i="3"/>
  <c r="N1765" i="3"/>
  <c r="L1785" i="3"/>
  <c r="L2048" i="3"/>
  <c r="L2009" i="3"/>
  <c r="L1970" i="3"/>
  <c r="L1923" i="3"/>
  <c r="L1880" i="3"/>
  <c r="L1820" i="3"/>
  <c r="L1759" i="3"/>
  <c r="L1670" i="3"/>
  <c r="L1598" i="3"/>
  <c r="L1506" i="3"/>
  <c r="Z1506" i="3" s="1"/>
  <c r="L1410" i="3"/>
  <c r="Z1410" i="3" s="1"/>
  <c r="L1223" i="3"/>
  <c r="L837" i="3"/>
  <c r="Z837" i="3" s="1"/>
  <c r="N1725" i="3"/>
  <c r="L1951" i="3"/>
  <c r="L2047" i="3"/>
  <c r="L2008" i="3"/>
  <c r="L1969" i="3"/>
  <c r="L1922" i="3"/>
  <c r="L1879" i="3"/>
  <c r="L1819" i="3"/>
  <c r="L1758" i="3"/>
  <c r="L1669" i="3"/>
  <c r="L1591" i="3"/>
  <c r="L1505" i="3"/>
  <c r="L1409" i="3"/>
  <c r="L1222" i="3"/>
  <c r="L807" i="3"/>
  <c r="N1684" i="3"/>
  <c r="L1831" i="3"/>
  <c r="L2046" i="3"/>
  <c r="L2007" i="3"/>
  <c r="L1968" i="3"/>
  <c r="L1921" i="3"/>
  <c r="L1878" i="3"/>
  <c r="L1818" i="3"/>
  <c r="L1757" i="3"/>
  <c r="L1668" i="3"/>
  <c r="L1590" i="3"/>
  <c r="L1504" i="3"/>
  <c r="L1408" i="3"/>
  <c r="L1221" i="3"/>
  <c r="Z1221" i="3" s="1"/>
  <c r="L775" i="3"/>
  <c r="Z775" i="3" s="1"/>
  <c r="N1637" i="3"/>
  <c r="L1351" i="3"/>
  <c r="Z1351" i="3" s="1"/>
  <c r="L1701" i="3"/>
  <c r="L2045" i="3"/>
  <c r="L2006" i="3"/>
  <c r="L1967" i="3"/>
  <c r="L1920" i="3"/>
  <c r="L1863" i="3"/>
  <c r="L1817" i="3"/>
  <c r="L1756" i="3"/>
  <c r="L1667" i="3"/>
  <c r="L1575" i="3"/>
  <c r="L1503" i="3"/>
  <c r="L1407" i="3"/>
  <c r="L1218" i="3"/>
  <c r="L743" i="3"/>
  <c r="N1597" i="3"/>
  <c r="L1125" i="3"/>
  <c r="L2020" i="3"/>
  <c r="L2083" i="3"/>
  <c r="L2044" i="3"/>
  <c r="L2005" i="3"/>
  <c r="L1959" i="3"/>
  <c r="L1919" i="3"/>
  <c r="L1862" i="3"/>
  <c r="L1816" i="3"/>
  <c r="L1753" i="3"/>
  <c r="L1666" i="3"/>
  <c r="L1574" i="3"/>
  <c r="L1502" i="3"/>
  <c r="L1406" i="3"/>
  <c r="Z1406" i="3" s="1"/>
  <c r="L1191" i="3"/>
  <c r="Z1191" i="3" s="1"/>
  <c r="L711" i="3"/>
  <c r="N1556" i="3"/>
  <c r="AB1556" i="3" s="1"/>
  <c r="L1942" i="3"/>
  <c r="L2082" i="3"/>
  <c r="L2004" i="3"/>
  <c r="L1918" i="3"/>
  <c r="L1861" i="3"/>
  <c r="L1815" i="3"/>
  <c r="L1751" i="3"/>
  <c r="L1665" i="3"/>
  <c r="L1573" i="3"/>
  <c r="L1495" i="3"/>
  <c r="L1383" i="3"/>
  <c r="L1190" i="3"/>
  <c r="L679" i="3"/>
  <c r="N1509" i="3"/>
  <c r="L2043" i="3"/>
  <c r="L2081" i="3"/>
  <c r="L2042" i="3"/>
  <c r="L2003" i="3"/>
  <c r="L1957" i="3"/>
  <c r="L1917" i="3"/>
  <c r="L1860" i="3"/>
  <c r="L1814" i="3"/>
  <c r="L1750" i="3"/>
  <c r="L1664" i="3"/>
  <c r="L1572" i="3"/>
  <c r="L1494" i="3"/>
  <c r="L1382" i="3"/>
  <c r="L1189" i="3"/>
  <c r="L647" i="3"/>
  <c r="Z647" i="3" s="1"/>
  <c r="N1469" i="3"/>
  <c r="AB1469" i="3" s="1"/>
  <c r="L1958" i="3"/>
  <c r="L2080" i="3"/>
  <c r="Z2080" i="3" s="1"/>
  <c r="L2041" i="3"/>
  <c r="L2002" i="3"/>
  <c r="L1956" i="3"/>
  <c r="L1916" i="3"/>
  <c r="L1859" i="3"/>
  <c r="L1799" i="3"/>
  <c r="L1735" i="3"/>
  <c r="L1663" i="3"/>
  <c r="L1571" i="3"/>
  <c r="L1479" i="3"/>
  <c r="L1381" i="3"/>
  <c r="L1159" i="3"/>
  <c r="L614" i="3"/>
  <c r="N1427" i="3"/>
  <c r="L1730" i="3"/>
  <c r="L2079" i="3"/>
  <c r="L2040" i="3"/>
  <c r="L2001" i="3"/>
  <c r="Z2001" i="3" s="1"/>
  <c r="L1955" i="3"/>
  <c r="L1915" i="3"/>
  <c r="L1858" i="3"/>
  <c r="L1798" i="3"/>
  <c r="L1734" i="3"/>
  <c r="L1662" i="3"/>
  <c r="L1570" i="3"/>
  <c r="L1478" i="3"/>
  <c r="L1380" i="3"/>
  <c r="L1158" i="3"/>
  <c r="L581" i="3"/>
  <c r="Z581" i="3" s="1"/>
  <c r="N1369" i="3"/>
  <c r="AB1369" i="3" s="1"/>
  <c r="L2078" i="3"/>
  <c r="Z2078" i="3" s="1"/>
  <c r="L2039" i="3"/>
  <c r="Z2039" i="3" s="1"/>
  <c r="L2000" i="3"/>
  <c r="L1954" i="3"/>
  <c r="L1914" i="3"/>
  <c r="L1857" i="3"/>
  <c r="L1797" i="3"/>
  <c r="L1733" i="3"/>
  <c r="L1655" i="3"/>
  <c r="L1569" i="3"/>
  <c r="L1477" i="3"/>
  <c r="L1379" i="3"/>
  <c r="L1157" i="3"/>
  <c r="L548" i="3"/>
  <c r="N1281" i="3"/>
  <c r="L1990" i="3"/>
  <c r="L2077" i="3"/>
  <c r="L2038" i="3"/>
  <c r="Z2038" i="3" s="1"/>
  <c r="L1999" i="3"/>
  <c r="L1953" i="3"/>
  <c r="L1913" i="3"/>
  <c r="L1856" i="3"/>
  <c r="L1796" i="3"/>
  <c r="L1732" i="3"/>
  <c r="L1654" i="3"/>
  <c r="L1568" i="3"/>
  <c r="L1476" i="3"/>
  <c r="L1378" i="3"/>
  <c r="L1127" i="3"/>
  <c r="L514" i="3"/>
  <c r="N8" i="3"/>
  <c r="N40" i="3"/>
  <c r="AB40" i="3" s="1"/>
  <c r="N72" i="3"/>
  <c r="N104" i="3"/>
  <c r="AB104" i="3" s="1"/>
  <c r="N136" i="3"/>
  <c r="N168" i="3"/>
  <c r="N200" i="3"/>
  <c r="N232" i="3"/>
  <c r="N264" i="3"/>
  <c r="N296" i="3"/>
  <c r="N328" i="3"/>
  <c r="N360" i="3"/>
  <c r="N392" i="3"/>
  <c r="N424" i="3"/>
  <c r="N456" i="3"/>
  <c r="N488" i="3"/>
  <c r="AB488" i="3" s="1"/>
  <c r="N520" i="3"/>
  <c r="N552" i="3"/>
  <c r="N584" i="3"/>
  <c r="N616" i="3"/>
  <c r="N648" i="3"/>
  <c r="N680" i="3"/>
  <c r="N712" i="3"/>
  <c r="N744" i="3"/>
  <c r="AB744" i="3" s="1"/>
  <c r="N776" i="3"/>
  <c r="AB776" i="3" s="1"/>
  <c r="N808" i="3"/>
  <c r="AB808" i="3" s="1"/>
  <c r="N840" i="3"/>
  <c r="N872" i="3"/>
  <c r="N904" i="3"/>
  <c r="N936" i="3"/>
  <c r="N968" i="3"/>
  <c r="AB968" i="3" s="1"/>
  <c r="N1000" i="3"/>
  <c r="AB1000" i="3" s="1"/>
  <c r="N1032" i="3"/>
  <c r="AB1032" i="3" s="1"/>
  <c r="N1064" i="3"/>
  <c r="AB1064" i="3" s="1"/>
  <c r="N1096" i="3"/>
  <c r="N1128" i="3"/>
  <c r="AB1128" i="3" s="1"/>
  <c r="N1160" i="3"/>
  <c r="N1192" i="3"/>
  <c r="N1224" i="3"/>
  <c r="N1256" i="3"/>
  <c r="N1288" i="3"/>
  <c r="N1320" i="3"/>
  <c r="N1352" i="3"/>
  <c r="N1384" i="3"/>
  <c r="N1416" i="3"/>
  <c r="N1448" i="3"/>
  <c r="N1480" i="3"/>
  <c r="N1512" i="3"/>
  <c r="AB1512" i="3" s="1"/>
  <c r="N1544" i="3"/>
  <c r="N1576" i="3"/>
  <c r="N1608" i="3"/>
  <c r="N1640" i="3"/>
  <c r="N1672" i="3"/>
  <c r="N1704" i="3"/>
  <c r="N1736" i="3"/>
  <c r="N1768" i="3"/>
  <c r="AB1768" i="3" s="1"/>
  <c r="N1800" i="3"/>
  <c r="AB1800" i="3" s="1"/>
  <c r="N1832" i="3"/>
  <c r="AB1832" i="3" s="1"/>
  <c r="N1864" i="3"/>
  <c r="N1896" i="3"/>
  <c r="N1928" i="3"/>
  <c r="N1960" i="3"/>
  <c r="N1992" i="3"/>
  <c r="AB1992" i="3" s="1"/>
  <c r="N2024" i="3"/>
  <c r="AB2024" i="3" s="1"/>
  <c r="N2056" i="3"/>
  <c r="AB2056" i="3" s="1"/>
  <c r="N9" i="3"/>
  <c r="AB9" i="3" s="1"/>
  <c r="N41" i="3"/>
  <c r="N73" i="3"/>
  <c r="AB73" i="3" s="1"/>
  <c r="N105" i="3"/>
  <c r="N137" i="3"/>
  <c r="N169" i="3"/>
  <c r="N201" i="3"/>
  <c r="N233" i="3"/>
  <c r="N265" i="3"/>
  <c r="N297" i="3"/>
  <c r="N329" i="3"/>
  <c r="N361" i="3"/>
  <c r="N393" i="3"/>
  <c r="N425" i="3"/>
  <c r="N457" i="3"/>
  <c r="AB457" i="3" s="1"/>
  <c r="N489" i="3"/>
  <c r="N521" i="3"/>
  <c r="N553" i="3"/>
  <c r="N585" i="3"/>
  <c r="N617" i="3"/>
  <c r="N649" i="3"/>
  <c r="N681" i="3"/>
  <c r="N713" i="3"/>
  <c r="AB713" i="3" s="1"/>
  <c r="N745" i="3"/>
  <c r="AB745" i="3" s="1"/>
  <c r="N777" i="3"/>
  <c r="AB777" i="3" s="1"/>
  <c r="N809" i="3"/>
  <c r="N841" i="3"/>
  <c r="N873" i="3"/>
  <c r="N905" i="3"/>
  <c r="N937" i="3"/>
  <c r="AB937" i="3" s="1"/>
  <c r="N969" i="3"/>
  <c r="AB969" i="3" s="1"/>
  <c r="N1001" i="3"/>
  <c r="AB1001" i="3" s="1"/>
  <c r="N1033" i="3"/>
  <c r="AB1033" i="3" s="1"/>
  <c r="N1065" i="3"/>
  <c r="N1097" i="3"/>
  <c r="AB1097" i="3" s="1"/>
  <c r="N1129" i="3"/>
  <c r="N1161" i="3"/>
  <c r="N1193" i="3"/>
  <c r="N1225" i="3"/>
  <c r="N1257" i="3"/>
  <c r="N1289" i="3"/>
  <c r="N1321" i="3"/>
  <c r="N1353" i="3"/>
  <c r="N1385" i="3"/>
  <c r="N1417" i="3"/>
  <c r="N1449" i="3"/>
  <c r="N1481" i="3"/>
  <c r="N1513" i="3"/>
  <c r="N1545" i="3"/>
  <c r="N1577" i="3"/>
  <c r="N1609" i="3"/>
  <c r="N1641" i="3"/>
  <c r="N1673" i="3"/>
  <c r="N1705" i="3"/>
  <c r="N1737" i="3"/>
  <c r="AB1737" i="3" s="1"/>
  <c r="N1769" i="3"/>
  <c r="AB1769" i="3" s="1"/>
  <c r="N1801" i="3"/>
  <c r="AB1801" i="3" s="1"/>
  <c r="N1833" i="3"/>
  <c r="N1865" i="3"/>
  <c r="N1897" i="3"/>
  <c r="N1929" i="3"/>
  <c r="N1961" i="3"/>
  <c r="AB1961" i="3" s="1"/>
  <c r="N1993" i="3"/>
  <c r="AB1993" i="3" s="1"/>
  <c r="N2025" i="3"/>
  <c r="AB2025" i="3" s="1"/>
  <c r="N2057" i="3"/>
  <c r="AB2057" i="3" s="1"/>
  <c r="N10" i="3"/>
  <c r="N42" i="3"/>
  <c r="AB42" i="3" s="1"/>
  <c r="N74" i="3"/>
  <c r="N106" i="3"/>
  <c r="N138" i="3"/>
  <c r="N170" i="3"/>
  <c r="N202" i="3"/>
  <c r="N234" i="3"/>
  <c r="N266" i="3"/>
  <c r="N298" i="3"/>
  <c r="N330" i="3"/>
  <c r="N362" i="3"/>
  <c r="N394" i="3"/>
  <c r="N426" i="3"/>
  <c r="N458" i="3"/>
  <c r="N490" i="3"/>
  <c r="N522" i="3"/>
  <c r="N554" i="3"/>
  <c r="N586" i="3"/>
  <c r="N618" i="3"/>
  <c r="N650" i="3"/>
  <c r="N682" i="3"/>
  <c r="AB682" i="3" s="1"/>
  <c r="N714" i="3"/>
  <c r="AB714" i="3" s="1"/>
  <c r="N746" i="3"/>
  <c r="AB746" i="3" s="1"/>
  <c r="N778" i="3"/>
  <c r="N810" i="3"/>
  <c r="N842" i="3"/>
  <c r="N874" i="3"/>
  <c r="N906" i="3"/>
  <c r="AB906" i="3" s="1"/>
  <c r="N938" i="3"/>
  <c r="AB938" i="3" s="1"/>
  <c r="N970" i="3"/>
  <c r="AB970" i="3" s="1"/>
  <c r="N1002" i="3"/>
  <c r="AB1002" i="3" s="1"/>
  <c r="N1034" i="3"/>
  <c r="N1066" i="3"/>
  <c r="AB1066" i="3" s="1"/>
  <c r="N1098" i="3"/>
  <c r="N1130" i="3"/>
  <c r="N1162" i="3"/>
  <c r="N1194" i="3"/>
  <c r="N1226" i="3"/>
  <c r="N1258" i="3"/>
  <c r="N1290" i="3"/>
  <c r="N1322" i="3"/>
  <c r="N1354" i="3"/>
  <c r="N1386" i="3"/>
  <c r="N1418" i="3"/>
  <c r="N1450" i="3"/>
  <c r="AB1450" i="3" s="1"/>
  <c r="N1482" i="3"/>
  <c r="N1514" i="3"/>
  <c r="N1546" i="3"/>
  <c r="N1578" i="3"/>
  <c r="N1610" i="3"/>
  <c r="N1642" i="3"/>
  <c r="N1674" i="3"/>
  <c r="N1706" i="3"/>
  <c r="AB1706" i="3" s="1"/>
  <c r="N1738" i="3"/>
  <c r="AB1738" i="3" s="1"/>
  <c r="N1770" i="3"/>
  <c r="AB1770" i="3" s="1"/>
  <c r="N1802" i="3"/>
  <c r="N1834" i="3"/>
  <c r="N1866" i="3"/>
  <c r="N1898" i="3"/>
  <c r="N1930" i="3"/>
  <c r="AB1930" i="3" s="1"/>
  <c r="N1962" i="3"/>
  <c r="AB1962" i="3" s="1"/>
  <c r="N1994" i="3"/>
  <c r="AB1994" i="3" s="1"/>
  <c r="N2026" i="3"/>
  <c r="AB2026" i="3" s="1"/>
  <c r="N2058" i="3"/>
  <c r="N11" i="3"/>
  <c r="AB11" i="3" s="1"/>
  <c r="N43" i="3"/>
  <c r="N75" i="3"/>
  <c r="N107" i="3"/>
  <c r="N139" i="3"/>
  <c r="N171" i="3"/>
  <c r="N203" i="3"/>
  <c r="N235" i="3"/>
  <c r="N267" i="3"/>
  <c r="N299" i="3"/>
  <c r="N331" i="3"/>
  <c r="N363" i="3"/>
  <c r="N395" i="3"/>
  <c r="AB395" i="3" s="1"/>
  <c r="N427" i="3"/>
  <c r="N459" i="3"/>
  <c r="N491" i="3"/>
  <c r="N523" i="3"/>
  <c r="N555" i="3"/>
  <c r="N587" i="3"/>
  <c r="N619" i="3"/>
  <c r="N651" i="3"/>
  <c r="AB651" i="3" s="1"/>
  <c r="N683" i="3"/>
  <c r="AB683" i="3" s="1"/>
  <c r="N715" i="3"/>
  <c r="AB715" i="3" s="1"/>
  <c r="N747" i="3"/>
  <c r="N779" i="3"/>
  <c r="N811" i="3"/>
  <c r="N843" i="3"/>
  <c r="N875" i="3"/>
  <c r="AB875" i="3" s="1"/>
  <c r="N907" i="3"/>
  <c r="AB907" i="3" s="1"/>
  <c r="N939" i="3"/>
  <c r="AB939" i="3" s="1"/>
  <c r="N971" i="3"/>
  <c r="AB971" i="3" s="1"/>
  <c r="N1003" i="3"/>
  <c r="N1035" i="3"/>
  <c r="AB1035" i="3" s="1"/>
  <c r="N1067" i="3"/>
  <c r="N1099" i="3"/>
  <c r="N1131" i="3"/>
  <c r="N1163" i="3"/>
  <c r="N1195" i="3"/>
  <c r="N1227" i="3"/>
  <c r="N1259" i="3"/>
  <c r="N1291" i="3"/>
  <c r="N1323" i="3"/>
  <c r="N1355" i="3"/>
  <c r="N1387" i="3"/>
  <c r="N1419" i="3"/>
  <c r="AB1419" i="3" s="1"/>
  <c r="N1451" i="3"/>
  <c r="N1483" i="3"/>
  <c r="N1515" i="3"/>
  <c r="N1547" i="3"/>
  <c r="N1579" i="3"/>
  <c r="N1611" i="3"/>
  <c r="N1643" i="3"/>
  <c r="N1675" i="3"/>
  <c r="AB1675" i="3" s="1"/>
  <c r="N1707" i="3"/>
  <c r="AB1707" i="3" s="1"/>
  <c r="N1739" i="3"/>
  <c r="AB1739" i="3" s="1"/>
  <c r="N1771" i="3"/>
  <c r="N1803" i="3"/>
  <c r="N1835" i="3"/>
  <c r="N1867" i="3"/>
  <c r="N1899" i="3"/>
  <c r="AB1899" i="3" s="1"/>
  <c r="N1931" i="3"/>
  <c r="AB1931" i="3" s="1"/>
  <c r="N1963" i="3"/>
  <c r="AB1963" i="3" s="1"/>
  <c r="N1995" i="3"/>
  <c r="AB1995" i="3" s="1"/>
  <c r="N2027" i="3"/>
  <c r="AB2027" i="3" s="1"/>
  <c r="N2059" i="3"/>
  <c r="AB2059" i="3" s="1"/>
  <c r="N12" i="3"/>
  <c r="N44" i="3"/>
  <c r="N76" i="3"/>
  <c r="N108" i="3"/>
  <c r="N140" i="3"/>
  <c r="N172" i="3"/>
  <c r="N204" i="3"/>
  <c r="N236" i="3"/>
  <c r="N268" i="3"/>
  <c r="N300" i="3"/>
  <c r="N332" i="3"/>
  <c r="N364" i="3"/>
  <c r="AB364" i="3" s="1"/>
  <c r="N396" i="3"/>
  <c r="N428" i="3"/>
  <c r="N460" i="3"/>
  <c r="N492" i="3"/>
  <c r="N524" i="3"/>
  <c r="N556" i="3"/>
  <c r="N588" i="3"/>
  <c r="N620" i="3"/>
  <c r="AB620" i="3" s="1"/>
  <c r="N652" i="3"/>
  <c r="AB652" i="3" s="1"/>
  <c r="N684" i="3"/>
  <c r="AB684" i="3" s="1"/>
  <c r="N716" i="3"/>
  <c r="N748" i="3"/>
  <c r="N780" i="3"/>
  <c r="N812" i="3"/>
  <c r="N844" i="3"/>
  <c r="AB844" i="3" s="1"/>
  <c r="N876" i="3"/>
  <c r="AB876" i="3" s="1"/>
  <c r="N908" i="3"/>
  <c r="AB908" i="3" s="1"/>
  <c r="N940" i="3"/>
  <c r="AB940" i="3" s="1"/>
  <c r="N972" i="3"/>
  <c r="N1004" i="3"/>
  <c r="N1036" i="3"/>
  <c r="N1068" i="3"/>
  <c r="N1100" i="3"/>
  <c r="N1132" i="3"/>
  <c r="N1164" i="3"/>
  <c r="N1196" i="3"/>
  <c r="N1228" i="3"/>
  <c r="N1260" i="3"/>
  <c r="N1292" i="3"/>
  <c r="N1324" i="3"/>
  <c r="N1356" i="3"/>
  <c r="N1388" i="3"/>
  <c r="AB1388" i="3" s="1"/>
  <c r="N1420" i="3"/>
  <c r="N1452" i="3"/>
  <c r="N1484" i="3"/>
  <c r="N1516" i="3"/>
  <c r="N1548" i="3"/>
  <c r="N1580" i="3"/>
  <c r="N1612" i="3"/>
  <c r="N1644" i="3"/>
  <c r="AB1644" i="3" s="1"/>
  <c r="N1676" i="3"/>
  <c r="AB1676" i="3" s="1"/>
  <c r="N1708" i="3"/>
  <c r="AB1708" i="3" s="1"/>
  <c r="N1740" i="3"/>
  <c r="N1772" i="3"/>
  <c r="N1804" i="3"/>
  <c r="N1836" i="3"/>
  <c r="N1868" i="3"/>
  <c r="AB1868" i="3" s="1"/>
  <c r="N1900" i="3"/>
  <c r="AB1900" i="3" s="1"/>
  <c r="N1932" i="3"/>
  <c r="AB1932" i="3" s="1"/>
  <c r="N1964" i="3"/>
  <c r="AB1964" i="3" s="1"/>
  <c r="N1996" i="3"/>
  <c r="N2028" i="3"/>
  <c r="AB2028" i="3" s="1"/>
  <c r="N2060" i="3"/>
  <c r="N13" i="3"/>
  <c r="N45" i="3"/>
  <c r="N77" i="3"/>
  <c r="N109" i="3"/>
  <c r="N141" i="3"/>
  <c r="N173" i="3"/>
  <c r="N205" i="3"/>
  <c r="N237" i="3"/>
  <c r="N269" i="3"/>
  <c r="AB269" i="3" s="1"/>
  <c r="N301" i="3"/>
  <c r="N333" i="3"/>
  <c r="AB333" i="3" s="1"/>
  <c r="N365" i="3"/>
  <c r="N397" i="3"/>
  <c r="N429" i="3"/>
  <c r="N461" i="3"/>
  <c r="N493" i="3"/>
  <c r="N525" i="3"/>
  <c r="N557" i="3"/>
  <c r="N589" i="3"/>
  <c r="AB589" i="3" s="1"/>
  <c r="N621" i="3"/>
  <c r="AB621" i="3" s="1"/>
  <c r="N653" i="3"/>
  <c r="AB653" i="3" s="1"/>
  <c r="N685" i="3"/>
  <c r="N717" i="3"/>
  <c r="N749" i="3"/>
  <c r="N781" i="3"/>
  <c r="N813" i="3"/>
  <c r="AB813" i="3" s="1"/>
  <c r="N845" i="3"/>
  <c r="AB845" i="3" s="1"/>
  <c r="N877" i="3"/>
  <c r="AB877" i="3" s="1"/>
  <c r="N909" i="3"/>
  <c r="AB909" i="3" s="1"/>
  <c r="N941" i="3"/>
  <c r="N973" i="3"/>
  <c r="AB973" i="3" s="1"/>
  <c r="N1005" i="3"/>
  <c r="N1037" i="3"/>
  <c r="N1069" i="3"/>
  <c r="N1101" i="3"/>
  <c r="N1133" i="3"/>
  <c r="N1165" i="3"/>
  <c r="N1197" i="3"/>
  <c r="N1229" i="3"/>
  <c r="N1261" i="3"/>
  <c r="N1293" i="3"/>
  <c r="AB1293" i="3" s="1"/>
  <c r="N1325" i="3"/>
  <c r="N1357" i="3"/>
  <c r="AB1357" i="3" s="1"/>
  <c r="N1389" i="3"/>
  <c r="N1421" i="3"/>
  <c r="N1453" i="3"/>
  <c r="N1485" i="3"/>
  <c r="N1517" i="3"/>
  <c r="N1549" i="3"/>
  <c r="N1581" i="3"/>
  <c r="N1613" i="3"/>
  <c r="AB1613" i="3" s="1"/>
  <c r="N1645" i="3"/>
  <c r="AB1645" i="3" s="1"/>
  <c r="N1677" i="3"/>
  <c r="AB1677" i="3" s="1"/>
  <c r="N1709" i="3"/>
  <c r="N1741" i="3"/>
  <c r="N1773" i="3"/>
  <c r="N1805" i="3"/>
  <c r="N1837" i="3"/>
  <c r="AB1837" i="3" s="1"/>
  <c r="N1869" i="3"/>
  <c r="AB1869" i="3" s="1"/>
  <c r="N1901" i="3"/>
  <c r="AB1901" i="3" s="1"/>
  <c r="N1933" i="3"/>
  <c r="AB1933" i="3" s="1"/>
  <c r="N1965" i="3"/>
  <c r="N1997" i="3"/>
  <c r="AB1997" i="3" s="1"/>
  <c r="N2029" i="3"/>
  <c r="N2061" i="3"/>
  <c r="N14" i="3"/>
  <c r="N46" i="3"/>
  <c r="N78" i="3"/>
  <c r="N110" i="3"/>
  <c r="N142" i="3"/>
  <c r="N174" i="3"/>
  <c r="N206" i="3"/>
  <c r="N238" i="3"/>
  <c r="AB238" i="3" s="1"/>
  <c r="N270" i="3"/>
  <c r="N302" i="3"/>
  <c r="N334" i="3"/>
  <c r="N366" i="3"/>
  <c r="N398" i="3"/>
  <c r="N430" i="3"/>
  <c r="N462" i="3"/>
  <c r="N494" i="3"/>
  <c r="N526" i="3"/>
  <c r="N558" i="3"/>
  <c r="AB558" i="3" s="1"/>
  <c r="N590" i="3"/>
  <c r="AB590" i="3" s="1"/>
  <c r="N622" i="3"/>
  <c r="AB622" i="3" s="1"/>
  <c r="N654" i="3"/>
  <c r="N686" i="3"/>
  <c r="N718" i="3"/>
  <c r="N750" i="3"/>
  <c r="N782" i="3"/>
  <c r="AB782" i="3" s="1"/>
  <c r="N814" i="3"/>
  <c r="AB814" i="3" s="1"/>
  <c r="N846" i="3"/>
  <c r="AB846" i="3" s="1"/>
  <c r="N878" i="3"/>
  <c r="AB878" i="3" s="1"/>
  <c r="N910" i="3"/>
  <c r="N942" i="3"/>
  <c r="AB942" i="3" s="1"/>
  <c r="N974" i="3"/>
  <c r="N1006" i="3"/>
  <c r="N1038" i="3"/>
  <c r="N1070" i="3"/>
  <c r="N1102" i="3"/>
  <c r="N1134" i="3"/>
  <c r="N1166" i="3"/>
  <c r="N1198" i="3"/>
  <c r="N1230" i="3"/>
  <c r="N1262" i="3"/>
  <c r="AB1262" i="3" s="1"/>
  <c r="N1294" i="3"/>
  <c r="N1326" i="3"/>
  <c r="AB1326" i="3" s="1"/>
  <c r="N1358" i="3"/>
  <c r="N1390" i="3"/>
  <c r="N1422" i="3"/>
  <c r="N1454" i="3"/>
  <c r="N1486" i="3"/>
  <c r="N1518" i="3"/>
  <c r="N1550" i="3"/>
  <c r="N1582" i="3"/>
  <c r="AB1582" i="3" s="1"/>
  <c r="N1614" i="3"/>
  <c r="AB1614" i="3" s="1"/>
  <c r="N1646" i="3"/>
  <c r="AB1646" i="3" s="1"/>
  <c r="N1678" i="3"/>
  <c r="N1710" i="3"/>
  <c r="N1742" i="3"/>
  <c r="N1774" i="3"/>
  <c r="N1806" i="3"/>
  <c r="N1838" i="3"/>
  <c r="AB1838" i="3" s="1"/>
  <c r="N1870" i="3"/>
  <c r="AB1870" i="3" s="1"/>
  <c r="N1902" i="3"/>
  <c r="AB1902" i="3" s="1"/>
  <c r="N1934" i="3"/>
  <c r="N1966" i="3"/>
  <c r="AB1966" i="3" s="1"/>
  <c r="N1998" i="3"/>
  <c r="N2030" i="3"/>
  <c r="N2062" i="3"/>
  <c r="N15" i="3"/>
  <c r="N47" i="3"/>
  <c r="N79" i="3"/>
  <c r="N111" i="3"/>
  <c r="N143" i="3"/>
  <c r="N175" i="3"/>
  <c r="N207" i="3"/>
  <c r="AB207" i="3" s="1"/>
  <c r="N239" i="3"/>
  <c r="N271" i="3"/>
  <c r="AB271" i="3" s="1"/>
  <c r="N303" i="3"/>
  <c r="N335" i="3"/>
  <c r="N367" i="3"/>
  <c r="N399" i="3"/>
  <c r="N431" i="3"/>
  <c r="N463" i="3"/>
  <c r="N495" i="3"/>
  <c r="N527" i="3"/>
  <c r="AB527" i="3" s="1"/>
  <c r="N559" i="3"/>
  <c r="AB559" i="3" s="1"/>
  <c r="N591" i="3"/>
  <c r="AB591" i="3" s="1"/>
  <c r="N623" i="3"/>
  <c r="N655" i="3"/>
  <c r="N687" i="3"/>
  <c r="N719" i="3"/>
  <c r="N751" i="3"/>
  <c r="AB751" i="3" s="1"/>
  <c r="N783" i="3"/>
  <c r="AB783" i="3" s="1"/>
  <c r="N815" i="3"/>
  <c r="AB815" i="3" s="1"/>
  <c r="N847" i="3"/>
  <c r="AB847" i="3" s="1"/>
  <c r="N879" i="3"/>
  <c r="N911" i="3"/>
  <c r="AB911" i="3" s="1"/>
  <c r="N943" i="3"/>
  <c r="N975" i="3"/>
  <c r="N1007" i="3"/>
  <c r="N1039" i="3"/>
  <c r="N1071" i="3"/>
  <c r="N1103" i="3"/>
  <c r="N1135" i="3"/>
  <c r="N1167" i="3"/>
  <c r="N1199" i="3"/>
  <c r="N1231" i="3"/>
  <c r="AB1231" i="3" s="1"/>
  <c r="N1263" i="3"/>
  <c r="N1295" i="3"/>
  <c r="AB1295" i="3" s="1"/>
  <c r="N1327" i="3"/>
  <c r="N16" i="3"/>
  <c r="N48" i="3"/>
  <c r="N80" i="3"/>
  <c r="N112" i="3"/>
  <c r="N144" i="3"/>
  <c r="N176" i="3"/>
  <c r="N208" i="3"/>
  <c r="AB208" i="3" s="1"/>
  <c r="N240" i="3"/>
  <c r="AB240" i="3" s="1"/>
  <c r="N272" i="3"/>
  <c r="AB272" i="3" s="1"/>
  <c r="N304" i="3"/>
  <c r="N336" i="3"/>
  <c r="N368" i="3"/>
  <c r="N400" i="3"/>
  <c r="N432" i="3"/>
  <c r="AB432" i="3" s="1"/>
  <c r="N464" i="3"/>
  <c r="AB464" i="3" s="1"/>
  <c r="N496" i="3"/>
  <c r="AB496" i="3" s="1"/>
  <c r="N528" i="3"/>
  <c r="AB528" i="3" s="1"/>
  <c r="N560" i="3"/>
  <c r="N592" i="3"/>
  <c r="AB592" i="3" s="1"/>
  <c r="N624" i="3"/>
  <c r="N656" i="3"/>
  <c r="N688" i="3"/>
  <c r="N720" i="3"/>
  <c r="N752" i="3"/>
  <c r="N784" i="3"/>
  <c r="N816" i="3"/>
  <c r="N848" i="3"/>
  <c r="N880" i="3"/>
  <c r="N912" i="3"/>
  <c r="AB912" i="3" s="1"/>
  <c r="N944" i="3"/>
  <c r="N976" i="3"/>
  <c r="AB976" i="3" s="1"/>
  <c r="N1008" i="3"/>
  <c r="N1040" i="3"/>
  <c r="N1072" i="3"/>
  <c r="N1104" i="3"/>
  <c r="N1136" i="3"/>
  <c r="N1168" i="3"/>
  <c r="N1200" i="3"/>
  <c r="N1232" i="3"/>
  <c r="AB1232" i="3" s="1"/>
  <c r="N1264" i="3"/>
  <c r="AB1264" i="3" s="1"/>
  <c r="N1296" i="3"/>
  <c r="AB1296" i="3" s="1"/>
  <c r="N17" i="3"/>
  <c r="N49" i="3"/>
  <c r="N81" i="3"/>
  <c r="N113" i="3"/>
  <c r="N145" i="3"/>
  <c r="AB145" i="3" s="1"/>
  <c r="N177" i="3"/>
  <c r="AB177" i="3" s="1"/>
  <c r="N209" i="3"/>
  <c r="AB209" i="3" s="1"/>
  <c r="N241" i="3"/>
  <c r="AB241" i="3" s="1"/>
  <c r="N273" i="3"/>
  <c r="N305" i="3"/>
  <c r="AB305" i="3" s="1"/>
  <c r="N337" i="3"/>
  <c r="N369" i="3"/>
  <c r="N401" i="3"/>
  <c r="N433" i="3"/>
  <c r="N465" i="3"/>
  <c r="N497" i="3"/>
  <c r="N529" i="3"/>
  <c r="N561" i="3"/>
  <c r="N593" i="3"/>
  <c r="N625" i="3"/>
  <c r="AB625" i="3" s="1"/>
  <c r="N657" i="3"/>
  <c r="N689" i="3"/>
  <c r="AB689" i="3" s="1"/>
  <c r="N721" i="3"/>
  <c r="N753" i="3"/>
  <c r="N785" i="3"/>
  <c r="N817" i="3"/>
  <c r="N849" i="3"/>
  <c r="N881" i="3"/>
  <c r="N913" i="3"/>
  <c r="N945" i="3"/>
  <c r="AB945" i="3" s="1"/>
  <c r="N977" i="3"/>
  <c r="AB977" i="3" s="1"/>
  <c r="N1009" i="3"/>
  <c r="AB1009" i="3" s="1"/>
  <c r="N1041" i="3"/>
  <c r="N1073" i="3"/>
  <c r="N1105" i="3"/>
  <c r="N1137" i="3"/>
  <c r="N1169" i="3"/>
  <c r="AB1169" i="3" s="1"/>
  <c r="N1201" i="3"/>
  <c r="AB1201" i="3" s="1"/>
  <c r="N1233" i="3"/>
  <c r="AB1233" i="3" s="1"/>
  <c r="N1265" i="3"/>
  <c r="AB1265" i="3" s="1"/>
  <c r="N1297" i="3"/>
  <c r="N1329" i="3"/>
  <c r="AB1329" i="3" s="1"/>
  <c r="N1361" i="3"/>
  <c r="N1393" i="3"/>
  <c r="N18" i="3"/>
  <c r="N50" i="3"/>
  <c r="N82" i="3"/>
  <c r="N114" i="3"/>
  <c r="N146" i="3"/>
  <c r="N178" i="3"/>
  <c r="N210" i="3"/>
  <c r="N242" i="3"/>
  <c r="AB242" i="3" s="1"/>
  <c r="N274" i="3"/>
  <c r="N306" i="3"/>
  <c r="N338" i="3"/>
  <c r="N370" i="3"/>
  <c r="N402" i="3"/>
  <c r="N434" i="3"/>
  <c r="N466" i="3"/>
  <c r="N498" i="3"/>
  <c r="N530" i="3"/>
  <c r="N562" i="3"/>
  <c r="AB562" i="3" s="1"/>
  <c r="N594" i="3"/>
  <c r="AB594" i="3" s="1"/>
  <c r="N626" i="3"/>
  <c r="AB626" i="3" s="1"/>
  <c r="N658" i="3"/>
  <c r="N690" i="3"/>
  <c r="N722" i="3"/>
  <c r="N754" i="3"/>
  <c r="N786" i="3"/>
  <c r="AB786" i="3" s="1"/>
  <c r="N818" i="3"/>
  <c r="AB818" i="3" s="1"/>
  <c r="N850" i="3"/>
  <c r="AB850" i="3" s="1"/>
  <c r="N882" i="3"/>
  <c r="AB882" i="3" s="1"/>
  <c r="N914" i="3"/>
  <c r="N946" i="3"/>
  <c r="AB946" i="3" s="1"/>
  <c r="N978" i="3"/>
  <c r="N1010" i="3"/>
  <c r="N1042" i="3"/>
  <c r="N1074" i="3"/>
  <c r="N1106" i="3"/>
  <c r="N1138" i="3"/>
  <c r="N1170" i="3"/>
  <c r="N1202" i="3"/>
  <c r="N1234" i="3"/>
  <c r="N1266" i="3"/>
  <c r="AB1266" i="3" s="1"/>
  <c r="N1298" i="3"/>
  <c r="N1330" i="3"/>
  <c r="AB1330" i="3" s="1"/>
  <c r="N1362" i="3"/>
  <c r="N1394" i="3"/>
  <c r="N19" i="3"/>
  <c r="N51" i="3"/>
  <c r="N83" i="3"/>
  <c r="N115" i="3"/>
  <c r="N147" i="3"/>
  <c r="N179" i="3"/>
  <c r="AB179" i="3" s="1"/>
  <c r="N211" i="3"/>
  <c r="AB211" i="3" s="1"/>
  <c r="N243" i="3"/>
  <c r="AB243" i="3" s="1"/>
  <c r="N275" i="3"/>
  <c r="N307" i="3"/>
  <c r="N339" i="3"/>
  <c r="N371" i="3"/>
  <c r="N403" i="3"/>
  <c r="AB403" i="3" s="1"/>
  <c r="N435" i="3"/>
  <c r="AB435" i="3" s="1"/>
  <c r="N467" i="3"/>
  <c r="AB467" i="3" s="1"/>
  <c r="N499" i="3"/>
  <c r="AB499" i="3" s="1"/>
  <c r="N531" i="3"/>
  <c r="N563" i="3"/>
  <c r="AB563" i="3" s="1"/>
  <c r="N595" i="3"/>
  <c r="N627" i="3"/>
  <c r="N659" i="3"/>
  <c r="N691" i="3"/>
  <c r="N723" i="3"/>
  <c r="N755" i="3"/>
  <c r="N787" i="3"/>
  <c r="N819" i="3"/>
  <c r="N851" i="3"/>
  <c r="N883" i="3"/>
  <c r="AB883" i="3" s="1"/>
  <c r="N915" i="3"/>
  <c r="N947" i="3"/>
  <c r="AB947" i="3" s="1"/>
  <c r="N979" i="3"/>
  <c r="N1011" i="3"/>
  <c r="N1043" i="3"/>
  <c r="N1075" i="3"/>
  <c r="N1107" i="3"/>
  <c r="N1139" i="3"/>
  <c r="N1171" i="3"/>
  <c r="N1203" i="3"/>
  <c r="AB1203" i="3" s="1"/>
  <c r="N1235" i="3"/>
  <c r="AB1235" i="3" s="1"/>
  <c r="N1267" i="3"/>
  <c r="AB1267" i="3" s="1"/>
  <c r="N1299" i="3"/>
  <c r="N1331" i="3"/>
  <c r="N1363" i="3"/>
  <c r="N1395" i="3"/>
  <c r="N20" i="3"/>
  <c r="AB20" i="3" s="1"/>
  <c r="N52" i="3"/>
  <c r="AB52" i="3" s="1"/>
  <c r="N84" i="3"/>
  <c r="AB84" i="3" s="1"/>
  <c r="N116" i="3"/>
  <c r="AB116" i="3" s="1"/>
  <c r="N148" i="3"/>
  <c r="N180" i="3"/>
  <c r="N212" i="3"/>
  <c r="N244" i="3"/>
  <c r="N276" i="3"/>
  <c r="N308" i="3"/>
  <c r="N340" i="3"/>
  <c r="N372" i="3"/>
  <c r="N404" i="3"/>
  <c r="N436" i="3"/>
  <c r="N468" i="3"/>
  <c r="N500" i="3"/>
  <c r="AB500" i="3" s="1"/>
  <c r="N532" i="3"/>
  <c r="N564" i="3"/>
  <c r="AB564" i="3" s="1"/>
  <c r="N596" i="3"/>
  <c r="N628" i="3"/>
  <c r="N660" i="3"/>
  <c r="N692" i="3"/>
  <c r="N724" i="3"/>
  <c r="N756" i="3"/>
  <c r="N788" i="3"/>
  <c r="N820" i="3"/>
  <c r="AB820" i="3" s="1"/>
  <c r="N852" i="3"/>
  <c r="AB852" i="3" s="1"/>
  <c r="N884" i="3"/>
  <c r="AB884" i="3" s="1"/>
  <c r="N916" i="3"/>
  <c r="N948" i="3"/>
  <c r="N980" i="3"/>
  <c r="N1012" i="3"/>
  <c r="N1044" i="3"/>
  <c r="N1076" i="3"/>
  <c r="AB1076" i="3" s="1"/>
  <c r="N1108" i="3"/>
  <c r="AB1108" i="3" s="1"/>
  <c r="N1140" i="3"/>
  <c r="AB1140" i="3" s="1"/>
  <c r="N1172" i="3"/>
  <c r="N1204" i="3"/>
  <c r="AB1204" i="3" s="1"/>
  <c r="N1236" i="3"/>
  <c r="N1268" i="3"/>
  <c r="N1300" i="3"/>
  <c r="N1332" i="3"/>
  <c r="N21" i="3"/>
  <c r="N53" i="3"/>
  <c r="N85" i="3"/>
  <c r="N117" i="3"/>
  <c r="N149" i="3"/>
  <c r="N181" i="3"/>
  <c r="AB181" i="3" s="1"/>
  <c r="N213" i="3"/>
  <c r="N245" i="3"/>
  <c r="AB245" i="3" s="1"/>
  <c r="N277" i="3"/>
  <c r="N309" i="3"/>
  <c r="N341" i="3"/>
  <c r="N373" i="3"/>
  <c r="N405" i="3"/>
  <c r="N437" i="3"/>
  <c r="N469" i="3"/>
  <c r="N501" i="3"/>
  <c r="AB501" i="3" s="1"/>
  <c r="N533" i="3"/>
  <c r="AB533" i="3" s="1"/>
  <c r="N565" i="3"/>
  <c r="AB565" i="3" s="1"/>
  <c r="N597" i="3"/>
  <c r="N629" i="3"/>
  <c r="N661" i="3"/>
  <c r="N693" i="3"/>
  <c r="N725" i="3"/>
  <c r="AB725" i="3" s="1"/>
  <c r="N757" i="3"/>
  <c r="AB757" i="3" s="1"/>
  <c r="N789" i="3"/>
  <c r="AB789" i="3" s="1"/>
  <c r="N821" i="3"/>
  <c r="AB821" i="3" s="1"/>
  <c r="N853" i="3"/>
  <c r="N885" i="3"/>
  <c r="AB885" i="3" s="1"/>
  <c r="N917" i="3"/>
  <c r="N949" i="3"/>
  <c r="N981" i="3"/>
  <c r="N1013" i="3"/>
  <c r="N1045" i="3"/>
  <c r="N1077" i="3"/>
  <c r="N1109" i="3"/>
  <c r="N1141" i="3"/>
  <c r="N1173" i="3"/>
  <c r="N1205" i="3"/>
  <c r="AB1205" i="3" s="1"/>
  <c r="N1237" i="3"/>
  <c r="N1269" i="3"/>
  <c r="AB1269" i="3" s="1"/>
  <c r="N1301" i="3"/>
  <c r="N1333" i="3"/>
  <c r="N1365" i="3"/>
  <c r="N1397" i="3"/>
  <c r="N22" i="3"/>
  <c r="N54" i="3"/>
  <c r="N86" i="3"/>
  <c r="N118" i="3"/>
  <c r="AB118" i="3" s="1"/>
  <c r="N150" i="3"/>
  <c r="AB150" i="3" s="1"/>
  <c r="N182" i="3"/>
  <c r="AB182" i="3" s="1"/>
  <c r="N214" i="3"/>
  <c r="N246" i="3"/>
  <c r="N278" i="3"/>
  <c r="N310" i="3"/>
  <c r="N342" i="3"/>
  <c r="AB342" i="3" s="1"/>
  <c r="N374" i="3"/>
  <c r="AB374" i="3" s="1"/>
  <c r="N406" i="3"/>
  <c r="AB406" i="3" s="1"/>
  <c r="N438" i="3"/>
  <c r="AB438" i="3" s="1"/>
  <c r="N470" i="3"/>
  <c r="N502" i="3"/>
  <c r="AB502" i="3" s="1"/>
  <c r="N534" i="3"/>
  <c r="N566" i="3"/>
  <c r="N598" i="3"/>
  <c r="N630" i="3"/>
  <c r="N662" i="3"/>
  <c r="N694" i="3"/>
  <c r="N726" i="3"/>
  <c r="N758" i="3"/>
  <c r="N790" i="3"/>
  <c r="N822" i="3"/>
  <c r="AB822" i="3" s="1"/>
  <c r="N854" i="3"/>
  <c r="N886" i="3"/>
  <c r="N918" i="3"/>
  <c r="N950" i="3"/>
  <c r="N982" i="3"/>
  <c r="N1014" i="3"/>
  <c r="N1046" i="3"/>
  <c r="N1078" i="3"/>
  <c r="N1110" i="3"/>
  <c r="N1142" i="3"/>
  <c r="AB1142" i="3" s="1"/>
  <c r="N1174" i="3"/>
  <c r="AB1174" i="3" s="1"/>
  <c r="N1206" i="3"/>
  <c r="AB1206" i="3" s="1"/>
  <c r="N1238" i="3"/>
  <c r="N1270" i="3"/>
  <c r="N1302" i="3"/>
  <c r="N1334" i="3"/>
  <c r="N1366" i="3"/>
  <c r="AB1366" i="3" s="1"/>
  <c r="N1398" i="3"/>
  <c r="AB1398" i="3" s="1"/>
  <c r="N23" i="3"/>
  <c r="AB23" i="3" s="1"/>
  <c r="N55" i="3"/>
  <c r="AB55" i="3" s="1"/>
  <c r="N87" i="3"/>
  <c r="N119" i="3"/>
  <c r="AB119" i="3" s="1"/>
  <c r="N151" i="3"/>
  <c r="N183" i="3"/>
  <c r="N215" i="3"/>
  <c r="N247" i="3"/>
  <c r="N279" i="3"/>
  <c r="N311" i="3"/>
  <c r="N343" i="3"/>
  <c r="N375" i="3"/>
  <c r="N407" i="3"/>
  <c r="N439" i="3"/>
  <c r="AB439" i="3" s="1"/>
  <c r="N471" i="3"/>
  <c r="N503" i="3"/>
  <c r="AB503" i="3" s="1"/>
  <c r="N535" i="3"/>
  <c r="N567" i="3"/>
  <c r="N599" i="3"/>
  <c r="N631" i="3"/>
  <c r="N663" i="3"/>
  <c r="N695" i="3"/>
  <c r="N727" i="3"/>
  <c r="N759" i="3"/>
  <c r="AB759" i="3" s="1"/>
  <c r="N791" i="3"/>
  <c r="AB791" i="3" s="1"/>
  <c r="N823" i="3"/>
  <c r="AB823" i="3" s="1"/>
  <c r="N855" i="3"/>
  <c r="N887" i="3"/>
  <c r="N919" i="3"/>
  <c r="N951" i="3"/>
  <c r="N983" i="3"/>
  <c r="AB983" i="3" s="1"/>
  <c r="N1015" i="3"/>
  <c r="AB1015" i="3" s="1"/>
  <c r="N1047" i="3"/>
  <c r="AB1047" i="3" s="1"/>
  <c r="N1079" i="3"/>
  <c r="AB1079" i="3" s="1"/>
  <c r="N1111" i="3"/>
  <c r="N1143" i="3"/>
  <c r="AB1143" i="3" s="1"/>
  <c r="N1175" i="3"/>
  <c r="N1207" i="3"/>
  <c r="N1239" i="3"/>
  <c r="N1271" i="3"/>
  <c r="N1303" i="3"/>
  <c r="N1335" i="3"/>
  <c r="N24" i="3"/>
  <c r="N56" i="3"/>
  <c r="N88" i="3"/>
  <c r="N120" i="3"/>
  <c r="AB120" i="3" s="1"/>
  <c r="N152" i="3"/>
  <c r="N184" i="3"/>
  <c r="AB184" i="3" s="1"/>
  <c r="N216" i="3"/>
  <c r="N248" i="3"/>
  <c r="N280" i="3"/>
  <c r="N312" i="3"/>
  <c r="N344" i="3"/>
  <c r="N376" i="3"/>
  <c r="N408" i="3"/>
  <c r="N440" i="3"/>
  <c r="AB440" i="3" s="1"/>
  <c r="N472" i="3"/>
  <c r="AB472" i="3" s="1"/>
  <c r="N504" i="3"/>
  <c r="AB504" i="3" s="1"/>
  <c r="N536" i="3"/>
  <c r="N568" i="3"/>
  <c r="N600" i="3"/>
  <c r="N632" i="3"/>
  <c r="N664" i="3"/>
  <c r="AB664" i="3" s="1"/>
  <c r="N696" i="3"/>
  <c r="AB696" i="3" s="1"/>
  <c r="N728" i="3"/>
  <c r="AB728" i="3" s="1"/>
  <c r="N760" i="3"/>
  <c r="AB760" i="3" s="1"/>
  <c r="N792" i="3"/>
  <c r="N824" i="3"/>
  <c r="AB824" i="3" s="1"/>
  <c r="N856" i="3"/>
  <c r="N888" i="3"/>
  <c r="N920" i="3"/>
  <c r="N952" i="3"/>
  <c r="N984" i="3"/>
  <c r="N1016" i="3"/>
  <c r="N1048" i="3"/>
  <c r="N1080" i="3"/>
  <c r="N1112" i="3"/>
  <c r="N1144" i="3"/>
  <c r="AB1144" i="3" s="1"/>
  <c r="N1176" i="3"/>
  <c r="N1208" i="3"/>
  <c r="AB1208" i="3" s="1"/>
  <c r="N1240" i="3"/>
  <c r="N1272" i="3"/>
  <c r="N1304" i="3"/>
  <c r="N1336" i="3"/>
  <c r="N1368" i="3"/>
  <c r="N1400" i="3"/>
  <c r="N1432" i="3"/>
  <c r="N1464" i="3"/>
  <c r="AB1464" i="3" s="1"/>
  <c r="N1496" i="3"/>
  <c r="AB1496" i="3" s="1"/>
  <c r="N1528" i="3"/>
  <c r="AB1528" i="3" s="1"/>
  <c r="N1560" i="3"/>
  <c r="N1592" i="3"/>
  <c r="N1624" i="3"/>
  <c r="N1656" i="3"/>
  <c r="N1688" i="3"/>
  <c r="AB1688" i="3" s="1"/>
  <c r="N1720" i="3"/>
  <c r="AB1720" i="3" s="1"/>
  <c r="N1752" i="3"/>
  <c r="AB1752" i="3" s="1"/>
  <c r="N1784" i="3"/>
  <c r="AB1784" i="3" s="1"/>
  <c r="N1816" i="3"/>
  <c r="N1848" i="3"/>
  <c r="AB1848" i="3" s="1"/>
  <c r="N25" i="3"/>
  <c r="N57" i="3"/>
  <c r="N89" i="3"/>
  <c r="N121" i="3"/>
  <c r="N153" i="3"/>
  <c r="N185" i="3"/>
  <c r="N217" i="3"/>
  <c r="N249" i="3"/>
  <c r="N281" i="3"/>
  <c r="N313" i="3"/>
  <c r="AB313" i="3" s="1"/>
  <c r="N345" i="3"/>
  <c r="N377" i="3"/>
  <c r="AB377" i="3" s="1"/>
  <c r="N409" i="3"/>
  <c r="N441" i="3"/>
  <c r="N473" i="3"/>
  <c r="N505" i="3"/>
  <c r="N537" i="3"/>
  <c r="N569" i="3"/>
  <c r="N601" i="3"/>
  <c r="N633" i="3"/>
  <c r="AB633" i="3" s="1"/>
  <c r="N665" i="3"/>
  <c r="AB665" i="3" s="1"/>
  <c r="N697" i="3"/>
  <c r="AB697" i="3" s="1"/>
  <c r="N729" i="3"/>
  <c r="N761" i="3"/>
  <c r="N793" i="3"/>
  <c r="N825" i="3"/>
  <c r="N857" i="3"/>
  <c r="AB857" i="3" s="1"/>
  <c r="N889" i="3"/>
  <c r="AB889" i="3" s="1"/>
  <c r="N921" i="3"/>
  <c r="AB921" i="3" s="1"/>
  <c r="N953" i="3"/>
  <c r="AB953" i="3" s="1"/>
  <c r="N985" i="3"/>
  <c r="N1017" i="3"/>
  <c r="AB1017" i="3" s="1"/>
  <c r="N1049" i="3"/>
  <c r="N1081" i="3"/>
  <c r="N1113" i="3"/>
  <c r="N1145" i="3"/>
  <c r="N1177" i="3"/>
  <c r="N1209" i="3"/>
  <c r="N1241" i="3"/>
  <c r="N1273" i="3"/>
  <c r="N1305" i="3"/>
  <c r="N1337" i="3"/>
  <c r="AB1337" i="3" s="1"/>
  <c r="N26" i="3"/>
  <c r="N58" i="3"/>
  <c r="AB58" i="3" s="1"/>
  <c r="N90" i="3"/>
  <c r="N122" i="3"/>
  <c r="N154" i="3"/>
  <c r="N186" i="3"/>
  <c r="N218" i="3"/>
  <c r="N250" i="3"/>
  <c r="N282" i="3"/>
  <c r="N314" i="3"/>
  <c r="AB314" i="3" s="1"/>
  <c r="N346" i="3"/>
  <c r="AB346" i="3" s="1"/>
  <c r="N378" i="3"/>
  <c r="AB378" i="3" s="1"/>
  <c r="N410" i="3"/>
  <c r="N442" i="3"/>
  <c r="N474" i="3"/>
  <c r="N506" i="3"/>
  <c r="N538" i="3"/>
  <c r="AB538" i="3" s="1"/>
  <c r="N570" i="3"/>
  <c r="AB570" i="3" s="1"/>
  <c r="N602" i="3"/>
  <c r="AB602" i="3" s="1"/>
  <c r="N634" i="3"/>
  <c r="AB634" i="3" s="1"/>
  <c r="N666" i="3"/>
  <c r="N698" i="3"/>
  <c r="AB698" i="3" s="1"/>
  <c r="N730" i="3"/>
  <c r="N762" i="3"/>
  <c r="N794" i="3"/>
  <c r="N826" i="3"/>
  <c r="N858" i="3"/>
  <c r="N890" i="3"/>
  <c r="N922" i="3"/>
  <c r="N954" i="3"/>
  <c r="N986" i="3"/>
  <c r="N1018" i="3"/>
  <c r="AB1018" i="3" s="1"/>
  <c r="N1050" i="3"/>
  <c r="N1082" i="3"/>
  <c r="AB1082" i="3" s="1"/>
  <c r="N1114" i="3"/>
  <c r="N1146" i="3"/>
  <c r="N1178" i="3"/>
  <c r="N1210" i="3"/>
  <c r="N1242" i="3"/>
  <c r="N1274" i="3"/>
  <c r="N1306" i="3"/>
  <c r="N1338" i="3"/>
  <c r="AB1338" i="3" s="1"/>
  <c r="N1370" i="3"/>
  <c r="AB1370" i="3" s="1"/>
  <c r="N1402" i="3"/>
  <c r="AB1402" i="3" s="1"/>
  <c r="N1434" i="3"/>
  <c r="N27" i="3"/>
  <c r="N59" i="3"/>
  <c r="N91" i="3"/>
  <c r="N123" i="3"/>
  <c r="AB123" i="3" s="1"/>
  <c r="N155" i="3"/>
  <c r="AB155" i="3" s="1"/>
  <c r="N187" i="3"/>
  <c r="AB187" i="3" s="1"/>
  <c r="N219" i="3"/>
  <c r="AB219" i="3" s="1"/>
  <c r="N251" i="3"/>
  <c r="N283" i="3"/>
  <c r="AB283" i="3" s="1"/>
  <c r="N315" i="3"/>
  <c r="N347" i="3"/>
  <c r="N379" i="3"/>
  <c r="N411" i="3"/>
  <c r="N443" i="3"/>
  <c r="N475" i="3"/>
  <c r="N507" i="3"/>
  <c r="N539" i="3"/>
  <c r="N571" i="3"/>
  <c r="N603" i="3"/>
  <c r="AB603" i="3" s="1"/>
  <c r="N635" i="3"/>
  <c r="N667" i="3"/>
  <c r="AB667" i="3" s="1"/>
  <c r="N699" i="3"/>
  <c r="N731" i="3"/>
  <c r="N763" i="3"/>
  <c r="N795" i="3"/>
  <c r="N827" i="3"/>
  <c r="N859" i="3"/>
  <c r="N891" i="3"/>
  <c r="N923" i="3"/>
  <c r="AB923" i="3" s="1"/>
  <c r="N955" i="3"/>
  <c r="AB955" i="3" s="1"/>
  <c r="N987" i="3"/>
  <c r="AB987" i="3" s="1"/>
  <c r="N1019" i="3"/>
  <c r="N1051" i="3"/>
  <c r="N1083" i="3"/>
  <c r="N1115" i="3"/>
  <c r="N1147" i="3"/>
  <c r="AB1147" i="3" s="1"/>
  <c r="N1179" i="3"/>
  <c r="AB1179" i="3" s="1"/>
  <c r="N1211" i="3"/>
  <c r="AB1211" i="3" s="1"/>
  <c r="N1243" i="3"/>
  <c r="AB1243" i="3" s="1"/>
  <c r="N1275" i="3"/>
  <c r="N1307" i="3"/>
  <c r="AB1307" i="3" s="1"/>
  <c r="N1339" i="3"/>
  <c r="N1371" i="3"/>
  <c r="N1403" i="3"/>
  <c r="N28" i="3"/>
  <c r="N60" i="3"/>
  <c r="N92" i="3"/>
  <c r="N124" i="3"/>
  <c r="N156" i="3"/>
  <c r="N188" i="3"/>
  <c r="N220" i="3"/>
  <c r="AB220" i="3" s="1"/>
  <c r="N252" i="3"/>
  <c r="N284" i="3"/>
  <c r="AB284" i="3" s="1"/>
  <c r="N316" i="3"/>
  <c r="N348" i="3"/>
  <c r="N380" i="3"/>
  <c r="N412" i="3"/>
  <c r="N444" i="3"/>
  <c r="N476" i="3"/>
  <c r="N508" i="3"/>
  <c r="N540" i="3"/>
  <c r="AB540" i="3" s="1"/>
  <c r="N572" i="3"/>
  <c r="AB572" i="3" s="1"/>
  <c r="N604" i="3"/>
  <c r="AB604" i="3" s="1"/>
  <c r="N636" i="3"/>
  <c r="N668" i="3"/>
  <c r="N700" i="3"/>
  <c r="N732" i="3"/>
  <c r="N764" i="3"/>
  <c r="AB764" i="3" s="1"/>
  <c r="N796" i="3"/>
  <c r="AB796" i="3" s="1"/>
  <c r="N828" i="3"/>
  <c r="AB828" i="3" s="1"/>
  <c r="N860" i="3"/>
  <c r="AB860" i="3" s="1"/>
  <c r="N892" i="3"/>
  <c r="N924" i="3"/>
  <c r="AB924" i="3" s="1"/>
  <c r="N956" i="3"/>
  <c r="N988" i="3"/>
  <c r="N1020" i="3"/>
  <c r="N1052" i="3"/>
  <c r="N1084" i="3"/>
  <c r="N1116" i="3"/>
  <c r="N1148" i="3"/>
  <c r="N1180" i="3"/>
  <c r="N1212" i="3"/>
  <c r="N1244" i="3"/>
  <c r="AB1244" i="3" s="1"/>
  <c r="N1276" i="3"/>
  <c r="N1308" i="3"/>
  <c r="AB1308" i="3" s="1"/>
  <c r="N1340" i="3"/>
  <c r="N1372" i="3"/>
  <c r="N1404" i="3"/>
  <c r="N29" i="3"/>
  <c r="N61" i="3"/>
  <c r="N93" i="3"/>
  <c r="N125" i="3"/>
  <c r="N157" i="3"/>
  <c r="AB157" i="3" s="1"/>
  <c r="N189" i="3"/>
  <c r="AB189" i="3" s="1"/>
  <c r="N221" i="3"/>
  <c r="AB221" i="3" s="1"/>
  <c r="N253" i="3"/>
  <c r="N285" i="3"/>
  <c r="N317" i="3"/>
  <c r="N349" i="3"/>
  <c r="N381" i="3"/>
  <c r="AB381" i="3" s="1"/>
  <c r="N413" i="3"/>
  <c r="AB413" i="3" s="1"/>
  <c r="N445" i="3"/>
  <c r="AB445" i="3" s="1"/>
  <c r="N477" i="3"/>
  <c r="AB477" i="3" s="1"/>
  <c r="N509" i="3"/>
  <c r="N541" i="3"/>
  <c r="AB541" i="3" s="1"/>
  <c r="N573" i="3"/>
  <c r="N605" i="3"/>
  <c r="N637" i="3"/>
  <c r="N669" i="3"/>
  <c r="N701" i="3"/>
  <c r="N733" i="3"/>
  <c r="N765" i="3"/>
  <c r="N797" i="3"/>
  <c r="N829" i="3"/>
  <c r="N861" i="3"/>
  <c r="AB861" i="3" s="1"/>
  <c r="N893" i="3"/>
  <c r="N925" i="3"/>
  <c r="AB925" i="3" s="1"/>
  <c r="N957" i="3"/>
  <c r="N989" i="3"/>
  <c r="N1021" i="3"/>
  <c r="N1053" i="3"/>
  <c r="N1085" i="3"/>
  <c r="N1117" i="3"/>
  <c r="N1149" i="3"/>
  <c r="N1181" i="3"/>
  <c r="AB1181" i="3" s="1"/>
  <c r="N1213" i="3"/>
  <c r="AB1213" i="3" s="1"/>
  <c r="N1245" i="3"/>
  <c r="AB1245" i="3" s="1"/>
  <c r="N1277" i="3"/>
  <c r="N1309" i="3"/>
  <c r="N1341" i="3"/>
  <c r="N30" i="3"/>
  <c r="N62" i="3"/>
  <c r="AB62" i="3" s="1"/>
  <c r="N94" i="3"/>
  <c r="AB94" i="3" s="1"/>
  <c r="N126" i="3"/>
  <c r="AB126" i="3" s="1"/>
  <c r="N158" i="3"/>
  <c r="AB158" i="3" s="1"/>
  <c r="N190" i="3"/>
  <c r="N222" i="3"/>
  <c r="AB222" i="3" s="1"/>
  <c r="N254" i="3"/>
  <c r="N286" i="3"/>
  <c r="N318" i="3"/>
  <c r="AB318" i="3" s="1"/>
  <c r="N350" i="3"/>
  <c r="N382" i="3"/>
  <c r="N414" i="3"/>
  <c r="N446" i="3"/>
  <c r="N478" i="3"/>
  <c r="N510" i="3"/>
  <c r="N542" i="3"/>
  <c r="AB542" i="3" s="1"/>
  <c r="N574" i="3"/>
  <c r="N606" i="3"/>
  <c r="AB606" i="3" s="1"/>
  <c r="N638" i="3"/>
  <c r="N670" i="3"/>
  <c r="N702" i="3"/>
  <c r="N734" i="3"/>
  <c r="N766" i="3"/>
  <c r="N798" i="3"/>
  <c r="N830" i="3"/>
  <c r="N862" i="3"/>
  <c r="AB862" i="3" s="1"/>
  <c r="N894" i="3"/>
  <c r="AB894" i="3" s="1"/>
  <c r="N926" i="3"/>
  <c r="AB926" i="3" s="1"/>
  <c r="N958" i="3"/>
  <c r="N990" i="3"/>
  <c r="N1022" i="3"/>
  <c r="N1054" i="3"/>
  <c r="N1086" i="3"/>
  <c r="AB1086" i="3" s="1"/>
  <c r="N1118" i="3"/>
  <c r="AB1118" i="3" s="1"/>
  <c r="N1150" i="3"/>
  <c r="AB1150" i="3" s="1"/>
  <c r="N1182" i="3"/>
  <c r="AB1182" i="3" s="1"/>
  <c r="N1214" i="3"/>
  <c r="N31" i="3"/>
  <c r="AB31" i="3" s="1"/>
  <c r="N63" i="3"/>
  <c r="N95" i="3"/>
  <c r="N127" i="3"/>
  <c r="AB127" i="3" s="1"/>
  <c r="N159" i="3"/>
  <c r="N191" i="3"/>
  <c r="N223" i="3"/>
  <c r="N255" i="3"/>
  <c r="N287" i="3"/>
  <c r="N319" i="3"/>
  <c r="N351" i="3"/>
  <c r="AB351" i="3" s="1"/>
  <c r="N383" i="3"/>
  <c r="N415" i="3"/>
  <c r="AB415" i="3" s="1"/>
  <c r="N447" i="3"/>
  <c r="N479" i="3"/>
  <c r="N511" i="3"/>
  <c r="AB511" i="3" s="1"/>
  <c r="N543" i="3"/>
  <c r="N575" i="3"/>
  <c r="N607" i="3"/>
  <c r="N639" i="3"/>
  <c r="N671" i="3"/>
  <c r="AB671" i="3" s="1"/>
  <c r="N703" i="3"/>
  <c r="AB703" i="3" s="1"/>
  <c r="N735" i="3"/>
  <c r="AB735" i="3" s="1"/>
  <c r="N767" i="3"/>
  <c r="N799" i="3"/>
  <c r="N831" i="3"/>
  <c r="N863" i="3"/>
  <c r="N895" i="3"/>
  <c r="AB895" i="3" s="1"/>
  <c r="N927" i="3"/>
  <c r="AB927" i="3" s="1"/>
  <c r="N959" i="3"/>
  <c r="AB959" i="3" s="1"/>
  <c r="N991" i="3"/>
  <c r="AB991" i="3" s="1"/>
  <c r="N1023" i="3"/>
  <c r="N1055" i="3"/>
  <c r="AB1055" i="3" s="1"/>
  <c r="N1087" i="3"/>
  <c r="N1119" i="3"/>
  <c r="N32" i="3"/>
  <c r="N64" i="3"/>
  <c r="N96" i="3"/>
  <c r="N128" i="3"/>
  <c r="N160" i="3"/>
  <c r="N192" i="3"/>
  <c r="N224" i="3"/>
  <c r="N256" i="3"/>
  <c r="AB256" i="3" s="1"/>
  <c r="N288" i="3"/>
  <c r="N320" i="3"/>
  <c r="AB320" i="3" s="1"/>
  <c r="N352" i="3"/>
  <c r="N384" i="3"/>
  <c r="N416" i="3"/>
  <c r="AB416" i="3" s="1"/>
  <c r="N448" i="3"/>
  <c r="N480" i="3"/>
  <c r="N512" i="3"/>
  <c r="N544" i="3"/>
  <c r="N576" i="3"/>
  <c r="N608" i="3"/>
  <c r="AB608" i="3" s="1"/>
  <c r="N640" i="3"/>
  <c r="AB640" i="3" s="1"/>
  <c r="N672" i="3"/>
  <c r="N704" i="3"/>
  <c r="N736" i="3"/>
  <c r="N768" i="3"/>
  <c r="N800" i="3"/>
  <c r="AB800" i="3" s="1"/>
  <c r="N832" i="3"/>
  <c r="AB832" i="3" s="1"/>
  <c r="N864" i="3"/>
  <c r="AB864" i="3" s="1"/>
  <c r="N896" i="3"/>
  <c r="AB896" i="3" s="1"/>
  <c r="N928" i="3"/>
  <c r="N960" i="3"/>
  <c r="AB960" i="3" s="1"/>
  <c r="N992" i="3"/>
  <c r="N1024" i="3"/>
  <c r="N1056" i="3"/>
  <c r="N1088" i="3"/>
  <c r="N1120" i="3"/>
  <c r="N33" i="3"/>
  <c r="N65" i="3"/>
  <c r="N97" i="3"/>
  <c r="N129" i="3"/>
  <c r="N161" i="3"/>
  <c r="AB161" i="3" s="1"/>
  <c r="N193" i="3"/>
  <c r="N225" i="3"/>
  <c r="AB225" i="3" s="1"/>
  <c r="N257" i="3"/>
  <c r="N289" i="3"/>
  <c r="N321" i="3"/>
  <c r="AB321" i="3" s="1"/>
  <c r="N353" i="3"/>
  <c r="N385" i="3"/>
  <c r="N417" i="3"/>
  <c r="N449" i="3"/>
  <c r="N481" i="3"/>
  <c r="AB481" i="3" s="1"/>
  <c r="N513" i="3"/>
  <c r="AB513" i="3" s="1"/>
  <c r="N545" i="3"/>
  <c r="AB545" i="3" s="1"/>
  <c r="N577" i="3"/>
  <c r="N609" i="3"/>
  <c r="N641" i="3"/>
  <c r="N673" i="3"/>
  <c r="N705" i="3"/>
  <c r="AB705" i="3" s="1"/>
  <c r="N737" i="3"/>
  <c r="AB737" i="3" s="1"/>
  <c r="N769" i="3"/>
  <c r="AB769" i="3" s="1"/>
  <c r="N801" i="3"/>
  <c r="AB801" i="3" s="1"/>
  <c r="N833" i="3"/>
  <c r="N865" i="3"/>
  <c r="AB865" i="3" s="1"/>
  <c r="N897" i="3"/>
  <c r="N929" i="3"/>
  <c r="N961" i="3"/>
  <c r="N993" i="3"/>
  <c r="N1025" i="3"/>
  <c r="N1057" i="3"/>
  <c r="N34" i="3"/>
  <c r="N66" i="3"/>
  <c r="N98" i="3"/>
  <c r="N130" i="3"/>
  <c r="AB130" i="3" s="1"/>
  <c r="N162" i="3"/>
  <c r="N194" i="3"/>
  <c r="AB194" i="3" s="1"/>
  <c r="N226" i="3"/>
  <c r="N258" i="3"/>
  <c r="N290" i="3"/>
  <c r="AB290" i="3" s="1"/>
  <c r="N322" i="3"/>
  <c r="N354" i="3"/>
  <c r="N386" i="3"/>
  <c r="N418" i="3"/>
  <c r="N450" i="3"/>
  <c r="AB450" i="3" s="1"/>
  <c r="N482" i="3"/>
  <c r="AB482" i="3" s="1"/>
  <c r="N514" i="3"/>
  <c r="AB514" i="3" s="1"/>
  <c r="N546" i="3"/>
  <c r="N578" i="3"/>
  <c r="N610" i="3"/>
  <c r="N642" i="3"/>
  <c r="N674" i="3"/>
  <c r="AB674" i="3" s="1"/>
  <c r="N706" i="3"/>
  <c r="AB706" i="3" s="1"/>
  <c r="N738" i="3"/>
  <c r="AB738" i="3" s="1"/>
  <c r="N770" i="3"/>
  <c r="AB770" i="3" s="1"/>
  <c r="N802" i="3"/>
  <c r="N834" i="3"/>
  <c r="AB834" i="3" s="1"/>
  <c r="N866" i="3"/>
  <c r="N898" i="3"/>
  <c r="N930" i="3"/>
  <c r="N962" i="3"/>
  <c r="N994" i="3"/>
  <c r="N1026" i="3"/>
  <c r="N35" i="3"/>
  <c r="N67" i="3"/>
  <c r="N99" i="3"/>
  <c r="N131" i="3"/>
  <c r="AB131" i="3" s="1"/>
  <c r="N163" i="3"/>
  <c r="N195" i="3"/>
  <c r="AB195" i="3" s="1"/>
  <c r="N227" i="3"/>
  <c r="N259" i="3"/>
  <c r="N291" i="3"/>
  <c r="AB291" i="3" s="1"/>
  <c r="N323" i="3"/>
  <c r="N355" i="3"/>
  <c r="N387" i="3"/>
  <c r="N419" i="3"/>
  <c r="N451" i="3"/>
  <c r="AB451" i="3" s="1"/>
  <c r="N483" i="3"/>
  <c r="AB483" i="3" s="1"/>
  <c r="N515" i="3"/>
  <c r="AB515" i="3" s="1"/>
  <c r="N547" i="3"/>
  <c r="N579" i="3"/>
  <c r="N611" i="3"/>
  <c r="N643" i="3"/>
  <c r="N675" i="3"/>
  <c r="AB675" i="3" s="1"/>
  <c r="N707" i="3"/>
  <c r="AB707" i="3" s="1"/>
  <c r="N739" i="3"/>
  <c r="AB739" i="3" s="1"/>
  <c r="N771" i="3"/>
  <c r="AB771" i="3" s="1"/>
  <c r="N803" i="3"/>
  <c r="N835" i="3"/>
  <c r="AB835" i="3" s="1"/>
  <c r="N867" i="3"/>
  <c r="N899" i="3"/>
  <c r="N931" i="3"/>
  <c r="N963" i="3"/>
  <c r="N995" i="3"/>
  <c r="N36" i="3"/>
  <c r="N68" i="3"/>
  <c r="N100" i="3"/>
  <c r="N132" i="3"/>
  <c r="N164" i="3"/>
  <c r="AB164" i="3" s="1"/>
  <c r="N196" i="3"/>
  <c r="N228" i="3"/>
  <c r="AB228" i="3" s="1"/>
  <c r="N260" i="3"/>
  <c r="N292" i="3"/>
  <c r="N324" i="3"/>
  <c r="AB324" i="3" s="1"/>
  <c r="N356" i="3"/>
  <c r="N388" i="3"/>
  <c r="N420" i="3"/>
  <c r="N452" i="3"/>
  <c r="N484" i="3"/>
  <c r="AB484" i="3" s="1"/>
  <c r="N516" i="3"/>
  <c r="AB516" i="3" s="1"/>
  <c r="N548" i="3"/>
  <c r="AB548" i="3" s="1"/>
  <c r="N580" i="3"/>
  <c r="N612" i="3"/>
  <c r="N644" i="3"/>
  <c r="N676" i="3"/>
  <c r="N708" i="3"/>
  <c r="AB708" i="3" s="1"/>
  <c r="N740" i="3"/>
  <c r="AB740" i="3" s="1"/>
  <c r="N772" i="3"/>
  <c r="AB772" i="3" s="1"/>
  <c r="N804" i="3"/>
  <c r="AB804" i="3" s="1"/>
  <c r="N836" i="3"/>
  <c r="N868" i="3"/>
  <c r="AB868" i="3" s="1"/>
  <c r="N900" i="3"/>
  <c r="N932" i="3"/>
  <c r="N37" i="3"/>
  <c r="N69" i="3"/>
  <c r="N101" i="3"/>
  <c r="N133" i="3"/>
  <c r="N165" i="3"/>
  <c r="N197" i="3"/>
  <c r="N229" i="3"/>
  <c r="N261" i="3"/>
  <c r="AB261" i="3" s="1"/>
  <c r="N293" i="3"/>
  <c r="N325" i="3"/>
  <c r="N357" i="3"/>
  <c r="N389" i="3"/>
  <c r="N421" i="3"/>
  <c r="AB421" i="3" s="1"/>
  <c r="N453" i="3"/>
  <c r="N485" i="3"/>
  <c r="N517" i="3"/>
  <c r="N549" i="3"/>
  <c r="N581" i="3"/>
  <c r="AB581" i="3" s="1"/>
  <c r="N613" i="3"/>
  <c r="AB613" i="3" s="1"/>
  <c r="N645" i="3"/>
  <c r="AB645" i="3" s="1"/>
  <c r="N38" i="3"/>
  <c r="N70" i="3"/>
  <c r="N102" i="3"/>
  <c r="N134" i="3"/>
  <c r="N166" i="3"/>
  <c r="AB166" i="3" s="1"/>
  <c r="N198" i="3"/>
  <c r="AB198" i="3" s="1"/>
  <c r="N230" i="3"/>
  <c r="AB230" i="3" s="1"/>
  <c r="N262" i="3"/>
  <c r="AB262" i="3" s="1"/>
  <c r="N294" i="3"/>
  <c r="N326" i="3"/>
  <c r="AB326" i="3" s="1"/>
  <c r="N358" i="3"/>
  <c r="N390" i="3"/>
  <c r="N422" i="3"/>
  <c r="AB422" i="3" s="1"/>
  <c r="N454" i="3"/>
  <c r="N486" i="3"/>
  <c r="N518" i="3"/>
  <c r="N550" i="3"/>
  <c r="N582" i="3"/>
  <c r="N614" i="3"/>
  <c r="N646" i="3"/>
  <c r="AB646" i="3" s="1"/>
  <c r="N678" i="3"/>
  <c r="N710" i="3"/>
  <c r="AB710" i="3" s="1"/>
  <c r="N39" i="3"/>
  <c r="N71" i="3"/>
  <c r="N103" i="3"/>
  <c r="AB103" i="3" s="1"/>
  <c r="N135" i="3"/>
  <c r="N167" i="3"/>
  <c r="N199" i="3"/>
  <c r="N231" i="3"/>
  <c r="N263" i="3"/>
  <c r="AB263" i="3" s="1"/>
  <c r="N295" i="3"/>
  <c r="AB295" i="3" s="1"/>
  <c r="N327" i="3"/>
  <c r="AB327" i="3" s="1"/>
  <c r="N359" i="3"/>
  <c r="N391" i="3"/>
  <c r="N423" i="3"/>
  <c r="N455" i="3"/>
  <c r="N487" i="3"/>
  <c r="AB487" i="3" s="1"/>
  <c r="N519" i="3"/>
  <c r="AB519" i="3" s="1"/>
  <c r="N551" i="3"/>
  <c r="AB551" i="3" s="1"/>
  <c r="N583" i="3"/>
  <c r="AB583" i="3" s="1"/>
  <c r="N615" i="3"/>
  <c r="AB615" i="3" s="1"/>
  <c r="N647" i="3"/>
  <c r="AB647" i="3" s="1"/>
  <c r="N679" i="3"/>
  <c r="N711" i="3"/>
  <c r="N743" i="3"/>
  <c r="N677" i="3"/>
  <c r="N1029" i="3"/>
  <c r="N1183" i="3"/>
  <c r="N1282" i="3"/>
  <c r="N1373" i="3"/>
  <c r="N1428" i="3"/>
  <c r="N1470" i="3"/>
  <c r="AB1470" i="3" s="1"/>
  <c r="N1510" i="3"/>
  <c r="N1557" i="3"/>
  <c r="AB1557" i="3" s="1"/>
  <c r="N1598" i="3"/>
  <c r="N1638" i="3"/>
  <c r="N1685" i="3"/>
  <c r="AB1685" i="3" s="1"/>
  <c r="N1726" i="3"/>
  <c r="N1766" i="3"/>
  <c r="N1813" i="3"/>
  <c r="N1854" i="3"/>
  <c r="N1893" i="3"/>
  <c r="AB1893" i="3" s="1"/>
  <c r="N1939" i="3"/>
  <c r="AB1939" i="3" s="1"/>
  <c r="N1978" i="3"/>
  <c r="AB1978" i="3" s="1"/>
  <c r="N2017" i="3"/>
  <c r="N2063" i="3"/>
  <c r="N709" i="3"/>
  <c r="N1030" i="3"/>
  <c r="N1184" i="3"/>
  <c r="AB1184" i="3" s="1"/>
  <c r="N1283" i="3"/>
  <c r="AB1283" i="3" s="1"/>
  <c r="N1374" i="3"/>
  <c r="AB1374" i="3" s="1"/>
  <c r="N1429" i="3"/>
  <c r="AB1429" i="3" s="1"/>
  <c r="N1471" i="3"/>
  <c r="N1511" i="3"/>
  <c r="AB1511" i="3" s="1"/>
  <c r="N1558" i="3"/>
  <c r="N1599" i="3"/>
  <c r="N1639" i="3"/>
  <c r="N1686" i="3"/>
  <c r="N1727" i="3"/>
  <c r="N1767" i="3"/>
  <c r="N1814" i="3"/>
  <c r="N1855" i="3"/>
  <c r="N1894" i="3"/>
  <c r="N1940" i="3"/>
  <c r="AB1940" i="3" s="1"/>
  <c r="N1979" i="3"/>
  <c r="AB1979" i="3" s="1"/>
  <c r="N2018" i="3"/>
  <c r="AB2018" i="3" s="1"/>
  <c r="N2064" i="3"/>
  <c r="N741" i="3"/>
  <c r="N1031" i="3"/>
  <c r="AB1031" i="3" s="1"/>
  <c r="N1185" i="3"/>
  <c r="N1284" i="3"/>
  <c r="N1375" i="3"/>
  <c r="N1430" i="3"/>
  <c r="N1472" i="3"/>
  <c r="N1519" i="3"/>
  <c r="AB1519" i="3" s="1"/>
  <c r="N1559" i="3"/>
  <c r="AB1559" i="3" s="1"/>
  <c r="N1600" i="3"/>
  <c r="N1647" i="3"/>
  <c r="N1687" i="3"/>
  <c r="N1728" i="3"/>
  <c r="N1775" i="3"/>
  <c r="AB1775" i="3" s="1"/>
  <c r="N1815" i="3"/>
  <c r="AB1815" i="3" s="1"/>
  <c r="N1856" i="3"/>
  <c r="AB1856" i="3" s="1"/>
  <c r="N1895" i="3"/>
  <c r="AB1895" i="3" s="1"/>
  <c r="N1941" i="3"/>
  <c r="N1980" i="3"/>
  <c r="AB1980" i="3" s="1"/>
  <c r="N2019" i="3"/>
  <c r="N2065" i="3"/>
  <c r="N742" i="3"/>
  <c r="N1058" i="3"/>
  <c r="N1186" i="3"/>
  <c r="N1285" i="3"/>
  <c r="N1376" i="3"/>
  <c r="N1431" i="3"/>
  <c r="N1473" i="3"/>
  <c r="N1520" i="3"/>
  <c r="AB1520" i="3" s="1"/>
  <c r="N1561" i="3"/>
  <c r="N1601" i="3"/>
  <c r="AB1601" i="3" s="1"/>
  <c r="N1648" i="3"/>
  <c r="N1689" i="3"/>
  <c r="N1729" i="3"/>
  <c r="AB1729" i="3" s="1"/>
  <c r="N1776" i="3"/>
  <c r="N1817" i="3"/>
  <c r="N1857" i="3"/>
  <c r="N1903" i="3"/>
  <c r="N1942" i="3"/>
  <c r="AB1942" i="3" s="1"/>
  <c r="N1981" i="3"/>
  <c r="AB1981" i="3" s="1"/>
  <c r="N2020" i="3"/>
  <c r="N2066" i="3"/>
  <c r="N773" i="3"/>
  <c r="N1059" i="3"/>
  <c r="N1187" i="3"/>
  <c r="N1286" i="3"/>
  <c r="AB1286" i="3" s="1"/>
  <c r="N1377" i="3"/>
  <c r="AB1377" i="3" s="1"/>
  <c r="N1433" i="3"/>
  <c r="AB1433" i="3" s="1"/>
  <c r="N1474" i="3"/>
  <c r="AB1474" i="3" s="1"/>
  <c r="N1521" i="3"/>
  <c r="N1562" i="3"/>
  <c r="AB1562" i="3" s="1"/>
  <c r="N1602" i="3"/>
  <c r="N1649" i="3"/>
  <c r="N1690" i="3"/>
  <c r="N1730" i="3"/>
  <c r="N1777" i="3"/>
  <c r="N1818" i="3"/>
  <c r="N1858" i="3"/>
  <c r="N1904" i="3"/>
  <c r="N1943" i="3"/>
  <c r="N1982" i="3"/>
  <c r="AB1982" i="3" s="1"/>
  <c r="N2021" i="3"/>
  <c r="N2067" i="3"/>
  <c r="AB2067" i="3" s="1"/>
  <c r="N774" i="3"/>
  <c r="N1060" i="3"/>
  <c r="N1188" i="3"/>
  <c r="AB1188" i="3" s="1"/>
  <c r="N1287" i="3"/>
  <c r="N1378" i="3"/>
  <c r="N1435" i="3"/>
  <c r="N1475" i="3"/>
  <c r="N1522" i="3"/>
  <c r="AB1522" i="3" s="1"/>
  <c r="N1563" i="3"/>
  <c r="AB1563" i="3" s="1"/>
  <c r="N1603" i="3"/>
  <c r="AB1603" i="3" s="1"/>
  <c r="N1650" i="3"/>
  <c r="N1691" i="3"/>
  <c r="N1731" i="3"/>
  <c r="N1778" i="3"/>
  <c r="N1819" i="3"/>
  <c r="AB1819" i="3" s="1"/>
  <c r="N1859" i="3"/>
  <c r="AB1859" i="3" s="1"/>
  <c r="N1905" i="3"/>
  <c r="AB1905" i="3" s="1"/>
  <c r="N1944" i="3"/>
  <c r="AB1944" i="3" s="1"/>
  <c r="N1983" i="3"/>
  <c r="N2022" i="3"/>
  <c r="AB2022" i="3" s="1"/>
  <c r="N2068" i="3"/>
  <c r="AB2068" i="3" s="1"/>
  <c r="N775" i="3"/>
  <c r="N1061" i="3"/>
  <c r="N1189" i="3"/>
  <c r="N1310" i="3"/>
  <c r="N1379" i="3"/>
  <c r="N1436" i="3"/>
  <c r="N1476" i="3"/>
  <c r="N1523" i="3"/>
  <c r="N1564" i="3"/>
  <c r="AB1564" i="3" s="1"/>
  <c r="N1604" i="3"/>
  <c r="N1651" i="3"/>
  <c r="AB1651" i="3" s="1"/>
  <c r="N1692" i="3"/>
  <c r="N1732" i="3"/>
  <c r="N1779" i="3"/>
  <c r="AB1779" i="3" s="1"/>
  <c r="N1820" i="3"/>
  <c r="N1860" i="3"/>
  <c r="N1906" i="3"/>
  <c r="N1945" i="3"/>
  <c r="N1984" i="3"/>
  <c r="AB1984" i="3" s="1"/>
  <c r="N2023" i="3"/>
  <c r="AB2023" i="3" s="1"/>
  <c r="N2069" i="3"/>
  <c r="AB2069" i="3" s="1"/>
  <c r="N805" i="3"/>
  <c r="N1062" i="3"/>
  <c r="N1190" i="3"/>
  <c r="N1311" i="3"/>
  <c r="N1380" i="3"/>
  <c r="AB1380" i="3" s="1"/>
  <c r="N1437" i="3"/>
  <c r="AB1437" i="3" s="1"/>
  <c r="N1477" i="3"/>
  <c r="AB1477" i="3" s="1"/>
  <c r="N1524" i="3"/>
  <c r="AB1524" i="3" s="1"/>
  <c r="N1565" i="3"/>
  <c r="N1605" i="3"/>
  <c r="AB1605" i="3" s="1"/>
  <c r="N1652" i="3"/>
  <c r="N1693" i="3"/>
  <c r="N1733" i="3"/>
  <c r="N1780" i="3"/>
  <c r="N1821" i="3"/>
  <c r="N1861" i="3"/>
  <c r="N1907" i="3"/>
  <c r="N1946" i="3"/>
  <c r="N1985" i="3"/>
  <c r="AB1985" i="3" s="1"/>
  <c r="N2031" i="3"/>
  <c r="AB2031" i="3" s="1"/>
  <c r="N2070" i="3"/>
  <c r="N806" i="3"/>
  <c r="AB806" i="3" s="1"/>
  <c r="N1063" i="3"/>
  <c r="N1191" i="3"/>
  <c r="N1312" i="3"/>
  <c r="AB1312" i="3" s="1"/>
  <c r="N1381" i="3"/>
  <c r="N1438" i="3"/>
  <c r="N1478" i="3"/>
  <c r="N1525" i="3"/>
  <c r="N1566" i="3"/>
  <c r="AB1566" i="3" s="1"/>
  <c r="N1606" i="3"/>
  <c r="AB1606" i="3" s="1"/>
  <c r="N1653" i="3"/>
  <c r="AB1653" i="3" s="1"/>
  <c r="N1694" i="3"/>
  <c r="N1734" i="3"/>
  <c r="N1781" i="3"/>
  <c r="N1822" i="3"/>
  <c r="N1862" i="3"/>
  <c r="AB1862" i="3" s="1"/>
  <c r="N1908" i="3"/>
  <c r="AB1908" i="3" s="1"/>
  <c r="N1947" i="3"/>
  <c r="AB1947" i="3" s="1"/>
  <c r="N1986" i="3"/>
  <c r="AB1986" i="3" s="1"/>
  <c r="N2032" i="3"/>
  <c r="N2071" i="3"/>
  <c r="AB2071" i="3" s="1"/>
  <c r="N807" i="3"/>
  <c r="N1089" i="3"/>
  <c r="N1215" i="3"/>
  <c r="N1313" i="3"/>
  <c r="N1382" i="3"/>
  <c r="N1439" i="3"/>
  <c r="N1479" i="3"/>
  <c r="N1526" i="3"/>
  <c r="N1567" i="3"/>
  <c r="N1607" i="3"/>
  <c r="AB1607" i="3" s="1"/>
  <c r="N1654" i="3"/>
  <c r="N1695" i="3"/>
  <c r="AB1695" i="3" s="1"/>
  <c r="N1735" i="3"/>
  <c r="N1782" i="3"/>
  <c r="N1823" i="3"/>
  <c r="AB1823" i="3" s="1"/>
  <c r="N1863" i="3"/>
  <c r="N1909" i="3"/>
  <c r="N1948" i="3"/>
  <c r="AB1948" i="3" s="1"/>
  <c r="N1987" i="3"/>
  <c r="N2033" i="3"/>
  <c r="AB2033" i="3" s="1"/>
  <c r="N2072" i="3"/>
  <c r="AB2072" i="3" s="1"/>
  <c r="N837" i="3"/>
  <c r="AB837" i="3" s="1"/>
  <c r="N1090" i="3"/>
  <c r="N1216" i="3"/>
  <c r="N1314" i="3"/>
  <c r="N1383" i="3"/>
  <c r="N1440" i="3"/>
  <c r="AB1440" i="3" s="1"/>
  <c r="N1487" i="3"/>
  <c r="AB1487" i="3" s="1"/>
  <c r="N1527" i="3"/>
  <c r="AB1527" i="3" s="1"/>
  <c r="N1568" i="3"/>
  <c r="AB1568" i="3" s="1"/>
  <c r="N1615" i="3"/>
  <c r="N1655" i="3"/>
  <c r="AB1655" i="3" s="1"/>
  <c r="N1696" i="3"/>
  <c r="N1743" i="3"/>
  <c r="N1783" i="3"/>
  <c r="N1824" i="3"/>
  <c r="N1871" i="3"/>
  <c r="N1910" i="3"/>
  <c r="N1949" i="3"/>
  <c r="N1988" i="3"/>
  <c r="AB1988" i="3" s="1"/>
  <c r="N2034" i="3"/>
  <c r="N2073" i="3"/>
  <c r="AB2073" i="3" s="1"/>
  <c r="N838" i="3"/>
  <c r="N1091" i="3"/>
  <c r="AB1091" i="3" s="1"/>
  <c r="N1217" i="3"/>
  <c r="N1315" i="3"/>
  <c r="N1391" i="3"/>
  <c r="AB1391" i="3" s="1"/>
  <c r="N1441" i="3"/>
  <c r="N1488" i="3"/>
  <c r="N1529" i="3"/>
  <c r="N1569" i="3"/>
  <c r="N1616" i="3"/>
  <c r="AB1616" i="3" s="1"/>
  <c r="N1657" i="3"/>
  <c r="AB1657" i="3" s="1"/>
  <c r="N1697" i="3"/>
  <c r="AB1697" i="3" s="1"/>
  <c r="N1744" i="3"/>
  <c r="N1785" i="3"/>
  <c r="N1825" i="3"/>
  <c r="N1872" i="3"/>
  <c r="N1911" i="3"/>
  <c r="AB1911" i="3" s="1"/>
  <c r="N1950" i="3"/>
  <c r="AB1950" i="3" s="1"/>
  <c r="N1989" i="3"/>
  <c r="AB1989" i="3" s="1"/>
  <c r="N2035" i="3"/>
  <c r="AB2035" i="3" s="1"/>
  <c r="N2074" i="3"/>
  <c r="N839" i="3"/>
  <c r="AB839" i="3" s="1"/>
  <c r="N1092" i="3"/>
  <c r="N1218" i="3"/>
  <c r="N1316" i="3"/>
  <c r="N1392" i="3"/>
  <c r="N1442" i="3"/>
  <c r="N1489" i="3"/>
  <c r="N1530" i="3"/>
  <c r="N1570" i="3"/>
  <c r="N1617" i="3"/>
  <c r="N1658" i="3"/>
  <c r="AB1658" i="3" s="1"/>
  <c r="N1698" i="3"/>
  <c r="N1745" i="3"/>
  <c r="AB1745" i="3" s="1"/>
  <c r="N1786" i="3"/>
  <c r="N1826" i="3"/>
  <c r="N1873" i="3"/>
  <c r="AB1873" i="3" s="1"/>
  <c r="N1912" i="3"/>
  <c r="N1951" i="3"/>
  <c r="N1990" i="3"/>
  <c r="N2036" i="3"/>
  <c r="N2075" i="3"/>
  <c r="AB2075" i="3" s="1"/>
  <c r="N869" i="3"/>
  <c r="AB869" i="3" s="1"/>
  <c r="N1093" i="3"/>
  <c r="AB1093" i="3" s="1"/>
  <c r="N1219" i="3"/>
  <c r="N1317" i="3"/>
  <c r="N1396" i="3"/>
  <c r="N1443" i="3"/>
  <c r="N1490" i="3"/>
  <c r="AB1490" i="3" s="1"/>
  <c r="N1531" i="3"/>
  <c r="AB1531" i="3" s="1"/>
  <c r="N1571" i="3"/>
  <c r="AB1571" i="3" s="1"/>
  <c r="N1618" i="3"/>
  <c r="AB1618" i="3" s="1"/>
  <c r="N1659" i="3"/>
  <c r="N1699" i="3"/>
  <c r="AB1699" i="3" s="1"/>
  <c r="N1746" i="3"/>
  <c r="N1787" i="3"/>
  <c r="N1827" i="3"/>
  <c r="N1874" i="3"/>
  <c r="N1913" i="3"/>
  <c r="N1952" i="3"/>
  <c r="N1991" i="3"/>
  <c r="N2037" i="3"/>
  <c r="N2076" i="3"/>
  <c r="AB2076" i="3" s="1"/>
  <c r="N870" i="3"/>
  <c r="AB870" i="3" s="1"/>
  <c r="N1094" i="3"/>
  <c r="N1220" i="3"/>
  <c r="AB1220" i="3" s="1"/>
  <c r="N1318" i="3"/>
  <c r="N1399" i="3"/>
  <c r="N1444" i="3"/>
  <c r="AB1444" i="3" s="1"/>
  <c r="N1491" i="3"/>
  <c r="N1532" i="3"/>
  <c r="N1572" i="3"/>
  <c r="N1619" i="3"/>
  <c r="N1660" i="3"/>
  <c r="AB1660" i="3" s="1"/>
  <c r="N1700" i="3"/>
  <c r="AB1700" i="3" s="1"/>
  <c r="N1747" i="3"/>
  <c r="AB1747" i="3" s="1"/>
  <c r="N1788" i="3"/>
  <c r="N1828" i="3"/>
  <c r="N1875" i="3"/>
  <c r="N1914" i="3"/>
  <c r="N1953" i="3"/>
  <c r="AB1953" i="3" s="1"/>
  <c r="N1999" i="3"/>
  <c r="AB1999" i="3" s="1"/>
  <c r="N2038" i="3"/>
  <c r="AB2038" i="3" s="1"/>
  <c r="N2077" i="3"/>
  <c r="AB2077" i="3" s="1"/>
  <c r="N871" i="3"/>
  <c r="N1095" i="3"/>
  <c r="AB1095" i="3" s="1"/>
  <c r="N1221" i="3"/>
  <c r="N1319" i="3"/>
  <c r="N1401" i="3"/>
  <c r="N1445" i="3"/>
  <c r="N1492" i="3"/>
  <c r="N1533" i="3"/>
  <c r="N1573" i="3"/>
  <c r="N1620" i="3"/>
  <c r="N1661" i="3"/>
  <c r="N1701" i="3"/>
  <c r="AB1701" i="3" s="1"/>
  <c r="N1748" i="3"/>
  <c r="N1789" i="3"/>
  <c r="AB1789" i="3" s="1"/>
  <c r="N1829" i="3"/>
  <c r="N1876" i="3"/>
  <c r="N1915" i="3"/>
  <c r="AB1915" i="3" s="1"/>
  <c r="N1954" i="3"/>
  <c r="N2000" i="3"/>
  <c r="AB2000" i="3" s="1"/>
  <c r="N2039" i="3"/>
  <c r="N2078" i="3"/>
  <c r="N901" i="3"/>
  <c r="AB901" i="3" s="1"/>
  <c r="N1121" i="3"/>
  <c r="AB1121" i="3" s="1"/>
  <c r="N1222" i="3"/>
  <c r="AB1222" i="3" s="1"/>
  <c r="N1328" i="3"/>
  <c r="N1405" i="3"/>
  <c r="N1446" i="3"/>
  <c r="N1493" i="3"/>
  <c r="N1534" i="3"/>
  <c r="AB1534" i="3" s="1"/>
  <c r="N1574" i="3"/>
  <c r="AB1574" i="3" s="1"/>
  <c r="N1621" i="3"/>
  <c r="AB1621" i="3" s="1"/>
  <c r="N1662" i="3"/>
  <c r="AB1662" i="3" s="1"/>
  <c r="N1702" i="3"/>
  <c r="N1749" i="3"/>
  <c r="AB1749" i="3" s="1"/>
  <c r="N1790" i="3"/>
  <c r="N1830" i="3"/>
  <c r="N1877" i="3"/>
  <c r="N1916" i="3"/>
  <c r="N1955" i="3"/>
  <c r="N2001" i="3"/>
  <c r="N2040" i="3"/>
  <c r="N2079" i="3"/>
  <c r="N902" i="3"/>
  <c r="N1122" i="3"/>
  <c r="AB1122" i="3" s="1"/>
  <c r="N1223" i="3"/>
  <c r="N1342" i="3"/>
  <c r="AB1342" i="3" s="1"/>
  <c r="N1406" i="3"/>
  <c r="N1447" i="3"/>
  <c r="N1494" i="3"/>
  <c r="AB1494" i="3" s="1"/>
  <c r="N1535" i="3"/>
  <c r="N1575" i="3"/>
  <c r="N1622" i="3"/>
  <c r="N1663" i="3"/>
  <c r="N1703" i="3"/>
  <c r="AB1703" i="3" s="1"/>
  <c r="N1750" i="3"/>
  <c r="AB1750" i="3" s="1"/>
  <c r="N1791" i="3"/>
  <c r="AB1791" i="3" s="1"/>
  <c r="N1831" i="3"/>
  <c r="N1878" i="3"/>
  <c r="N1917" i="3"/>
  <c r="N1956" i="3"/>
  <c r="N2002" i="3"/>
  <c r="AB2002" i="3" s="1"/>
  <c r="N2041" i="3"/>
  <c r="AB2041" i="3" s="1"/>
  <c r="N2080" i="3"/>
  <c r="AB2080" i="3" s="1"/>
  <c r="N903" i="3"/>
  <c r="AB903" i="3" s="1"/>
  <c r="N1123" i="3"/>
  <c r="N1246" i="3"/>
  <c r="AB1246" i="3" s="1"/>
  <c r="N1343" i="3"/>
  <c r="N1407" i="3"/>
  <c r="N1455" i="3"/>
  <c r="N1495" i="3"/>
  <c r="N1536" i="3"/>
  <c r="N1583" i="3"/>
  <c r="N1623" i="3"/>
  <c r="N1664" i="3"/>
  <c r="N1711" i="3"/>
  <c r="N1751" i="3"/>
  <c r="AB1751" i="3" s="1"/>
  <c r="N1792" i="3"/>
  <c r="N1839" i="3"/>
  <c r="AB1839" i="3" s="1"/>
  <c r="N1879" i="3"/>
  <c r="N1918" i="3"/>
  <c r="N1957" i="3"/>
  <c r="AB1957" i="3" s="1"/>
  <c r="N2003" i="3"/>
  <c r="N2042" i="3"/>
  <c r="N2081" i="3"/>
  <c r="N933" i="3"/>
  <c r="N1124" i="3"/>
  <c r="AB1124" i="3" s="1"/>
  <c r="N1247" i="3"/>
  <c r="AB1247" i="3" s="1"/>
  <c r="N1344" i="3"/>
  <c r="AB1344" i="3" s="1"/>
  <c r="N1408" i="3"/>
  <c r="N1456" i="3"/>
  <c r="N1497" i="3"/>
  <c r="N1537" i="3"/>
  <c r="N1584" i="3"/>
  <c r="N1625" i="3"/>
  <c r="AB1625" i="3" s="1"/>
  <c r="N1665" i="3"/>
  <c r="AB1665" i="3" s="1"/>
  <c r="N1712" i="3"/>
  <c r="AB1712" i="3" s="1"/>
  <c r="N1753" i="3"/>
  <c r="N1793" i="3"/>
  <c r="AB1793" i="3" s="1"/>
  <c r="N1840" i="3"/>
  <c r="N1880" i="3"/>
  <c r="N1919" i="3"/>
  <c r="N1958" i="3"/>
  <c r="N2004" i="3"/>
  <c r="AB2004" i="3" s="1"/>
  <c r="N2043" i="3"/>
  <c r="N2082" i="3"/>
  <c r="N934" i="3"/>
  <c r="N1125" i="3"/>
  <c r="N1248" i="3"/>
  <c r="AB1248" i="3" s="1"/>
  <c r="N1345" i="3"/>
  <c r="N1409" i="3"/>
  <c r="AB1409" i="3" s="1"/>
  <c r="N1457" i="3"/>
  <c r="N1498" i="3"/>
  <c r="N1538" i="3"/>
  <c r="AB1538" i="3" s="1"/>
  <c r="N1585" i="3"/>
  <c r="N1626" i="3"/>
  <c r="N1666" i="3"/>
  <c r="N1713" i="3"/>
  <c r="N1754" i="3"/>
  <c r="AB1754" i="3" s="1"/>
  <c r="N1794" i="3"/>
  <c r="AB1794" i="3" s="1"/>
  <c r="N1841" i="3"/>
  <c r="AB1841" i="3" s="1"/>
  <c r="N1881" i="3"/>
  <c r="N1920" i="3"/>
  <c r="N1959" i="3"/>
  <c r="N2005" i="3"/>
  <c r="N2044" i="3"/>
  <c r="AB2044" i="3" s="1"/>
  <c r="N2083" i="3"/>
  <c r="AB2083" i="3" s="1"/>
  <c r="N935" i="3"/>
  <c r="AB935" i="3" s="1"/>
  <c r="N1126" i="3"/>
  <c r="AB1126" i="3" s="1"/>
  <c r="N1249" i="3"/>
  <c r="N1346" i="3"/>
  <c r="AB1346" i="3" s="1"/>
  <c r="N1410" i="3"/>
  <c r="N1458" i="3"/>
  <c r="N1499" i="3"/>
  <c r="N1539" i="3"/>
  <c r="N1586" i="3"/>
  <c r="N1627" i="3"/>
  <c r="N1667" i="3"/>
  <c r="N1714" i="3"/>
  <c r="N1755" i="3"/>
  <c r="N1795" i="3"/>
  <c r="AB1795" i="3" s="1"/>
  <c r="N1842" i="3"/>
  <c r="N1882" i="3"/>
  <c r="AB1882" i="3" s="1"/>
  <c r="N1921" i="3"/>
  <c r="N1967" i="3"/>
  <c r="N2006" i="3"/>
  <c r="AB2006" i="3" s="1"/>
  <c r="N2045" i="3"/>
  <c r="N964" i="3"/>
  <c r="N1127" i="3"/>
  <c r="N1250" i="3"/>
  <c r="N1347" i="3"/>
  <c r="AB1347" i="3" s="1"/>
  <c r="N1411" i="3"/>
  <c r="AB1411" i="3" s="1"/>
  <c r="N1459" i="3"/>
  <c r="AB1459" i="3" s="1"/>
  <c r="N1500" i="3"/>
  <c r="N1540" i="3"/>
  <c r="N1587" i="3"/>
  <c r="N1628" i="3"/>
  <c r="N1668" i="3"/>
  <c r="AB1668" i="3" s="1"/>
  <c r="N1715" i="3"/>
  <c r="AB1715" i="3" s="1"/>
  <c r="N1756" i="3"/>
  <c r="AB1756" i="3" s="1"/>
  <c r="N1796" i="3"/>
  <c r="AB1796" i="3" s="1"/>
  <c r="N1843" i="3"/>
  <c r="AB1843" i="3" s="1"/>
  <c r="N1883" i="3"/>
  <c r="AB1883" i="3" s="1"/>
  <c r="N1922" i="3"/>
  <c r="N1968" i="3"/>
  <c r="AB1968" i="3" s="1"/>
  <c r="N2007" i="3"/>
  <c r="N2046" i="3"/>
  <c r="N965" i="3"/>
  <c r="N1151" i="3"/>
  <c r="N1251" i="3"/>
  <c r="N1348" i="3"/>
  <c r="N1412" i="3"/>
  <c r="N1460" i="3"/>
  <c r="AB1460" i="3" s="1"/>
  <c r="N1501" i="3"/>
  <c r="N1541" i="3"/>
  <c r="AB1541" i="3" s="1"/>
  <c r="N1588" i="3"/>
  <c r="N1629" i="3"/>
  <c r="N1669" i="3"/>
  <c r="AB1669" i="3" s="1"/>
  <c r="N1716" i="3"/>
  <c r="N1757" i="3"/>
  <c r="N1797" i="3"/>
  <c r="N1844" i="3"/>
  <c r="N1884" i="3"/>
  <c r="AB1884" i="3" s="1"/>
  <c r="N1923" i="3"/>
  <c r="AB1923" i="3" s="1"/>
  <c r="N1969" i="3"/>
  <c r="AB1969" i="3" s="1"/>
  <c r="N2008" i="3"/>
  <c r="N2047" i="3"/>
  <c r="N966" i="3"/>
  <c r="N1152" i="3"/>
  <c r="N1252" i="3"/>
  <c r="AB1252" i="3" s="1"/>
  <c r="N1349" i="3"/>
  <c r="AB1349" i="3" s="1"/>
  <c r="N1413" i="3"/>
  <c r="AB1413" i="3" s="1"/>
  <c r="N1461" i="3"/>
  <c r="AB1461" i="3" s="1"/>
  <c r="N1502" i="3"/>
  <c r="N1542" i="3"/>
  <c r="N1589" i="3"/>
  <c r="N1630" i="3"/>
  <c r="N1670" i="3"/>
  <c r="N1717" i="3"/>
  <c r="N1758" i="3"/>
  <c r="N1798" i="3"/>
  <c r="N1845" i="3"/>
  <c r="N1885" i="3"/>
  <c r="N1924" i="3"/>
  <c r="N1970" i="3"/>
  <c r="AB1970" i="3" s="1"/>
  <c r="N2009" i="3"/>
  <c r="N2048" i="3"/>
  <c r="AB2048" i="3" s="1"/>
  <c r="N967" i="3"/>
  <c r="N1153" i="3"/>
  <c r="N1253" i="3"/>
  <c r="AB1253" i="3" s="1"/>
  <c r="N1350" i="3"/>
  <c r="N1414" i="3"/>
  <c r="N1462" i="3"/>
  <c r="N1503" i="3"/>
  <c r="N1543" i="3"/>
  <c r="AB1543" i="3" s="1"/>
  <c r="N1590" i="3"/>
  <c r="AB1590" i="3" s="1"/>
  <c r="N1631" i="3"/>
  <c r="AB1631" i="3" s="1"/>
  <c r="N1671" i="3"/>
  <c r="N1718" i="3"/>
  <c r="N1759" i="3"/>
  <c r="N1799" i="3"/>
  <c r="N1846" i="3"/>
  <c r="AB1846" i="3" s="1"/>
  <c r="N1886" i="3"/>
  <c r="AB1886" i="3" s="1"/>
  <c r="N1925" i="3"/>
  <c r="AB1925" i="3" s="1"/>
  <c r="N1971" i="3"/>
  <c r="AB1971" i="3" s="1"/>
  <c r="N2010" i="3"/>
  <c r="N2049" i="3"/>
  <c r="AB2049" i="3" s="1"/>
  <c r="N996" i="3"/>
  <c r="N1154" i="3"/>
  <c r="N1254" i="3"/>
  <c r="N1351" i="3"/>
  <c r="N1415" i="3"/>
  <c r="N1463" i="3"/>
  <c r="N1504" i="3"/>
  <c r="N1551" i="3"/>
  <c r="N1591" i="3"/>
  <c r="N1632" i="3"/>
  <c r="AB1632" i="3" s="1"/>
  <c r="N1679" i="3"/>
  <c r="N1719" i="3"/>
  <c r="AB1719" i="3" s="1"/>
  <c r="N1760" i="3"/>
  <c r="N1807" i="3"/>
  <c r="N1847" i="3"/>
  <c r="AB1847" i="3" s="1"/>
  <c r="N1887" i="3"/>
  <c r="N1926" i="3"/>
  <c r="N1972" i="3"/>
  <c r="N2011" i="3"/>
  <c r="N2050" i="3"/>
  <c r="AB2050" i="3" s="1"/>
  <c r="N997" i="3"/>
  <c r="AB997" i="3" s="1"/>
  <c r="N1155" i="3"/>
  <c r="AB1155" i="3" s="1"/>
  <c r="N1255" i="3"/>
  <c r="N1359" i="3"/>
  <c r="N1423" i="3"/>
  <c r="N1465" i="3"/>
  <c r="N1505" i="3"/>
  <c r="AB1505" i="3" s="1"/>
  <c r="N1552" i="3"/>
  <c r="AB1552" i="3" s="1"/>
  <c r="N1593" i="3"/>
  <c r="AB1593" i="3" s="1"/>
  <c r="N1633" i="3"/>
  <c r="AB1633" i="3" s="1"/>
  <c r="N1680" i="3"/>
  <c r="N1721" i="3"/>
  <c r="AB1721" i="3" s="1"/>
  <c r="N1761" i="3"/>
  <c r="N1808" i="3"/>
  <c r="N1849" i="3"/>
  <c r="N1888" i="3"/>
  <c r="N1927" i="3"/>
  <c r="N1973" i="3"/>
  <c r="N2012" i="3"/>
  <c r="AB2012" i="3" s="1"/>
  <c r="N2051" i="3"/>
  <c r="N998" i="3"/>
  <c r="N1156" i="3"/>
  <c r="AB1156" i="3" s="1"/>
  <c r="N1278" i="3"/>
  <c r="N1360" i="3"/>
  <c r="AB1360" i="3" s="1"/>
  <c r="N1424" i="3"/>
  <c r="N1466" i="3"/>
  <c r="N1506" i="3"/>
  <c r="AB1506" i="3" s="1"/>
  <c r="N1553" i="3"/>
  <c r="N1594" i="3"/>
  <c r="N1634" i="3"/>
  <c r="N1681" i="3"/>
  <c r="N1722" i="3"/>
  <c r="AB1722" i="3" s="1"/>
  <c r="N1762" i="3"/>
  <c r="AB1762" i="3" s="1"/>
  <c r="N1809" i="3"/>
  <c r="AB1809" i="3" s="1"/>
  <c r="N1850" i="3"/>
  <c r="N1889" i="3"/>
  <c r="N1935" i="3"/>
  <c r="N1974" i="3"/>
  <c r="N2013" i="3"/>
  <c r="AB2013" i="3" s="1"/>
  <c r="N2052" i="3"/>
  <c r="AB2052" i="3" s="1"/>
  <c r="N999" i="3"/>
  <c r="AB999" i="3" s="1"/>
  <c r="N1157" i="3"/>
  <c r="AB1157" i="3" s="1"/>
  <c r="N1279" i="3"/>
  <c r="AB1279" i="3" s="1"/>
  <c r="N1364" i="3"/>
  <c r="AB1364" i="3" s="1"/>
  <c r="N1425" i="3"/>
  <c r="N1467" i="3"/>
  <c r="N1507" i="3"/>
  <c r="N1554" i="3"/>
  <c r="N1595" i="3"/>
  <c r="N1635" i="3"/>
  <c r="N1682" i="3"/>
  <c r="N1723" i="3"/>
  <c r="N1763" i="3"/>
  <c r="N1810" i="3"/>
  <c r="AB1810" i="3" s="1"/>
  <c r="N1851" i="3"/>
  <c r="N1890" i="3"/>
  <c r="AB1890" i="3" s="1"/>
  <c r="N1936" i="3"/>
  <c r="N1975" i="3"/>
  <c r="N2014" i="3"/>
  <c r="AB2014" i="3" s="1"/>
  <c r="N2053" i="3"/>
  <c r="N1027" i="3"/>
  <c r="N1158" i="3"/>
  <c r="N1280" i="3"/>
  <c r="N1367" i="3"/>
  <c r="AB1367" i="3" s="1"/>
  <c r="N1426" i="3"/>
  <c r="AB1426" i="3" s="1"/>
  <c r="N1468" i="3"/>
  <c r="AB1468" i="3" s="1"/>
  <c r="N1508" i="3"/>
  <c r="N1555" i="3"/>
  <c r="N1596" i="3"/>
  <c r="N1636" i="3"/>
  <c r="N1683" i="3"/>
  <c r="AB1683" i="3" s="1"/>
  <c r="N1724" i="3"/>
  <c r="AB1724" i="3" s="1"/>
  <c r="N1764" i="3"/>
  <c r="AB1764" i="3" s="1"/>
  <c r="N1811" i="3"/>
  <c r="AB1811" i="3" s="1"/>
  <c r="N1852" i="3"/>
  <c r="AB1852" i="3" s="1"/>
  <c r="N1891" i="3"/>
  <c r="AB1891" i="3" s="1"/>
  <c r="N1937" i="3"/>
  <c r="AB1937" i="3" s="1"/>
  <c r="N1976" i="3"/>
  <c r="N2015" i="3"/>
  <c r="AB2015" i="3" s="1"/>
  <c r="N2054" i="3"/>
  <c r="L2066" i="3"/>
  <c r="L2076" i="3"/>
  <c r="Z2076" i="3" s="1"/>
  <c r="L2037" i="3"/>
  <c r="L1991" i="3"/>
  <c r="L1952" i="3"/>
  <c r="L1912" i="3"/>
  <c r="Z1912" i="3" s="1"/>
  <c r="L1855" i="3"/>
  <c r="L1795" i="3"/>
  <c r="L1731" i="3"/>
  <c r="L1639" i="3"/>
  <c r="L1567" i="3"/>
  <c r="L1475" i="3"/>
  <c r="L1376" i="3"/>
  <c r="L1126" i="3"/>
  <c r="L480" i="3"/>
  <c r="N1028" i="3"/>
  <c r="AB1028" i="3" s="1"/>
  <c r="I2082" i="3"/>
  <c r="W2082" i="3" s="1"/>
  <c r="K1990" i="3"/>
  <c r="Y1990" i="3" s="1"/>
  <c r="AA1958" i="3"/>
  <c r="J2069" i="3"/>
  <c r="X2069" i="3" s="1"/>
  <c r="AA2060" i="3"/>
  <c r="K2042" i="3"/>
  <c r="Y2042" i="3" s="1"/>
  <c r="J2042" i="3"/>
  <c r="X2042" i="3" s="1"/>
  <c r="K2060" i="3"/>
  <c r="Y2060" i="3" s="1"/>
  <c r="J2049" i="3"/>
  <c r="X2049" i="3" s="1"/>
  <c r="Z2060" i="3"/>
  <c r="K2039" i="3"/>
  <c r="Y2039" i="3" s="1"/>
  <c r="J2039" i="3"/>
  <c r="X2039" i="3" s="1"/>
  <c r="J2032" i="3"/>
  <c r="X2032" i="3" s="1"/>
  <c r="Z2042" i="3"/>
  <c r="Z2031" i="3"/>
  <c r="AB2017" i="3"/>
  <c r="K2069" i="3"/>
  <c r="Y2069" i="3" s="1"/>
  <c r="AA2017" i="3"/>
  <c r="J1954" i="3"/>
  <c r="X1954" i="3" s="1"/>
  <c r="K2017" i="3"/>
  <c r="Y2017" i="3" s="1"/>
  <c r="J2060" i="3"/>
  <c r="X2060" i="3" s="1"/>
  <c r="J2017" i="3"/>
  <c r="X2017" i="3" s="1"/>
  <c r="J2050" i="3"/>
  <c r="X2050" i="3" s="1"/>
  <c r="J2005" i="3"/>
  <c r="X2005" i="3" s="1"/>
  <c r="J2002" i="3"/>
  <c r="X2002" i="3" s="1"/>
  <c r="Z1990" i="3"/>
  <c r="K1975" i="3"/>
  <c r="Y1975" i="3" s="1"/>
  <c r="K2076" i="3"/>
  <c r="Y2076" i="3" s="1"/>
  <c r="J1990" i="3"/>
  <c r="X1990" i="3" s="1"/>
  <c r="K2078" i="3"/>
  <c r="Y2078" i="3" s="1"/>
  <c r="J2076" i="3"/>
  <c r="X2076" i="3" s="1"/>
  <c r="J1989" i="3"/>
  <c r="X1989" i="3" s="1"/>
  <c r="AA2076" i="3"/>
  <c r="Z2070" i="3"/>
  <c r="K1974" i="3"/>
  <c r="Y1974" i="3" s="1"/>
  <c r="K2070" i="3"/>
  <c r="Y2070" i="3" s="1"/>
  <c r="J1974" i="3"/>
  <c r="X1974" i="3" s="1"/>
  <c r="J2070" i="3"/>
  <c r="X2070" i="3" s="1"/>
  <c r="J1970" i="3"/>
  <c r="X1970" i="3" s="1"/>
  <c r="Z1974" i="3"/>
  <c r="I2050" i="3"/>
  <c r="W2050" i="3" s="1"/>
  <c r="AA1948" i="3"/>
  <c r="I2070" i="3"/>
  <c r="W2070" i="3" s="1"/>
  <c r="I2002" i="3"/>
  <c r="W2002" i="3" s="1"/>
  <c r="I1990" i="3"/>
  <c r="W1990" i="3" s="1"/>
  <c r="Z1948" i="3"/>
  <c r="I2060" i="3"/>
  <c r="W2060" i="3" s="1"/>
  <c r="AA2049" i="3"/>
  <c r="AA2028" i="3"/>
  <c r="AB2001" i="3"/>
  <c r="I1970" i="3"/>
  <c r="W1970" i="3" s="1"/>
  <c r="Z1943" i="3"/>
  <c r="AA2069" i="3"/>
  <c r="Z2049" i="3"/>
  <c r="Z2028" i="3"/>
  <c r="I2017" i="3"/>
  <c r="W2017" i="3" s="1"/>
  <c r="AA2001" i="3"/>
  <c r="K1943" i="3"/>
  <c r="Y1943" i="3" s="1"/>
  <c r="Z2069" i="3"/>
  <c r="AA2059" i="3"/>
  <c r="K2049" i="3"/>
  <c r="Y2049" i="3" s="1"/>
  <c r="I2039" i="3"/>
  <c r="W2039" i="3" s="1"/>
  <c r="K2028" i="3"/>
  <c r="Y2028" i="3" s="1"/>
  <c r="AB2016" i="3"/>
  <c r="J1986" i="3"/>
  <c r="X1986" i="3" s="1"/>
  <c r="AA1969" i="3"/>
  <c r="J1943" i="3"/>
  <c r="X1943" i="3" s="1"/>
  <c r="I2076" i="3"/>
  <c r="W2076" i="3" s="1"/>
  <c r="Z2059" i="3"/>
  <c r="J2028" i="3"/>
  <c r="X2028" i="3" s="1"/>
  <c r="AA2016" i="3"/>
  <c r="K2001" i="3"/>
  <c r="Y2001" i="3" s="1"/>
  <c r="I1986" i="3"/>
  <c r="W1986" i="3" s="1"/>
  <c r="Z1969" i="3"/>
  <c r="J1938" i="3"/>
  <c r="X1938" i="3" s="1"/>
  <c r="K2059" i="3"/>
  <c r="Y2059" i="3" s="1"/>
  <c r="I2049" i="3"/>
  <c r="W2049" i="3" s="1"/>
  <c r="AA2038" i="3"/>
  <c r="I2028" i="3"/>
  <c r="W2028" i="3" s="1"/>
  <c r="J2001" i="3"/>
  <c r="X2001" i="3" s="1"/>
  <c r="K1969" i="3"/>
  <c r="Y1969" i="3" s="1"/>
  <c r="I1938" i="3"/>
  <c r="W1938" i="3" s="1"/>
  <c r="AA2075" i="3"/>
  <c r="I2069" i="3"/>
  <c r="W2069" i="3" s="1"/>
  <c r="J2059" i="3"/>
  <c r="X2059" i="3" s="1"/>
  <c r="Z2015" i="3"/>
  <c r="I2001" i="3"/>
  <c r="W2001" i="3" s="1"/>
  <c r="AA1985" i="3"/>
  <c r="J1969" i="3"/>
  <c r="X1969" i="3" s="1"/>
  <c r="J2082" i="3"/>
  <c r="X2082" i="3" s="1"/>
  <c r="Z2075" i="3"/>
  <c r="I2059" i="3"/>
  <c r="W2059" i="3" s="1"/>
  <c r="AA2048" i="3"/>
  <c r="K2038" i="3"/>
  <c r="Y2038" i="3" s="1"/>
  <c r="AA2027" i="3"/>
  <c r="Z1985" i="3"/>
  <c r="I1969" i="3"/>
  <c r="W1969" i="3" s="1"/>
  <c r="K2075" i="3"/>
  <c r="Y2075" i="3" s="1"/>
  <c r="K2068" i="3"/>
  <c r="Y2068" i="3" s="1"/>
  <c r="AB2058" i="3"/>
  <c r="Z2048" i="3"/>
  <c r="J2038" i="3"/>
  <c r="X2038" i="3" s="1"/>
  <c r="Z2027" i="3"/>
  <c r="AA2012" i="3"/>
  <c r="AA2000" i="3"/>
  <c r="K1985" i="3"/>
  <c r="Y1985" i="3" s="1"/>
  <c r="AA1932" i="3"/>
  <c r="I9" i="3"/>
  <c r="W9" i="3" s="1"/>
  <c r="I25" i="3"/>
  <c r="W25" i="3" s="1"/>
  <c r="I41" i="3"/>
  <c r="W41" i="3" s="1"/>
  <c r="I57" i="3"/>
  <c r="W57" i="3" s="1"/>
  <c r="I73" i="3"/>
  <c r="W73" i="3" s="1"/>
  <c r="I89" i="3"/>
  <c r="W89" i="3" s="1"/>
  <c r="I105" i="3"/>
  <c r="W105" i="3" s="1"/>
  <c r="I121" i="3"/>
  <c r="W121" i="3" s="1"/>
  <c r="I137" i="3"/>
  <c r="W137" i="3" s="1"/>
  <c r="I153" i="3"/>
  <c r="W153" i="3" s="1"/>
  <c r="I169" i="3"/>
  <c r="W169" i="3" s="1"/>
  <c r="I185" i="3"/>
  <c r="W185" i="3" s="1"/>
  <c r="I201" i="3"/>
  <c r="W201" i="3" s="1"/>
  <c r="I217" i="3"/>
  <c r="W217" i="3" s="1"/>
  <c r="I233" i="3"/>
  <c r="W233" i="3" s="1"/>
  <c r="I249" i="3"/>
  <c r="W249" i="3" s="1"/>
  <c r="I265" i="3"/>
  <c r="W265" i="3" s="1"/>
  <c r="I281" i="3"/>
  <c r="W281" i="3" s="1"/>
  <c r="I297" i="3"/>
  <c r="W297" i="3" s="1"/>
  <c r="I313" i="3"/>
  <c r="W313" i="3" s="1"/>
  <c r="I329" i="3"/>
  <c r="W329" i="3" s="1"/>
  <c r="I345" i="3"/>
  <c r="W345" i="3" s="1"/>
  <c r="I361" i="3"/>
  <c r="W361" i="3" s="1"/>
  <c r="I377" i="3"/>
  <c r="W377" i="3" s="1"/>
  <c r="I393" i="3"/>
  <c r="W393" i="3" s="1"/>
  <c r="I409" i="3"/>
  <c r="W409" i="3" s="1"/>
  <c r="I425" i="3"/>
  <c r="W425" i="3" s="1"/>
  <c r="I441" i="3"/>
  <c r="W441" i="3" s="1"/>
  <c r="I457" i="3"/>
  <c r="W457" i="3" s="1"/>
  <c r="I20" i="3"/>
  <c r="W20" i="3" s="1"/>
  <c r="I36" i="3"/>
  <c r="W36" i="3" s="1"/>
  <c r="I52" i="3"/>
  <c r="W52" i="3" s="1"/>
  <c r="I68" i="3"/>
  <c r="W68" i="3" s="1"/>
  <c r="I84" i="3"/>
  <c r="W84" i="3" s="1"/>
  <c r="I100" i="3"/>
  <c r="W100" i="3" s="1"/>
  <c r="I116" i="3"/>
  <c r="W116" i="3" s="1"/>
  <c r="I132" i="3"/>
  <c r="W132" i="3" s="1"/>
  <c r="I148" i="3"/>
  <c r="W148" i="3" s="1"/>
  <c r="I164" i="3"/>
  <c r="W164" i="3" s="1"/>
  <c r="I180" i="3"/>
  <c r="W180" i="3" s="1"/>
  <c r="I15" i="3"/>
  <c r="W15" i="3" s="1"/>
  <c r="I31" i="3"/>
  <c r="W31" i="3" s="1"/>
  <c r="I47" i="3"/>
  <c r="W47" i="3" s="1"/>
  <c r="I63" i="3"/>
  <c r="W63" i="3" s="1"/>
  <c r="I79" i="3"/>
  <c r="W79" i="3" s="1"/>
  <c r="I95" i="3"/>
  <c r="W95" i="3" s="1"/>
  <c r="I111" i="3"/>
  <c r="W111" i="3" s="1"/>
  <c r="I127" i="3"/>
  <c r="W127" i="3" s="1"/>
  <c r="I143" i="3"/>
  <c r="W143" i="3" s="1"/>
  <c r="I159" i="3"/>
  <c r="W159" i="3" s="1"/>
  <c r="I175" i="3"/>
  <c r="W175" i="3" s="1"/>
  <c r="I10" i="3"/>
  <c r="W10" i="3" s="1"/>
  <c r="I26" i="3"/>
  <c r="W26" i="3" s="1"/>
  <c r="I42" i="3"/>
  <c r="W42" i="3" s="1"/>
  <c r="I58" i="3"/>
  <c r="W58" i="3" s="1"/>
  <c r="I74" i="3"/>
  <c r="W74" i="3" s="1"/>
  <c r="I90" i="3"/>
  <c r="W90" i="3" s="1"/>
  <c r="I106" i="3"/>
  <c r="W106" i="3" s="1"/>
  <c r="I122" i="3"/>
  <c r="W122" i="3" s="1"/>
  <c r="I138" i="3"/>
  <c r="W138" i="3" s="1"/>
  <c r="I154" i="3"/>
  <c r="W154" i="3" s="1"/>
  <c r="I170" i="3"/>
  <c r="W170" i="3" s="1"/>
  <c r="I186" i="3"/>
  <c r="W186" i="3" s="1"/>
  <c r="I202" i="3"/>
  <c r="W202" i="3" s="1"/>
  <c r="I218" i="3"/>
  <c r="W218" i="3" s="1"/>
  <c r="I234" i="3"/>
  <c r="W234" i="3" s="1"/>
  <c r="I250" i="3"/>
  <c r="W250" i="3" s="1"/>
  <c r="I266" i="3"/>
  <c r="W266" i="3" s="1"/>
  <c r="I282" i="3"/>
  <c r="W282" i="3" s="1"/>
  <c r="I298" i="3"/>
  <c r="W298" i="3" s="1"/>
  <c r="I21" i="3"/>
  <c r="W21" i="3" s="1"/>
  <c r="I37" i="3"/>
  <c r="W37" i="3" s="1"/>
  <c r="I53" i="3"/>
  <c r="W53" i="3" s="1"/>
  <c r="I69" i="3"/>
  <c r="W69" i="3" s="1"/>
  <c r="I85" i="3"/>
  <c r="W85" i="3" s="1"/>
  <c r="I101" i="3"/>
  <c r="W101" i="3" s="1"/>
  <c r="I117" i="3"/>
  <c r="W117" i="3" s="1"/>
  <c r="I133" i="3"/>
  <c r="W133" i="3" s="1"/>
  <c r="I149" i="3"/>
  <c r="W149" i="3" s="1"/>
  <c r="I165" i="3"/>
  <c r="W165" i="3" s="1"/>
  <c r="I181" i="3"/>
  <c r="W181" i="3" s="1"/>
  <c r="I197" i="3"/>
  <c r="W197" i="3" s="1"/>
  <c r="I213" i="3"/>
  <c r="W213" i="3" s="1"/>
  <c r="I229" i="3"/>
  <c r="W229" i="3" s="1"/>
  <c r="I245" i="3"/>
  <c r="W245" i="3" s="1"/>
  <c r="I261" i="3"/>
  <c r="W261" i="3" s="1"/>
  <c r="I277" i="3"/>
  <c r="W277" i="3" s="1"/>
  <c r="I293" i="3"/>
  <c r="W293" i="3" s="1"/>
  <c r="I16" i="3"/>
  <c r="W16" i="3" s="1"/>
  <c r="I32" i="3"/>
  <c r="W32" i="3" s="1"/>
  <c r="I48" i="3"/>
  <c r="W48" i="3" s="1"/>
  <c r="I64" i="3"/>
  <c r="W64" i="3" s="1"/>
  <c r="I80" i="3"/>
  <c r="W80" i="3" s="1"/>
  <c r="I96" i="3"/>
  <c r="W96" i="3" s="1"/>
  <c r="I112" i="3"/>
  <c r="W112" i="3" s="1"/>
  <c r="I128" i="3"/>
  <c r="W128" i="3" s="1"/>
  <c r="I144" i="3"/>
  <c r="W144" i="3" s="1"/>
  <c r="I160" i="3"/>
  <c r="W160" i="3" s="1"/>
  <c r="I176" i="3"/>
  <c r="W176" i="3" s="1"/>
  <c r="I192" i="3"/>
  <c r="W192" i="3" s="1"/>
  <c r="I208" i="3"/>
  <c r="W208" i="3" s="1"/>
  <c r="I224" i="3"/>
  <c r="W224" i="3" s="1"/>
  <c r="I240" i="3"/>
  <c r="W240" i="3" s="1"/>
  <c r="I256" i="3"/>
  <c r="W256" i="3" s="1"/>
  <c r="I272" i="3"/>
  <c r="W272" i="3" s="1"/>
  <c r="I288" i="3"/>
  <c r="W288" i="3" s="1"/>
  <c r="I304" i="3"/>
  <c r="W304" i="3" s="1"/>
  <c r="I11" i="3"/>
  <c r="W11" i="3" s="1"/>
  <c r="I27" i="3"/>
  <c r="W27" i="3" s="1"/>
  <c r="I43" i="3"/>
  <c r="W43" i="3" s="1"/>
  <c r="I59" i="3"/>
  <c r="W59" i="3" s="1"/>
  <c r="I75" i="3"/>
  <c r="W75" i="3" s="1"/>
  <c r="I91" i="3"/>
  <c r="W91" i="3" s="1"/>
  <c r="I107" i="3"/>
  <c r="W107" i="3" s="1"/>
  <c r="I123" i="3"/>
  <c r="W123" i="3" s="1"/>
  <c r="I139" i="3"/>
  <c r="W139" i="3" s="1"/>
  <c r="I155" i="3"/>
  <c r="W155" i="3" s="1"/>
  <c r="I171" i="3"/>
  <c r="W171" i="3" s="1"/>
  <c r="I187" i="3"/>
  <c r="W187" i="3" s="1"/>
  <c r="I203" i="3"/>
  <c r="W203" i="3" s="1"/>
  <c r="I219" i="3"/>
  <c r="W219" i="3" s="1"/>
  <c r="I235" i="3"/>
  <c r="W235" i="3" s="1"/>
  <c r="I251" i="3"/>
  <c r="W251" i="3" s="1"/>
  <c r="I267" i="3"/>
  <c r="W267" i="3" s="1"/>
  <c r="I283" i="3"/>
  <c r="W283" i="3" s="1"/>
  <c r="I22" i="3"/>
  <c r="W22" i="3" s="1"/>
  <c r="I38" i="3"/>
  <c r="W38" i="3" s="1"/>
  <c r="I54" i="3"/>
  <c r="W54" i="3" s="1"/>
  <c r="I70" i="3"/>
  <c r="W70" i="3" s="1"/>
  <c r="I86" i="3"/>
  <c r="W86" i="3" s="1"/>
  <c r="I102" i="3"/>
  <c r="W102" i="3" s="1"/>
  <c r="I118" i="3"/>
  <c r="W118" i="3" s="1"/>
  <c r="I134" i="3"/>
  <c r="W134" i="3" s="1"/>
  <c r="I150" i="3"/>
  <c r="W150" i="3" s="1"/>
  <c r="I166" i="3"/>
  <c r="W166" i="3" s="1"/>
  <c r="I182" i="3"/>
  <c r="W182" i="3" s="1"/>
  <c r="I198" i="3"/>
  <c r="W198" i="3" s="1"/>
  <c r="I17" i="3"/>
  <c r="W17" i="3" s="1"/>
  <c r="I33" i="3"/>
  <c r="W33" i="3" s="1"/>
  <c r="I49" i="3"/>
  <c r="W49" i="3" s="1"/>
  <c r="I65" i="3"/>
  <c r="W65" i="3" s="1"/>
  <c r="I81" i="3"/>
  <c r="W81" i="3" s="1"/>
  <c r="I97" i="3"/>
  <c r="W97" i="3" s="1"/>
  <c r="I113" i="3"/>
  <c r="W113" i="3" s="1"/>
  <c r="I129" i="3"/>
  <c r="W129" i="3" s="1"/>
  <c r="I145" i="3"/>
  <c r="W145" i="3" s="1"/>
  <c r="I161" i="3"/>
  <c r="W161" i="3" s="1"/>
  <c r="I177" i="3"/>
  <c r="W177" i="3" s="1"/>
  <c r="I193" i="3"/>
  <c r="W193" i="3" s="1"/>
  <c r="I209" i="3"/>
  <c r="W209" i="3" s="1"/>
  <c r="I225" i="3"/>
  <c r="W225" i="3" s="1"/>
  <c r="I241" i="3"/>
  <c r="W241" i="3" s="1"/>
  <c r="I257" i="3"/>
  <c r="W257" i="3" s="1"/>
  <c r="I12" i="3"/>
  <c r="W12" i="3" s="1"/>
  <c r="I28" i="3"/>
  <c r="W28" i="3" s="1"/>
  <c r="I44" i="3"/>
  <c r="W44" i="3" s="1"/>
  <c r="I60" i="3"/>
  <c r="W60" i="3" s="1"/>
  <c r="I76" i="3"/>
  <c r="W76" i="3" s="1"/>
  <c r="I92" i="3"/>
  <c r="W92" i="3" s="1"/>
  <c r="I108" i="3"/>
  <c r="W108" i="3" s="1"/>
  <c r="I124" i="3"/>
  <c r="W124" i="3" s="1"/>
  <c r="I140" i="3"/>
  <c r="W140" i="3" s="1"/>
  <c r="I156" i="3"/>
  <c r="W156" i="3" s="1"/>
  <c r="I172" i="3"/>
  <c r="W172" i="3" s="1"/>
  <c r="I188" i="3"/>
  <c r="W188" i="3" s="1"/>
  <c r="I204" i="3"/>
  <c r="W204" i="3" s="1"/>
  <c r="I220" i="3"/>
  <c r="W220" i="3" s="1"/>
  <c r="I236" i="3"/>
  <c r="W236" i="3" s="1"/>
  <c r="I23" i="3"/>
  <c r="W23" i="3" s="1"/>
  <c r="I39" i="3"/>
  <c r="W39" i="3" s="1"/>
  <c r="I55" i="3"/>
  <c r="W55" i="3" s="1"/>
  <c r="I71" i="3"/>
  <c r="W71" i="3" s="1"/>
  <c r="I87" i="3"/>
  <c r="W87" i="3" s="1"/>
  <c r="I103" i="3"/>
  <c r="W103" i="3" s="1"/>
  <c r="I119" i="3"/>
  <c r="W119" i="3" s="1"/>
  <c r="I135" i="3"/>
  <c r="W135" i="3" s="1"/>
  <c r="I151" i="3"/>
  <c r="W151" i="3" s="1"/>
  <c r="I167" i="3"/>
  <c r="W167" i="3" s="1"/>
  <c r="I183" i="3"/>
  <c r="W183" i="3" s="1"/>
  <c r="I199" i="3"/>
  <c r="W199" i="3" s="1"/>
  <c r="I215" i="3"/>
  <c r="W215" i="3" s="1"/>
  <c r="I18" i="3"/>
  <c r="W18" i="3" s="1"/>
  <c r="I34" i="3"/>
  <c r="W34" i="3" s="1"/>
  <c r="I50" i="3"/>
  <c r="W50" i="3" s="1"/>
  <c r="I66" i="3"/>
  <c r="W66" i="3" s="1"/>
  <c r="I82" i="3"/>
  <c r="W82" i="3" s="1"/>
  <c r="I98" i="3"/>
  <c r="W98" i="3" s="1"/>
  <c r="I114" i="3"/>
  <c r="W114" i="3" s="1"/>
  <c r="I130" i="3"/>
  <c r="W130" i="3" s="1"/>
  <c r="I13" i="3"/>
  <c r="W13" i="3" s="1"/>
  <c r="I29" i="3"/>
  <c r="W29" i="3" s="1"/>
  <c r="I45" i="3"/>
  <c r="W45" i="3" s="1"/>
  <c r="I61" i="3"/>
  <c r="W61" i="3" s="1"/>
  <c r="I77" i="3"/>
  <c r="W77" i="3" s="1"/>
  <c r="I93" i="3"/>
  <c r="W93" i="3" s="1"/>
  <c r="I109" i="3"/>
  <c r="W109" i="3" s="1"/>
  <c r="I125" i="3"/>
  <c r="W125" i="3" s="1"/>
  <c r="I141" i="3"/>
  <c r="W141" i="3" s="1"/>
  <c r="I24" i="3"/>
  <c r="W24" i="3" s="1"/>
  <c r="I40" i="3"/>
  <c r="W40" i="3" s="1"/>
  <c r="I56" i="3"/>
  <c r="W56" i="3" s="1"/>
  <c r="I72" i="3"/>
  <c r="W72" i="3" s="1"/>
  <c r="I88" i="3"/>
  <c r="W88" i="3" s="1"/>
  <c r="I104" i="3"/>
  <c r="W104" i="3" s="1"/>
  <c r="I19" i="3"/>
  <c r="W19" i="3" s="1"/>
  <c r="I35" i="3"/>
  <c r="W35" i="3" s="1"/>
  <c r="I51" i="3"/>
  <c r="W51" i="3" s="1"/>
  <c r="I67" i="3"/>
  <c r="W67" i="3" s="1"/>
  <c r="I83" i="3"/>
  <c r="W83" i="3" s="1"/>
  <c r="I99" i="3"/>
  <c r="W99" i="3" s="1"/>
  <c r="I14" i="3"/>
  <c r="W14" i="3" s="1"/>
  <c r="I30" i="3"/>
  <c r="W30" i="3" s="1"/>
  <c r="I46" i="3"/>
  <c r="W46" i="3" s="1"/>
  <c r="I207" i="3"/>
  <c r="W207" i="3" s="1"/>
  <c r="I230" i="3"/>
  <c r="W230" i="3" s="1"/>
  <c r="I238" i="3"/>
  <c r="W238" i="3" s="1"/>
  <c r="I248" i="3"/>
  <c r="W248" i="3" s="1"/>
  <c r="I290" i="3"/>
  <c r="W290" i="3" s="1"/>
  <c r="I305" i="3"/>
  <c r="W305" i="3" s="1"/>
  <c r="I388" i="3"/>
  <c r="W388" i="3" s="1"/>
  <c r="I324" i="3"/>
  <c r="W324" i="3" s="1"/>
  <c r="I354" i="3"/>
  <c r="W354" i="3" s="1"/>
  <c r="I371" i="3"/>
  <c r="W371" i="3" s="1"/>
  <c r="I394" i="3"/>
  <c r="W394" i="3" s="1"/>
  <c r="I411" i="3"/>
  <c r="W411" i="3" s="1"/>
  <c r="I428" i="3"/>
  <c r="W428" i="3" s="1"/>
  <c r="I439" i="3"/>
  <c r="W439" i="3" s="1"/>
  <c r="I450" i="3"/>
  <c r="W450" i="3" s="1"/>
  <c r="I461" i="3"/>
  <c r="W461" i="3" s="1"/>
  <c r="I477" i="3"/>
  <c r="W477" i="3" s="1"/>
  <c r="I493" i="3"/>
  <c r="W493" i="3" s="1"/>
  <c r="I509" i="3"/>
  <c r="W509" i="3" s="1"/>
  <c r="I525" i="3"/>
  <c r="W525" i="3" s="1"/>
  <c r="I541" i="3"/>
  <c r="W541" i="3" s="1"/>
  <c r="I557" i="3"/>
  <c r="W557" i="3" s="1"/>
  <c r="I573" i="3"/>
  <c r="W573" i="3" s="1"/>
  <c r="I589" i="3"/>
  <c r="W589" i="3" s="1"/>
  <c r="I605" i="3"/>
  <c r="W605" i="3" s="1"/>
  <c r="I621" i="3"/>
  <c r="W621" i="3" s="1"/>
  <c r="I637" i="3"/>
  <c r="W637" i="3" s="1"/>
  <c r="I653" i="3"/>
  <c r="W653" i="3" s="1"/>
  <c r="I669" i="3"/>
  <c r="W669" i="3" s="1"/>
  <c r="I147" i="3"/>
  <c r="W147" i="3" s="1"/>
  <c r="I196" i="3"/>
  <c r="W196" i="3" s="1"/>
  <c r="I258" i="3"/>
  <c r="W258" i="3" s="1"/>
  <c r="I337" i="3"/>
  <c r="W337" i="3" s="1"/>
  <c r="I94" i="3"/>
  <c r="W94" i="3" s="1"/>
  <c r="I239" i="3"/>
  <c r="W239" i="3" s="1"/>
  <c r="I331" i="3"/>
  <c r="W331" i="3" s="1"/>
  <c r="I343" i="3"/>
  <c r="W343" i="3" s="1"/>
  <c r="I360" i="3"/>
  <c r="W360" i="3" s="1"/>
  <c r="I383" i="3"/>
  <c r="W383" i="3" s="1"/>
  <c r="I400" i="3"/>
  <c r="W400" i="3" s="1"/>
  <c r="I417" i="3"/>
  <c r="W417" i="3" s="1"/>
  <c r="I472" i="3"/>
  <c r="W472" i="3" s="1"/>
  <c r="I488" i="3"/>
  <c r="W488" i="3" s="1"/>
  <c r="I504" i="3"/>
  <c r="W504" i="3" s="1"/>
  <c r="I520" i="3"/>
  <c r="W520" i="3" s="1"/>
  <c r="I536" i="3"/>
  <c r="W536" i="3" s="1"/>
  <c r="I552" i="3"/>
  <c r="W552" i="3" s="1"/>
  <c r="I568" i="3"/>
  <c r="W568" i="3" s="1"/>
  <c r="I584" i="3"/>
  <c r="W584" i="3" s="1"/>
  <c r="I210" i="3"/>
  <c r="W210" i="3" s="1"/>
  <c r="I231" i="3"/>
  <c r="W231" i="3" s="1"/>
  <c r="I275" i="3"/>
  <c r="W275" i="3" s="1"/>
  <c r="I299" i="3"/>
  <c r="W299" i="3" s="1"/>
  <c r="I318" i="3"/>
  <c r="W318" i="3" s="1"/>
  <c r="I325" i="3"/>
  <c r="W325" i="3" s="1"/>
  <c r="I434" i="3"/>
  <c r="W434" i="3" s="1"/>
  <c r="I445" i="3"/>
  <c r="W445" i="3" s="1"/>
  <c r="I456" i="3"/>
  <c r="W456" i="3" s="1"/>
  <c r="I126" i="3"/>
  <c r="W126" i="3" s="1"/>
  <c r="I184" i="3"/>
  <c r="W184" i="3" s="1"/>
  <c r="I284" i="3"/>
  <c r="W284" i="3" s="1"/>
  <c r="I312" i="3"/>
  <c r="W312" i="3" s="1"/>
  <c r="I349" i="3"/>
  <c r="W349" i="3" s="1"/>
  <c r="I366" i="3"/>
  <c r="W366" i="3" s="1"/>
  <c r="I389" i="3"/>
  <c r="W389" i="3" s="1"/>
  <c r="I406" i="3"/>
  <c r="W406" i="3" s="1"/>
  <c r="I423" i="3"/>
  <c r="W423" i="3" s="1"/>
  <c r="I467" i="3"/>
  <c r="W467" i="3" s="1"/>
  <c r="I483" i="3"/>
  <c r="W483" i="3" s="1"/>
  <c r="I499" i="3"/>
  <c r="W499" i="3" s="1"/>
  <c r="I515" i="3"/>
  <c r="W515" i="3" s="1"/>
  <c r="I531" i="3"/>
  <c r="W531" i="3" s="1"/>
  <c r="I547" i="3"/>
  <c r="W547" i="3" s="1"/>
  <c r="I563" i="3"/>
  <c r="W563" i="3" s="1"/>
  <c r="I579" i="3"/>
  <c r="W579" i="3" s="1"/>
  <c r="I595" i="3"/>
  <c r="W595" i="3" s="1"/>
  <c r="I611" i="3"/>
  <c r="W611" i="3" s="1"/>
  <c r="I221" i="3"/>
  <c r="W221" i="3" s="1"/>
  <c r="I268" i="3"/>
  <c r="W268" i="3" s="1"/>
  <c r="I291" i="3"/>
  <c r="W291" i="3" s="1"/>
  <c r="I306" i="3"/>
  <c r="W306" i="3" s="1"/>
  <c r="I372" i="3"/>
  <c r="W372" i="3" s="1"/>
  <c r="I168" i="3"/>
  <c r="W168" i="3" s="1"/>
  <c r="I319" i="3"/>
  <c r="W319" i="3" s="1"/>
  <c r="I355" i="3"/>
  <c r="W355" i="3" s="1"/>
  <c r="I378" i="3"/>
  <c r="W378" i="3" s="1"/>
  <c r="I395" i="3"/>
  <c r="W395" i="3" s="1"/>
  <c r="I412" i="3"/>
  <c r="W412" i="3" s="1"/>
  <c r="I429" i="3"/>
  <c r="W429" i="3" s="1"/>
  <c r="I440" i="3"/>
  <c r="W440" i="3" s="1"/>
  <c r="I451" i="3"/>
  <c r="W451" i="3" s="1"/>
  <c r="I462" i="3"/>
  <c r="W462" i="3" s="1"/>
  <c r="I478" i="3"/>
  <c r="W478" i="3" s="1"/>
  <c r="I259" i="3"/>
  <c r="W259" i="3" s="1"/>
  <c r="I276" i="3"/>
  <c r="W276" i="3" s="1"/>
  <c r="I338" i="3"/>
  <c r="W338" i="3" s="1"/>
  <c r="I152" i="3"/>
  <c r="W152" i="3" s="1"/>
  <c r="I332" i="3"/>
  <c r="W332" i="3" s="1"/>
  <c r="I344" i="3"/>
  <c r="W344" i="3" s="1"/>
  <c r="I367" i="3"/>
  <c r="W367" i="3" s="1"/>
  <c r="I384" i="3"/>
  <c r="W384" i="3" s="1"/>
  <c r="I401" i="3"/>
  <c r="W401" i="3" s="1"/>
  <c r="I418" i="3"/>
  <c r="W418" i="3" s="1"/>
  <c r="I473" i="3"/>
  <c r="W473" i="3" s="1"/>
  <c r="I489" i="3"/>
  <c r="W489" i="3" s="1"/>
  <c r="I131" i="3"/>
  <c r="W131" i="3" s="1"/>
  <c r="I200" i="3"/>
  <c r="W200" i="3" s="1"/>
  <c r="I211" i="3"/>
  <c r="W211" i="3" s="1"/>
  <c r="I232" i="3"/>
  <c r="W232" i="3" s="1"/>
  <c r="I242" i="3"/>
  <c r="W242" i="3" s="1"/>
  <c r="I292" i="3"/>
  <c r="W292" i="3" s="1"/>
  <c r="I300" i="3"/>
  <c r="W300" i="3" s="1"/>
  <c r="I326" i="3"/>
  <c r="W326" i="3" s="1"/>
  <c r="I435" i="3"/>
  <c r="W435" i="3" s="1"/>
  <c r="I446" i="3"/>
  <c r="W446" i="3" s="1"/>
  <c r="I62" i="3"/>
  <c r="W62" i="3" s="1"/>
  <c r="I252" i="3"/>
  <c r="W252" i="3" s="1"/>
  <c r="I278" i="3"/>
  <c r="W278" i="3" s="1"/>
  <c r="I285" i="3"/>
  <c r="W285" i="3" s="1"/>
  <c r="I320" i="3"/>
  <c r="W320" i="3" s="1"/>
  <c r="I350" i="3"/>
  <c r="W350" i="3" s="1"/>
  <c r="I373" i="3"/>
  <c r="W373" i="3" s="1"/>
  <c r="I390" i="3"/>
  <c r="W390" i="3" s="1"/>
  <c r="I407" i="3"/>
  <c r="W407" i="3" s="1"/>
  <c r="I424" i="3"/>
  <c r="W424" i="3" s="1"/>
  <c r="I468" i="3"/>
  <c r="W468" i="3" s="1"/>
  <c r="I484" i="3"/>
  <c r="W484" i="3" s="1"/>
  <c r="I222" i="3"/>
  <c r="W222" i="3" s="1"/>
  <c r="I260" i="3"/>
  <c r="W260" i="3" s="1"/>
  <c r="I269" i="3"/>
  <c r="W269" i="3" s="1"/>
  <c r="I307" i="3"/>
  <c r="W307" i="3" s="1"/>
  <c r="I356" i="3"/>
  <c r="W356" i="3" s="1"/>
  <c r="I452" i="3"/>
  <c r="W452" i="3" s="1"/>
  <c r="I314" i="3"/>
  <c r="W314" i="3" s="1"/>
  <c r="I362" i="3"/>
  <c r="W362" i="3" s="1"/>
  <c r="I379" i="3"/>
  <c r="W379" i="3" s="1"/>
  <c r="I396" i="3"/>
  <c r="W396" i="3" s="1"/>
  <c r="I413" i="3"/>
  <c r="W413" i="3" s="1"/>
  <c r="I430" i="3"/>
  <c r="W430" i="3" s="1"/>
  <c r="I463" i="3"/>
  <c r="W463" i="3" s="1"/>
  <c r="I479" i="3"/>
  <c r="W479" i="3" s="1"/>
  <c r="I495" i="3"/>
  <c r="W495" i="3" s="1"/>
  <c r="I189" i="3"/>
  <c r="W189" i="3" s="1"/>
  <c r="I212" i="3"/>
  <c r="W212" i="3" s="1"/>
  <c r="I262" i="3"/>
  <c r="W262" i="3" s="1"/>
  <c r="I339" i="3"/>
  <c r="W339" i="3" s="1"/>
  <c r="I173" i="3"/>
  <c r="W173" i="3" s="1"/>
  <c r="I223" i="3"/>
  <c r="W223" i="3" s="1"/>
  <c r="I294" i="3"/>
  <c r="W294" i="3" s="1"/>
  <c r="I333" i="3"/>
  <c r="W333" i="3" s="1"/>
  <c r="I351" i="3"/>
  <c r="W351" i="3" s="1"/>
  <c r="I368" i="3"/>
  <c r="W368" i="3" s="1"/>
  <c r="I385" i="3"/>
  <c r="W385" i="3" s="1"/>
  <c r="I402" i="3"/>
  <c r="W402" i="3" s="1"/>
  <c r="I419" i="3"/>
  <c r="W419" i="3" s="1"/>
  <c r="I436" i="3"/>
  <c r="W436" i="3" s="1"/>
  <c r="I136" i="3"/>
  <c r="W136" i="3" s="1"/>
  <c r="I214" i="3"/>
  <c r="W214" i="3" s="1"/>
  <c r="I243" i="3"/>
  <c r="W243" i="3" s="1"/>
  <c r="I301" i="3"/>
  <c r="W301" i="3" s="1"/>
  <c r="I308" i="3"/>
  <c r="W308" i="3" s="1"/>
  <c r="I327" i="3"/>
  <c r="W327" i="3" s="1"/>
  <c r="I110" i="3"/>
  <c r="W110" i="3" s="1"/>
  <c r="I157" i="3"/>
  <c r="W157" i="3" s="1"/>
  <c r="I253" i="3"/>
  <c r="W253" i="3" s="1"/>
  <c r="I279" i="3"/>
  <c r="W279" i="3" s="1"/>
  <c r="I286" i="3"/>
  <c r="W286" i="3" s="1"/>
  <c r="I321" i="3"/>
  <c r="W321" i="3" s="1"/>
  <c r="I357" i="3"/>
  <c r="W357" i="3" s="1"/>
  <c r="I374" i="3"/>
  <c r="W374" i="3" s="1"/>
  <c r="I391" i="3"/>
  <c r="W391" i="3" s="1"/>
  <c r="I408" i="3"/>
  <c r="W408" i="3" s="1"/>
  <c r="I270" i="3"/>
  <c r="W270" i="3" s="1"/>
  <c r="I315" i="3"/>
  <c r="W315" i="3" s="1"/>
  <c r="I340" i="3"/>
  <c r="W340" i="3" s="1"/>
  <c r="I431" i="3"/>
  <c r="W431" i="3" s="1"/>
  <c r="I442" i="3"/>
  <c r="W442" i="3" s="1"/>
  <c r="I309" i="3"/>
  <c r="W309" i="3" s="1"/>
  <c r="I346" i="3"/>
  <c r="W346" i="3" s="1"/>
  <c r="I363" i="3"/>
  <c r="W363" i="3" s="1"/>
  <c r="I380" i="3"/>
  <c r="W380" i="3" s="1"/>
  <c r="I397" i="3"/>
  <c r="W397" i="3" s="1"/>
  <c r="I414" i="3"/>
  <c r="W414" i="3" s="1"/>
  <c r="I190" i="3"/>
  <c r="W190" i="3" s="1"/>
  <c r="I226" i="3"/>
  <c r="W226" i="3" s="1"/>
  <c r="I244" i="3"/>
  <c r="W244" i="3" s="1"/>
  <c r="I263" i="3"/>
  <c r="W263" i="3" s="1"/>
  <c r="I287" i="3"/>
  <c r="W287" i="3" s="1"/>
  <c r="I420" i="3"/>
  <c r="W420" i="3" s="1"/>
  <c r="I115" i="3"/>
  <c r="W115" i="3" s="1"/>
  <c r="I174" i="3"/>
  <c r="W174" i="3" s="1"/>
  <c r="I271" i="3"/>
  <c r="W271" i="3" s="1"/>
  <c r="I295" i="3"/>
  <c r="W295" i="3" s="1"/>
  <c r="I334" i="3"/>
  <c r="W334" i="3" s="1"/>
  <c r="I352" i="3"/>
  <c r="W352" i="3" s="1"/>
  <c r="I369" i="3"/>
  <c r="W369" i="3" s="1"/>
  <c r="I386" i="3"/>
  <c r="W386" i="3" s="1"/>
  <c r="I403" i="3"/>
  <c r="W403" i="3" s="1"/>
  <c r="I426" i="3"/>
  <c r="W426" i="3" s="1"/>
  <c r="I437" i="3"/>
  <c r="W437" i="3" s="1"/>
  <c r="I191" i="3"/>
  <c r="W191" i="3" s="1"/>
  <c r="I246" i="3"/>
  <c r="W246" i="3" s="1"/>
  <c r="I302" i="3"/>
  <c r="W302" i="3" s="1"/>
  <c r="I328" i="3"/>
  <c r="W328" i="3" s="1"/>
  <c r="I78" i="3"/>
  <c r="W78" i="3" s="1"/>
  <c r="I158" i="3"/>
  <c r="W158" i="3" s="1"/>
  <c r="I178" i="3"/>
  <c r="W178" i="3" s="1"/>
  <c r="I205" i="3"/>
  <c r="W205" i="3" s="1"/>
  <c r="I254" i="3"/>
  <c r="W254" i="3" s="1"/>
  <c r="I280" i="3"/>
  <c r="W280" i="3" s="1"/>
  <c r="I322" i="3"/>
  <c r="W322" i="3" s="1"/>
  <c r="I341" i="3"/>
  <c r="W341" i="3" s="1"/>
  <c r="I358" i="3"/>
  <c r="W358" i="3" s="1"/>
  <c r="I375" i="3"/>
  <c r="W375" i="3" s="1"/>
  <c r="I194" i="3"/>
  <c r="W194" i="3" s="1"/>
  <c r="I216" i="3"/>
  <c r="W216" i="3" s="1"/>
  <c r="I273" i="3"/>
  <c r="W273" i="3" s="1"/>
  <c r="I316" i="3"/>
  <c r="W316" i="3" s="1"/>
  <c r="I335" i="3"/>
  <c r="W335" i="3" s="1"/>
  <c r="I162" i="3"/>
  <c r="W162" i="3" s="1"/>
  <c r="I303" i="3"/>
  <c r="W303" i="3" s="1"/>
  <c r="I310" i="3"/>
  <c r="W310" i="3" s="1"/>
  <c r="I347" i="3"/>
  <c r="W347" i="3" s="1"/>
  <c r="I364" i="3"/>
  <c r="W364" i="3" s="1"/>
  <c r="I381" i="3"/>
  <c r="W381" i="3" s="1"/>
  <c r="I120" i="3"/>
  <c r="W120" i="3" s="1"/>
  <c r="I227" i="3"/>
  <c r="W227" i="3" s="1"/>
  <c r="I237" i="3"/>
  <c r="W237" i="3" s="1"/>
  <c r="I247" i="3"/>
  <c r="W247" i="3" s="1"/>
  <c r="I255" i="3"/>
  <c r="W255" i="3" s="1"/>
  <c r="I264" i="3"/>
  <c r="W264" i="3" s="1"/>
  <c r="I289" i="3"/>
  <c r="W289" i="3" s="1"/>
  <c r="I296" i="3"/>
  <c r="W296" i="3" s="1"/>
  <c r="I353" i="3"/>
  <c r="W353" i="3" s="1"/>
  <c r="I370" i="3"/>
  <c r="W370" i="3" s="1"/>
  <c r="I142" i="3"/>
  <c r="W142" i="3" s="1"/>
  <c r="I336" i="3"/>
  <c r="W336" i="3" s="1"/>
  <c r="I179" i="3"/>
  <c r="W179" i="3" s="1"/>
  <c r="I206" i="3"/>
  <c r="W206" i="3" s="1"/>
  <c r="I146" i="3"/>
  <c r="W146" i="3" s="1"/>
  <c r="I195" i="3"/>
  <c r="W195" i="3" s="1"/>
  <c r="I228" i="3"/>
  <c r="W228" i="3" s="1"/>
  <c r="I274" i="3"/>
  <c r="W274" i="3" s="1"/>
  <c r="I317" i="3"/>
  <c r="W317" i="3" s="1"/>
  <c r="I163" i="3"/>
  <c r="W163" i="3" s="1"/>
  <c r="I311" i="3"/>
  <c r="W311" i="3" s="1"/>
  <c r="I538" i="3"/>
  <c r="W538" i="3" s="1"/>
  <c r="I551" i="3"/>
  <c r="W551" i="3" s="1"/>
  <c r="I571" i="3"/>
  <c r="W571" i="3" s="1"/>
  <c r="I620" i="3"/>
  <c r="W620" i="3" s="1"/>
  <c r="I449" i="3"/>
  <c r="W449" i="3" s="1"/>
  <c r="I470" i="3"/>
  <c r="W470" i="3" s="1"/>
  <c r="I511" i="3"/>
  <c r="W511" i="3" s="1"/>
  <c r="I524" i="3"/>
  <c r="W524" i="3" s="1"/>
  <c r="I591" i="3"/>
  <c r="W591" i="3" s="1"/>
  <c r="I597" i="3"/>
  <c r="W597" i="3" s="1"/>
  <c r="I648" i="3"/>
  <c r="W648" i="3" s="1"/>
  <c r="I659" i="3"/>
  <c r="W659" i="3" s="1"/>
  <c r="I670" i="3"/>
  <c r="W670" i="3" s="1"/>
  <c r="I686" i="3"/>
  <c r="W686" i="3" s="1"/>
  <c r="I702" i="3"/>
  <c r="W702" i="3" s="1"/>
  <c r="I718" i="3"/>
  <c r="W718" i="3" s="1"/>
  <c r="I734" i="3"/>
  <c r="W734" i="3" s="1"/>
  <c r="I750" i="3"/>
  <c r="W750" i="3" s="1"/>
  <c r="I766" i="3"/>
  <c r="W766" i="3" s="1"/>
  <c r="I782" i="3"/>
  <c r="W782" i="3" s="1"/>
  <c r="I798" i="3"/>
  <c r="W798" i="3" s="1"/>
  <c r="I814" i="3"/>
  <c r="W814" i="3" s="1"/>
  <c r="I830" i="3"/>
  <c r="W830" i="3" s="1"/>
  <c r="I846" i="3"/>
  <c r="W846" i="3" s="1"/>
  <c r="I862" i="3"/>
  <c r="W862" i="3" s="1"/>
  <c r="I878" i="3"/>
  <c r="W878" i="3" s="1"/>
  <c r="I894" i="3"/>
  <c r="W894" i="3" s="1"/>
  <c r="I910" i="3"/>
  <c r="W910" i="3" s="1"/>
  <c r="I926" i="3"/>
  <c r="W926" i="3" s="1"/>
  <c r="I942" i="3"/>
  <c r="W942" i="3" s="1"/>
  <c r="I958" i="3"/>
  <c r="W958" i="3" s="1"/>
  <c r="I974" i="3"/>
  <c r="W974" i="3" s="1"/>
  <c r="I323" i="3"/>
  <c r="W323" i="3" s="1"/>
  <c r="I490" i="3"/>
  <c r="W490" i="3" s="1"/>
  <c r="I497" i="3"/>
  <c r="W497" i="3" s="1"/>
  <c r="I565" i="3"/>
  <c r="W565" i="3" s="1"/>
  <c r="I585" i="3"/>
  <c r="W585" i="3" s="1"/>
  <c r="I603" i="3"/>
  <c r="W603" i="3" s="1"/>
  <c r="I626" i="3"/>
  <c r="W626" i="3" s="1"/>
  <c r="I421" i="3"/>
  <c r="W421" i="3" s="1"/>
  <c r="I460" i="3"/>
  <c r="W460" i="3" s="1"/>
  <c r="I532" i="3"/>
  <c r="W532" i="3" s="1"/>
  <c r="I545" i="3"/>
  <c r="W545" i="3" s="1"/>
  <c r="I609" i="3"/>
  <c r="W609" i="3" s="1"/>
  <c r="I681" i="3"/>
  <c r="W681" i="3" s="1"/>
  <c r="I697" i="3"/>
  <c r="W697" i="3" s="1"/>
  <c r="I713" i="3"/>
  <c r="W713" i="3" s="1"/>
  <c r="I729" i="3"/>
  <c r="W729" i="3" s="1"/>
  <c r="I745" i="3"/>
  <c r="W745" i="3" s="1"/>
  <c r="I761" i="3"/>
  <c r="W761" i="3" s="1"/>
  <c r="I777" i="3"/>
  <c r="W777" i="3" s="1"/>
  <c r="I793" i="3"/>
  <c r="W793" i="3" s="1"/>
  <c r="I809" i="3"/>
  <c r="W809" i="3" s="1"/>
  <c r="I825" i="3"/>
  <c r="W825" i="3" s="1"/>
  <c r="I841" i="3"/>
  <c r="W841" i="3" s="1"/>
  <c r="I857" i="3"/>
  <c r="W857" i="3" s="1"/>
  <c r="I873" i="3"/>
  <c r="W873" i="3" s="1"/>
  <c r="I889" i="3"/>
  <c r="W889" i="3" s="1"/>
  <c r="I505" i="3"/>
  <c r="W505" i="3" s="1"/>
  <c r="I518" i="3"/>
  <c r="W518" i="3" s="1"/>
  <c r="I559" i="3"/>
  <c r="W559" i="3" s="1"/>
  <c r="I578" i="3"/>
  <c r="W578" i="3" s="1"/>
  <c r="I615" i="3"/>
  <c r="W615" i="3" s="1"/>
  <c r="I632" i="3"/>
  <c r="W632" i="3" s="1"/>
  <c r="I643" i="3"/>
  <c r="W643" i="3" s="1"/>
  <c r="I654" i="3"/>
  <c r="W654" i="3" s="1"/>
  <c r="I665" i="3"/>
  <c r="W665" i="3" s="1"/>
  <c r="I481" i="3"/>
  <c r="W481" i="3" s="1"/>
  <c r="I676" i="3"/>
  <c r="W676" i="3" s="1"/>
  <c r="I692" i="3"/>
  <c r="W692" i="3" s="1"/>
  <c r="I708" i="3"/>
  <c r="W708" i="3" s="1"/>
  <c r="I724" i="3"/>
  <c r="W724" i="3" s="1"/>
  <c r="I740" i="3"/>
  <c r="W740" i="3" s="1"/>
  <c r="I756" i="3"/>
  <c r="W756" i="3" s="1"/>
  <c r="I772" i="3"/>
  <c r="W772" i="3" s="1"/>
  <c r="I788" i="3"/>
  <c r="W788" i="3" s="1"/>
  <c r="I804" i="3"/>
  <c r="W804" i="3" s="1"/>
  <c r="I820" i="3"/>
  <c r="W820" i="3" s="1"/>
  <c r="I836" i="3"/>
  <c r="W836" i="3" s="1"/>
  <c r="I852" i="3"/>
  <c r="W852" i="3" s="1"/>
  <c r="I868" i="3"/>
  <c r="W868" i="3" s="1"/>
  <c r="I884" i="3"/>
  <c r="W884" i="3" s="1"/>
  <c r="I900" i="3"/>
  <c r="W900" i="3" s="1"/>
  <c r="I330" i="3"/>
  <c r="W330" i="3" s="1"/>
  <c r="I382" i="3"/>
  <c r="W382" i="3" s="1"/>
  <c r="I404" i="3"/>
  <c r="W404" i="3" s="1"/>
  <c r="I526" i="3"/>
  <c r="W526" i="3" s="1"/>
  <c r="I539" i="3"/>
  <c r="W539" i="3" s="1"/>
  <c r="I553" i="3"/>
  <c r="W553" i="3" s="1"/>
  <c r="I572" i="3"/>
  <c r="W572" i="3" s="1"/>
  <c r="I438" i="3"/>
  <c r="W438" i="3" s="1"/>
  <c r="I471" i="3"/>
  <c r="W471" i="3" s="1"/>
  <c r="I512" i="3"/>
  <c r="W512" i="3" s="1"/>
  <c r="I592" i="3"/>
  <c r="W592" i="3" s="1"/>
  <c r="I598" i="3"/>
  <c r="W598" i="3" s="1"/>
  <c r="I627" i="3"/>
  <c r="W627" i="3" s="1"/>
  <c r="I638" i="3"/>
  <c r="W638" i="3" s="1"/>
  <c r="I649" i="3"/>
  <c r="W649" i="3" s="1"/>
  <c r="I660" i="3"/>
  <c r="W660" i="3" s="1"/>
  <c r="I671" i="3"/>
  <c r="W671" i="3" s="1"/>
  <c r="I687" i="3"/>
  <c r="W687" i="3" s="1"/>
  <c r="I703" i="3"/>
  <c r="W703" i="3" s="1"/>
  <c r="I719" i="3"/>
  <c r="W719" i="3" s="1"/>
  <c r="I735" i="3"/>
  <c r="W735" i="3" s="1"/>
  <c r="I751" i="3"/>
  <c r="W751" i="3" s="1"/>
  <c r="I767" i="3"/>
  <c r="W767" i="3" s="1"/>
  <c r="I783" i="3"/>
  <c r="W783" i="3" s="1"/>
  <c r="I799" i="3"/>
  <c r="W799" i="3" s="1"/>
  <c r="I491" i="3"/>
  <c r="W491" i="3" s="1"/>
  <c r="I498" i="3"/>
  <c r="W498" i="3" s="1"/>
  <c r="I566" i="3"/>
  <c r="W566" i="3" s="1"/>
  <c r="I586" i="3"/>
  <c r="W586" i="3" s="1"/>
  <c r="I604" i="3"/>
  <c r="W604" i="3" s="1"/>
  <c r="I616" i="3"/>
  <c r="W616" i="3" s="1"/>
  <c r="I422" i="3"/>
  <c r="W422" i="3" s="1"/>
  <c r="I453" i="3"/>
  <c r="W453" i="3" s="1"/>
  <c r="I533" i="3"/>
  <c r="W533" i="3" s="1"/>
  <c r="I546" i="3"/>
  <c r="W546" i="3" s="1"/>
  <c r="I610" i="3"/>
  <c r="W610" i="3" s="1"/>
  <c r="I682" i="3"/>
  <c r="W682" i="3" s="1"/>
  <c r="I698" i="3"/>
  <c r="W698" i="3" s="1"/>
  <c r="I714" i="3"/>
  <c r="W714" i="3" s="1"/>
  <c r="I730" i="3"/>
  <c r="W730" i="3" s="1"/>
  <c r="I746" i="3"/>
  <c r="W746" i="3" s="1"/>
  <c r="I762" i="3"/>
  <c r="W762" i="3" s="1"/>
  <c r="I778" i="3"/>
  <c r="W778" i="3" s="1"/>
  <c r="I794" i="3"/>
  <c r="W794" i="3" s="1"/>
  <c r="I810" i="3"/>
  <c r="W810" i="3" s="1"/>
  <c r="I474" i="3"/>
  <c r="W474" i="3" s="1"/>
  <c r="I506" i="3"/>
  <c r="W506" i="3" s="1"/>
  <c r="I519" i="3"/>
  <c r="W519" i="3" s="1"/>
  <c r="I560" i="3"/>
  <c r="W560" i="3" s="1"/>
  <c r="I580" i="3"/>
  <c r="W580" i="3" s="1"/>
  <c r="I622" i="3"/>
  <c r="W622" i="3" s="1"/>
  <c r="I633" i="3"/>
  <c r="W633" i="3" s="1"/>
  <c r="I644" i="3"/>
  <c r="W644" i="3" s="1"/>
  <c r="I655" i="3"/>
  <c r="W655" i="3" s="1"/>
  <c r="I666" i="3"/>
  <c r="W666" i="3" s="1"/>
  <c r="I342" i="3"/>
  <c r="W342" i="3" s="1"/>
  <c r="I387" i="3"/>
  <c r="W387" i="3" s="1"/>
  <c r="I405" i="3"/>
  <c r="W405" i="3" s="1"/>
  <c r="I482" i="3"/>
  <c r="W482" i="3" s="1"/>
  <c r="I677" i="3"/>
  <c r="W677" i="3" s="1"/>
  <c r="I693" i="3"/>
  <c r="W693" i="3" s="1"/>
  <c r="I709" i="3"/>
  <c r="W709" i="3" s="1"/>
  <c r="I725" i="3"/>
  <c r="W725" i="3" s="1"/>
  <c r="I741" i="3"/>
  <c r="W741" i="3" s="1"/>
  <c r="I757" i="3"/>
  <c r="W757" i="3" s="1"/>
  <c r="I773" i="3"/>
  <c r="W773" i="3" s="1"/>
  <c r="I789" i="3"/>
  <c r="W789" i="3" s="1"/>
  <c r="I805" i="3"/>
  <c r="W805" i="3" s="1"/>
  <c r="I464" i="3"/>
  <c r="W464" i="3" s="1"/>
  <c r="I527" i="3"/>
  <c r="W527" i="3" s="1"/>
  <c r="I540" i="3"/>
  <c r="W540" i="3" s="1"/>
  <c r="I554" i="3"/>
  <c r="W554" i="3" s="1"/>
  <c r="I574" i="3"/>
  <c r="W574" i="3" s="1"/>
  <c r="I500" i="3"/>
  <c r="W500" i="3" s="1"/>
  <c r="I513" i="3"/>
  <c r="W513" i="3" s="1"/>
  <c r="I593" i="3"/>
  <c r="W593" i="3" s="1"/>
  <c r="I599" i="3"/>
  <c r="W599" i="3" s="1"/>
  <c r="I628" i="3"/>
  <c r="W628" i="3" s="1"/>
  <c r="I639" i="3"/>
  <c r="W639" i="3" s="1"/>
  <c r="I650" i="3"/>
  <c r="W650" i="3" s="1"/>
  <c r="I661" i="3"/>
  <c r="W661" i="3" s="1"/>
  <c r="I672" i="3"/>
  <c r="W672" i="3" s="1"/>
  <c r="I688" i="3"/>
  <c r="W688" i="3" s="1"/>
  <c r="I704" i="3"/>
  <c r="W704" i="3" s="1"/>
  <c r="I720" i="3"/>
  <c r="W720" i="3" s="1"/>
  <c r="I736" i="3"/>
  <c r="W736" i="3" s="1"/>
  <c r="I752" i="3"/>
  <c r="W752" i="3" s="1"/>
  <c r="I768" i="3"/>
  <c r="W768" i="3" s="1"/>
  <c r="I784" i="3"/>
  <c r="W784" i="3" s="1"/>
  <c r="I800" i="3"/>
  <c r="W800" i="3" s="1"/>
  <c r="I492" i="3"/>
  <c r="W492" i="3" s="1"/>
  <c r="I548" i="3"/>
  <c r="W548" i="3" s="1"/>
  <c r="I567" i="3"/>
  <c r="W567" i="3" s="1"/>
  <c r="I587" i="3"/>
  <c r="W587" i="3" s="1"/>
  <c r="I617" i="3"/>
  <c r="W617" i="3" s="1"/>
  <c r="I454" i="3"/>
  <c r="W454" i="3" s="1"/>
  <c r="I485" i="3"/>
  <c r="W485" i="3" s="1"/>
  <c r="I521" i="3"/>
  <c r="W521" i="3" s="1"/>
  <c r="I534" i="3"/>
  <c r="W534" i="3" s="1"/>
  <c r="I683" i="3"/>
  <c r="W683" i="3" s="1"/>
  <c r="I699" i="3"/>
  <c r="W699" i="3" s="1"/>
  <c r="I715" i="3"/>
  <c r="W715" i="3" s="1"/>
  <c r="I731" i="3"/>
  <c r="W731" i="3" s="1"/>
  <c r="I348" i="3"/>
  <c r="W348" i="3" s="1"/>
  <c r="I392" i="3"/>
  <c r="W392" i="3" s="1"/>
  <c r="I427" i="3"/>
  <c r="W427" i="3" s="1"/>
  <c r="I443" i="3"/>
  <c r="W443" i="3" s="1"/>
  <c r="I475" i="3"/>
  <c r="W475" i="3" s="1"/>
  <c r="I507" i="3"/>
  <c r="W507" i="3" s="1"/>
  <c r="I561" i="3"/>
  <c r="W561" i="3" s="1"/>
  <c r="I581" i="3"/>
  <c r="W581" i="3" s="1"/>
  <c r="I623" i="3"/>
  <c r="W623" i="3" s="1"/>
  <c r="I634" i="3"/>
  <c r="W634" i="3" s="1"/>
  <c r="I645" i="3"/>
  <c r="W645" i="3" s="1"/>
  <c r="I656" i="3"/>
  <c r="W656" i="3" s="1"/>
  <c r="I667" i="3"/>
  <c r="W667" i="3" s="1"/>
  <c r="I410" i="3"/>
  <c r="W410" i="3" s="1"/>
  <c r="I542" i="3"/>
  <c r="W542" i="3" s="1"/>
  <c r="I600" i="3"/>
  <c r="W600" i="3" s="1"/>
  <c r="I606" i="3"/>
  <c r="W606" i="3" s="1"/>
  <c r="I678" i="3"/>
  <c r="W678" i="3" s="1"/>
  <c r="I694" i="3"/>
  <c r="W694" i="3" s="1"/>
  <c r="I710" i="3"/>
  <c r="W710" i="3" s="1"/>
  <c r="I465" i="3"/>
  <c r="W465" i="3" s="1"/>
  <c r="I528" i="3"/>
  <c r="W528" i="3" s="1"/>
  <c r="I555" i="3"/>
  <c r="W555" i="3" s="1"/>
  <c r="I575" i="3"/>
  <c r="W575" i="3" s="1"/>
  <c r="I612" i="3"/>
  <c r="W612" i="3" s="1"/>
  <c r="I494" i="3"/>
  <c r="W494" i="3" s="1"/>
  <c r="I501" i="3"/>
  <c r="W501" i="3" s="1"/>
  <c r="I514" i="3"/>
  <c r="W514" i="3" s="1"/>
  <c r="I594" i="3"/>
  <c r="W594" i="3" s="1"/>
  <c r="I629" i="3"/>
  <c r="W629" i="3" s="1"/>
  <c r="I640" i="3"/>
  <c r="W640" i="3" s="1"/>
  <c r="I651" i="3"/>
  <c r="W651" i="3" s="1"/>
  <c r="I662" i="3"/>
  <c r="W662" i="3" s="1"/>
  <c r="I673" i="3"/>
  <c r="W673" i="3" s="1"/>
  <c r="I689" i="3"/>
  <c r="W689" i="3" s="1"/>
  <c r="I705" i="3"/>
  <c r="W705" i="3" s="1"/>
  <c r="I721" i="3"/>
  <c r="W721" i="3" s="1"/>
  <c r="I737" i="3"/>
  <c r="W737" i="3" s="1"/>
  <c r="I359" i="3"/>
  <c r="W359" i="3" s="1"/>
  <c r="I549" i="3"/>
  <c r="W549" i="3" s="1"/>
  <c r="I569" i="3"/>
  <c r="W569" i="3" s="1"/>
  <c r="I588" i="3"/>
  <c r="W588" i="3" s="1"/>
  <c r="I618" i="3"/>
  <c r="W618" i="3" s="1"/>
  <c r="I455" i="3"/>
  <c r="W455" i="3" s="1"/>
  <c r="I486" i="3"/>
  <c r="W486" i="3" s="1"/>
  <c r="I522" i="3"/>
  <c r="W522" i="3" s="1"/>
  <c r="I535" i="3"/>
  <c r="W535" i="3" s="1"/>
  <c r="I684" i="3"/>
  <c r="W684" i="3" s="1"/>
  <c r="I700" i="3"/>
  <c r="W700" i="3" s="1"/>
  <c r="I716" i="3"/>
  <c r="W716" i="3" s="1"/>
  <c r="I732" i="3"/>
  <c r="W732" i="3" s="1"/>
  <c r="I444" i="3"/>
  <c r="W444" i="3" s="1"/>
  <c r="I476" i="3"/>
  <c r="W476" i="3" s="1"/>
  <c r="I508" i="3"/>
  <c r="W508" i="3" s="1"/>
  <c r="I562" i="3"/>
  <c r="W562" i="3" s="1"/>
  <c r="I582" i="3"/>
  <c r="W582" i="3" s="1"/>
  <c r="I601" i="3"/>
  <c r="W601" i="3" s="1"/>
  <c r="I624" i="3"/>
  <c r="W624" i="3" s="1"/>
  <c r="I635" i="3"/>
  <c r="W635" i="3" s="1"/>
  <c r="I646" i="3"/>
  <c r="W646" i="3" s="1"/>
  <c r="I657" i="3"/>
  <c r="W657" i="3" s="1"/>
  <c r="I668" i="3"/>
  <c r="W668" i="3" s="1"/>
  <c r="I415" i="3"/>
  <c r="W415" i="3" s="1"/>
  <c r="I458" i="3"/>
  <c r="W458" i="3" s="1"/>
  <c r="I543" i="3"/>
  <c r="W543" i="3" s="1"/>
  <c r="I607" i="3"/>
  <c r="W607" i="3" s="1"/>
  <c r="I679" i="3"/>
  <c r="W679" i="3" s="1"/>
  <c r="I432" i="3"/>
  <c r="W432" i="3" s="1"/>
  <c r="I447" i="3"/>
  <c r="W447" i="3" s="1"/>
  <c r="I466" i="3"/>
  <c r="W466" i="3" s="1"/>
  <c r="I516" i="3"/>
  <c r="W516" i="3" s="1"/>
  <c r="I529" i="3"/>
  <c r="W529" i="3" s="1"/>
  <c r="I556" i="3"/>
  <c r="W556" i="3" s="1"/>
  <c r="I576" i="3"/>
  <c r="W576" i="3" s="1"/>
  <c r="I613" i="3"/>
  <c r="W613" i="3" s="1"/>
  <c r="I365" i="3"/>
  <c r="W365" i="3" s="1"/>
  <c r="I502" i="3"/>
  <c r="W502" i="3" s="1"/>
  <c r="I630" i="3"/>
  <c r="W630" i="3" s="1"/>
  <c r="I641" i="3"/>
  <c r="W641" i="3" s="1"/>
  <c r="I652" i="3"/>
  <c r="W652" i="3" s="1"/>
  <c r="I663" i="3"/>
  <c r="W663" i="3" s="1"/>
  <c r="I674" i="3"/>
  <c r="W674" i="3" s="1"/>
  <c r="I537" i="3"/>
  <c r="W537" i="3" s="1"/>
  <c r="I550" i="3"/>
  <c r="W550" i="3" s="1"/>
  <c r="I570" i="3"/>
  <c r="W570" i="3" s="1"/>
  <c r="I619" i="3"/>
  <c r="W619" i="3" s="1"/>
  <c r="I398" i="3"/>
  <c r="W398" i="3" s="1"/>
  <c r="I448" i="3"/>
  <c r="W448" i="3" s="1"/>
  <c r="I469" i="3"/>
  <c r="W469" i="3" s="1"/>
  <c r="I487" i="3"/>
  <c r="W487" i="3" s="1"/>
  <c r="I510" i="3"/>
  <c r="W510" i="3" s="1"/>
  <c r="I523" i="3"/>
  <c r="W523" i="3" s="1"/>
  <c r="I590" i="3"/>
  <c r="W590" i="3" s="1"/>
  <c r="I596" i="3"/>
  <c r="W596" i="3" s="1"/>
  <c r="I496" i="3"/>
  <c r="W496" i="3" s="1"/>
  <c r="I564" i="3"/>
  <c r="W564" i="3" s="1"/>
  <c r="I583" i="3"/>
  <c r="W583" i="3" s="1"/>
  <c r="I602" i="3"/>
  <c r="W602" i="3" s="1"/>
  <c r="I625" i="3"/>
  <c r="W625" i="3" s="1"/>
  <c r="I636" i="3"/>
  <c r="W636" i="3" s="1"/>
  <c r="I647" i="3"/>
  <c r="W647" i="3" s="1"/>
  <c r="I658" i="3"/>
  <c r="W658" i="3" s="1"/>
  <c r="I416" i="3"/>
  <c r="W416" i="3" s="1"/>
  <c r="I459" i="3"/>
  <c r="W459" i="3" s="1"/>
  <c r="I544" i="3"/>
  <c r="W544" i="3" s="1"/>
  <c r="I433" i="3"/>
  <c r="W433" i="3" s="1"/>
  <c r="I517" i="3"/>
  <c r="W517" i="3" s="1"/>
  <c r="I530" i="3"/>
  <c r="W530" i="3" s="1"/>
  <c r="I558" i="3"/>
  <c r="W558" i="3" s="1"/>
  <c r="I577" i="3"/>
  <c r="W577" i="3" s="1"/>
  <c r="I614" i="3"/>
  <c r="W614" i="3" s="1"/>
  <c r="I376" i="3"/>
  <c r="W376" i="3" s="1"/>
  <c r="I399" i="3"/>
  <c r="W399" i="3" s="1"/>
  <c r="I480" i="3"/>
  <c r="W480" i="3" s="1"/>
  <c r="I503" i="3"/>
  <c r="W503" i="3" s="1"/>
  <c r="I631" i="3"/>
  <c r="W631" i="3" s="1"/>
  <c r="I608" i="3"/>
  <c r="W608" i="3" s="1"/>
  <c r="I758" i="3"/>
  <c r="W758" i="3" s="1"/>
  <c r="I869" i="3"/>
  <c r="W869" i="3" s="1"/>
  <c r="I882" i="3"/>
  <c r="W882" i="3" s="1"/>
  <c r="I902" i="3"/>
  <c r="W902" i="3" s="1"/>
  <c r="I920" i="3"/>
  <c r="W920" i="3" s="1"/>
  <c r="I943" i="3"/>
  <c r="W943" i="3" s="1"/>
  <c r="I960" i="3"/>
  <c r="W960" i="3" s="1"/>
  <c r="I982" i="3"/>
  <c r="W982" i="3" s="1"/>
  <c r="I998" i="3"/>
  <c r="W998" i="3" s="1"/>
  <c r="I1014" i="3"/>
  <c r="W1014" i="3" s="1"/>
  <c r="I1030" i="3"/>
  <c r="W1030" i="3" s="1"/>
  <c r="I1046" i="3"/>
  <c r="W1046" i="3" s="1"/>
  <c r="I1062" i="3"/>
  <c r="W1062" i="3" s="1"/>
  <c r="I1078" i="3"/>
  <c r="W1078" i="3" s="1"/>
  <c r="I1094" i="3"/>
  <c r="W1094" i="3" s="1"/>
  <c r="I1110" i="3"/>
  <c r="W1110" i="3" s="1"/>
  <c r="I1126" i="3"/>
  <c r="W1126" i="3" s="1"/>
  <c r="I1142" i="3"/>
  <c r="W1142" i="3" s="1"/>
  <c r="I1158" i="3"/>
  <c r="W1158" i="3" s="1"/>
  <c r="I1174" i="3"/>
  <c r="W1174" i="3" s="1"/>
  <c r="I1190" i="3"/>
  <c r="W1190" i="3" s="1"/>
  <c r="I1206" i="3"/>
  <c r="W1206" i="3" s="1"/>
  <c r="I1222" i="3"/>
  <c r="W1222" i="3" s="1"/>
  <c r="I1238" i="3"/>
  <c r="W1238" i="3" s="1"/>
  <c r="I1254" i="3"/>
  <c r="W1254" i="3" s="1"/>
  <c r="I1270" i="3"/>
  <c r="W1270" i="3" s="1"/>
  <c r="I1286" i="3"/>
  <c r="W1286" i="3" s="1"/>
  <c r="I1302" i="3"/>
  <c r="W1302" i="3" s="1"/>
  <c r="I779" i="3"/>
  <c r="W779" i="3" s="1"/>
  <c r="I797" i="3"/>
  <c r="W797" i="3" s="1"/>
  <c r="I842" i="3"/>
  <c r="W842" i="3" s="1"/>
  <c r="I855" i="3"/>
  <c r="W855" i="3" s="1"/>
  <c r="I896" i="3"/>
  <c r="W896" i="3" s="1"/>
  <c r="I680" i="3"/>
  <c r="W680" i="3" s="1"/>
  <c r="I787" i="3"/>
  <c r="W787" i="3" s="1"/>
  <c r="I828" i="3"/>
  <c r="W828" i="3" s="1"/>
  <c r="I890" i="3"/>
  <c r="W890" i="3" s="1"/>
  <c r="I932" i="3"/>
  <c r="W932" i="3" s="1"/>
  <c r="I949" i="3"/>
  <c r="W949" i="3" s="1"/>
  <c r="I966" i="3"/>
  <c r="W966" i="3" s="1"/>
  <c r="I977" i="3"/>
  <c r="W977" i="3" s="1"/>
  <c r="I993" i="3"/>
  <c r="W993" i="3" s="1"/>
  <c r="I1009" i="3"/>
  <c r="W1009" i="3" s="1"/>
  <c r="I1025" i="3"/>
  <c r="W1025" i="3" s="1"/>
  <c r="I1041" i="3"/>
  <c r="W1041" i="3" s="1"/>
  <c r="I1057" i="3"/>
  <c r="W1057" i="3" s="1"/>
  <c r="I1073" i="3"/>
  <c r="W1073" i="3" s="1"/>
  <c r="I1089" i="3"/>
  <c r="W1089" i="3" s="1"/>
  <c r="I1105" i="3"/>
  <c r="W1105" i="3" s="1"/>
  <c r="I1121" i="3"/>
  <c r="W1121" i="3" s="1"/>
  <c r="I1137" i="3"/>
  <c r="W1137" i="3" s="1"/>
  <c r="I1153" i="3"/>
  <c r="W1153" i="3" s="1"/>
  <c r="I1169" i="3"/>
  <c r="W1169" i="3" s="1"/>
  <c r="I1185" i="3"/>
  <c r="W1185" i="3" s="1"/>
  <c r="I1201" i="3"/>
  <c r="W1201" i="3" s="1"/>
  <c r="I1217" i="3"/>
  <c r="W1217" i="3" s="1"/>
  <c r="I748" i="3"/>
  <c r="W748" i="3" s="1"/>
  <c r="I769" i="3"/>
  <c r="W769" i="3" s="1"/>
  <c r="I815" i="3"/>
  <c r="W815" i="3" s="1"/>
  <c r="I863" i="3"/>
  <c r="W863" i="3" s="1"/>
  <c r="I876" i="3"/>
  <c r="W876" i="3" s="1"/>
  <c r="I701" i="3"/>
  <c r="W701" i="3" s="1"/>
  <c r="I807" i="3"/>
  <c r="W807" i="3" s="1"/>
  <c r="I849" i="3"/>
  <c r="W849" i="3" s="1"/>
  <c r="I921" i="3"/>
  <c r="W921" i="3" s="1"/>
  <c r="I938" i="3"/>
  <c r="W938" i="3" s="1"/>
  <c r="I955" i="3"/>
  <c r="W955" i="3" s="1"/>
  <c r="I988" i="3"/>
  <c r="W988" i="3" s="1"/>
  <c r="I1004" i="3"/>
  <c r="W1004" i="3" s="1"/>
  <c r="I1020" i="3"/>
  <c r="W1020" i="3" s="1"/>
  <c r="I1036" i="3"/>
  <c r="W1036" i="3" s="1"/>
  <c r="I1052" i="3"/>
  <c r="W1052" i="3" s="1"/>
  <c r="I1068" i="3"/>
  <c r="W1068" i="3" s="1"/>
  <c r="I1084" i="3"/>
  <c r="W1084" i="3" s="1"/>
  <c r="I1100" i="3"/>
  <c r="W1100" i="3" s="1"/>
  <c r="I1116" i="3"/>
  <c r="W1116" i="3" s="1"/>
  <c r="I1132" i="3"/>
  <c r="W1132" i="3" s="1"/>
  <c r="I1148" i="3"/>
  <c r="W1148" i="3" s="1"/>
  <c r="I1164" i="3"/>
  <c r="W1164" i="3" s="1"/>
  <c r="I1180" i="3"/>
  <c r="W1180" i="3" s="1"/>
  <c r="I1196" i="3"/>
  <c r="W1196" i="3" s="1"/>
  <c r="I759" i="3"/>
  <c r="W759" i="3" s="1"/>
  <c r="I790" i="3"/>
  <c r="W790" i="3" s="1"/>
  <c r="I822" i="3"/>
  <c r="W822" i="3" s="1"/>
  <c r="I835" i="3"/>
  <c r="W835" i="3" s="1"/>
  <c r="I909" i="3"/>
  <c r="W909" i="3" s="1"/>
  <c r="I915" i="3"/>
  <c r="W915" i="3" s="1"/>
  <c r="I972" i="3"/>
  <c r="W972" i="3" s="1"/>
  <c r="I870" i="3"/>
  <c r="W870" i="3" s="1"/>
  <c r="I883" i="3"/>
  <c r="W883" i="3" s="1"/>
  <c r="I903" i="3"/>
  <c r="W903" i="3" s="1"/>
  <c r="I927" i="3"/>
  <c r="W927" i="3" s="1"/>
  <c r="I944" i="3"/>
  <c r="W944" i="3" s="1"/>
  <c r="I961" i="3"/>
  <c r="W961" i="3" s="1"/>
  <c r="I983" i="3"/>
  <c r="W983" i="3" s="1"/>
  <c r="I999" i="3"/>
  <c r="W999" i="3" s="1"/>
  <c r="I1015" i="3"/>
  <c r="W1015" i="3" s="1"/>
  <c r="I1031" i="3"/>
  <c r="W1031" i="3" s="1"/>
  <c r="I1047" i="3"/>
  <c r="W1047" i="3" s="1"/>
  <c r="I1063" i="3"/>
  <c r="W1063" i="3" s="1"/>
  <c r="I1079" i="3"/>
  <c r="W1079" i="3" s="1"/>
  <c r="I1095" i="3"/>
  <c r="W1095" i="3" s="1"/>
  <c r="I1111" i="3"/>
  <c r="W1111" i="3" s="1"/>
  <c r="I1127" i="3"/>
  <c r="W1127" i="3" s="1"/>
  <c r="I1143" i="3"/>
  <c r="W1143" i="3" s="1"/>
  <c r="I1159" i="3"/>
  <c r="W1159" i="3" s="1"/>
  <c r="I1175" i="3"/>
  <c r="W1175" i="3" s="1"/>
  <c r="I1191" i="3"/>
  <c r="W1191" i="3" s="1"/>
  <c r="I1207" i="3"/>
  <c r="W1207" i="3" s="1"/>
  <c r="I1223" i="3"/>
  <c r="W1223" i="3" s="1"/>
  <c r="I722" i="3"/>
  <c r="W722" i="3" s="1"/>
  <c r="I780" i="3"/>
  <c r="W780" i="3" s="1"/>
  <c r="I843" i="3"/>
  <c r="W843" i="3" s="1"/>
  <c r="I856" i="3"/>
  <c r="W856" i="3" s="1"/>
  <c r="I897" i="3"/>
  <c r="W897" i="3" s="1"/>
  <c r="I816" i="3"/>
  <c r="W816" i="3" s="1"/>
  <c r="I829" i="3"/>
  <c r="W829" i="3" s="1"/>
  <c r="I891" i="3"/>
  <c r="W891" i="3" s="1"/>
  <c r="I933" i="3"/>
  <c r="W933" i="3" s="1"/>
  <c r="I950" i="3"/>
  <c r="W950" i="3" s="1"/>
  <c r="I967" i="3"/>
  <c r="W967" i="3" s="1"/>
  <c r="I978" i="3"/>
  <c r="W978" i="3" s="1"/>
  <c r="I994" i="3"/>
  <c r="W994" i="3" s="1"/>
  <c r="I1010" i="3"/>
  <c r="W1010" i="3" s="1"/>
  <c r="I1026" i="3"/>
  <c r="W1026" i="3" s="1"/>
  <c r="I1042" i="3"/>
  <c r="W1042" i="3" s="1"/>
  <c r="I1058" i="3"/>
  <c r="W1058" i="3" s="1"/>
  <c r="I1074" i="3"/>
  <c r="W1074" i="3" s="1"/>
  <c r="I1090" i="3"/>
  <c r="W1090" i="3" s="1"/>
  <c r="I685" i="3"/>
  <c r="W685" i="3" s="1"/>
  <c r="I738" i="3"/>
  <c r="W738" i="3" s="1"/>
  <c r="I749" i="3"/>
  <c r="W749" i="3" s="1"/>
  <c r="I770" i="3"/>
  <c r="W770" i="3" s="1"/>
  <c r="I864" i="3"/>
  <c r="W864" i="3" s="1"/>
  <c r="I877" i="3"/>
  <c r="W877" i="3" s="1"/>
  <c r="I916" i="3"/>
  <c r="W916" i="3" s="1"/>
  <c r="I808" i="3"/>
  <c r="W808" i="3" s="1"/>
  <c r="I837" i="3"/>
  <c r="W837" i="3" s="1"/>
  <c r="I850" i="3"/>
  <c r="W850" i="3" s="1"/>
  <c r="I922" i="3"/>
  <c r="W922" i="3" s="1"/>
  <c r="I939" i="3"/>
  <c r="W939" i="3" s="1"/>
  <c r="I956" i="3"/>
  <c r="W956" i="3" s="1"/>
  <c r="I989" i="3"/>
  <c r="W989" i="3" s="1"/>
  <c r="I1005" i="3"/>
  <c r="W1005" i="3" s="1"/>
  <c r="I1021" i="3"/>
  <c r="W1021" i="3" s="1"/>
  <c r="I1037" i="3"/>
  <c r="W1037" i="3" s="1"/>
  <c r="I1053" i="3"/>
  <c r="W1053" i="3" s="1"/>
  <c r="I1069" i="3"/>
  <c r="W1069" i="3" s="1"/>
  <c r="I1085" i="3"/>
  <c r="W1085" i="3" s="1"/>
  <c r="I1101" i="3"/>
  <c r="W1101" i="3" s="1"/>
  <c r="I706" i="3"/>
  <c r="W706" i="3" s="1"/>
  <c r="I760" i="3"/>
  <c r="W760" i="3" s="1"/>
  <c r="I791" i="3"/>
  <c r="W791" i="3" s="1"/>
  <c r="I823" i="3"/>
  <c r="W823" i="3" s="1"/>
  <c r="I885" i="3"/>
  <c r="W885" i="3" s="1"/>
  <c r="I973" i="3"/>
  <c r="W973" i="3" s="1"/>
  <c r="I642" i="3"/>
  <c r="W642" i="3" s="1"/>
  <c r="I801" i="3"/>
  <c r="W801" i="3" s="1"/>
  <c r="I858" i="3"/>
  <c r="W858" i="3" s="1"/>
  <c r="I871" i="3"/>
  <c r="W871" i="3" s="1"/>
  <c r="I904" i="3"/>
  <c r="W904" i="3" s="1"/>
  <c r="I928" i="3"/>
  <c r="W928" i="3" s="1"/>
  <c r="I945" i="3"/>
  <c r="W945" i="3" s="1"/>
  <c r="I962" i="3"/>
  <c r="W962" i="3" s="1"/>
  <c r="I984" i="3"/>
  <c r="W984" i="3" s="1"/>
  <c r="I1000" i="3"/>
  <c r="W1000" i="3" s="1"/>
  <c r="I1016" i="3"/>
  <c r="W1016" i="3" s="1"/>
  <c r="I1032" i="3"/>
  <c r="W1032" i="3" s="1"/>
  <c r="I1048" i="3"/>
  <c r="W1048" i="3" s="1"/>
  <c r="I1064" i="3"/>
  <c r="W1064" i="3" s="1"/>
  <c r="I1080" i="3"/>
  <c r="W1080" i="3" s="1"/>
  <c r="I1096" i="3"/>
  <c r="W1096" i="3" s="1"/>
  <c r="I723" i="3"/>
  <c r="W723" i="3" s="1"/>
  <c r="I781" i="3"/>
  <c r="W781" i="3" s="1"/>
  <c r="I831" i="3"/>
  <c r="W831" i="3" s="1"/>
  <c r="I844" i="3"/>
  <c r="W844" i="3" s="1"/>
  <c r="I898" i="3"/>
  <c r="W898" i="3" s="1"/>
  <c r="I911" i="3"/>
  <c r="W911" i="3" s="1"/>
  <c r="I726" i="3"/>
  <c r="W726" i="3" s="1"/>
  <c r="I763" i="3"/>
  <c r="W763" i="3" s="1"/>
  <c r="I817" i="3"/>
  <c r="W817" i="3" s="1"/>
  <c r="I879" i="3"/>
  <c r="W879" i="3" s="1"/>
  <c r="I892" i="3"/>
  <c r="W892" i="3" s="1"/>
  <c r="I917" i="3"/>
  <c r="W917" i="3" s="1"/>
  <c r="I934" i="3"/>
  <c r="W934" i="3" s="1"/>
  <c r="I951" i="3"/>
  <c r="W951" i="3" s="1"/>
  <c r="I968" i="3"/>
  <c r="W968" i="3" s="1"/>
  <c r="I979" i="3"/>
  <c r="W979" i="3" s="1"/>
  <c r="I995" i="3"/>
  <c r="W995" i="3" s="1"/>
  <c r="I1011" i="3"/>
  <c r="W1011" i="3" s="1"/>
  <c r="I1027" i="3"/>
  <c r="W1027" i="3" s="1"/>
  <c r="I1043" i="3"/>
  <c r="W1043" i="3" s="1"/>
  <c r="I1059" i="3"/>
  <c r="W1059" i="3" s="1"/>
  <c r="I1075" i="3"/>
  <c r="W1075" i="3" s="1"/>
  <c r="I1091" i="3"/>
  <c r="W1091" i="3" s="1"/>
  <c r="I739" i="3"/>
  <c r="W739" i="3" s="1"/>
  <c r="I771" i="3"/>
  <c r="W771" i="3" s="1"/>
  <c r="I865" i="3"/>
  <c r="W865" i="3" s="1"/>
  <c r="I905" i="3"/>
  <c r="W905" i="3" s="1"/>
  <c r="I690" i="3"/>
  <c r="W690" i="3" s="1"/>
  <c r="I727" i="3"/>
  <c r="W727" i="3" s="1"/>
  <c r="I838" i="3"/>
  <c r="W838" i="3" s="1"/>
  <c r="I851" i="3"/>
  <c r="W851" i="3" s="1"/>
  <c r="I923" i="3"/>
  <c r="W923" i="3" s="1"/>
  <c r="I940" i="3"/>
  <c r="W940" i="3" s="1"/>
  <c r="I957" i="3"/>
  <c r="W957" i="3" s="1"/>
  <c r="I990" i="3"/>
  <c r="W990" i="3" s="1"/>
  <c r="I1006" i="3"/>
  <c r="W1006" i="3" s="1"/>
  <c r="I1022" i="3"/>
  <c r="W1022" i="3" s="1"/>
  <c r="I1038" i="3"/>
  <c r="W1038" i="3" s="1"/>
  <c r="I707" i="3"/>
  <c r="W707" i="3" s="1"/>
  <c r="I742" i="3"/>
  <c r="W742" i="3" s="1"/>
  <c r="I753" i="3"/>
  <c r="W753" i="3" s="1"/>
  <c r="I792" i="3"/>
  <c r="W792" i="3" s="1"/>
  <c r="I824" i="3"/>
  <c r="W824" i="3" s="1"/>
  <c r="I886" i="3"/>
  <c r="W886" i="3" s="1"/>
  <c r="I711" i="3"/>
  <c r="W711" i="3" s="1"/>
  <c r="I774" i="3"/>
  <c r="W774" i="3" s="1"/>
  <c r="I802" i="3"/>
  <c r="W802" i="3" s="1"/>
  <c r="I811" i="3"/>
  <c r="W811" i="3" s="1"/>
  <c r="I859" i="3"/>
  <c r="W859" i="3" s="1"/>
  <c r="I872" i="3"/>
  <c r="W872" i="3" s="1"/>
  <c r="I929" i="3"/>
  <c r="W929" i="3" s="1"/>
  <c r="I946" i="3"/>
  <c r="W946" i="3" s="1"/>
  <c r="I963" i="3"/>
  <c r="W963" i="3" s="1"/>
  <c r="I985" i="3"/>
  <c r="W985" i="3" s="1"/>
  <c r="I1001" i="3"/>
  <c r="W1001" i="3" s="1"/>
  <c r="I1017" i="3"/>
  <c r="W1017" i="3" s="1"/>
  <c r="I1033" i="3"/>
  <c r="W1033" i="3" s="1"/>
  <c r="I832" i="3"/>
  <c r="W832" i="3" s="1"/>
  <c r="I845" i="3"/>
  <c r="W845" i="3" s="1"/>
  <c r="I899" i="3"/>
  <c r="W899" i="3" s="1"/>
  <c r="I906" i="3"/>
  <c r="W906" i="3" s="1"/>
  <c r="I912" i="3"/>
  <c r="W912" i="3" s="1"/>
  <c r="I969" i="3"/>
  <c r="W969" i="3" s="1"/>
  <c r="I764" i="3"/>
  <c r="W764" i="3" s="1"/>
  <c r="I818" i="3"/>
  <c r="W818" i="3" s="1"/>
  <c r="I880" i="3"/>
  <c r="W880" i="3" s="1"/>
  <c r="I893" i="3"/>
  <c r="W893" i="3" s="1"/>
  <c r="I918" i="3"/>
  <c r="W918" i="3" s="1"/>
  <c r="I935" i="3"/>
  <c r="W935" i="3" s="1"/>
  <c r="I952" i="3"/>
  <c r="W952" i="3" s="1"/>
  <c r="I980" i="3"/>
  <c r="W980" i="3" s="1"/>
  <c r="I996" i="3"/>
  <c r="W996" i="3" s="1"/>
  <c r="I1012" i="3"/>
  <c r="W1012" i="3" s="1"/>
  <c r="I1028" i="3"/>
  <c r="W1028" i="3" s="1"/>
  <c r="I743" i="3"/>
  <c r="W743" i="3" s="1"/>
  <c r="I795" i="3"/>
  <c r="W795" i="3" s="1"/>
  <c r="I853" i="3"/>
  <c r="W853" i="3" s="1"/>
  <c r="I866" i="3"/>
  <c r="W866" i="3" s="1"/>
  <c r="I691" i="3"/>
  <c r="W691" i="3" s="1"/>
  <c r="I728" i="3"/>
  <c r="W728" i="3" s="1"/>
  <c r="I785" i="3"/>
  <c r="W785" i="3" s="1"/>
  <c r="I826" i="3"/>
  <c r="W826" i="3" s="1"/>
  <c r="I839" i="3"/>
  <c r="W839" i="3" s="1"/>
  <c r="I924" i="3"/>
  <c r="W924" i="3" s="1"/>
  <c r="I941" i="3"/>
  <c r="W941" i="3" s="1"/>
  <c r="I964" i="3"/>
  <c r="W964" i="3" s="1"/>
  <c r="I975" i="3"/>
  <c r="W975" i="3" s="1"/>
  <c r="I991" i="3"/>
  <c r="W991" i="3" s="1"/>
  <c r="I1007" i="3"/>
  <c r="W1007" i="3" s="1"/>
  <c r="I664" i="3"/>
  <c r="W664" i="3" s="1"/>
  <c r="I695" i="3"/>
  <c r="W695" i="3" s="1"/>
  <c r="I754" i="3"/>
  <c r="W754" i="3" s="1"/>
  <c r="I874" i="3"/>
  <c r="W874" i="3" s="1"/>
  <c r="I887" i="3"/>
  <c r="W887" i="3" s="1"/>
  <c r="I712" i="3"/>
  <c r="W712" i="3" s="1"/>
  <c r="I775" i="3"/>
  <c r="W775" i="3" s="1"/>
  <c r="I803" i="3"/>
  <c r="W803" i="3" s="1"/>
  <c r="I812" i="3"/>
  <c r="W812" i="3" s="1"/>
  <c r="I847" i="3"/>
  <c r="W847" i="3" s="1"/>
  <c r="I860" i="3"/>
  <c r="W860" i="3" s="1"/>
  <c r="I930" i="3"/>
  <c r="W930" i="3" s="1"/>
  <c r="I947" i="3"/>
  <c r="W947" i="3" s="1"/>
  <c r="I953" i="3"/>
  <c r="W953" i="3" s="1"/>
  <c r="I833" i="3"/>
  <c r="W833" i="3" s="1"/>
  <c r="I907" i="3"/>
  <c r="W907" i="3" s="1"/>
  <c r="I913" i="3"/>
  <c r="W913" i="3" s="1"/>
  <c r="I765" i="3"/>
  <c r="W765" i="3" s="1"/>
  <c r="I819" i="3"/>
  <c r="W819" i="3" s="1"/>
  <c r="I881" i="3"/>
  <c r="W881" i="3" s="1"/>
  <c r="I901" i="3"/>
  <c r="W901" i="3" s="1"/>
  <c r="I919" i="3"/>
  <c r="W919" i="3" s="1"/>
  <c r="I936" i="3"/>
  <c r="W936" i="3" s="1"/>
  <c r="I959" i="3"/>
  <c r="W959" i="3" s="1"/>
  <c r="I744" i="3"/>
  <c r="W744" i="3" s="1"/>
  <c r="I796" i="3"/>
  <c r="W796" i="3" s="1"/>
  <c r="I854" i="3"/>
  <c r="W854" i="3" s="1"/>
  <c r="I867" i="3"/>
  <c r="W867" i="3" s="1"/>
  <c r="I895" i="3"/>
  <c r="W895" i="3" s="1"/>
  <c r="I786" i="3"/>
  <c r="W786" i="3" s="1"/>
  <c r="I827" i="3"/>
  <c r="W827" i="3" s="1"/>
  <c r="I840" i="3"/>
  <c r="W840" i="3" s="1"/>
  <c r="I925" i="3"/>
  <c r="W925" i="3" s="1"/>
  <c r="I948" i="3"/>
  <c r="W948" i="3" s="1"/>
  <c r="I696" i="3"/>
  <c r="W696" i="3" s="1"/>
  <c r="I755" i="3"/>
  <c r="W755" i="3" s="1"/>
  <c r="I875" i="3"/>
  <c r="W875" i="3" s="1"/>
  <c r="I888" i="3"/>
  <c r="W888" i="3" s="1"/>
  <c r="I747" i="3"/>
  <c r="W747" i="3" s="1"/>
  <c r="I776" i="3"/>
  <c r="W776" i="3" s="1"/>
  <c r="I806" i="3"/>
  <c r="W806" i="3" s="1"/>
  <c r="I813" i="3"/>
  <c r="W813" i="3" s="1"/>
  <c r="I848" i="3"/>
  <c r="W848" i="3" s="1"/>
  <c r="I861" i="3"/>
  <c r="W861" i="3" s="1"/>
  <c r="I675" i="3"/>
  <c r="W675" i="3" s="1"/>
  <c r="I717" i="3"/>
  <c r="W717" i="3" s="1"/>
  <c r="I733" i="3"/>
  <c r="W733" i="3" s="1"/>
  <c r="I821" i="3"/>
  <c r="W821" i="3" s="1"/>
  <c r="I834" i="3"/>
  <c r="W834" i="3" s="1"/>
  <c r="I908" i="3"/>
  <c r="W908" i="3" s="1"/>
  <c r="I914" i="3"/>
  <c r="W914" i="3" s="1"/>
  <c r="I970" i="3"/>
  <c r="W970" i="3" s="1"/>
  <c r="I1023" i="3"/>
  <c r="W1023" i="3" s="1"/>
  <c r="I1056" i="3"/>
  <c r="W1056" i="3" s="1"/>
  <c r="I1087" i="3"/>
  <c r="W1087" i="3" s="1"/>
  <c r="I1097" i="3"/>
  <c r="W1097" i="3" s="1"/>
  <c r="I1118" i="3"/>
  <c r="W1118" i="3" s="1"/>
  <c r="I1131" i="3"/>
  <c r="W1131" i="3" s="1"/>
  <c r="I1317" i="3"/>
  <c r="W1317" i="3" s="1"/>
  <c r="I1333" i="3"/>
  <c r="W1333" i="3" s="1"/>
  <c r="I1349" i="3"/>
  <c r="W1349" i="3" s="1"/>
  <c r="I1365" i="3"/>
  <c r="W1365" i="3" s="1"/>
  <c r="I1381" i="3"/>
  <c r="W1381" i="3" s="1"/>
  <c r="I1397" i="3"/>
  <c r="W1397" i="3" s="1"/>
  <c r="I1413" i="3"/>
  <c r="W1413" i="3" s="1"/>
  <c r="I1429" i="3"/>
  <c r="W1429" i="3" s="1"/>
  <c r="I1445" i="3"/>
  <c r="W1445" i="3" s="1"/>
  <c r="I1461" i="3"/>
  <c r="W1461" i="3" s="1"/>
  <c r="I1477" i="3"/>
  <c r="W1477" i="3" s="1"/>
  <c r="I1493" i="3"/>
  <c r="W1493" i="3" s="1"/>
  <c r="I1509" i="3"/>
  <c r="W1509" i="3" s="1"/>
  <c r="I1525" i="3"/>
  <c r="W1525" i="3" s="1"/>
  <c r="I1541" i="3"/>
  <c r="W1541" i="3" s="1"/>
  <c r="I1557" i="3"/>
  <c r="W1557" i="3" s="1"/>
  <c r="I1573" i="3"/>
  <c r="W1573" i="3" s="1"/>
  <c r="I1589" i="3"/>
  <c r="W1589" i="3" s="1"/>
  <c r="I1605" i="3"/>
  <c r="W1605" i="3" s="1"/>
  <c r="I1621" i="3"/>
  <c r="W1621" i="3" s="1"/>
  <c r="I1104" i="3"/>
  <c r="W1104" i="3" s="1"/>
  <c r="I1166" i="3"/>
  <c r="W1166" i="3" s="1"/>
  <c r="I1179" i="3"/>
  <c r="W1179" i="3" s="1"/>
  <c r="I1211" i="3"/>
  <c r="W1211" i="3" s="1"/>
  <c r="I1008" i="3"/>
  <c r="W1008" i="3" s="1"/>
  <c r="I1035" i="3"/>
  <c r="W1035" i="3" s="1"/>
  <c r="I1077" i="3"/>
  <c r="W1077" i="3" s="1"/>
  <c r="I1139" i="3"/>
  <c r="W1139" i="3" s="1"/>
  <c r="I1152" i="3"/>
  <c r="W1152" i="3" s="1"/>
  <c r="I1205" i="3"/>
  <c r="W1205" i="3" s="1"/>
  <c r="I1235" i="3"/>
  <c r="W1235" i="3" s="1"/>
  <c r="I1246" i="3"/>
  <c r="W1246" i="3" s="1"/>
  <c r="I1257" i="3"/>
  <c r="W1257" i="3" s="1"/>
  <c r="I1268" i="3"/>
  <c r="W1268" i="3" s="1"/>
  <c r="I1279" i="3"/>
  <c r="W1279" i="3" s="1"/>
  <c r="I1290" i="3"/>
  <c r="W1290" i="3" s="1"/>
  <c r="I1301" i="3"/>
  <c r="W1301" i="3" s="1"/>
  <c r="I1312" i="3"/>
  <c r="W1312" i="3" s="1"/>
  <c r="I1328" i="3"/>
  <c r="W1328" i="3" s="1"/>
  <c r="I1344" i="3"/>
  <c r="W1344" i="3" s="1"/>
  <c r="I1360" i="3"/>
  <c r="W1360" i="3" s="1"/>
  <c r="I1376" i="3"/>
  <c r="W1376" i="3" s="1"/>
  <c r="I1392" i="3"/>
  <c r="W1392" i="3" s="1"/>
  <c r="I1408" i="3"/>
  <c r="W1408" i="3" s="1"/>
  <c r="I1424" i="3"/>
  <c r="W1424" i="3" s="1"/>
  <c r="I1440" i="3"/>
  <c r="W1440" i="3" s="1"/>
  <c r="I1456" i="3"/>
  <c r="W1456" i="3" s="1"/>
  <c r="I1472" i="3"/>
  <c r="W1472" i="3" s="1"/>
  <c r="I1488" i="3"/>
  <c r="W1488" i="3" s="1"/>
  <c r="I1504" i="3"/>
  <c r="W1504" i="3" s="1"/>
  <c r="I1520" i="3"/>
  <c r="W1520" i="3" s="1"/>
  <c r="I1112" i="3"/>
  <c r="W1112" i="3" s="1"/>
  <c r="I1125" i="3"/>
  <c r="W1125" i="3" s="1"/>
  <c r="I1199" i="3"/>
  <c r="W1199" i="3" s="1"/>
  <c r="I1218" i="3"/>
  <c r="W1218" i="3" s="1"/>
  <c r="I1224" i="3"/>
  <c r="W1224" i="3" s="1"/>
  <c r="I1067" i="3"/>
  <c r="W1067" i="3" s="1"/>
  <c r="I1160" i="3"/>
  <c r="W1160" i="3" s="1"/>
  <c r="I1173" i="3"/>
  <c r="W1173" i="3" s="1"/>
  <c r="I1193" i="3"/>
  <c r="W1193" i="3" s="1"/>
  <c r="I1212" i="3"/>
  <c r="W1212" i="3" s="1"/>
  <c r="I1323" i="3"/>
  <c r="W1323" i="3" s="1"/>
  <c r="I1339" i="3"/>
  <c r="W1339" i="3" s="1"/>
  <c r="I1355" i="3"/>
  <c r="W1355" i="3" s="1"/>
  <c r="I1371" i="3"/>
  <c r="W1371" i="3" s="1"/>
  <c r="I1387" i="3"/>
  <c r="W1387" i="3" s="1"/>
  <c r="I1403" i="3"/>
  <c r="W1403" i="3" s="1"/>
  <c r="I1419" i="3"/>
  <c r="W1419" i="3" s="1"/>
  <c r="I1435" i="3"/>
  <c r="W1435" i="3" s="1"/>
  <c r="I1451" i="3"/>
  <c r="W1451" i="3" s="1"/>
  <c r="I1467" i="3"/>
  <c r="W1467" i="3" s="1"/>
  <c r="I1483" i="3"/>
  <c r="W1483" i="3" s="1"/>
  <c r="I1499" i="3"/>
  <c r="W1499" i="3" s="1"/>
  <c r="I1515" i="3"/>
  <c r="W1515" i="3" s="1"/>
  <c r="I971" i="3"/>
  <c r="W971" i="3" s="1"/>
  <c r="I1049" i="3"/>
  <c r="W1049" i="3" s="1"/>
  <c r="I1133" i="3"/>
  <c r="W1133" i="3" s="1"/>
  <c r="I1146" i="3"/>
  <c r="W1146" i="3" s="1"/>
  <c r="I1187" i="3"/>
  <c r="W1187" i="3" s="1"/>
  <c r="I1230" i="3"/>
  <c r="W1230" i="3" s="1"/>
  <c r="I1241" i="3"/>
  <c r="W1241" i="3" s="1"/>
  <c r="I1252" i="3"/>
  <c r="W1252" i="3" s="1"/>
  <c r="I1263" i="3"/>
  <c r="W1263" i="3" s="1"/>
  <c r="I1274" i="3"/>
  <c r="W1274" i="3" s="1"/>
  <c r="I1285" i="3"/>
  <c r="W1285" i="3" s="1"/>
  <c r="I1296" i="3"/>
  <c r="W1296" i="3" s="1"/>
  <c r="I1307" i="3"/>
  <c r="W1307" i="3" s="1"/>
  <c r="I992" i="3"/>
  <c r="W992" i="3" s="1"/>
  <c r="I1024" i="3"/>
  <c r="W1024" i="3" s="1"/>
  <c r="I1088" i="3"/>
  <c r="W1088" i="3" s="1"/>
  <c r="I1098" i="3"/>
  <c r="W1098" i="3" s="1"/>
  <c r="I1106" i="3"/>
  <c r="W1106" i="3" s="1"/>
  <c r="I1119" i="3"/>
  <c r="W1119" i="3" s="1"/>
  <c r="I1318" i="3"/>
  <c r="W1318" i="3" s="1"/>
  <c r="I1334" i="3"/>
  <c r="W1334" i="3" s="1"/>
  <c r="I1350" i="3"/>
  <c r="W1350" i="3" s="1"/>
  <c r="I1366" i="3"/>
  <c r="W1366" i="3" s="1"/>
  <c r="I1382" i="3"/>
  <c r="W1382" i="3" s="1"/>
  <c r="I1398" i="3"/>
  <c r="W1398" i="3" s="1"/>
  <c r="I1414" i="3"/>
  <c r="W1414" i="3" s="1"/>
  <c r="I1430" i="3"/>
  <c r="W1430" i="3" s="1"/>
  <c r="I1446" i="3"/>
  <c r="W1446" i="3" s="1"/>
  <c r="I1462" i="3"/>
  <c r="W1462" i="3" s="1"/>
  <c r="I1478" i="3"/>
  <c r="W1478" i="3" s="1"/>
  <c r="I1494" i="3"/>
  <c r="W1494" i="3" s="1"/>
  <c r="I1510" i="3"/>
  <c r="W1510" i="3" s="1"/>
  <c r="I1526" i="3"/>
  <c r="W1526" i="3" s="1"/>
  <c r="I1542" i="3"/>
  <c r="W1542" i="3" s="1"/>
  <c r="I1070" i="3"/>
  <c r="W1070" i="3" s="1"/>
  <c r="I1154" i="3"/>
  <c r="W1154" i="3" s="1"/>
  <c r="I1167" i="3"/>
  <c r="W1167" i="3" s="1"/>
  <c r="I1181" i="3"/>
  <c r="W1181" i="3" s="1"/>
  <c r="I1039" i="3"/>
  <c r="W1039" i="3" s="1"/>
  <c r="I1140" i="3"/>
  <c r="W1140" i="3" s="1"/>
  <c r="I1236" i="3"/>
  <c r="W1236" i="3" s="1"/>
  <c r="I1247" i="3"/>
  <c r="W1247" i="3" s="1"/>
  <c r="I1258" i="3"/>
  <c r="W1258" i="3" s="1"/>
  <c r="I1269" i="3"/>
  <c r="W1269" i="3" s="1"/>
  <c r="I1280" i="3"/>
  <c r="W1280" i="3" s="1"/>
  <c r="I1291" i="3"/>
  <c r="W1291" i="3" s="1"/>
  <c r="I1313" i="3"/>
  <c r="W1313" i="3" s="1"/>
  <c r="I1329" i="3"/>
  <c r="W1329" i="3" s="1"/>
  <c r="I1345" i="3"/>
  <c r="W1345" i="3" s="1"/>
  <c r="I1361" i="3"/>
  <c r="W1361" i="3" s="1"/>
  <c r="I1377" i="3"/>
  <c r="W1377" i="3" s="1"/>
  <c r="I1393" i="3"/>
  <c r="W1393" i="3" s="1"/>
  <c r="I1060" i="3"/>
  <c r="W1060" i="3" s="1"/>
  <c r="I1113" i="3"/>
  <c r="W1113" i="3" s="1"/>
  <c r="I1200" i="3"/>
  <c r="W1200" i="3" s="1"/>
  <c r="I1213" i="3"/>
  <c r="W1213" i="3" s="1"/>
  <c r="I1219" i="3"/>
  <c r="W1219" i="3" s="1"/>
  <c r="I1225" i="3"/>
  <c r="W1225" i="3" s="1"/>
  <c r="I1161" i="3"/>
  <c r="W1161" i="3" s="1"/>
  <c r="I1194" i="3"/>
  <c r="W1194" i="3" s="1"/>
  <c r="I1297" i="3"/>
  <c r="W1297" i="3" s="1"/>
  <c r="I1308" i="3"/>
  <c r="W1308" i="3" s="1"/>
  <c r="I1324" i="3"/>
  <c r="W1324" i="3" s="1"/>
  <c r="I1340" i="3"/>
  <c r="W1340" i="3" s="1"/>
  <c r="I1356" i="3"/>
  <c r="W1356" i="3" s="1"/>
  <c r="I1372" i="3"/>
  <c r="W1372" i="3" s="1"/>
  <c r="I1388" i="3"/>
  <c r="W1388" i="3" s="1"/>
  <c r="I1404" i="3"/>
  <c r="W1404" i="3" s="1"/>
  <c r="I931" i="3"/>
  <c r="W931" i="3" s="1"/>
  <c r="I976" i="3"/>
  <c r="W976" i="3" s="1"/>
  <c r="I1050" i="3"/>
  <c r="W1050" i="3" s="1"/>
  <c r="I1081" i="3"/>
  <c r="W1081" i="3" s="1"/>
  <c r="I1134" i="3"/>
  <c r="W1134" i="3" s="1"/>
  <c r="I1147" i="3"/>
  <c r="W1147" i="3" s="1"/>
  <c r="I1188" i="3"/>
  <c r="W1188" i="3" s="1"/>
  <c r="I1231" i="3"/>
  <c r="W1231" i="3" s="1"/>
  <c r="I1242" i="3"/>
  <c r="W1242" i="3" s="1"/>
  <c r="I1253" i="3"/>
  <c r="W1253" i="3" s="1"/>
  <c r="I1264" i="3"/>
  <c r="W1264" i="3" s="1"/>
  <c r="I1275" i="3"/>
  <c r="W1275" i="3" s="1"/>
  <c r="I1013" i="3"/>
  <c r="W1013" i="3" s="1"/>
  <c r="I1099" i="3"/>
  <c r="W1099" i="3" s="1"/>
  <c r="I1107" i="3"/>
  <c r="W1107" i="3" s="1"/>
  <c r="I1120" i="3"/>
  <c r="W1120" i="3" s="1"/>
  <c r="I1319" i="3"/>
  <c r="W1319" i="3" s="1"/>
  <c r="I1335" i="3"/>
  <c r="W1335" i="3" s="1"/>
  <c r="I1351" i="3"/>
  <c r="W1351" i="3" s="1"/>
  <c r="I1367" i="3"/>
  <c r="W1367" i="3" s="1"/>
  <c r="I1383" i="3"/>
  <c r="W1383" i="3" s="1"/>
  <c r="I1399" i="3"/>
  <c r="W1399" i="3" s="1"/>
  <c r="I997" i="3"/>
  <c r="W997" i="3" s="1"/>
  <c r="I1071" i="3"/>
  <c r="W1071" i="3" s="1"/>
  <c r="I1155" i="3"/>
  <c r="W1155" i="3" s="1"/>
  <c r="I1168" i="3"/>
  <c r="W1168" i="3" s="1"/>
  <c r="I1182" i="3"/>
  <c r="W1182" i="3" s="1"/>
  <c r="I1281" i="3"/>
  <c r="W1281" i="3" s="1"/>
  <c r="I1292" i="3"/>
  <c r="W1292" i="3" s="1"/>
  <c r="I1303" i="3"/>
  <c r="W1303" i="3" s="1"/>
  <c r="I937" i="3"/>
  <c r="W937" i="3" s="1"/>
  <c r="I1040" i="3"/>
  <c r="W1040" i="3" s="1"/>
  <c r="I1128" i="3"/>
  <c r="W1128" i="3" s="1"/>
  <c r="I1141" i="3"/>
  <c r="W1141" i="3" s="1"/>
  <c r="I1237" i="3"/>
  <c r="W1237" i="3" s="1"/>
  <c r="I1248" i="3"/>
  <c r="W1248" i="3" s="1"/>
  <c r="I1259" i="3"/>
  <c r="W1259" i="3" s="1"/>
  <c r="I1314" i="3"/>
  <c r="W1314" i="3" s="1"/>
  <c r="I1330" i="3"/>
  <c r="W1330" i="3" s="1"/>
  <c r="I1346" i="3"/>
  <c r="W1346" i="3" s="1"/>
  <c r="I1362" i="3"/>
  <c r="W1362" i="3" s="1"/>
  <c r="I1378" i="3"/>
  <c r="W1378" i="3" s="1"/>
  <c r="I1394" i="3"/>
  <c r="W1394" i="3" s="1"/>
  <c r="I1410" i="3"/>
  <c r="W1410" i="3" s="1"/>
  <c r="I1061" i="3"/>
  <c r="W1061" i="3" s="1"/>
  <c r="I1114" i="3"/>
  <c r="W1114" i="3" s="1"/>
  <c r="I1176" i="3"/>
  <c r="W1176" i="3" s="1"/>
  <c r="I1208" i="3"/>
  <c r="W1208" i="3" s="1"/>
  <c r="I1214" i="3"/>
  <c r="W1214" i="3" s="1"/>
  <c r="I1220" i="3"/>
  <c r="W1220" i="3" s="1"/>
  <c r="I1226" i="3"/>
  <c r="W1226" i="3" s="1"/>
  <c r="I1092" i="3"/>
  <c r="W1092" i="3" s="1"/>
  <c r="I1149" i="3"/>
  <c r="W1149" i="3" s="1"/>
  <c r="I1162" i="3"/>
  <c r="W1162" i="3" s="1"/>
  <c r="I1195" i="3"/>
  <c r="W1195" i="3" s="1"/>
  <c r="I1202" i="3"/>
  <c r="W1202" i="3" s="1"/>
  <c r="I1265" i="3"/>
  <c r="W1265" i="3" s="1"/>
  <c r="I1276" i="3"/>
  <c r="W1276" i="3" s="1"/>
  <c r="I1287" i="3"/>
  <c r="W1287" i="3" s="1"/>
  <c r="I1298" i="3"/>
  <c r="W1298" i="3" s="1"/>
  <c r="I1309" i="3"/>
  <c r="W1309" i="3" s="1"/>
  <c r="I1325" i="3"/>
  <c r="W1325" i="3" s="1"/>
  <c r="I1341" i="3"/>
  <c r="W1341" i="3" s="1"/>
  <c r="I1029" i="3"/>
  <c r="W1029" i="3" s="1"/>
  <c r="I1051" i="3"/>
  <c r="W1051" i="3" s="1"/>
  <c r="I1082" i="3"/>
  <c r="W1082" i="3" s="1"/>
  <c r="I1122" i="3"/>
  <c r="W1122" i="3" s="1"/>
  <c r="I1135" i="3"/>
  <c r="W1135" i="3" s="1"/>
  <c r="I1189" i="3"/>
  <c r="W1189" i="3" s="1"/>
  <c r="I1232" i="3"/>
  <c r="W1232" i="3" s="1"/>
  <c r="I1243" i="3"/>
  <c r="W1243" i="3" s="1"/>
  <c r="I981" i="3"/>
  <c r="W981" i="3" s="1"/>
  <c r="I1108" i="3"/>
  <c r="W1108" i="3" s="1"/>
  <c r="I1170" i="3"/>
  <c r="W1170" i="3" s="1"/>
  <c r="I1320" i="3"/>
  <c r="W1320" i="3" s="1"/>
  <c r="I1336" i="3"/>
  <c r="W1336" i="3" s="1"/>
  <c r="I1352" i="3"/>
  <c r="W1352" i="3" s="1"/>
  <c r="I1072" i="3"/>
  <c r="W1072" i="3" s="1"/>
  <c r="I1156" i="3"/>
  <c r="W1156" i="3" s="1"/>
  <c r="I1183" i="3"/>
  <c r="W1183" i="3" s="1"/>
  <c r="I1249" i="3"/>
  <c r="W1249" i="3" s="1"/>
  <c r="I1260" i="3"/>
  <c r="W1260" i="3" s="1"/>
  <c r="I1271" i="3"/>
  <c r="W1271" i="3" s="1"/>
  <c r="I1282" i="3"/>
  <c r="W1282" i="3" s="1"/>
  <c r="I1293" i="3"/>
  <c r="W1293" i="3" s="1"/>
  <c r="I1304" i="3"/>
  <c r="W1304" i="3" s="1"/>
  <c r="I1002" i="3"/>
  <c r="W1002" i="3" s="1"/>
  <c r="I1054" i="3"/>
  <c r="W1054" i="3" s="1"/>
  <c r="I1129" i="3"/>
  <c r="W1129" i="3" s="1"/>
  <c r="I1315" i="3"/>
  <c r="W1315" i="3" s="1"/>
  <c r="I1331" i="3"/>
  <c r="W1331" i="3" s="1"/>
  <c r="I1102" i="3"/>
  <c r="W1102" i="3" s="1"/>
  <c r="I1115" i="3"/>
  <c r="W1115" i="3" s="1"/>
  <c r="I1177" i="3"/>
  <c r="W1177" i="3" s="1"/>
  <c r="I1209" i="3"/>
  <c r="W1209" i="3" s="1"/>
  <c r="I1215" i="3"/>
  <c r="W1215" i="3" s="1"/>
  <c r="I1221" i="3"/>
  <c r="W1221" i="3" s="1"/>
  <c r="I1227" i="3"/>
  <c r="W1227" i="3" s="1"/>
  <c r="I1018" i="3"/>
  <c r="W1018" i="3" s="1"/>
  <c r="I1044" i="3"/>
  <c r="W1044" i="3" s="1"/>
  <c r="I1093" i="3"/>
  <c r="W1093" i="3" s="1"/>
  <c r="I1150" i="3"/>
  <c r="W1150" i="3" s="1"/>
  <c r="I1163" i="3"/>
  <c r="W1163" i="3" s="1"/>
  <c r="I1203" i="3"/>
  <c r="W1203" i="3" s="1"/>
  <c r="I1233" i="3"/>
  <c r="W1233" i="3" s="1"/>
  <c r="I1244" i="3"/>
  <c r="W1244" i="3" s="1"/>
  <c r="I1255" i="3"/>
  <c r="W1255" i="3" s="1"/>
  <c r="I1266" i="3"/>
  <c r="W1266" i="3" s="1"/>
  <c r="I1277" i="3"/>
  <c r="W1277" i="3" s="1"/>
  <c r="I1288" i="3"/>
  <c r="W1288" i="3" s="1"/>
  <c r="I1299" i="3"/>
  <c r="W1299" i="3" s="1"/>
  <c r="I1310" i="3"/>
  <c r="W1310" i="3" s="1"/>
  <c r="I954" i="3"/>
  <c r="W954" i="3" s="1"/>
  <c r="I1083" i="3"/>
  <c r="W1083" i="3" s="1"/>
  <c r="I1123" i="3"/>
  <c r="W1123" i="3" s="1"/>
  <c r="I1136" i="3"/>
  <c r="W1136" i="3" s="1"/>
  <c r="I1197" i="3"/>
  <c r="W1197" i="3" s="1"/>
  <c r="I1065" i="3"/>
  <c r="W1065" i="3" s="1"/>
  <c r="I1109" i="3"/>
  <c r="W1109" i="3" s="1"/>
  <c r="I1171" i="3"/>
  <c r="W1171" i="3" s="1"/>
  <c r="I986" i="3"/>
  <c r="W986" i="3" s="1"/>
  <c r="I1144" i="3"/>
  <c r="W1144" i="3" s="1"/>
  <c r="I1157" i="3"/>
  <c r="W1157" i="3" s="1"/>
  <c r="I1184" i="3"/>
  <c r="W1184" i="3" s="1"/>
  <c r="I1239" i="3"/>
  <c r="W1239" i="3" s="1"/>
  <c r="I1250" i="3"/>
  <c r="W1250" i="3" s="1"/>
  <c r="I1261" i="3"/>
  <c r="W1261" i="3" s="1"/>
  <c r="I1272" i="3"/>
  <c r="W1272" i="3" s="1"/>
  <c r="I1283" i="3"/>
  <c r="W1283" i="3" s="1"/>
  <c r="I1003" i="3"/>
  <c r="W1003" i="3" s="1"/>
  <c r="I1055" i="3"/>
  <c r="W1055" i="3" s="1"/>
  <c r="I1086" i="3"/>
  <c r="W1086" i="3" s="1"/>
  <c r="I1117" i="3"/>
  <c r="W1117" i="3" s="1"/>
  <c r="I1130" i="3"/>
  <c r="W1130" i="3" s="1"/>
  <c r="I1228" i="3"/>
  <c r="W1228" i="3" s="1"/>
  <c r="I1103" i="3"/>
  <c r="W1103" i="3" s="1"/>
  <c r="I1165" i="3"/>
  <c r="W1165" i="3" s="1"/>
  <c r="I1178" i="3"/>
  <c r="W1178" i="3" s="1"/>
  <c r="I1210" i="3"/>
  <c r="W1210" i="3" s="1"/>
  <c r="I1216" i="3"/>
  <c r="W1216" i="3" s="1"/>
  <c r="I965" i="3"/>
  <c r="W965" i="3" s="1"/>
  <c r="I1019" i="3"/>
  <c r="W1019" i="3" s="1"/>
  <c r="I1034" i="3"/>
  <c r="W1034" i="3" s="1"/>
  <c r="I1045" i="3"/>
  <c r="W1045" i="3" s="1"/>
  <c r="I1076" i="3"/>
  <c r="W1076" i="3" s="1"/>
  <c r="I1138" i="3"/>
  <c r="W1138" i="3" s="1"/>
  <c r="I1151" i="3"/>
  <c r="W1151" i="3" s="1"/>
  <c r="I1204" i="3"/>
  <c r="W1204" i="3" s="1"/>
  <c r="I1234" i="3"/>
  <c r="W1234" i="3" s="1"/>
  <c r="I1245" i="3"/>
  <c r="W1245" i="3" s="1"/>
  <c r="I1256" i="3"/>
  <c r="W1256" i="3" s="1"/>
  <c r="I1267" i="3"/>
  <c r="W1267" i="3" s="1"/>
  <c r="I1278" i="3"/>
  <c r="W1278" i="3" s="1"/>
  <c r="I1124" i="3"/>
  <c r="W1124" i="3" s="1"/>
  <c r="I1198" i="3"/>
  <c r="W1198" i="3" s="1"/>
  <c r="I1066" i="3"/>
  <c r="W1066" i="3" s="1"/>
  <c r="I1172" i="3"/>
  <c r="W1172" i="3" s="1"/>
  <c r="I1192" i="3"/>
  <c r="W1192" i="3" s="1"/>
  <c r="I987" i="3"/>
  <c r="W987" i="3" s="1"/>
  <c r="I1145" i="3"/>
  <c r="W1145" i="3" s="1"/>
  <c r="I1186" i="3"/>
  <c r="W1186" i="3" s="1"/>
  <c r="I1229" i="3"/>
  <c r="W1229" i="3" s="1"/>
  <c r="I1359" i="3"/>
  <c r="W1359" i="3" s="1"/>
  <c r="I1390" i="3"/>
  <c r="W1390" i="3" s="1"/>
  <c r="I1437" i="3"/>
  <c r="W1437" i="3" s="1"/>
  <c r="I1450" i="3"/>
  <c r="W1450" i="3" s="1"/>
  <c r="I1491" i="3"/>
  <c r="W1491" i="3" s="1"/>
  <c r="I1584" i="3"/>
  <c r="W1584" i="3" s="1"/>
  <c r="I1595" i="3"/>
  <c r="W1595" i="3" s="1"/>
  <c r="I1606" i="3"/>
  <c r="W1606" i="3" s="1"/>
  <c r="I1617" i="3"/>
  <c r="W1617" i="3" s="1"/>
  <c r="I1337" i="3"/>
  <c r="W1337" i="3" s="1"/>
  <c r="I1409" i="3"/>
  <c r="W1409" i="3" s="1"/>
  <c r="I1423" i="3"/>
  <c r="W1423" i="3" s="1"/>
  <c r="I1485" i="3"/>
  <c r="W1485" i="3" s="1"/>
  <c r="I1534" i="3"/>
  <c r="W1534" i="3" s="1"/>
  <c r="I1551" i="3"/>
  <c r="W1551" i="3" s="1"/>
  <c r="I1562" i="3"/>
  <c r="W1562" i="3" s="1"/>
  <c r="I1628" i="3"/>
  <c r="W1628" i="3" s="1"/>
  <c r="I1644" i="3"/>
  <c r="W1644" i="3" s="1"/>
  <c r="I1660" i="3"/>
  <c r="W1660" i="3" s="1"/>
  <c r="I1676" i="3"/>
  <c r="W1676" i="3" s="1"/>
  <c r="I1692" i="3"/>
  <c r="W1692" i="3" s="1"/>
  <c r="I1708" i="3"/>
  <c r="W1708" i="3" s="1"/>
  <c r="I1724" i="3"/>
  <c r="W1724" i="3" s="1"/>
  <c r="I1740" i="3"/>
  <c r="W1740" i="3" s="1"/>
  <c r="I1756" i="3"/>
  <c r="W1756" i="3" s="1"/>
  <c r="I1772" i="3"/>
  <c r="W1772" i="3" s="1"/>
  <c r="I1788" i="3"/>
  <c r="W1788" i="3" s="1"/>
  <c r="I1804" i="3"/>
  <c r="W1804" i="3" s="1"/>
  <c r="I1820" i="3"/>
  <c r="W1820" i="3" s="1"/>
  <c r="I1836" i="3"/>
  <c r="W1836" i="3" s="1"/>
  <c r="I1852" i="3"/>
  <c r="W1852" i="3" s="1"/>
  <c r="I1868" i="3"/>
  <c r="W1868" i="3" s="1"/>
  <c r="I1884" i="3"/>
  <c r="W1884" i="3" s="1"/>
  <c r="I1305" i="3"/>
  <c r="W1305" i="3" s="1"/>
  <c r="I1380" i="3"/>
  <c r="W1380" i="3" s="1"/>
  <c r="I1458" i="3"/>
  <c r="W1458" i="3" s="1"/>
  <c r="I1471" i="3"/>
  <c r="W1471" i="3" s="1"/>
  <c r="I1431" i="3"/>
  <c r="W1431" i="3" s="1"/>
  <c r="I1444" i="3"/>
  <c r="W1444" i="3" s="1"/>
  <c r="I1517" i="3"/>
  <c r="W1517" i="3" s="1"/>
  <c r="I1523" i="3"/>
  <c r="W1523" i="3" s="1"/>
  <c r="I1540" i="3"/>
  <c r="W1540" i="3" s="1"/>
  <c r="I1568" i="3"/>
  <c r="W1568" i="3" s="1"/>
  <c r="I1579" i="3"/>
  <c r="W1579" i="3" s="1"/>
  <c r="I1590" i="3"/>
  <c r="W1590" i="3" s="1"/>
  <c r="I1601" i="3"/>
  <c r="W1601" i="3" s="1"/>
  <c r="I1612" i="3"/>
  <c r="W1612" i="3" s="1"/>
  <c r="I1623" i="3"/>
  <c r="W1623" i="3" s="1"/>
  <c r="I1639" i="3"/>
  <c r="W1639" i="3" s="1"/>
  <c r="I1655" i="3"/>
  <c r="W1655" i="3" s="1"/>
  <c r="I1671" i="3"/>
  <c r="W1671" i="3" s="1"/>
  <c r="I1687" i="3"/>
  <c r="W1687" i="3" s="1"/>
  <c r="I1703" i="3"/>
  <c r="W1703" i="3" s="1"/>
  <c r="I1719" i="3"/>
  <c r="W1719" i="3" s="1"/>
  <c r="I1735" i="3"/>
  <c r="W1735" i="3" s="1"/>
  <c r="I1751" i="3"/>
  <c r="W1751" i="3" s="1"/>
  <c r="I1767" i="3"/>
  <c r="W1767" i="3" s="1"/>
  <c r="I1783" i="3"/>
  <c r="W1783" i="3" s="1"/>
  <c r="I1799" i="3"/>
  <c r="W1799" i="3" s="1"/>
  <c r="I1284" i="3"/>
  <c r="W1284" i="3" s="1"/>
  <c r="I1370" i="3"/>
  <c r="W1370" i="3" s="1"/>
  <c r="I1417" i="3"/>
  <c r="W1417" i="3" s="1"/>
  <c r="I1479" i="3"/>
  <c r="W1479" i="3" s="1"/>
  <c r="I1511" i="3"/>
  <c r="W1511" i="3" s="1"/>
  <c r="I1322" i="3"/>
  <c r="W1322" i="3" s="1"/>
  <c r="I1401" i="3"/>
  <c r="W1401" i="3" s="1"/>
  <c r="I1452" i="3"/>
  <c r="W1452" i="3" s="1"/>
  <c r="I1465" i="3"/>
  <c r="W1465" i="3" s="1"/>
  <c r="I1498" i="3"/>
  <c r="W1498" i="3" s="1"/>
  <c r="I1505" i="3"/>
  <c r="W1505" i="3" s="1"/>
  <c r="I1529" i="3"/>
  <c r="W1529" i="3" s="1"/>
  <c r="I1546" i="3"/>
  <c r="W1546" i="3" s="1"/>
  <c r="I1634" i="3"/>
  <c r="W1634" i="3" s="1"/>
  <c r="I1650" i="3"/>
  <c r="W1650" i="3" s="1"/>
  <c r="I1666" i="3"/>
  <c r="W1666" i="3" s="1"/>
  <c r="I1682" i="3"/>
  <c r="W1682" i="3" s="1"/>
  <c r="I1698" i="3"/>
  <c r="W1698" i="3" s="1"/>
  <c r="I1714" i="3"/>
  <c r="W1714" i="3" s="1"/>
  <c r="I1730" i="3"/>
  <c r="W1730" i="3" s="1"/>
  <c r="I1746" i="3"/>
  <c r="W1746" i="3" s="1"/>
  <c r="I1762" i="3"/>
  <c r="W1762" i="3" s="1"/>
  <c r="I1778" i="3"/>
  <c r="W1778" i="3" s="1"/>
  <c r="I1794" i="3"/>
  <c r="W1794" i="3" s="1"/>
  <c r="I1810" i="3"/>
  <c r="W1810" i="3" s="1"/>
  <c r="I1826" i="3"/>
  <c r="W1826" i="3" s="1"/>
  <c r="I1391" i="3"/>
  <c r="W1391" i="3" s="1"/>
  <c r="I1425" i="3"/>
  <c r="W1425" i="3" s="1"/>
  <c r="I1438" i="3"/>
  <c r="W1438" i="3" s="1"/>
  <c r="I1492" i="3"/>
  <c r="W1492" i="3" s="1"/>
  <c r="I1552" i="3"/>
  <c r="W1552" i="3" s="1"/>
  <c r="I1563" i="3"/>
  <c r="W1563" i="3" s="1"/>
  <c r="I1574" i="3"/>
  <c r="W1574" i="3" s="1"/>
  <c r="I1585" i="3"/>
  <c r="W1585" i="3" s="1"/>
  <c r="I1596" i="3"/>
  <c r="W1596" i="3" s="1"/>
  <c r="I1607" i="3"/>
  <c r="W1607" i="3" s="1"/>
  <c r="I1618" i="3"/>
  <c r="W1618" i="3" s="1"/>
  <c r="I1338" i="3"/>
  <c r="W1338" i="3" s="1"/>
  <c r="I1373" i="3"/>
  <c r="W1373" i="3" s="1"/>
  <c r="I1473" i="3"/>
  <c r="W1473" i="3" s="1"/>
  <c r="I1486" i="3"/>
  <c r="W1486" i="3" s="1"/>
  <c r="I1535" i="3"/>
  <c r="W1535" i="3" s="1"/>
  <c r="I1629" i="3"/>
  <c r="W1629" i="3" s="1"/>
  <c r="I1645" i="3"/>
  <c r="W1645" i="3" s="1"/>
  <c r="I1661" i="3"/>
  <c r="W1661" i="3" s="1"/>
  <c r="I1677" i="3"/>
  <c r="W1677" i="3" s="1"/>
  <c r="I1693" i="3"/>
  <c r="W1693" i="3" s="1"/>
  <c r="I1709" i="3"/>
  <c r="W1709" i="3" s="1"/>
  <c r="I1306" i="3"/>
  <c r="W1306" i="3" s="1"/>
  <c r="I1326" i="3"/>
  <c r="W1326" i="3" s="1"/>
  <c r="I1411" i="3"/>
  <c r="W1411" i="3" s="1"/>
  <c r="I1459" i="3"/>
  <c r="W1459" i="3" s="1"/>
  <c r="I1363" i="3"/>
  <c r="W1363" i="3" s="1"/>
  <c r="I1432" i="3"/>
  <c r="W1432" i="3" s="1"/>
  <c r="I1518" i="3"/>
  <c r="W1518" i="3" s="1"/>
  <c r="I1524" i="3"/>
  <c r="W1524" i="3" s="1"/>
  <c r="I1558" i="3"/>
  <c r="W1558" i="3" s="1"/>
  <c r="I1569" i="3"/>
  <c r="W1569" i="3" s="1"/>
  <c r="I1580" i="3"/>
  <c r="W1580" i="3" s="1"/>
  <c r="I1591" i="3"/>
  <c r="W1591" i="3" s="1"/>
  <c r="I1602" i="3"/>
  <c r="W1602" i="3" s="1"/>
  <c r="I1613" i="3"/>
  <c r="W1613" i="3" s="1"/>
  <c r="I1624" i="3"/>
  <c r="W1624" i="3" s="1"/>
  <c r="I1640" i="3"/>
  <c r="W1640" i="3" s="1"/>
  <c r="I1656" i="3"/>
  <c r="W1656" i="3" s="1"/>
  <c r="I1672" i="3"/>
  <c r="W1672" i="3" s="1"/>
  <c r="I1688" i="3"/>
  <c r="W1688" i="3" s="1"/>
  <c r="I1704" i="3"/>
  <c r="W1704" i="3" s="1"/>
  <c r="I1240" i="3"/>
  <c r="W1240" i="3" s="1"/>
  <c r="I1289" i="3"/>
  <c r="W1289" i="3" s="1"/>
  <c r="I1418" i="3"/>
  <c r="W1418" i="3" s="1"/>
  <c r="I1480" i="3"/>
  <c r="W1480" i="3" s="1"/>
  <c r="I1512" i="3"/>
  <c r="W1512" i="3" s="1"/>
  <c r="I1547" i="3"/>
  <c r="W1547" i="3" s="1"/>
  <c r="I1342" i="3"/>
  <c r="W1342" i="3" s="1"/>
  <c r="I1353" i="3"/>
  <c r="W1353" i="3" s="1"/>
  <c r="I1384" i="3"/>
  <c r="W1384" i="3" s="1"/>
  <c r="I1402" i="3"/>
  <c r="W1402" i="3" s="1"/>
  <c r="I1453" i="3"/>
  <c r="W1453" i="3" s="1"/>
  <c r="I1466" i="3"/>
  <c r="W1466" i="3" s="1"/>
  <c r="I1506" i="3"/>
  <c r="W1506" i="3" s="1"/>
  <c r="I1530" i="3"/>
  <c r="W1530" i="3" s="1"/>
  <c r="I1635" i="3"/>
  <c r="W1635" i="3" s="1"/>
  <c r="I1651" i="3"/>
  <c r="W1651" i="3" s="1"/>
  <c r="I1667" i="3"/>
  <c r="W1667" i="3" s="1"/>
  <c r="I1683" i="3"/>
  <c r="W1683" i="3" s="1"/>
  <c r="I1699" i="3"/>
  <c r="W1699" i="3" s="1"/>
  <c r="I1715" i="3"/>
  <c r="W1715" i="3" s="1"/>
  <c r="I1426" i="3"/>
  <c r="W1426" i="3" s="1"/>
  <c r="I1439" i="3"/>
  <c r="W1439" i="3" s="1"/>
  <c r="I1500" i="3"/>
  <c r="W1500" i="3" s="1"/>
  <c r="I1536" i="3"/>
  <c r="W1536" i="3" s="1"/>
  <c r="I1553" i="3"/>
  <c r="W1553" i="3" s="1"/>
  <c r="I1564" i="3"/>
  <c r="W1564" i="3" s="1"/>
  <c r="I1575" i="3"/>
  <c r="W1575" i="3" s="1"/>
  <c r="I1586" i="3"/>
  <c r="W1586" i="3" s="1"/>
  <c r="I1597" i="3"/>
  <c r="W1597" i="3" s="1"/>
  <c r="I1608" i="3"/>
  <c r="W1608" i="3" s="1"/>
  <c r="I1619" i="3"/>
  <c r="W1619" i="3" s="1"/>
  <c r="I1374" i="3"/>
  <c r="W1374" i="3" s="1"/>
  <c r="I1474" i="3"/>
  <c r="W1474" i="3" s="1"/>
  <c r="I1487" i="3"/>
  <c r="W1487" i="3" s="1"/>
  <c r="I1630" i="3"/>
  <c r="W1630" i="3" s="1"/>
  <c r="I1646" i="3"/>
  <c r="W1646" i="3" s="1"/>
  <c r="I1662" i="3"/>
  <c r="W1662" i="3" s="1"/>
  <c r="I1678" i="3"/>
  <c r="W1678" i="3" s="1"/>
  <c r="I1694" i="3"/>
  <c r="W1694" i="3" s="1"/>
  <c r="I1710" i="3"/>
  <c r="W1710" i="3" s="1"/>
  <c r="I1311" i="3"/>
  <c r="W1311" i="3" s="1"/>
  <c r="I1327" i="3"/>
  <c r="W1327" i="3" s="1"/>
  <c r="I1412" i="3"/>
  <c r="W1412" i="3" s="1"/>
  <c r="I1447" i="3"/>
  <c r="W1447" i="3" s="1"/>
  <c r="I1460" i="3"/>
  <c r="W1460" i="3" s="1"/>
  <c r="I1364" i="3"/>
  <c r="W1364" i="3" s="1"/>
  <c r="I1395" i="3"/>
  <c r="W1395" i="3" s="1"/>
  <c r="I1420" i="3"/>
  <c r="W1420" i="3" s="1"/>
  <c r="I1433" i="3"/>
  <c r="W1433" i="3" s="1"/>
  <c r="I1519" i="3"/>
  <c r="W1519" i="3" s="1"/>
  <c r="I1548" i="3"/>
  <c r="W1548" i="3" s="1"/>
  <c r="I1559" i="3"/>
  <c r="W1559" i="3" s="1"/>
  <c r="I1570" i="3"/>
  <c r="W1570" i="3" s="1"/>
  <c r="I1581" i="3"/>
  <c r="W1581" i="3" s="1"/>
  <c r="I1592" i="3"/>
  <c r="W1592" i="3" s="1"/>
  <c r="I1603" i="3"/>
  <c r="W1603" i="3" s="1"/>
  <c r="I1614" i="3"/>
  <c r="W1614" i="3" s="1"/>
  <c r="I1625" i="3"/>
  <c r="W1625" i="3" s="1"/>
  <c r="I1641" i="3"/>
  <c r="W1641" i="3" s="1"/>
  <c r="I1251" i="3"/>
  <c r="W1251" i="3" s="1"/>
  <c r="I1294" i="3"/>
  <c r="W1294" i="3" s="1"/>
  <c r="I1405" i="3"/>
  <c r="W1405" i="3" s="1"/>
  <c r="I1468" i="3"/>
  <c r="W1468" i="3" s="1"/>
  <c r="I1481" i="3"/>
  <c r="W1481" i="3" s="1"/>
  <c r="I1513" i="3"/>
  <c r="W1513" i="3" s="1"/>
  <c r="I1531" i="3"/>
  <c r="W1531" i="3" s="1"/>
  <c r="I1343" i="3"/>
  <c r="W1343" i="3" s="1"/>
  <c r="I1354" i="3"/>
  <c r="W1354" i="3" s="1"/>
  <c r="I1385" i="3"/>
  <c r="W1385" i="3" s="1"/>
  <c r="I1441" i="3"/>
  <c r="W1441" i="3" s="1"/>
  <c r="I1454" i="3"/>
  <c r="W1454" i="3" s="1"/>
  <c r="I1507" i="3"/>
  <c r="W1507" i="3" s="1"/>
  <c r="I1537" i="3"/>
  <c r="W1537" i="3" s="1"/>
  <c r="I1427" i="3"/>
  <c r="W1427" i="3" s="1"/>
  <c r="I1501" i="3"/>
  <c r="W1501" i="3" s="1"/>
  <c r="I1554" i="3"/>
  <c r="W1554" i="3" s="1"/>
  <c r="I1565" i="3"/>
  <c r="W1565" i="3" s="1"/>
  <c r="I1576" i="3"/>
  <c r="W1576" i="3" s="1"/>
  <c r="I1587" i="3"/>
  <c r="W1587" i="3" s="1"/>
  <c r="I1598" i="3"/>
  <c r="W1598" i="3" s="1"/>
  <c r="I1609" i="3"/>
  <c r="W1609" i="3" s="1"/>
  <c r="I1620" i="3"/>
  <c r="W1620" i="3" s="1"/>
  <c r="I1375" i="3"/>
  <c r="W1375" i="3" s="1"/>
  <c r="I1475" i="3"/>
  <c r="W1475" i="3" s="1"/>
  <c r="I1495" i="3"/>
  <c r="W1495" i="3" s="1"/>
  <c r="I1543" i="3"/>
  <c r="W1543" i="3" s="1"/>
  <c r="I1631" i="3"/>
  <c r="W1631" i="3" s="1"/>
  <c r="I1647" i="3"/>
  <c r="W1647" i="3" s="1"/>
  <c r="I1663" i="3"/>
  <c r="W1663" i="3" s="1"/>
  <c r="I1357" i="3"/>
  <c r="W1357" i="3" s="1"/>
  <c r="I1448" i="3"/>
  <c r="W1448" i="3" s="1"/>
  <c r="I1489" i="3"/>
  <c r="W1489" i="3" s="1"/>
  <c r="I1396" i="3"/>
  <c r="W1396" i="3" s="1"/>
  <c r="I1421" i="3"/>
  <c r="W1421" i="3" s="1"/>
  <c r="I1434" i="3"/>
  <c r="W1434" i="3" s="1"/>
  <c r="I1532" i="3"/>
  <c r="W1532" i="3" s="1"/>
  <c r="I1549" i="3"/>
  <c r="W1549" i="3" s="1"/>
  <c r="I1560" i="3"/>
  <c r="W1560" i="3" s="1"/>
  <c r="I1571" i="3"/>
  <c r="W1571" i="3" s="1"/>
  <c r="I1582" i="3"/>
  <c r="W1582" i="3" s="1"/>
  <c r="I1593" i="3"/>
  <c r="W1593" i="3" s="1"/>
  <c r="I1604" i="3"/>
  <c r="W1604" i="3" s="1"/>
  <c r="I1615" i="3"/>
  <c r="W1615" i="3" s="1"/>
  <c r="I1626" i="3"/>
  <c r="W1626" i="3" s="1"/>
  <c r="I1642" i="3"/>
  <c r="W1642" i="3" s="1"/>
  <c r="I1262" i="3"/>
  <c r="W1262" i="3" s="1"/>
  <c r="I1295" i="3"/>
  <c r="W1295" i="3" s="1"/>
  <c r="I1316" i="3"/>
  <c r="W1316" i="3" s="1"/>
  <c r="I1406" i="3"/>
  <c r="W1406" i="3" s="1"/>
  <c r="I1469" i="3"/>
  <c r="W1469" i="3" s="1"/>
  <c r="I1482" i="3"/>
  <c r="W1482" i="3" s="1"/>
  <c r="I1514" i="3"/>
  <c r="W1514" i="3" s="1"/>
  <c r="I1332" i="3"/>
  <c r="W1332" i="3" s="1"/>
  <c r="I1386" i="3"/>
  <c r="W1386" i="3" s="1"/>
  <c r="I1442" i="3"/>
  <c r="W1442" i="3" s="1"/>
  <c r="I1455" i="3"/>
  <c r="W1455" i="3" s="1"/>
  <c r="I1508" i="3"/>
  <c r="W1508" i="3" s="1"/>
  <c r="I1521" i="3"/>
  <c r="W1521" i="3" s="1"/>
  <c r="I1538" i="3"/>
  <c r="W1538" i="3" s="1"/>
  <c r="I1347" i="3"/>
  <c r="W1347" i="3" s="1"/>
  <c r="I1368" i="3"/>
  <c r="W1368" i="3" s="1"/>
  <c r="I1428" i="3"/>
  <c r="W1428" i="3" s="1"/>
  <c r="I1502" i="3"/>
  <c r="W1502" i="3" s="1"/>
  <c r="I1555" i="3"/>
  <c r="W1555" i="3" s="1"/>
  <c r="I1566" i="3"/>
  <c r="W1566" i="3" s="1"/>
  <c r="I1577" i="3"/>
  <c r="W1577" i="3" s="1"/>
  <c r="I1588" i="3"/>
  <c r="W1588" i="3" s="1"/>
  <c r="I1599" i="3"/>
  <c r="W1599" i="3" s="1"/>
  <c r="I1415" i="3"/>
  <c r="W1415" i="3" s="1"/>
  <c r="I1463" i="3"/>
  <c r="W1463" i="3" s="1"/>
  <c r="I1476" i="3"/>
  <c r="W1476" i="3" s="1"/>
  <c r="I1496" i="3"/>
  <c r="W1496" i="3" s="1"/>
  <c r="I1527" i="3"/>
  <c r="W1527" i="3" s="1"/>
  <c r="I1544" i="3"/>
  <c r="W1544" i="3" s="1"/>
  <c r="I1358" i="3"/>
  <c r="W1358" i="3" s="1"/>
  <c r="I1389" i="3"/>
  <c r="W1389" i="3" s="1"/>
  <c r="I1436" i="3"/>
  <c r="W1436" i="3" s="1"/>
  <c r="I1449" i="3"/>
  <c r="W1449" i="3" s="1"/>
  <c r="I1490" i="3"/>
  <c r="W1490" i="3" s="1"/>
  <c r="I1422" i="3"/>
  <c r="W1422" i="3" s="1"/>
  <c r="I1484" i="3"/>
  <c r="W1484" i="3" s="1"/>
  <c r="I1533" i="3"/>
  <c r="W1533" i="3" s="1"/>
  <c r="I1550" i="3"/>
  <c r="W1550" i="3" s="1"/>
  <c r="I1561" i="3"/>
  <c r="W1561" i="3" s="1"/>
  <c r="I1572" i="3"/>
  <c r="W1572" i="3" s="1"/>
  <c r="I1583" i="3"/>
  <c r="W1583" i="3" s="1"/>
  <c r="I1273" i="3"/>
  <c r="W1273" i="3" s="1"/>
  <c r="I1300" i="3"/>
  <c r="W1300" i="3" s="1"/>
  <c r="I1379" i="3"/>
  <c r="W1379" i="3" s="1"/>
  <c r="I1407" i="3"/>
  <c r="W1407" i="3" s="1"/>
  <c r="I1457" i="3"/>
  <c r="W1457" i="3" s="1"/>
  <c r="I1470" i="3"/>
  <c r="W1470" i="3" s="1"/>
  <c r="I1443" i="3"/>
  <c r="W1443" i="3" s="1"/>
  <c r="I1516" i="3"/>
  <c r="W1516" i="3" s="1"/>
  <c r="I1348" i="3"/>
  <c r="W1348" i="3" s="1"/>
  <c r="I1369" i="3"/>
  <c r="W1369" i="3" s="1"/>
  <c r="I1416" i="3"/>
  <c r="W1416" i="3" s="1"/>
  <c r="I1503" i="3"/>
  <c r="W1503" i="3" s="1"/>
  <c r="I1321" i="3"/>
  <c r="W1321" i="3" s="1"/>
  <c r="I1400" i="3"/>
  <c r="W1400" i="3" s="1"/>
  <c r="I1464" i="3"/>
  <c r="W1464" i="3" s="1"/>
  <c r="I1497" i="3"/>
  <c r="W1497" i="3" s="1"/>
  <c r="I1528" i="3"/>
  <c r="W1528" i="3" s="1"/>
  <c r="I1522" i="3"/>
  <c r="W1522" i="3" s="1"/>
  <c r="I1648" i="3"/>
  <c r="W1648" i="3" s="1"/>
  <c r="I1684" i="3"/>
  <c r="W1684" i="3" s="1"/>
  <c r="I1727" i="3"/>
  <c r="W1727" i="3" s="1"/>
  <c r="I1789" i="3"/>
  <c r="W1789" i="3" s="1"/>
  <c r="I1802" i="3"/>
  <c r="W1802" i="3" s="1"/>
  <c r="I1815" i="3"/>
  <c r="W1815" i="3" s="1"/>
  <c r="I1901" i="3"/>
  <c r="W1901" i="3" s="1"/>
  <c r="I1917" i="3"/>
  <c r="W1917" i="3" s="1"/>
  <c r="I1933" i="3"/>
  <c r="W1933" i="3" s="1"/>
  <c r="I1949" i="3"/>
  <c r="W1949" i="3" s="1"/>
  <c r="I1965" i="3"/>
  <c r="W1965" i="3" s="1"/>
  <c r="I1981" i="3"/>
  <c r="W1981" i="3" s="1"/>
  <c r="I1997" i="3"/>
  <c r="W1997" i="3" s="1"/>
  <c r="I2013" i="3"/>
  <c r="W2013" i="3" s="1"/>
  <c r="I2029" i="3"/>
  <c r="W2029" i="3" s="1"/>
  <c r="I2045" i="3"/>
  <c r="W2045" i="3" s="1"/>
  <c r="I2061" i="3"/>
  <c r="W2061" i="3" s="1"/>
  <c r="I2077" i="3"/>
  <c r="W2077" i="3" s="1"/>
  <c r="I1775" i="3"/>
  <c r="W1775" i="3" s="1"/>
  <c r="I1839" i="3"/>
  <c r="W1839" i="3" s="1"/>
  <c r="I1856" i="3"/>
  <c r="W1856" i="3" s="1"/>
  <c r="I1873" i="3"/>
  <c r="W1873" i="3" s="1"/>
  <c r="I1879" i="3"/>
  <c r="W1879" i="3" s="1"/>
  <c r="I1674" i="3"/>
  <c r="W1674" i="3" s="1"/>
  <c r="I1705" i="3"/>
  <c r="W1705" i="3" s="1"/>
  <c r="I1748" i="3"/>
  <c r="W1748" i="3" s="1"/>
  <c r="I1761" i="3"/>
  <c r="W1761" i="3" s="1"/>
  <c r="I1896" i="3"/>
  <c r="W1896" i="3" s="1"/>
  <c r="I1912" i="3"/>
  <c r="W1912" i="3" s="1"/>
  <c r="I1928" i="3"/>
  <c r="W1928" i="3" s="1"/>
  <c r="I1944" i="3"/>
  <c r="W1944" i="3" s="1"/>
  <c r="I1960" i="3"/>
  <c r="W1960" i="3" s="1"/>
  <c r="I1976" i="3"/>
  <c r="W1976" i="3" s="1"/>
  <c r="I1992" i="3"/>
  <c r="W1992" i="3" s="1"/>
  <c r="I2008" i="3"/>
  <c r="W2008" i="3" s="1"/>
  <c r="I2024" i="3"/>
  <c r="W2024" i="3" s="1"/>
  <c r="I2040" i="3"/>
  <c r="W2040" i="3" s="1"/>
  <c r="I2056" i="3"/>
  <c r="W2056" i="3" s="1"/>
  <c r="I2072" i="3"/>
  <c r="W2072" i="3" s="1"/>
  <c r="I1594" i="3"/>
  <c r="W1594" i="3" s="1"/>
  <c r="I1721" i="3"/>
  <c r="W1721" i="3" s="1"/>
  <c r="I1734" i="3"/>
  <c r="W1734" i="3" s="1"/>
  <c r="I1796" i="3"/>
  <c r="W1796" i="3" s="1"/>
  <c r="I1845" i="3"/>
  <c r="W1845" i="3" s="1"/>
  <c r="I1862" i="3"/>
  <c r="W1862" i="3" s="1"/>
  <c r="I1885" i="3"/>
  <c r="W1885" i="3" s="1"/>
  <c r="I1539" i="3"/>
  <c r="W1539" i="3" s="1"/>
  <c r="I1616" i="3"/>
  <c r="W1616" i="3" s="1"/>
  <c r="I1695" i="3"/>
  <c r="W1695" i="3" s="1"/>
  <c r="I1769" i="3"/>
  <c r="W1769" i="3" s="1"/>
  <c r="I1782" i="3"/>
  <c r="W1782" i="3" s="1"/>
  <c r="I1809" i="3"/>
  <c r="W1809" i="3" s="1"/>
  <c r="I1816" i="3"/>
  <c r="W1816" i="3" s="1"/>
  <c r="I1822" i="3"/>
  <c r="W1822" i="3" s="1"/>
  <c r="I1828" i="3"/>
  <c r="W1828" i="3" s="1"/>
  <c r="I1907" i="3"/>
  <c r="W1907" i="3" s="1"/>
  <c r="I1923" i="3"/>
  <c r="W1923" i="3" s="1"/>
  <c r="I1939" i="3"/>
  <c r="W1939" i="3" s="1"/>
  <c r="I1955" i="3"/>
  <c r="W1955" i="3" s="1"/>
  <c r="I1971" i="3"/>
  <c r="W1971" i="3" s="1"/>
  <c r="I1987" i="3"/>
  <c r="W1987" i="3" s="1"/>
  <c r="I2003" i="3"/>
  <c r="W2003" i="3" s="1"/>
  <c r="I2019" i="3"/>
  <c r="W2019" i="3" s="1"/>
  <c r="I2035" i="3"/>
  <c r="W2035" i="3" s="1"/>
  <c r="I2051" i="3"/>
  <c r="W2051" i="3" s="1"/>
  <c r="I2067" i="3"/>
  <c r="W2067" i="3" s="1"/>
  <c r="I2083" i="3"/>
  <c r="W2083" i="3" s="1"/>
  <c r="I1633" i="3"/>
  <c r="W1633" i="3" s="1"/>
  <c r="I1713" i="3"/>
  <c r="W1713" i="3" s="1"/>
  <c r="I1742" i="3"/>
  <c r="W1742" i="3" s="1"/>
  <c r="I1755" i="3"/>
  <c r="W1755" i="3" s="1"/>
  <c r="I1834" i="3"/>
  <c r="W1834" i="3" s="1"/>
  <c r="I1851" i="3"/>
  <c r="W1851" i="3" s="1"/>
  <c r="I1874" i="3"/>
  <c r="W1874" i="3" s="1"/>
  <c r="I1891" i="3"/>
  <c r="W1891" i="3" s="1"/>
  <c r="I1636" i="3"/>
  <c r="W1636" i="3" s="1"/>
  <c r="I1649" i="3"/>
  <c r="W1649" i="3" s="1"/>
  <c r="I1685" i="3"/>
  <c r="W1685" i="3" s="1"/>
  <c r="I1728" i="3"/>
  <c r="W1728" i="3" s="1"/>
  <c r="I1790" i="3"/>
  <c r="W1790" i="3" s="1"/>
  <c r="I1803" i="3"/>
  <c r="W1803" i="3" s="1"/>
  <c r="I1902" i="3"/>
  <c r="W1902" i="3" s="1"/>
  <c r="I1918" i="3"/>
  <c r="W1918" i="3" s="1"/>
  <c r="I1934" i="3"/>
  <c r="W1934" i="3" s="1"/>
  <c r="I1950" i="3"/>
  <c r="W1950" i="3" s="1"/>
  <c r="I1966" i="3"/>
  <c r="W1966" i="3" s="1"/>
  <c r="I1982" i="3"/>
  <c r="W1982" i="3" s="1"/>
  <c r="I1998" i="3"/>
  <c r="W1998" i="3" s="1"/>
  <c r="I2014" i="3"/>
  <c r="W2014" i="3" s="1"/>
  <c r="I2030" i="3"/>
  <c r="W2030" i="3" s="1"/>
  <c r="I2046" i="3"/>
  <c r="W2046" i="3" s="1"/>
  <c r="I2062" i="3"/>
  <c r="W2062" i="3" s="1"/>
  <c r="I2078" i="3"/>
  <c r="W2078" i="3" s="1"/>
  <c r="I1664" i="3"/>
  <c r="W1664" i="3" s="1"/>
  <c r="I1763" i="3"/>
  <c r="W1763" i="3" s="1"/>
  <c r="I1776" i="3"/>
  <c r="W1776" i="3" s="1"/>
  <c r="I1840" i="3"/>
  <c r="W1840" i="3" s="1"/>
  <c r="I1857" i="3"/>
  <c r="W1857" i="3" s="1"/>
  <c r="I1863" i="3"/>
  <c r="W1863" i="3" s="1"/>
  <c r="I1880" i="3"/>
  <c r="W1880" i="3" s="1"/>
  <c r="I1545" i="3"/>
  <c r="W1545" i="3" s="1"/>
  <c r="I1637" i="3"/>
  <c r="W1637" i="3" s="1"/>
  <c r="I1652" i="3"/>
  <c r="W1652" i="3" s="1"/>
  <c r="I1675" i="3"/>
  <c r="W1675" i="3" s="1"/>
  <c r="I1706" i="3"/>
  <c r="W1706" i="3" s="1"/>
  <c r="I1736" i="3"/>
  <c r="W1736" i="3" s="1"/>
  <c r="I1749" i="3"/>
  <c r="W1749" i="3" s="1"/>
  <c r="I1897" i="3"/>
  <c r="W1897" i="3" s="1"/>
  <c r="I1913" i="3"/>
  <c r="W1913" i="3" s="1"/>
  <c r="I1929" i="3"/>
  <c r="W1929" i="3" s="1"/>
  <c r="I1945" i="3"/>
  <c r="W1945" i="3" s="1"/>
  <c r="I1961" i="3"/>
  <c r="W1961" i="3" s="1"/>
  <c r="I1977" i="3"/>
  <c r="W1977" i="3" s="1"/>
  <c r="I1993" i="3"/>
  <c r="W1993" i="3" s="1"/>
  <c r="I2009" i="3"/>
  <c r="W2009" i="3" s="1"/>
  <c r="I2025" i="3"/>
  <c r="W2025" i="3" s="1"/>
  <c r="I2041" i="3"/>
  <c r="W2041" i="3" s="1"/>
  <c r="I2057" i="3"/>
  <c r="W2057" i="3" s="1"/>
  <c r="I1722" i="3"/>
  <c r="W1722" i="3" s="1"/>
  <c r="I1784" i="3"/>
  <c r="W1784" i="3" s="1"/>
  <c r="I1797" i="3"/>
  <c r="W1797" i="3" s="1"/>
  <c r="I1846" i="3"/>
  <c r="W1846" i="3" s="1"/>
  <c r="I1869" i="3"/>
  <c r="W1869" i="3" s="1"/>
  <c r="I1886" i="3"/>
  <c r="W1886" i="3" s="1"/>
  <c r="I1653" i="3"/>
  <c r="W1653" i="3" s="1"/>
  <c r="I1696" i="3"/>
  <c r="W1696" i="3" s="1"/>
  <c r="I1757" i="3"/>
  <c r="W1757" i="3" s="1"/>
  <c r="I1770" i="3"/>
  <c r="W1770" i="3" s="1"/>
  <c r="I1817" i="3"/>
  <c r="W1817" i="3" s="1"/>
  <c r="I1823" i="3"/>
  <c r="W1823" i="3" s="1"/>
  <c r="I1829" i="3"/>
  <c r="W1829" i="3" s="1"/>
  <c r="I1908" i="3"/>
  <c r="W1908" i="3" s="1"/>
  <c r="I1924" i="3"/>
  <c r="W1924" i="3" s="1"/>
  <c r="I1940" i="3"/>
  <c r="W1940" i="3" s="1"/>
  <c r="I1956" i="3"/>
  <c r="W1956" i="3" s="1"/>
  <c r="I1972" i="3"/>
  <c r="W1972" i="3" s="1"/>
  <c r="I1988" i="3"/>
  <c r="W1988" i="3" s="1"/>
  <c r="I2004" i="3"/>
  <c r="W2004" i="3" s="1"/>
  <c r="I2020" i="3"/>
  <c r="W2020" i="3" s="1"/>
  <c r="I2036" i="3"/>
  <c r="W2036" i="3" s="1"/>
  <c r="I2052" i="3"/>
  <c r="W2052" i="3" s="1"/>
  <c r="I2068" i="3"/>
  <c r="W2068" i="3" s="1"/>
  <c r="I1743" i="3"/>
  <c r="W1743" i="3" s="1"/>
  <c r="I1811" i="3"/>
  <c r="W1811" i="3" s="1"/>
  <c r="I1835" i="3"/>
  <c r="W1835" i="3" s="1"/>
  <c r="I1858" i="3"/>
  <c r="W1858" i="3" s="1"/>
  <c r="I1875" i="3"/>
  <c r="W1875" i="3" s="1"/>
  <c r="I1892" i="3"/>
  <c r="W1892" i="3" s="1"/>
  <c r="I1600" i="3"/>
  <c r="W1600" i="3" s="1"/>
  <c r="I1686" i="3"/>
  <c r="W1686" i="3" s="1"/>
  <c r="I1716" i="3"/>
  <c r="W1716" i="3" s="1"/>
  <c r="I1729" i="3"/>
  <c r="W1729" i="3" s="1"/>
  <c r="I1791" i="3"/>
  <c r="W1791" i="3" s="1"/>
  <c r="I1805" i="3"/>
  <c r="W1805" i="3" s="1"/>
  <c r="I1903" i="3"/>
  <c r="W1903" i="3" s="1"/>
  <c r="I1919" i="3"/>
  <c r="W1919" i="3" s="1"/>
  <c r="I1935" i="3"/>
  <c r="W1935" i="3" s="1"/>
  <c r="I1951" i="3"/>
  <c r="W1951" i="3" s="1"/>
  <c r="I1967" i="3"/>
  <c r="W1967" i="3" s="1"/>
  <c r="I1983" i="3"/>
  <c r="W1983" i="3" s="1"/>
  <c r="I1999" i="3"/>
  <c r="W1999" i="3" s="1"/>
  <c r="I2015" i="3"/>
  <c r="W2015" i="3" s="1"/>
  <c r="I2031" i="3"/>
  <c r="W2031" i="3" s="1"/>
  <c r="I2047" i="3"/>
  <c r="W2047" i="3" s="1"/>
  <c r="I2063" i="3"/>
  <c r="W2063" i="3" s="1"/>
  <c r="I1556" i="3"/>
  <c r="W1556" i="3" s="1"/>
  <c r="I1665" i="3"/>
  <c r="W1665" i="3" s="1"/>
  <c r="I1764" i="3"/>
  <c r="W1764" i="3" s="1"/>
  <c r="I1777" i="3"/>
  <c r="W1777" i="3" s="1"/>
  <c r="I1841" i="3"/>
  <c r="W1841" i="3" s="1"/>
  <c r="I1847" i="3"/>
  <c r="W1847" i="3" s="1"/>
  <c r="I1864" i="3"/>
  <c r="W1864" i="3" s="1"/>
  <c r="I1881" i="3"/>
  <c r="W1881" i="3" s="1"/>
  <c r="I1638" i="3"/>
  <c r="W1638" i="3" s="1"/>
  <c r="I1707" i="3"/>
  <c r="W1707" i="3" s="1"/>
  <c r="I1737" i="3"/>
  <c r="W1737" i="3" s="1"/>
  <c r="I1750" i="3"/>
  <c r="W1750" i="3" s="1"/>
  <c r="I1898" i="3"/>
  <c r="W1898" i="3" s="1"/>
  <c r="I1914" i="3"/>
  <c r="W1914" i="3" s="1"/>
  <c r="I1930" i="3"/>
  <c r="W1930" i="3" s="1"/>
  <c r="I1946" i="3"/>
  <c r="W1946" i="3" s="1"/>
  <c r="I1962" i="3"/>
  <c r="W1962" i="3" s="1"/>
  <c r="I1978" i="3"/>
  <c r="W1978" i="3" s="1"/>
  <c r="I1994" i="3"/>
  <c r="W1994" i="3" s="1"/>
  <c r="I2010" i="3"/>
  <c r="W2010" i="3" s="1"/>
  <c r="I2026" i="3"/>
  <c r="W2026" i="3" s="1"/>
  <c r="I2042" i="3"/>
  <c r="W2042" i="3" s="1"/>
  <c r="I2058" i="3"/>
  <c r="W2058" i="3" s="1"/>
  <c r="I1668" i="3"/>
  <c r="W1668" i="3" s="1"/>
  <c r="I1689" i="3"/>
  <c r="W1689" i="3" s="1"/>
  <c r="I1723" i="3"/>
  <c r="W1723" i="3" s="1"/>
  <c r="I1785" i="3"/>
  <c r="W1785" i="3" s="1"/>
  <c r="I1798" i="3"/>
  <c r="W1798" i="3" s="1"/>
  <c r="I1853" i="3"/>
  <c r="W1853" i="3" s="1"/>
  <c r="I1870" i="3"/>
  <c r="W1870" i="3" s="1"/>
  <c r="I1887" i="3"/>
  <c r="W1887" i="3" s="1"/>
  <c r="I1622" i="3"/>
  <c r="W1622" i="3" s="1"/>
  <c r="I1654" i="3"/>
  <c r="W1654" i="3" s="1"/>
  <c r="I1697" i="3"/>
  <c r="W1697" i="3" s="1"/>
  <c r="I1758" i="3"/>
  <c r="W1758" i="3" s="1"/>
  <c r="I1771" i="3"/>
  <c r="W1771" i="3" s="1"/>
  <c r="I1818" i="3"/>
  <c r="W1818" i="3" s="1"/>
  <c r="I1824" i="3"/>
  <c r="W1824" i="3" s="1"/>
  <c r="I1830" i="3"/>
  <c r="W1830" i="3" s="1"/>
  <c r="I1909" i="3"/>
  <c r="W1909" i="3" s="1"/>
  <c r="I1925" i="3"/>
  <c r="W1925" i="3" s="1"/>
  <c r="I1941" i="3"/>
  <c r="W1941" i="3" s="1"/>
  <c r="I1957" i="3"/>
  <c r="W1957" i="3" s="1"/>
  <c r="I1973" i="3"/>
  <c r="W1973" i="3" s="1"/>
  <c r="I1989" i="3"/>
  <c r="W1989" i="3" s="1"/>
  <c r="I2005" i="3"/>
  <c r="W2005" i="3" s="1"/>
  <c r="I2021" i="3"/>
  <c r="W2021" i="3" s="1"/>
  <c r="I1679" i="3"/>
  <c r="W1679" i="3" s="1"/>
  <c r="I1731" i="3"/>
  <c r="W1731" i="3" s="1"/>
  <c r="I1744" i="3"/>
  <c r="W1744" i="3" s="1"/>
  <c r="I1812" i="3"/>
  <c r="W1812" i="3" s="1"/>
  <c r="I1842" i="3"/>
  <c r="W1842" i="3" s="1"/>
  <c r="I1859" i="3"/>
  <c r="W1859" i="3" s="1"/>
  <c r="I1876" i="3"/>
  <c r="W1876" i="3" s="1"/>
  <c r="I1893" i="3"/>
  <c r="W1893" i="3" s="1"/>
  <c r="I1717" i="3"/>
  <c r="W1717" i="3" s="1"/>
  <c r="I1779" i="3"/>
  <c r="W1779" i="3" s="1"/>
  <c r="I1792" i="3"/>
  <c r="W1792" i="3" s="1"/>
  <c r="I1806" i="3"/>
  <c r="W1806" i="3" s="1"/>
  <c r="I1904" i="3"/>
  <c r="W1904" i="3" s="1"/>
  <c r="I1920" i="3"/>
  <c r="W1920" i="3" s="1"/>
  <c r="I1936" i="3"/>
  <c r="W1936" i="3" s="1"/>
  <c r="I1952" i="3"/>
  <c r="W1952" i="3" s="1"/>
  <c r="I1968" i="3"/>
  <c r="W1968" i="3" s="1"/>
  <c r="I1984" i="3"/>
  <c r="W1984" i="3" s="1"/>
  <c r="I2000" i="3"/>
  <c r="W2000" i="3" s="1"/>
  <c r="I2016" i="3"/>
  <c r="W2016" i="3" s="1"/>
  <c r="I2032" i="3"/>
  <c r="W2032" i="3" s="1"/>
  <c r="I1567" i="3"/>
  <c r="W1567" i="3" s="1"/>
  <c r="I1657" i="3"/>
  <c r="W1657" i="3" s="1"/>
  <c r="I1669" i="3"/>
  <c r="W1669" i="3" s="1"/>
  <c r="I1700" i="3"/>
  <c r="W1700" i="3" s="1"/>
  <c r="I1752" i="3"/>
  <c r="W1752" i="3" s="1"/>
  <c r="I1765" i="3"/>
  <c r="W1765" i="3" s="1"/>
  <c r="I1848" i="3"/>
  <c r="W1848" i="3" s="1"/>
  <c r="I1865" i="3"/>
  <c r="W1865" i="3" s="1"/>
  <c r="I1882" i="3"/>
  <c r="W1882" i="3" s="1"/>
  <c r="I1725" i="3"/>
  <c r="W1725" i="3" s="1"/>
  <c r="I1738" i="3"/>
  <c r="W1738" i="3" s="1"/>
  <c r="I1800" i="3"/>
  <c r="W1800" i="3" s="1"/>
  <c r="I1831" i="3"/>
  <c r="W1831" i="3" s="1"/>
  <c r="I1899" i="3"/>
  <c r="W1899" i="3" s="1"/>
  <c r="I1915" i="3"/>
  <c r="W1915" i="3" s="1"/>
  <c r="I1931" i="3"/>
  <c r="W1931" i="3" s="1"/>
  <c r="I1947" i="3"/>
  <c r="W1947" i="3" s="1"/>
  <c r="I1963" i="3"/>
  <c r="W1963" i="3" s="1"/>
  <c r="I1979" i="3"/>
  <c r="W1979" i="3" s="1"/>
  <c r="I1995" i="3"/>
  <c r="W1995" i="3" s="1"/>
  <c r="I2011" i="3"/>
  <c r="W2011" i="3" s="1"/>
  <c r="I1658" i="3"/>
  <c r="W1658" i="3" s="1"/>
  <c r="I1690" i="3"/>
  <c r="W1690" i="3" s="1"/>
  <c r="I1773" i="3"/>
  <c r="W1773" i="3" s="1"/>
  <c r="I1786" i="3"/>
  <c r="W1786" i="3" s="1"/>
  <c r="I1837" i="3"/>
  <c r="W1837" i="3" s="1"/>
  <c r="I1854" i="3"/>
  <c r="W1854" i="3" s="1"/>
  <c r="I1871" i="3"/>
  <c r="W1871" i="3" s="1"/>
  <c r="I1888" i="3"/>
  <c r="W1888" i="3" s="1"/>
  <c r="I1759" i="3"/>
  <c r="W1759" i="3" s="1"/>
  <c r="I1819" i="3"/>
  <c r="W1819" i="3" s="1"/>
  <c r="I1825" i="3"/>
  <c r="W1825" i="3" s="1"/>
  <c r="I1910" i="3"/>
  <c r="W1910" i="3" s="1"/>
  <c r="I1926" i="3"/>
  <c r="W1926" i="3" s="1"/>
  <c r="I1942" i="3"/>
  <c r="W1942" i="3" s="1"/>
  <c r="I1958" i="3"/>
  <c r="W1958" i="3" s="1"/>
  <c r="I1974" i="3"/>
  <c r="W1974" i="3" s="1"/>
  <c r="I1627" i="3"/>
  <c r="W1627" i="3" s="1"/>
  <c r="I1643" i="3"/>
  <c r="W1643" i="3" s="1"/>
  <c r="I1680" i="3"/>
  <c r="W1680" i="3" s="1"/>
  <c r="I1732" i="3"/>
  <c r="W1732" i="3" s="1"/>
  <c r="I1745" i="3"/>
  <c r="W1745" i="3" s="1"/>
  <c r="I1813" i="3"/>
  <c r="W1813" i="3" s="1"/>
  <c r="I1843" i="3"/>
  <c r="W1843" i="3" s="1"/>
  <c r="I1860" i="3"/>
  <c r="W1860" i="3" s="1"/>
  <c r="I1877" i="3"/>
  <c r="W1877" i="3" s="1"/>
  <c r="I1894" i="3"/>
  <c r="W1894" i="3" s="1"/>
  <c r="I1718" i="3"/>
  <c r="W1718" i="3" s="1"/>
  <c r="I1780" i="3"/>
  <c r="W1780" i="3" s="1"/>
  <c r="I1793" i="3"/>
  <c r="W1793" i="3" s="1"/>
  <c r="I1807" i="3"/>
  <c r="W1807" i="3" s="1"/>
  <c r="I1905" i="3"/>
  <c r="W1905" i="3" s="1"/>
  <c r="I1921" i="3"/>
  <c r="W1921" i="3" s="1"/>
  <c r="I1937" i="3"/>
  <c r="W1937" i="3" s="1"/>
  <c r="I1953" i="3"/>
  <c r="W1953" i="3" s="1"/>
  <c r="I1578" i="3"/>
  <c r="W1578" i="3" s="1"/>
  <c r="I1610" i="3"/>
  <c r="W1610" i="3" s="1"/>
  <c r="I1670" i="3"/>
  <c r="W1670" i="3" s="1"/>
  <c r="I1701" i="3"/>
  <c r="W1701" i="3" s="1"/>
  <c r="I1711" i="3"/>
  <c r="W1711" i="3" s="1"/>
  <c r="I1753" i="3"/>
  <c r="W1753" i="3" s="1"/>
  <c r="I1766" i="3"/>
  <c r="W1766" i="3" s="1"/>
  <c r="I1832" i="3"/>
  <c r="W1832" i="3" s="1"/>
  <c r="I1849" i="3"/>
  <c r="W1849" i="3" s="1"/>
  <c r="I1866" i="3"/>
  <c r="W1866" i="3" s="1"/>
  <c r="I1883" i="3"/>
  <c r="W1883" i="3" s="1"/>
  <c r="I1726" i="3"/>
  <c r="W1726" i="3" s="1"/>
  <c r="I1739" i="3"/>
  <c r="W1739" i="3" s="1"/>
  <c r="I1801" i="3"/>
  <c r="W1801" i="3" s="1"/>
  <c r="I1900" i="3"/>
  <c r="W1900" i="3" s="1"/>
  <c r="I1916" i="3"/>
  <c r="W1916" i="3" s="1"/>
  <c r="I1932" i="3"/>
  <c r="W1932" i="3" s="1"/>
  <c r="I1948" i="3"/>
  <c r="W1948" i="3" s="1"/>
  <c r="I1659" i="3"/>
  <c r="W1659" i="3" s="1"/>
  <c r="I1691" i="3"/>
  <c r="W1691" i="3" s="1"/>
  <c r="I1774" i="3"/>
  <c r="W1774" i="3" s="1"/>
  <c r="I1787" i="3"/>
  <c r="W1787" i="3" s="1"/>
  <c r="I1838" i="3"/>
  <c r="W1838" i="3" s="1"/>
  <c r="I1855" i="3"/>
  <c r="W1855" i="3" s="1"/>
  <c r="I1872" i="3"/>
  <c r="W1872" i="3" s="1"/>
  <c r="I1889" i="3"/>
  <c r="W1889" i="3" s="1"/>
  <c r="I1673" i="3"/>
  <c r="W1673" i="3" s="1"/>
  <c r="I1747" i="3"/>
  <c r="W1747" i="3" s="1"/>
  <c r="I1760" i="3"/>
  <c r="W1760" i="3" s="1"/>
  <c r="I1895" i="3"/>
  <c r="W1895" i="3" s="1"/>
  <c r="I1911" i="3"/>
  <c r="W1911" i="3" s="1"/>
  <c r="I1927" i="3"/>
  <c r="W1927" i="3" s="1"/>
  <c r="I1943" i="3"/>
  <c r="W1943" i="3" s="1"/>
  <c r="I1681" i="3"/>
  <c r="W1681" i="3" s="1"/>
  <c r="I1720" i="3"/>
  <c r="W1720" i="3" s="1"/>
  <c r="I1733" i="3"/>
  <c r="W1733" i="3" s="1"/>
  <c r="I1795" i="3"/>
  <c r="W1795" i="3" s="1"/>
  <c r="I1814" i="3"/>
  <c r="W1814" i="3" s="1"/>
  <c r="I1844" i="3"/>
  <c r="W1844" i="3" s="1"/>
  <c r="I1861" i="3"/>
  <c r="W1861" i="3" s="1"/>
  <c r="I1611" i="3"/>
  <c r="W1611" i="3" s="1"/>
  <c r="I1768" i="3"/>
  <c r="W1768" i="3" s="1"/>
  <c r="I1781" i="3"/>
  <c r="W1781" i="3" s="1"/>
  <c r="I1808" i="3"/>
  <c r="W1808" i="3" s="1"/>
  <c r="I1821" i="3"/>
  <c r="W1821" i="3" s="1"/>
  <c r="I1827" i="3"/>
  <c r="W1827" i="3" s="1"/>
  <c r="I1632" i="3"/>
  <c r="W1632" i="3" s="1"/>
  <c r="I1702" i="3"/>
  <c r="W1702" i="3" s="1"/>
  <c r="I1712" i="3"/>
  <c r="W1712" i="3" s="1"/>
  <c r="I1741" i="3"/>
  <c r="W1741" i="3" s="1"/>
  <c r="I1754" i="3"/>
  <c r="W1754" i="3" s="1"/>
  <c r="I1833" i="3"/>
  <c r="W1833" i="3" s="1"/>
  <c r="I1850" i="3"/>
  <c r="W1850" i="3" s="1"/>
  <c r="I1867" i="3"/>
  <c r="W1867" i="3" s="1"/>
  <c r="I1890" i="3"/>
  <c r="W1890" i="3" s="1"/>
  <c r="AB2081" i="3"/>
  <c r="J2075" i="3"/>
  <c r="X2075" i="3" s="1"/>
  <c r="J2068" i="3"/>
  <c r="X2068" i="3" s="1"/>
  <c r="AA2058" i="3"/>
  <c r="K2048" i="3"/>
  <c r="Y2048" i="3" s="1"/>
  <c r="I2038" i="3"/>
  <c r="W2038" i="3" s="1"/>
  <c r="K2027" i="3"/>
  <c r="Y2027" i="3" s="1"/>
  <c r="Z2012" i="3"/>
  <c r="J1985" i="3"/>
  <c r="X1985" i="3" s="1"/>
  <c r="Z1932" i="3"/>
  <c r="AA2081" i="3"/>
  <c r="I2075" i="3"/>
  <c r="W2075" i="3" s="1"/>
  <c r="AA2067" i="3"/>
  <c r="Z2058" i="3"/>
  <c r="J2048" i="3"/>
  <c r="X2048" i="3" s="1"/>
  <c r="AB2037" i="3"/>
  <c r="J2027" i="3"/>
  <c r="X2027" i="3" s="1"/>
  <c r="K2012" i="3"/>
  <c r="Y2012" i="3" s="1"/>
  <c r="Z1999" i="3"/>
  <c r="I1985" i="3"/>
  <c r="W1985" i="3" s="1"/>
  <c r="AA1964" i="3"/>
  <c r="K1927" i="3"/>
  <c r="Y1927" i="3" s="1"/>
  <c r="Z2081" i="3"/>
  <c r="AB2074" i="3"/>
  <c r="J2066" i="3"/>
  <c r="X2066" i="3" s="1"/>
  <c r="K2058" i="3"/>
  <c r="Y2058" i="3" s="1"/>
  <c r="I2048" i="3"/>
  <c r="W2048" i="3" s="1"/>
  <c r="AA2037" i="3"/>
  <c r="I2027" i="3"/>
  <c r="W2027" i="3" s="1"/>
  <c r="J2012" i="3"/>
  <c r="X2012" i="3" s="1"/>
  <c r="AB1996" i="3"/>
  <c r="Z1964" i="3"/>
  <c r="J1927" i="3"/>
  <c r="X1927" i="3" s="1"/>
  <c r="K2081" i="3"/>
  <c r="Y2081" i="3" s="1"/>
  <c r="AA2074" i="3"/>
  <c r="I2066" i="3"/>
  <c r="W2066" i="3" s="1"/>
  <c r="J2058" i="3"/>
  <c r="X2058" i="3" s="1"/>
  <c r="AB2047" i="3"/>
  <c r="Z2037" i="3"/>
  <c r="Z2026" i="3"/>
  <c r="I2012" i="3"/>
  <c r="W2012" i="3" s="1"/>
  <c r="AA1996" i="3"/>
  <c r="AA1984" i="3"/>
  <c r="K1964" i="3"/>
  <c r="Y1964" i="3" s="1"/>
  <c r="I1922" i="3"/>
  <c r="W1922" i="3" s="1"/>
  <c r="Z2074" i="3"/>
  <c r="AB2065" i="3"/>
  <c r="Z2055" i="3"/>
  <c r="AA2047" i="3"/>
  <c r="K2037" i="3"/>
  <c r="Y2037" i="3" s="1"/>
  <c r="J2026" i="3"/>
  <c r="X2026" i="3" s="1"/>
  <c r="AB2011" i="3"/>
  <c r="Z1996" i="3"/>
  <c r="AB1983" i="3"/>
  <c r="J1964" i="3"/>
  <c r="X1964" i="3" s="1"/>
  <c r="AB1921" i="3"/>
  <c r="I2081" i="3"/>
  <c r="W2081" i="3" s="1"/>
  <c r="K2074" i="3"/>
  <c r="Y2074" i="3" s="1"/>
  <c r="AA2065" i="3"/>
  <c r="K2055" i="3"/>
  <c r="Y2055" i="3" s="1"/>
  <c r="Z2047" i="3"/>
  <c r="J2037" i="3"/>
  <c r="X2037" i="3" s="1"/>
  <c r="Z2023" i="3"/>
  <c r="AA2011" i="3"/>
  <c r="K1996" i="3"/>
  <c r="Y1996" i="3" s="1"/>
  <c r="I1964" i="3"/>
  <c r="W1964" i="3" s="1"/>
  <c r="AA1916" i="3"/>
  <c r="J2081" i="3"/>
  <c r="X2081" i="3" s="1"/>
  <c r="J2074" i="3"/>
  <c r="X2074" i="3" s="1"/>
  <c r="Z2065" i="3"/>
  <c r="J2055" i="3"/>
  <c r="X2055" i="3" s="1"/>
  <c r="I2037" i="3"/>
  <c r="W2037" i="3" s="1"/>
  <c r="K2023" i="3"/>
  <c r="Y2023" i="3" s="1"/>
  <c r="Z2011" i="3"/>
  <c r="J1996" i="3"/>
  <c r="X1996" i="3" s="1"/>
  <c r="AA1980" i="3"/>
  <c r="Z1916" i="3"/>
  <c r="AA2080" i="3"/>
  <c r="I2074" i="3"/>
  <c r="W2074" i="3" s="1"/>
  <c r="K2065" i="3"/>
  <c r="Y2065" i="3" s="1"/>
  <c r="I2055" i="3"/>
  <c r="W2055" i="3" s="1"/>
  <c r="AA2044" i="3"/>
  <c r="AB2036" i="3"/>
  <c r="J2023" i="3"/>
  <c r="X2023" i="3" s="1"/>
  <c r="K2011" i="3"/>
  <c r="Y2011" i="3" s="1"/>
  <c r="I1996" i="3"/>
  <c r="W1996" i="3" s="1"/>
  <c r="AA1963" i="3"/>
  <c r="K1911" i="3"/>
  <c r="Y1911" i="3" s="1"/>
  <c r="J2065" i="3"/>
  <c r="X2065" i="3" s="1"/>
  <c r="AB2054" i="3"/>
  <c r="Z2044" i="3"/>
  <c r="J2034" i="3"/>
  <c r="X2034" i="3" s="1"/>
  <c r="I2023" i="3"/>
  <c r="W2023" i="3" s="1"/>
  <c r="Z2010" i="3"/>
  <c r="K1980" i="3"/>
  <c r="Y1980" i="3" s="1"/>
  <c r="Z1963" i="3"/>
  <c r="J1911" i="3"/>
  <c r="X1911" i="3" s="1"/>
  <c r="K2080" i="3"/>
  <c r="Y2080" i="3" s="1"/>
  <c r="AA2073" i="3"/>
  <c r="I2065" i="3"/>
  <c r="W2065" i="3" s="1"/>
  <c r="AA2054" i="3"/>
  <c r="K2044" i="3"/>
  <c r="Y2044" i="3" s="1"/>
  <c r="I2034" i="3"/>
  <c r="W2034" i="3" s="1"/>
  <c r="J2010" i="3"/>
  <c r="X2010" i="3" s="1"/>
  <c r="AA1995" i="3"/>
  <c r="J1980" i="3"/>
  <c r="X1980" i="3" s="1"/>
  <c r="Z1959" i="3"/>
  <c r="I1906" i="3"/>
  <c r="W1906" i="3" s="1"/>
  <c r="J2080" i="3"/>
  <c r="X2080" i="3" s="1"/>
  <c r="Z2073" i="3"/>
  <c r="AB2064" i="3"/>
  <c r="Z2054" i="3"/>
  <c r="J2044" i="3"/>
  <c r="X2044" i="3" s="1"/>
  <c r="AA2022" i="3"/>
  <c r="Z2007" i="3"/>
  <c r="Z1995" i="3"/>
  <c r="I1980" i="3"/>
  <c r="W1980" i="3" s="1"/>
  <c r="K1959" i="3"/>
  <c r="Y1959" i="3" s="1"/>
  <c r="I2080" i="3"/>
  <c r="W2080" i="3" s="1"/>
  <c r="K2073" i="3"/>
  <c r="Y2073" i="3" s="1"/>
  <c r="AA2064" i="3"/>
  <c r="K2054" i="3"/>
  <c r="Y2054" i="3" s="1"/>
  <c r="I2044" i="3"/>
  <c r="W2044" i="3" s="1"/>
  <c r="AA2033" i="3"/>
  <c r="Z2022" i="3"/>
  <c r="K2007" i="3"/>
  <c r="Y2007" i="3" s="1"/>
  <c r="K1995" i="3"/>
  <c r="Y1995" i="3" s="1"/>
  <c r="J1959" i="3"/>
  <c r="X1959" i="3" s="1"/>
  <c r="AA1900" i="3"/>
  <c r="AB19" i="3"/>
  <c r="AB35" i="3"/>
  <c r="AB51" i="3"/>
  <c r="AB67" i="3"/>
  <c r="AB83" i="3"/>
  <c r="AB99" i="3"/>
  <c r="AB115" i="3"/>
  <c r="AB147" i="3"/>
  <c r="AB163" i="3"/>
  <c r="AB227" i="3"/>
  <c r="AB259" i="3"/>
  <c r="AB275" i="3"/>
  <c r="AB307" i="3"/>
  <c r="AB323" i="3"/>
  <c r="AB339" i="3"/>
  <c r="AB14" i="3"/>
  <c r="AB30" i="3"/>
  <c r="AB46" i="3"/>
  <c r="AB78" i="3"/>
  <c r="AB110" i="3"/>
  <c r="AB142" i="3"/>
  <c r="AB174" i="3"/>
  <c r="AB190" i="3"/>
  <c r="AB206" i="3"/>
  <c r="AB254" i="3"/>
  <c r="AB270" i="3"/>
  <c r="AB286" i="3"/>
  <c r="AB302" i="3"/>
  <c r="AB334" i="3"/>
  <c r="AB350" i="3"/>
  <c r="AB366" i="3"/>
  <c r="AB382" i="3"/>
  <c r="AB398" i="3"/>
  <c r="AB414" i="3"/>
  <c r="AB25" i="3"/>
  <c r="AB41" i="3"/>
  <c r="AB57" i="3"/>
  <c r="AB89" i="3"/>
  <c r="AB105" i="3"/>
  <c r="AB121" i="3"/>
  <c r="AB137" i="3"/>
  <c r="AB153" i="3"/>
  <c r="AB169" i="3"/>
  <c r="AB185" i="3"/>
  <c r="AB201" i="3"/>
  <c r="AB217" i="3"/>
  <c r="AB233" i="3"/>
  <c r="AB249" i="3"/>
  <c r="AB265" i="3"/>
  <c r="AB281" i="3"/>
  <c r="AB297" i="3"/>
  <c r="AB329" i="3"/>
  <c r="AB36" i="3"/>
  <c r="AB68" i="3"/>
  <c r="AB100" i="3"/>
  <c r="AB132" i="3"/>
  <c r="AB148" i="3"/>
  <c r="AB180" i="3"/>
  <c r="AB196" i="3"/>
  <c r="AB212" i="3"/>
  <c r="AB244" i="3"/>
  <c r="AB260" i="3"/>
  <c r="AB276" i="3"/>
  <c r="AB292" i="3"/>
  <c r="AB308" i="3"/>
  <c r="AB15" i="3"/>
  <c r="AB47" i="3"/>
  <c r="AB63" i="3"/>
  <c r="AB79" i="3"/>
  <c r="AB95" i="3"/>
  <c r="AB111" i="3"/>
  <c r="AB143" i="3"/>
  <c r="AB159" i="3"/>
  <c r="AB175" i="3"/>
  <c r="AB191" i="3"/>
  <c r="AB223" i="3"/>
  <c r="AB239" i="3"/>
  <c r="AB255" i="3"/>
  <c r="AB287" i="3"/>
  <c r="AB10" i="3"/>
  <c r="AB26" i="3"/>
  <c r="AB74" i="3"/>
  <c r="AB90" i="3"/>
  <c r="AB106" i="3"/>
  <c r="AB122" i="3"/>
  <c r="AB138" i="3"/>
  <c r="AB154" i="3"/>
  <c r="AB170" i="3"/>
  <c r="AB186" i="3"/>
  <c r="AB202" i="3"/>
  <c r="AB218" i="3"/>
  <c r="AB234" i="3"/>
  <c r="AB250" i="3"/>
  <c r="AB266" i="3"/>
  <c r="AB21" i="3"/>
  <c r="AB37" i="3"/>
  <c r="AB53" i="3"/>
  <c r="AB69" i="3"/>
  <c r="AB85" i="3"/>
  <c r="AB101" i="3"/>
  <c r="AB117" i="3"/>
  <c r="AB133" i="3"/>
  <c r="AB149" i="3"/>
  <c r="AB165" i="3"/>
  <c r="AB197" i="3"/>
  <c r="AB213" i="3"/>
  <c r="AB229" i="3"/>
  <c r="AB16" i="3"/>
  <c r="AB32" i="3"/>
  <c r="AB48" i="3"/>
  <c r="AB64" i="3"/>
  <c r="AB80" i="3"/>
  <c r="AB96" i="3"/>
  <c r="AB112" i="3"/>
  <c r="AB128" i="3"/>
  <c r="AB144" i="3"/>
  <c r="AB160" i="3"/>
  <c r="AB176" i="3"/>
  <c r="AB192" i="3"/>
  <c r="AB224" i="3"/>
  <c r="AB27" i="3"/>
  <c r="AB43" i="3"/>
  <c r="AB59" i="3"/>
  <c r="AB75" i="3"/>
  <c r="AB91" i="3"/>
  <c r="AB107" i="3"/>
  <c r="AB139" i="3"/>
  <c r="AB171" i="3"/>
  <c r="AB22" i="3"/>
  <c r="AB38" i="3"/>
  <c r="AB54" i="3"/>
  <c r="AB70" i="3"/>
  <c r="AB86" i="3"/>
  <c r="AB102" i="3"/>
  <c r="AB134" i="3"/>
  <c r="AB17" i="3"/>
  <c r="AB33" i="3"/>
  <c r="AB49" i="3"/>
  <c r="AB65" i="3"/>
  <c r="AB81" i="3"/>
  <c r="AB97" i="3"/>
  <c r="AB113" i="3"/>
  <c r="AB129" i="3"/>
  <c r="AB12" i="3"/>
  <c r="AB28" i="3"/>
  <c r="AB44" i="3"/>
  <c r="AB60" i="3"/>
  <c r="AB76" i="3"/>
  <c r="AB92" i="3"/>
  <c r="AB108" i="3"/>
  <c r="AB124" i="3"/>
  <c r="AB140" i="3"/>
  <c r="AB39" i="3"/>
  <c r="AB18" i="3"/>
  <c r="AB34" i="3"/>
  <c r="AB50" i="3"/>
  <c r="AB66" i="3"/>
  <c r="AB82" i="3"/>
  <c r="AB98" i="3"/>
  <c r="AB13" i="3"/>
  <c r="AB29" i="3"/>
  <c r="AB45" i="3"/>
  <c r="AB61" i="3"/>
  <c r="AB88" i="3"/>
  <c r="AB296" i="3"/>
  <c r="AB353" i="3"/>
  <c r="AB370" i="3"/>
  <c r="AB393" i="3"/>
  <c r="AB410" i="3"/>
  <c r="AB427" i="3"/>
  <c r="AB449" i="3"/>
  <c r="AB460" i="3"/>
  <c r="AB476" i="3"/>
  <c r="AB492" i="3"/>
  <c r="AB508" i="3"/>
  <c r="AB524" i="3"/>
  <c r="AB556" i="3"/>
  <c r="AB588" i="3"/>
  <c r="AB146" i="3"/>
  <c r="AB257" i="3"/>
  <c r="AB336" i="3"/>
  <c r="AB24" i="3"/>
  <c r="AB93" i="3"/>
  <c r="AB330" i="3"/>
  <c r="AB359" i="3"/>
  <c r="AB376" i="3"/>
  <c r="AB399" i="3"/>
  <c r="AB471" i="3"/>
  <c r="AB535" i="3"/>
  <c r="AB567" i="3"/>
  <c r="AB274" i="3"/>
  <c r="AB298" i="3"/>
  <c r="AB317" i="3"/>
  <c r="AB433" i="3"/>
  <c r="AB444" i="3"/>
  <c r="AB455" i="3"/>
  <c r="AB125" i="3"/>
  <c r="AB183" i="3"/>
  <c r="AB311" i="3"/>
  <c r="AB348" i="3"/>
  <c r="AB365" i="3"/>
  <c r="AB388" i="3"/>
  <c r="AB405" i="3"/>
  <c r="AB466" i="3"/>
  <c r="AB498" i="3"/>
  <c r="AB530" i="3"/>
  <c r="AB546" i="3"/>
  <c r="AB248" i="3"/>
  <c r="AB267" i="3"/>
  <c r="AB371" i="3"/>
  <c r="AB167" i="3"/>
  <c r="AB354" i="3"/>
  <c r="AB394" i="3"/>
  <c r="AB411" i="3"/>
  <c r="AB428" i="3"/>
  <c r="AB461" i="3"/>
  <c r="AB493" i="3"/>
  <c r="AB509" i="3"/>
  <c r="AB525" i="3"/>
  <c r="AB557" i="3"/>
  <c r="AB573" i="3"/>
  <c r="AB258" i="3"/>
  <c r="AB337" i="3"/>
  <c r="AB151" i="3"/>
  <c r="AB331" i="3"/>
  <c r="AB343" i="3"/>
  <c r="AB360" i="3"/>
  <c r="AB383" i="3"/>
  <c r="AB400" i="3"/>
  <c r="AB417" i="3"/>
  <c r="AB56" i="3"/>
  <c r="AB199" i="3"/>
  <c r="AB210" i="3"/>
  <c r="AB231" i="3"/>
  <c r="AB299" i="3"/>
  <c r="AB325" i="3"/>
  <c r="AB434" i="3"/>
  <c r="AB456" i="3"/>
  <c r="AB251" i="3"/>
  <c r="AB277" i="3"/>
  <c r="AB312" i="3"/>
  <c r="AB319" i="3"/>
  <c r="AB349" i="3"/>
  <c r="AB372" i="3"/>
  <c r="AB389" i="3"/>
  <c r="AB423" i="3"/>
  <c r="AB268" i="3"/>
  <c r="AB306" i="3"/>
  <c r="AB355" i="3"/>
  <c r="AB168" i="3"/>
  <c r="AB361" i="3"/>
  <c r="AB412" i="3"/>
  <c r="AB429" i="3"/>
  <c r="AB462" i="3"/>
  <c r="AB478" i="3"/>
  <c r="AB188" i="3"/>
  <c r="AB338" i="3"/>
  <c r="AB152" i="3"/>
  <c r="AB172" i="3"/>
  <c r="AB293" i="3"/>
  <c r="AB332" i="3"/>
  <c r="AB344" i="3"/>
  <c r="AB367" i="3"/>
  <c r="AB384" i="3"/>
  <c r="AB401" i="3"/>
  <c r="AB418" i="3"/>
  <c r="AB446" i="3"/>
  <c r="AB473" i="3"/>
  <c r="AB135" i="3"/>
  <c r="AB200" i="3"/>
  <c r="AB232" i="3"/>
  <c r="AB300" i="3"/>
  <c r="AB109" i="3"/>
  <c r="AB156" i="3"/>
  <c r="AB252" i="3"/>
  <c r="AB278" i="3"/>
  <c r="AB285" i="3"/>
  <c r="AB356" i="3"/>
  <c r="AB373" i="3"/>
  <c r="AB390" i="3"/>
  <c r="AB407" i="3"/>
  <c r="AB424" i="3"/>
  <c r="AB71" i="3"/>
  <c r="AB203" i="3"/>
  <c r="AB214" i="3"/>
  <c r="AB345" i="3"/>
  <c r="AB362" i="3"/>
  <c r="AB379" i="3"/>
  <c r="AB396" i="3"/>
  <c r="AB419" i="3"/>
  <c r="AB72" i="3"/>
  <c r="AB114" i="3"/>
  <c r="AB173" i="3"/>
  <c r="AB235" i="3"/>
  <c r="AB294" i="3"/>
  <c r="AB368" i="3"/>
  <c r="AB385" i="3"/>
  <c r="AB402" i="3"/>
  <c r="AB425" i="3"/>
  <c r="AB136" i="3"/>
  <c r="AB301" i="3"/>
  <c r="AB77" i="3"/>
  <c r="AB204" i="3"/>
  <c r="AB253" i="3"/>
  <c r="AB279" i="3"/>
  <c r="AB340" i="3"/>
  <c r="AB357" i="3"/>
  <c r="AB391" i="3"/>
  <c r="AB193" i="3"/>
  <c r="AB215" i="3"/>
  <c r="AB315" i="3"/>
  <c r="AB309" i="3"/>
  <c r="AB363" i="3"/>
  <c r="AB380" i="3"/>
  <c r="AB226" i="3"/>
  <c r="AB236" i="3"/>
  <c r="AB246" i="3"/>
  <c r="AB288" i="3"/>
  <c r="AB303" i="3"/>
  <c r="AB352" i="3"/>
  <c r="AB369" i="3"/>
  <c r="AB141" i="3"/>
  <c r="AB328" i="3"/>
  <c r="AB335" i="3"/>
  <c r="AB178" i="3"/>
  <c r="AB205" i="3"/>
  <c r="AB280" i="3"/>
  <c r="AB322" i="3"/>
  <c r="AB341" i="3"/>
  <c r="AB358" i="3"/>
  <c r="AB87" i="3"/>
  <c r="AB216" i="3"/>
  <c r="AB273" i="3"/>
  <c r="AB162" i="3"/>
  <c r="AB310" i="3"/>
  <c r="AB237" i="3"/>
  <c r="AB247" i="3"/>
  <c r="AB264" i="3"/>
  <c r="AB282" i="3"/>
  <c r="AB289" i="3"/>
  <c r="AB304" i="3"/>
  <c r="AB448" i="3"/>
  <c r="AB469" i="3"/>
  <c r="AB510" i="3"/>
  <c r="AB523" i="3"/>
  <c r="AB596" i="3"/>
  <c r="AB658" i="3"/>
  <c r="AB669" i="3"/>
  <c r="AB685" i="3"/>
  <c r="AB701" i="3"/>
  <c r="AB717" i="3"/>
  <c r="AB733" i="3"/>
  <c r="AB749" i="3"/>
  <c r="AB765" i="3"/>
  <c r="AB781" i="3"/>
  <c r="AB797" i="3"/>
  <c r="AB829" i="3"/>
  <c r="AB893" i="3"/>
  <c r="AB941" i="3"/>
  <c r="AB957" i="3"/>
  <c r="AB316" i="3"/>
  <c r="AB436" i="3"/>
  <c r="AB489" i="3"/>
  <c r="AB584" i="3"/>
  <c r="AB636" i="3"/>
  <c r="AB420" i="3"/>
  <c r="AB459" i="3"/>
  <c r="AB531" i="3"/>
  <c r="AB544" i="3"/>
  <c r="AB680" i="3"/>
  <c r="AB712" i="3"/>
  <c r="AB792" i="3"/>
  <c r="AB840" i="3"/>
  <c r="AB856" i="3"/>
  <c r="AB872" i="3"/>
  <c r="AB888" i="3"/>
  <c r="AB904" i="3"/>
  <c r="AB517" i="3"/>
  <c r="AB577" i="3"/>
  <c r="AB614" i="3"/>
  <c r="AB631" i="3"/>
  <c r="AB642" i="3"/>
  <c r="AB480" i="3"/>
  <c r="AB691" i="3"/>
  <c r="AB723" i="3"/>
  <c r="AB755" i="3"/>
  <c r="AB787" i="3"/>
  <c r="AB803" i="3"/>
  <c r="AB819" i="3"/>
  <c r="AB851" i="3"/>
  <c r="AB867" i="3"/>
  <c r="AB552" i="3"/>
  <c r="AB571" i="3"/>
  <c r="AB578" i="3"/>
  <c r="AB437" i="3"/>
  <c r="AB470" i="3"/>
  <c r="AB597" i="3"/>
  <c r="AB637" i="3"/>
  <c r="AB648" i="3"/>
  <c r="AB659" i="3"/>
  <c r="AB670" i="3"/>
  <c r="AB686" i="3"/>
  <c r="AB702" i="3"/>
  <c r="AB718" i="3"/>
  <c r="AB734" i="3"/>
  <c r="AB750" i="3"/>
  <c r="AB766" i="3"/>
  <c r="AB798" i="3"/>
  <c r="AB830" i="3"/>
  <c r="AB910" i="3"/>
  <c r="AB490" i="3"/>
  <c r="AB497" i="3"/>
  <c r="AB585" i="3"/>
  <c r="AB452" i="3"/>
  <c r="AB532" i="3"/>
  <c r="AB609" i="3"/>
  <c r="AB681" i="3"/>
  <c r="AB729" i="3"/>
  <c r="AB761" i="3"/>
  <c r="AB505" i="3"/>
  <c r="AB518" i="3"/>
  <c r="AB579" i="3"/>
  <c r="AB632" i="3"/>
  <c r="AB643" i="3"/>
  <c r="AB654" i="3"/>
  <c r="AB386" i="3"/>
  <c r="AB404" i="3"/>
  <c r="AB676" i="3"/>
  <c r="AB692" i="3"/>
  <c r="AB724" i="3"/>
  <c r="AB756" i="3"/>
  <c r="AB788" i="3"/>
  <c r="AB463" i="3"/>
  <c r="AB526" i="3"/>
  <c r="AB539" i="3"/>
  <c r="AB553" i="3"/>
  <c r="AB408" i="3"/>
  <c r="AB441" i="3"/>
  <c r="AB512" i="3"/>
  <c r="AB598" i="3"/>
  <c r="AB610" i="3"/>
  <c r="AB627" i="3"/>
  <c r="AB638" i="3"/>
  <c r="AB649" i="3"/>
  <c r="AB660" i="3"/>
  <c r="AB687" i="3"/>
  <c r="AB719" i="3"/>
  <c r="AB767" i="3"/>
  <c r="AB491" i="3"/>
  <c r="AB547" i="3"/>
  <c r="AB566" i="3"/>
  <c r="AB586" i="3"/>
  <c r="AB616" i="3"/>
  <c r="AB453" i="3"/>
  <c r="AB520" i="3"/>
  <c r="AB730" i="3"/>
  <c r="AB762" i="3"/>
  <c r="AB778" i="3"/>
  <c r="AB794" i="3"/>
  <c r="AB347" i="3"/>
  <c r="AB387" i="3"/>
  <c r="AB426" i="3"/>
  <c r="AB442" i="3"/>
  <c r="AB474" i="3"/>
  <c r="AB506" i="3"/>
  <c r="AB560" i="3"/>
  <c r="AB580" i="3"/>
  <c r="AB644" i="3"/>
  <c r="AB655" i="3"/>
  <c r="AB666" i="3"/>
  <c r="AB409" i="3"/>
  <c r="AB599" i="3"/>
  <c r="AB605" i="3"/>
  <c r="AB677" i="3"/>
  <c r="AB693" i="3"/>
  <c r="AB709" i="3"/>
  <c r="AB741" i="3"/>
  <c r="AB554" i="3"/>
  <c r="AB574" i="3"/>
  <c r="AB611" i="3"/>
  <c r="AB593" i="3"/>
  <c r="AB628" i="3"/>
  <c r="AB639" i="3"/>
  <c r="AB650" i="3"/>
  <c r="AB661" i="3"/>
  <c r="AB672" i="3"/>
  <c r="AB688" i="3"/>
  <c r="AB704" i="3"/>
  <c r="AB720" i="3"/>
  <c r="AB736" i="3"/>
  <c r="AB752" i="3"/>
  <c r="AB568" i="3"/>
  <c r="AB587" i="3"/>
  <c r="AB617" i="3"/>
  <c r="AB454" i="3"/>
  <c r="AB485" i="3"/>
  <c r="AB521" i="3"/>
  <c r="AB534" i="3"/>
  <c r="AB699" i="3"/>
  <c r="AB731" i="3"/>
  <c r="AB392" i="3"/>
  <c r="AB430" i="3"/>
  <c r="AB443" i="3"/>
  <c r="AB475" i="3"/>
  <c r="AB507" i="3"/>
  <c r="AB561" i="3"/>
  <c r="AB600" i="3"/>
  <c r="AB623" i="3"/>
  <c r="AB656" i="3"/>
  <c r="AB494" i="3"/>
  <c r="AB678" i="3"/>
  <c r="AB694" i="3"/>
  <c r="AB431" i="3"/>
  <c r="AB465" i="3"/>
  <c r="AB555" i="3"/>
  <c r="AB575" i="3"/>
  <c r="AB612" i="3"/>
  <c r="AB629" i="3"/>
  <c r="AB662" i="3"/>
  <c r="AB673" i="3"/>
  <c r="AB536" i="3"/>
  <c r="AB549" i="3"/>
  <c r="AB569" i="3"/>
  <c r="AB618" i="3"/>
  <c r="AB397" i="3"/>
  <c r="AB447" i="3"/>
  <c r="AB468" i="3"/>
  <c r="AB486" i="3"/>
  <c r="AB522" i="3"/>
  <c r="AB595" i="3"/>
  <c r="AB495" i="3"/>
  <c r="AB582" i="3"/>
  <c r="AB601" i="3"/>
  <c r="AB624" i="3"/>
  <c r="AB635" i="3"/>
  <c r="AB657" i="3"/>
  <c r="AB668" i="3"/>
  <c r="AB458" i="3"/>
  <c r="AB543" i="3"/>
  <c r="AB607" i="3"/>
  <c r="AB529" i="3"/>
  <c r="AB576" i="3"/>
  <c r="AB375" i="3"/>
  <c r="AB479" i="3"/>
  <c r="AB537" i="3"/>
  <c r="AB550" i="3"/>
  <c r="AB619" i="3"/>
  <c r="AB841" i="3"/>
  <c r="AB854" i="3"/>
  <c r="AB679" i="3"/>
  <c r="AB827" i="3"/>
  <c r="AB931" i="3"/>
  <c r="AB948" i="3"/>
  <c r="AB965" i="3"/>
  <c r="AB992" i="3"/>
  <c r="AB1008" i="3"/>
  <c r="AB1024" i="3"/>
  <c r="AB1040" i="3"/>
  <c r="AB1056" i="3"/>
  <c r="AB1072" i="3"/>
  <c r="AB1088" i="3"/>
  <c r="AB1104" i="3"/>
  <c r="AB1120" i="3"/>
  <c r="AB1136" i="3"/>
  <c r="AB1152" i="3"/>
  <c r="AB1168" i="3"/>
  <c r="AB1200" i="3"/>
  <c r="AB1216" i="3"/>
  <c r="AB747" i="3"/>
  <c r="AB768" i="3"/>
  <c r="AB700" i="3"/>
  <c r="AB848" i="3"/>
  <c r="AB920" i="3"/>
  <c r="AB954" i="3"/>
  <c r="AB1003" i="3"/>
  <c r="AB1019" i="3"/>
  <c r="AB1051" i="3"/>
  <c r="AB1067" i="3"/>
  <c r="AB1083" i="3"/>
  <c r="AB1099" i="3"/>
  <c r="AB1115" i="3"/>
  <c r="AB1131" i="3"/>
  <c r="AB1163" i="3"/>
  <c r="AB758" i="3"/>
  <c r="AB914" i="3"/>
  <c r="AB902" i="3"/>
  <c r="AB943" i="3"/>
  <c r="AB982" i="3"/>
  <c r="AB998" i="3"/>
  <c r="AB1014" i="3"/>
  <c r="AB1030" i="3"/>
  <c r="AB1046" i="3"/>
  <c r="AB1062" i="3"/>
  <c r="AB1078" i="3"/>
  <c r="AB1094" i="3"/>
  <c r="AB1110" i="3"/>
  <c r="AB1158" i="3"/>
  <c r="AB630" i="3"/>
  <c r="AB721" i="3"/>
  <c r="AB779" i="3"/>
  <c r="AB842" i="3"/>
  <c r="AB855" i="3"/>
  <c r="AB799" i="3"/>
  <c r="AB890" i="3"/>
  <c r="AB932" i="3"/>
  <c r="AB949" i="3"/>
  <c r="AB966" i="3"/>
  <c r="AB993" i="3"/>
  <c r="AB1025" i="3"/>
  <c r="AB1041" i="3"/>
  <c r="AB1057" i="3"/>
  <c r="AB1073" i="3"/>
  <c r="AB748" i="3"/>
  <c r="AB863" i="3"/>
  <c r="AB915" i="3"/>
  <c r="AB807" i="3"/>
  <c r="AB836" i="3"/>
  <c r="AB849" i="3"/>
  <c r="AB988" i="3"/>
  <c r="AB1004" i="3"/>
  <c r="AB1020" i="3"/>
  <c r="AB1036" i="3"/>
  <c r="AB1052" i="3"/>
  <c r="AB1068" i="3"/>
  <c r="AB1084" i="3"/>
  <c r="AB790" i="3"/>
  <c r="AB972" i="3"/>
  <c r="AB641" i="3"/>
  <c r="AB944" i="3"/>
  <c r="AB961" i="3"/>
  <c r="AB1063" i="3"/>
  <c r="AB722" i="3"/>
  <c r="AB780" i="3"/>
  <c r="AB843" i="3"/>
  <c r="AB897" i="3"/>
  <c r="AB816" i="3"/>
  <c r="AB891" i="3"/>
  <c r="AB916" i="3"/>
  <c r="AB933" i="3"/>
  <c r="AB950" i="3"/>
  <c r="AB967" i="3"/>
  <c r="AB978" i="3"/>
  <c r="AB994" i="3"/>
  <c r="AB1010" i="3"/>
  <c r="AB1026" i="3"/>
  <c r="AB1042" i="3"/>
  <c r="AB1058" i="3"/>
  <c r="AB1074" i="3"/>
  <c r="AB1090" i="3"/>
  <c r="AB809" i="3"/>
  <c r="AB726" i="3"/>
  <c r="AB922" i="3"/>
  <c r="AB956" i="3"/>
  <c r="AB989" i="3"/>
  <c r="AB1005" i="3"/>
  <c r="AB773" i="3"/>
  <c r="AB810" i="3"/>
  <c r="AB858" i="3"/>
  <c r="AB871" i="3"/>
  <c r="AB928" i="3"/>
  <c r="AB962" i="3"/>
  <c r="AB984" i="3"/>
  <c r="AB831" i="3"/>
  <c r="AB898" i="3"/>
  <c r="AB905" i="3"/>
  <c r="AB763" i="3"/>
  <c r="AB817" i="3"/>
  <c r="AB879" i="3"/>
  <c r="AB892" i="3"/>
  <c r="AB917" i="3"/>
  <c r="AB934" i="3"/>
  <c r="AB951" i="3"/>
  <c r="AB979" i="3"/>
  <c r="AB995" i="3"/>
  <c r="AB1011" i="3"/>
  <c r="AB1027" i="3"/>
  <c r="AB742" i="3"/>
  <c r="AB793" i="3"/>
  <c r="AB690" i="3"/>
  <c r="AB727" i="3"/>
  <c r="AB784" i="3"/>
  <c r="AB825" i="3"/>
  <c r="AB838" i="3"/>
  <c r="AB899" i="3"/>
  <c r="AB963" i="3"/>
  <c r="AB974" i="3"/>
  <c r="AB990" i="3"/>
  <c r="AB1006" i="3"/>
  <c r="AB1022" i="3"/>
  <c r="AB663" i="3"/>
  <c r="AB753" i="3"/>
  <c r="AB873" i="3"/>
  <c r="AB886" i="3"/>
  <c r="AB711" i="3"/>
  <c r="AB774" i="3"/>
  <c r="AB802" i="3"/>
  <c r="AB811" i="3"/>
  <c r="AB859" i="3"/>
  <c r="AB929" i="3"/>
  <c r="AB952" i="3"/>
  <c r="AB880" i="3"/>
  <c r="AB900" i="3"/>
  <c r="AB918" i="3"/>
  <c r="AB958" i="3"/>
  <c r="AB743" i="3"/>
  <c r="AB795" i="3"/>
  <c r="AB853" i="3"/>
  <c r="AB866" i="3"/>
  <c r="AB785" i="3"/>
  <c r="AB826" i="3"/>
  <c r="AB964" i="3"/>
  <c r="AB695" i="3"/>
  <c r="AB754" i="3"/>
  <c r="AB874" i="3"/>
  <c r="AB887" i="3"/>
  <c r="AB775" i="3"/>
  <c r="AB805" i="3"/>
  <c r="AB812" i="3"/>
  <c r="AB716" i="3"/>
  <c r="AB732" i="3"/>
  <c r="AB833" i="3"/>
  <c r="AB881" i="3"/>
  <c r="AB919" i="3"/>
  <c r="AB1103" i="3"/>
  <c r="AB1165" i="3"/>
  <c r="AB1178" i="3"/>
  <c r="AB1210" i="3"/>
  <c r="AB1007" i="3"/>
  <c r="AB1034" i="3"/>
  <c r="AB1045" i="3"/>
  <c r="AB1138" i="3"/>
  <c r="AB1151" i="3"/>
  <c r="AB1234" i="3"/>
  <c r="AB1256" i="3"/>
  <c r="AB1278" i="3"/>
  <c r="AB1289" i="3"/>
  <c r="AB1300" i="3"/>
  <c r="AB1311" i="3"/>
  <c r="AB1327" i="3"/>
  <c r="AB1343" i="3"/>
  <c r="AB1359" i="3"/>
  <c r="AB1375" i="3"/>
  <c r="AB1407" i="3"/>
  <c r="AB1423" i="3"/>
  <c r="AB1439" i="3"/>
  <c r="AB1455" i="3"/>
  <c r="AB1471" i="3"/>
  <c r="AB1503" i="3"/>
  <c r="AB1111" i="3"/>
  <c r="AB1198" i="3"/>
  <c r="AB1217" i="3"/>
  <c r="AB1223" i="3"/>
  <c r="AB1159" i="3"/>
  <c r="AB1172" i="3"/>
  <c r="AB1192" i="3"/>
  <c r="AB1322" i="3"/>
  <c r="AB1354" i="3"/>
  <c r="AB1386" i="3"/>
  <c r="AB1418" i="3"/>
  <c r="AB1434" i="3"/>
  <c r="AB1466" i="3"/>
  <c r="AB1482" i="3"/>
  <c r="AB913" i="3"/>
  <c r="AB1037" i="3"/>
  <c r="AB1048" i="3"/>
  <c r="AB1132" i="3"/>
  <c r="AB1145" i="3"/>
  <c r="AB1186" i="3"/>
  <c r="AB1229" i="3"/>
  <c r="AB1240" i="3"/>
  <c r="AB1251" i="3"/>
  <c r="AB1273" i="3"/>
  <c r="AB1284" i="3"/>
  <c r="AB1306" i="3"/>
  <c r="AB1023" i="3"/>
  <c r="AB1087" i="3"/>
  <c r="AB1105" i="3"/>
  <c r="AB1317" i="3"/>
  <c r="AB1333" i="3"/>
  <c r="AB1365" i="3"/>
  <c r="AB1381" i="3"/>
  <c r="AB1397" i="3"/>
  <c r="AB1445" i="3"/>
  <c r="AB1069" i="3"/>
  <c r="AB1153" i="3"/>
  <c r="AB1166" i="3"/>
  <c r="AB1180" i="3"/>
  <c r="AB1038" i="3"/>
  <c r="AB1077" i="3"/>
  <c r="AB1139" i="3"/>
  <c r="AB1257" i="3"/>
  <c r="AB1268" i="3"/>
  <c r="AB1290" i="3"/>
  <c r="AB1301" i="3"/>
  <c r="AB1328" i="3"/>
  <c r="AB1376" i="3"/>
  <c r="AB1392" i="3"/>
  <c r="AB1059" i="3"/>
  <c r="AB1112" i="3"/>
  <c r="AB1125" i="3"/>
  <c r="AB1199" i="3"/>
  <c r="AB1212" i="3"/>
  <c r="AB1218" i="3"/>
  <c r="AB1224" i="3"/>
  <c r="AB1160" i="3"/>
  <c r="AB1173" i="3"/>
  <c r="AB1193" i="3"/>
  <c r="AB1323" i="3"/>
  <c r="AB1339" i="3"/>
  <c r="AB1355" i="3"/>
  <c r="AB1371" i="3"/>
  <c r="AB1387" i="3"/>
  <c r="AB1403" i="3"/>
  <c r="AB930" i="3"/>
  <c r="AB975" i="3"/>
  <c r="AB1049" i="3"/>
  <c r="AB1080" i="3"/>
  <c r="AB1089" i="3"/>
  <c r="AB1133" i="3"/>
  <c r="AB1146" i="3"/>
  <c r="AB1187" i="3"/>
  <c r="AB1230" i="3"/>
  <c r="AB1241" i="3"/>
  <c r="AB1263" i="3"/>
  <c r="AB1274" i="3"/>
  <c r="AB1285" i="3"/>
  <c r="AB1012" i="3"/>
  <c r="AB1098" i="3"/>
  <c r="AB1106" i="3"/>
  <c r="AB1119" i="3"/>
  <c r="AB1318" i="3"/>
  <c r="AB1334" i="3"/>
  <c r="AB1350" i="3"/>
  <c r="AB1382" i="3"/>
  <c r="AB996" i="3"/>
  <c r="AB1070" i="3"/>
  <c r="AB1154" i="3"/>
  <c r="AB1167" i="3"/>
  <c r="AB1280" i="3"/>
  <c r="AB1291" i="3"/>
  <c r="AB1302" i="3"/>
  <c r="AB936" i="3"/>
  <c r="AB1039" i="3"/>
  <c r="AB1127" i="3"/>
  <c r="AB1236" i="3"/>
  <c r="AB1258" i="3"/>
  <c r="AB1313" i="3"/>
  <c r="AB1345" i="3"/>
  <c r="AB1361" i="3"/>
  <c r="AB1393" i="3"/>
  <c r="AB1060" i="3"/>
  <c r="AB1113" i="3"/>
  <c r="AB1175" i="3"/>
  <c r="AB1207" i="3"/>
  <c r="AB1219" i="3"/>
  <c r="AB1225" i="3"/>
  <c r="AB1148" i="3"/>
  <c r="AB1161" i="3"/>
  <c r="AB1194" i="3"/>
  <c r="AB1275" i="3"/>
  <c r="AB1297" i="3"/>
  <c r="AB1324" i="3"/>
  <c r="AB1050" i="3"/>
  <c r="AB1081" i="3"/>
  <c r="AB1100" i="3"/>
  <c r="AB1134" i="3"/>
  <c r="AB1242" i="3"/>
  <c r="AB980" i="3"/>
  <c r="AB1013" i="3"/>
  <c r="AB1107" i="3"/>
  <c r="AB1071" i="3"/>
  <c r="AB1195" i="3"/>
  <c r="AB1259" i="3"/>
  <c r="AB1270" i="3"/>
  <c r="AB1281" i="3"/>
  <c r="AB1292" i="3"/>
  <c r="AB1303" i="3"/>
  <c r="AB1016" i="3"/>
  <c r="AB1053" i="3"/>
  <c r="AB1141" i="3"/>
  <c r="AB1237" i="3"/>
  <c r="AB1314" i="3"/>
  <c r="AB1061" i="3"/>
  <c r="AB1101" i="3"/>
  <c r="AB1114" i="3"/>
  <c r="AB1176" i="3"/>
  <c r="AB1214" i="3"/>
  <c r="AB1226" i="3"/>
  <c r="AB1043" i="3"/>
  <c r="AB1092" i="3"/>
  <c r="AB1149" i="3"/>
  <c r="AB1162" i="3"/>
  <c r="AB1202" i="3"/>
  <c r="AB1254" i="3"/>
  <c r="AB1276" i="3"/>
  <c r="AB1287" i="3"/>
  <c r="AB1298" i="3"/>
  <c r="AB1309" i="3"/>
  <c r="AB1325" i="3"/>
  <c r="AB1341" i="3"/>
  <c r="AB1029" i="3"/>
  <c r="AB1135" i="3"/>
  <c r="AB1189" i="3"/>
  <c r="AB1196" i="3"/>
  <c r="AB981" i="3"/>
  <c r="AB1170" i="3"/>
  <c r="AB985" i="3"/>
  <c r="AB1183" i="3"/>
  <c r="AB1190" i="3"/>
  <c r="AB1238" i="3"/>
  <c r="AB1249" i="3"/>
  <c r="AB1260" i="3"/>
  <c r="AB1271" i="3"/>
  <c r="AB1282" i="3"/>
  <c r="AB1054" i="3"/>
  <c r="AB1085" i="3"/>
  <c r="AB1116" i="3"/>
  <c r="AB1129" i="3"/>
  <c r="AB1227" i="3"/>
  <c r="AB1102" i="3"/>
  <c r="AB1164" i="3"/>
  <c r="AB1177" i="3"/>
  <c r="AB1209" i="3"/>
  <c r="AB1215" i="3"/>
  <c r="AB1221" i="3"/>
  <c r="AB1044" i="3"/>
  <c r="AB1075" i="3"/>
  <c r="AB1137" i="3"/>
  <c r="AB1255" i="3"/>
  <c r="AB1277" i="3"/>
  <c r="AB1123" i="3"/>
  <c r="AB1197" i="3"/>
  <c r="AB1065" i="3"/>
  <c r="AB1109" i="3"/>
  <c r="AB1171" i="3"/>
  <c r="AB1191" i="3"/>
  <c r="AB986" i="3"/>
  <c r="AB1021" i="3"/>
  <c r="AB1185" i="3"/>
  <c r="AB1096" i="3"/>
  <c r="AB1117" i="3"/>
  <c r="AB1130" i="3"/>
  <c r="AB1336" i="3"/>
  <c r="AB1408" i="3"/>
  <c r="AB1422" i="3"/>
  <c r="AB1484" i="3"/>
  <c r="AB1533" i="3"/>
  <c r="AB1550" i="3"/>
  <c r="AB1561" i="3"/>
  <c r="AB1572" i="3"/>
  <c r="AB1627" i="3"/>
  <c r="AB1643" i="3"/>
  <c r="AB1659" i="3"/>
  <c r="AB1691" i="3"/>
  <c r="AB1723" i="3"/>
  <c r="AB1755" i="3"/>
  <c r="AB1771" i="3"/>
  <c r="AB1787" i="3"/>
  <c r="AB1803" i="3"/>
  <c r="AB1835" i="3"/>
  <c r="AB1851" i="3"/>
  <c r="AB1867" i="3"/>
  <c r="AB1304" i="3"/>
  <c r="AB1379" i="3"/>
  <c r="AB1457" i="3"/>
  <c r="AB1430" i="3"/>
  <c r="AB1443" i="3"/>
  <c r="AB1516" i="3"/>
  <c r="AB1539" i="3"/>
  <c r="AB1567" i="3"/>
  <c r="AB1578" i="3"/>
  <c r="AB1589" i="3"/>
  <c r="AB1600" i="3"/>
  <c r="AB1611" i="3"/>
  <c r="AB1622" i="3"/>
  <c r="AB1638" i="3"/>
  <c r="AB1654" i="3"/>
  <c r="AB1670" i="3"/>
  <c r="AB1686" i="3"/>
  <c r="AB1702" i="3"/>
  <c r="AB1718" i="3"/>
  <c r="AB1734" i="3"/>
  <c r="AB1766" i="3"/>
  <c r="AB1782" i="3"/>
  <c r="AB1798" i="3"/>
  <c r="AB1814" i="3"/>
  <c r="AB1348" i="3"/>
  <c r="AB1416" i="3"/>
  <c r="AB1478" i="3"/>
  <c r="AB1510" i="3"/>
  <c r="AB1321" i="3"/>
  <c r="AB1400" i="3"/>
  <c r="AB1451" i="3"/>
  <c r="AB1497" i="3"/>
  <c r="AB1504" i="3"/>
  <c r="AB1545" i="3"/>
  <c r="AB1649" i="3"/>
  <c r="AB1681" i="3"/>
  <c r="AB1713" i="3"/>
  <c r="AB1761" i="3"/>
  <c r="AB1777" i="3"/>
  <c r="AB1228" i="3"/>
  <c r="AB1351" i="3"/>
  <c r="AB1390" i="3"/>
  <c r="AB1424" i="3"/>
  <c r="AB1491" i="3"/>
  <c r="AB1551" i="3"/>
  <c r="AB1573" i="3"/>
  <c r="AB1584" i="3"/>
  <c r="AB1595" i="3"/>
  <c r="AB1617" i="3"/>
  <c r="AB1372" i="3"/>
  <c r="AB1472" i="3"/>
  <c r="AB1485" i="3"/>
  <c r="AB1628" i="3"/>
  <c r="AB1692" i="3"/>
  <c r="AB1740" i="3"/>
  <c r="AB1772" i="3"/>
  <c r="AB1788" i="3"/>
  <c r="AB1804" i="3"/>
  <c r="AB1820" i="3"/>
  <c r="AB1305" i="3"/>
  <c r="AB1410" i="3"/>
  <c r="AB1458" i="3"/>
  <c r="AB1498" i="3"/>
  <c r="AB1362" i="3"/>
  <c r="AB1431" i="3"/>
  <c r="AB1517" i="3"/>
  <c r="AB1523" i="3"/>
  <c r="AB1540" i="3"/>
  <c r="AB1579" i="3"/>
  <c r="AB1612" i="3"/>
  <c r="AB1623" i="3"/>
  <c r="AB1639" i="3"/>
  <c r="AB1671" i="3"/>
  <c r="AB1687" i="3"/>
  <c r="AB1239" i="3"/>
  <c r="AB1288" i="3"/>
  <c r="AB1340" i="3"/>
  <c r="AB1417" i="3"/>
  <c r="AB1479" i="3"/>
  <c r="AB1546" i="3"/>
  <c r="AB1352" i="3"/>
  <c r="AB1383" i="3"/>
  <c r="AB1401" i="3"/>
  <c r="AB1452" i="3"/>
  <c r="AB1465" i="3"/>
  <c r="AB1529" i="3"/>
  <c r="AB1634" i="3"/>
  <c r="AB1650" i="3"/>
  <c r="AB1666" i="3"/>
  <c r="AB1682" i="3"/>
  <c r="AB1698" i="3"/>
  <c r="AB1714" i="3"/>
  <c r="AB1425" i="3"/>
  <c r="AB1438" i="3"/>
  <c r="AB1492" i="3"/>
  <c r="AB1499" i="3"/>
  <c r="AB1535" i="3"/>
  <c r="AB1585" i="3"/>
  <c r="AB1596" i="3"/>
  <c r="AB1373" i="3"/>
  <c r="AB1473" i="3"/>
  <c r="AB1486" i="3"/>
  <c r="AB1629" i="3"/>
  <c r="AB1661" i="3"/>
  <c r="AB1693" i="3"/>
  <c r="AB1310" i="3"/>
  <c r="AB1446" i="3"/>
  <c r="AB1493" i="3"/>
  <c r="AB1363" i="3"/>
  <c r="AB1394" i="3"/>
  <c r="AB1432" i="3"/>
  <c r="AB1518" i="3"/>
  <c r="AB1547" i="3"/>
  <c r="AB1558" i="3"/>
  <c r="AB1569" i="3"/>
  <c r="AB1580" i="3"/>
  <c r="AB1591" i="3"/>
  <c r="AB1602" i="3"/>
  <c r="AB1624" i="3"/>
  <c r="AB1640" i="3"/>
  <c r="AB1656" i="3"/>
  <c r="AB1672" i="3"/>
  <c r="AB1704" i="3"/>
  <c r="AB1250" i="3"/>
  <c r="AB1404" i="3"/>
  <c r="AB1467" i="3"/>
  <c r="AB1480" i="3"/>
  <c r="AB1530" i="3"/>
  <c r="AB1353" i="3"/>
  <c r="AB1384" i="3"/>
  <c r="AB1453" i="3"/>
  <c r="AB1536" i="3"/>
  <c r="AB1635" i="3"/>
  <c r="AB1667" i="3"/>
  <c r="AB1500" i="3"/>
  <c r="AB1553" i="3"/>
  <c r="AB1575" i="3"/>
  <c r="AB1586" i="3"/>
  <c r="AB1597" i="3"/>
  <c r="AB1608" i="3"/>
  <c r="AB1619" i="3"/>
  <c r="AB1542" i="3"/>
  <c r="AB1630" i="3"/>
  <c r="AB1356" i="3"/>
  <c r="AB1412" i="3"/>
  <c r="AB1447" i="3"/>
  <c r="AB1488" i="3"/>
  <c r="AB1525" i="3"/>
  <c r="AB1395" i="3"/>
  <c r="AB1420" i="3"/>
  <c r="AB1548" i="3"/>
  <c r="AB1570" i="3"/>
  <c r="AB1581" i="3"/>
  <c r="AB1592" i="3"/>
  <c r="AB1641" i="3"/>
  <c r="AB1261" i="3"/>
  <c r="AB1294" i="3"/>
  <c r="AB1315" i="3"/>
  <c r="AB1405" i="3"/>
  <c r="AB1481" i="3"/>
  <c r="AB1513" i="3"/>
  <c r="AB1331" i="3"/>
  <c r="AB1385" i="3"/>
  <c r="AB1441" i="3"/>
  <c r="AB1454" i="3"/>
  <c r="AB1507" i="3"/>
  <c r="AB1537" i="3"/>
  <c r="AB1427" i="3"/>
  <c r="AB1501" i="3"/>
  <c r="AB1554" i="3"/>
  <c r="AB1565" i="3"/>
  <c r="AB1576" i="3"/>
  <c r="AB1587" i="3"/>
  <c r="AB1414" i="3"/>
  <c r="AB1462" i="3"/>
  <c r="AB1475" i="3"/>
  <c r="AB1495" i="3"/>
  <c r="AB1514" i="3"/>
  <c r="AB1526" i="3"/>
  <c r="AB1435" i="3"/>
  <c r="AB1448" i="3"/>
  <c r="AB1489" i="3"/>
  <c r="AB1396" i="3"/>
  <c r="AB1421" i="3"/>
  <c r="AB1483" i="3"/>
  <c r="AB1532" i="3"/>
  <c r="AB1549" i="3"/>
  <c r="AB1560" i="3"/>
  <c r="AB1272" i="3"/>
  <c r="AB1299" i="3"/>
  <c r="AB1316" i="3"/>
  <c r="AB1378" i="3"/>
  <c r="AB1406" i="3"/>
  <c r="AB1456" i="3"/>
  <c r="AB1319" i="3"/>
  <c r="AB1332" i="3"/>
  <c r="AB1442" i="3"/>
  <c r="AB1508" i="3"/>
  <c r="AB1515" i="3"/>
  <c r="AB1521" i="3"/>
  <c r="AB1368" i="3"/>
  <c r="AB1415" i="3"/>
  <c r="AB1428" i="3"/>
  <c r="AB1502" i="3"/>
  <c r="AB1320" i="3"/>
  <c r="AB1335" i="3"/>
  <c r="AB1399" i="3"/>
  <c r="AB1463" i="3"/>
  <c r="AB1476" i="3"/>
  <c r="AB1509" i="3"/>
  <c r="AB1358" i="3"/>
  <c r="AB1389" i="3"/>
  <c r="AB1436" i="3"/>
  <c r="AB1449" i="3"/>
  <c r="AB1588" i="3"/>
  <c r="AB1774" i="3"/>
  <c r="AB1855" i="3"/>
  <c r="AB1872" i="3"/>
  <c r="AB1878" i="3"/>
  <c r="AB1673" i="3"/>
  <c r="AB1760" i="3"/>
  <c r="AB1927" i="3"/>
  <c r="AB1943" i="3"/>
  <c r="AB1959" i="3"/>
  <c r="AB1975" i="3"/>
  <c r="AB1991" i="3"/>
  <c r="AB2007" i="3"/>
  <c r="AB2039" i="3"/>
  <c r="AB2082" i="3"/>
  <c r="AB2040" i="3"/>
  <c r="AB1733" i="3"/>
  <c r="AB1844" i="3"/>
  <c r="AB1861" i="3"/>
  <c r="AB1615" i="3"/>
  <c r="AB1694" i="3"/>
  <c r="AB1781" i="3"/>
  <c r="AB1808" i="3"/>
  <c r="AB1821" i="3"/>
  <c r="AB1827" i="3"/>
  <c r="AB1906" i="3"/>
  <c r="AB1922" i="3"/>
  <c r="AB1938" i="3"/>
  <c r="AB1954" i="3"/>
  <c r="AB2034" i="3"/>
  <c r="AB2066" i="3"/>
  <c r="AB1741" i="3"/>
  <c r="AB1833" i="3"/>
  <c r="AB1850" i="3"/>
  <c r="AB1648" i="3"/>
  <c r="AB1684" i="3"/>
  <c r="AB1727" i="3"/>
  <c r="AB1802" i="3"/>
  <c r="AB1917" i="3"/>
  <c r="AB1949" i="3"/>
  <c r="AB1965" i="3"/>
  <c r="AB2029" i="3"/>
  <c r="AB2045" i="3"/>
  <c r="AB2061" i="3"/>
  <c r="AB1663" i="3"/>
  <c r="AB1879" i="3"/>
  <c r="AB2008" i="3"/>
  <c r="AB1544" i="3"/>
  <c r="AB1594" i="3"/>
  <c r="AB1636" i="3"/>
  <c r="AB1674" i="3"/>
  <c r="AB1705" i="3"/>
  <c r="AB1735" i="3"/>
  <c r="AB1748" i="3"/>
  <c r="AB1896" i="3"/>
  <c r="AB1912" i="3"/>
  <c r="AB1928" i="3"/>
  <c r="AB1960" i="3"/>
  <c r="AB1976" i="3"/>
  <c r="AB1598" i="3"/>
  <c r="AB1783" i="3"/>
  <c r="AB1845" i="3"/>
  <c r="AB1885" i="3"/>
  <c r="AB1652" i="3"/>
  <c r="AB1816" i="3"/>
  <c r="AB1822" i="3"/>
  <c r="AB1828" i="3"/>
  <c r="AB1907" i="3"/>
  <c r="AB1955" i="3"/>
  <c r="AB1987" i="3"/>
  <c r="AB2003" i="3"/>
  <c r="AB2019" i="3"/>
  <c r="AB2051" i="3"/>
  <c r="AB1620" i="3"/>
  <c r="AB1742" i="3"/>
  <c r="AB1834" i="3"/>
  <c r="AB1857" i="3"/>
  <c r="AB1874" i="3"/>
  <c r="AB1599" i="3"/>
  <c r="AB1728" i="3"/>
  <c r="AB1790" i="3"/>
  <c r="AB1918" i="3"/>
  <c r="AB1934" i="3"/>
  <c r="AB1998" i="3"/>
  <c r="AB2030" i="3"/>
  <c r="AB2046" i="3"/>
  <c r="AB2062" i="3"/>
  <c r="AB1555" i="3"/>
  <c r="AB1664" i="3"/>
  <c r="AB1763" i="3"/>
  <c r="AB1776" i="3"/>
  <c r="AB1840" i="3"/>
  <c r="AB1863" i="3"/>
  <c r="AB1880" i="3"/>
  <c r="AB1637" i="3"/>
  <c r="AB1736" i="3"/>
  <c r="AB1897" i="3"/>
  <c r="AB1913" i="3"/>
  <c r="AB1929" i="3"/>
  <c r="AB1945" i="3"/>
  <c r="AB1977" i="3"/>
  <c r="AB2009" i="3"/>
  <c r="AB1797" i="3"/>
  <c r="AB1696" i="3"/>
  <c r="AB1757" i="3"/>
  <c r="AB1817" i="3"/>
  <c r="AB1829" i="3"/>
  <c r="AB1924" i="3"/>
  <c r="AB1956" i="3"/>
  <c r="AB1972" i="3"/>
  <c r="AB1678" i="3"/>
  <c r="AB1730" i="3"/>
  <c r="AB1743" i="3"/>
  <c r="AB1858" i="3"/>
  <c r="AB1875" i="3"/>
  <c r="AB1892" i="3"/>
  <c r="AB1716" i="3"/>
  <c r="AB1778" i="3"/>
  <c r="AB1805" i="3"/>
  <c r="AB1903" i="3"/>
  <c r="AB1919" i="3"/>
  <c r="AB1935" i="3"/>
  <c r="AB1951" i="3"/>
  <c r="AB1967" i="3"/>
  <c r="AB1604" i="3"/>
  <c r="AB1864" i="3"/>
  <c r="AB1881" i="3"/>
  <c r="AB1799" i="3"/>
  <c r="AB1830" i="3"/>
  <c r="AB1898" i="3"/>
  <c r="AB1914" i="3"/>
  <c r="AB1946" i="3"/>
  <c r="AB2010" i="3"/>
  <c r="AB1689" i="3"/>
  <c r="AB1709" i="3"/>
  <c r="AB1785" i="3"/>
  <c r="AB1836" i="3"/>
  <c r="AB1887" i="3"/>
  <c r="AB1758" i="3"/>
  <c r="AB1818" i="3"/>
  <c r="AB1824" i="3"/>
  <c r="AB1909" i="3"/>
  <c r="AB1941" i="3"/>
  <c r="AB1973" i="3"/>
  <c r="AB2005" i="3"/>
  <c r="AB1626" i="3"/>
  <c r="AB1642" i="3"/>
  <c r="AB1679" i="3"/>
  <c r="AB1731" i="3"/>
  <c r="AB1744" i="3"/>
  <c r="AB1812" i="3"/>
  <c r="AB1842" i="3"/>
  <c r="AB1876" i="3"/>
  <c r="AB1717" i="3"/>
  <c r="AB1792" i="3"/>
  <c r="AB1806" i="3"/>
  <c r="AB1904" i="3"/>
  <c r="AB1920" i="3"/>
  <c r="AB1936" i="3"/>
  <c r="AB1952" i="3"/>
  <c r="AB1577" i="3"/>
  <c r="AB1609" i="3"/>
  <c r="AB1710" i="3"/>
  <c r="AB1765" i="3"/>
  <c r="AB1831" i="3"/>
  <c r="AB1865" i="3"/>
  <c r="AB1725" i="3"/>
  <c r="AB1825" i="3"/>
  <c r="AB1690" i="3"/>
  <c r="AB1773" i="3"/>
  <c r="AB1786" i="3"/>
  <c r="AB1854" i="3"/>
  <c r="AB1871" i="3"/>
  <c r="AB1888" i="3"/>
  <c r="AB1746" i="3"/>
  <c r="AB1759" i="3"/>
  <c r="AB1894" i="3"/>
  <c r="AB1910" i="3"/>
  <c r="AB1926" i="3"/>
  <c r="AB1680" i="3"/>
  <c r="AB1732" i="3"/>
  <c r="AB1813" i="3"/>
  <c r="AB1860" i="3"/>
  <c r="AB1877" i="3"/>
  <c r="AB1583" i="3"/>
  <c r="AB1610" i="3"/>
  <c r="AB1767" i="3"/>
  <c r="AB1780" i="3"/>
  <c r="AB1807" i="3"/>
  <c r="AB1826" i="3"/>
  <c r="AB1711" i="3"/>
  <c r="AB1753" i="3"/>
  <c r="AB1849" i="3"/>
  <c r="AB1866" i="3"/>
  <c r="AB1647" i="3"/>
  <c r="AB1726" i="3"/>
  <c r="AB1916" i="3"/>
  <c r="J2054" i="3"/>
  <c r="X2054" i="3" s="1"/>
  <c r="AB2043" i="3"/>
  <c r="Z2033" i="3"/>
  <c r="K2022" i="3"/>
  <c r="Y2022" i="3" s="1"/>
  <c r="J2007" i="3"/>
  <c r="X2007" i="3" s="1"/>
  <c r="Z1994" i="3"/>
  <c r="AA1979" i="3"/>
  <c r="I1959" i="3"/>
  <c r="W1959" i="3" s="1"/>
  <c r="Z1900" i="3"/>
  <c r="AA2079" i="3"/>
  <c r="I2073" i="3"/>
  <c r="W2073" i="3" s="1"/>
  <c r="K2064" i="3"/>
  <c r="Y2064" i="3" s="1"/>
  <c r="I2054" i="3"/>
  <c r="W2054" i="3" s="1"/>
  <c r="AA2043" i="3"/>
  <c r="K2033" i="3"/>
  <c r="Y2033" i="3" s="1"/>
  <c r="J2022" i="3"/>
  <c r="X2022" i="3" s="1"/>
  <c r="I2007" i="3"/>
  <c r="W2007" i="3" s="1"/>
  <c r="J1994" i="3"/>
  <c r="X1994" i="3" s="1"/>
  <c r="Z1979" i="3"/>
  <c r="AB1958" i="3"/>
  <c r="K1895" i="3"/>
  <c r="Y1895" i="3" s="1"/>
  <c r="AB2079" i="3"/>
  <c r="I8" i="3"/>
  <c r="Z2079" i="3"/>
  <c r="Z2071" i="3"/>
  <c r="J2064" i="3"/>
  <c r="X2064" i="3" s="1"/>
  <c r="AB2053" i="3"/>
  <c r="Z2043" i="3"/>
  <c r="J2033" i="3"/>
  <c r="X2033" i="3" s="1"/>
  <c r="I2022" i="3"/>
  <c r="W2022" i="3" s="1"/>
  <c r="Z1991" i="3"/>
  <c r="Z1975" i="3"/>
  <c r="J1895" i="3"/>
  <c r="X1895" i="3" s="1"/>
  <c r="AA19" i="3"/>
  <c r="AA35" i="3"/>
  <c r="AA51" i="3"/>
  <c r="AA67" i="3"/>
  <c r="AA83" i="3"/>
  <c r="AA99" i="3"/>
  <c r="AA115" i="3"/>
  <c r="AA131" i="3"/>
  <c r="AA147" i="3"/>
  <c r="AA163" i="3"/>
  <c r="AA179" i="3"/>
  <c r="AA195" i="3"/>
  <c r="AA211" i="3"/>
  <c r="AA227" i="3"/>
  <c r="AA243" i="3"/>
  <c r="AA259" i="3"/>
  <c r="AA275" i="3"/>
  <c r="AA291" i="3"/>
  <c r="AA307" i="3"/>
  <c r="AA323" i="3"/>
  <c r="AA339" i="3"/>
  <c r="AA355" i="3"/>
  <c r="AA371" i="3"/>
  <c r="AA387" i="3"/>
  <c r="AA403" i="3"/>
  <c r="AA419" i="3"/>
  <c r="AA435" i="3"/>
  <c r="AA451" i="3"/>
  <c r="AA14" i="3"/>
  <c r="AA30" i="3"/>
  <c r="AA46" i="3"/>
  <c r="AA62" i="3"/>
  <c r="AA78" i="3"/>
  <c r="AA94" i="3"/>
  <c r="AA110" i="3"/>
  <c r="AA126" i="3"/>
  <c r="AA142" i="3"/>
  <c r="AA158" i="3"/>
  <c r="AA174" i="3"/>
  <c r="AA190" i="3"/>
  <c r="AA9" i="3"/>
  <c r="AA25" i="3"/>
  <c r="AA41" i="3"/>
  <c r="AA57" i="3"/>
  <c r="AA73" i="3"/>
  <c r="AA89" i="3"/>
  <c r="AA105" i="3"/>
  <c r="AA121" i="3"/>
  <c r="AA137" i="3"/>
  <c r="AA153" i="3"/>
  <c r="AA169" i="3"/>
  <c r="AA185" i="3"/>
  <c r="AA20" i="3"/>
  <c r="AA36" i="3"/>
  <c r="AA52" i="3"/>
  <c r="AA68" i="3"/>
  <c r="AA84" i="3"/>
  <c r="AA100" i="3"/>
  <c r="AA116" i="3"/>
  <c r="AA132" i="3"/>
  <c r="AA148" i="3"/>
  <c r="AA164" i="3"/>
  <c r="AA180" i="3"/>
  <c r="AA196" i="3"/>
  <c r="AA212" i="3"/>
  <c r="AA228" i="3"/>
  <c r="AA244" i="3"/>
  <c r="AA260" i="3"/>
  <c r="AA276" i="3"/>
  <c r="AA292" i="3"/>
  <c r="AA15" i="3"/>
  <c r="AA31" i="3"/>
  <c r="AA47" i="3"/>
  <c r="AA63" i="3"/>
  <c r="AA79" i="3"/>
  <c r="AA95" i="3"/>
  <c r="AA111" i="3"/>
  <c r="AA127" i="3"/>
  <c r="AA143" i="3"/>
  <c r="AA159" i="3"/>
  <c r="AA175" i="3"/>
  <c r="AA191" i="3"/>
  <c r="AA207" i="3"/>
  <c r="AA223" i="3"/>
  <c r="AA239" i="3"/>
  <c r="AA255" i="3"/>
  <c r="AA271" i="3"/>
  <c r="AA287" i="3"/>
  <c r="AA303" i="3"/>
  <c r="AA10" i="3"/>
  <c r="AA26" i="3"/>
  <c r="AA42" i="3"/>
  <c r="AA58" i="3"/>
  <c r="AA74" i="3"/>
  <c r="AA90" i="3"/>
  <c r="AA106" i="3"/>
  <c r="AA122" i="3"/>
  <c r="AA138" i="3"/>
  <c r="AA154" i="3"/>
  <c r="AA170" i="3"/>
  <c r="AA186" i="3"/>
  <c r="AA202" i="3"/>
  <c r="AA218" i="3"/>
  <c r="AA234" i="3"/>
  <c r="AA250" i="3"/>
  <c r="AA266" i="3"/>
  <c r="AA282" i="3"/>
  <c r="AA298" i="3"/>
  <c r="AA21" i="3"/>
  <c r="AA37" i="3"/>
  <c r="AA53" i="3"/>
  <c r="AA69" i="3"/>
  <c r="AA85" i="3"/>
  <c r="AA101" i="3"/>
  <c r="AA117" i="3"/>
  <c r="AA133" i="3"/>
  <c r="AA149" i="3"/>
  <c r="AA165" i="3"/>
  <c r="AA181" i="3"/>
  <c r="AA197" i="3"/>
  <c r="AA213" i="3"/>
  <c r="AA229" i="3"/>
  <c r="AA245" i="3"/>
  <c r="AA261" i="3"/>
  <c r="AA277" i="3"/>
  <c r="AA16" i="3"/>
  <c r="AA32" i="3"/>
  <c r="AA48" i="3"/>
  <c r="AA64" i="3"/>
  <c r="AA80" i="3"/>
  <c r="AA96" i="3"/>
  <c r="AA112" i="3"/>
  <c r="AA128" i="3"/>
  <c r="AA144" i="3"/>
  <c r="AA160" i="3"/>
  <c r="AA176" i="3"/>
  <c r="AA192" i="3"/>
  <c r="AA208" i="3"/>
  <c r="AA11" i="3"/>
  <c r="AA27" i="3"/>
  <c r="AA43" i="3"/>
  <c r="AA59" i="3"/>
  <c r="AA75" i="3"/>
  <c r="AA91" i="3"/>
  <c r="AA107" i="3"/>
  <c r="AA123" i="3"/>
  <c r="AA139" i="3"/>
  <c r="AA155" i="3"/>
  <c r="AA171" i="3"/>
  <c r="AA187" i="3"/>
  <c r="AA203" i="3"/>
  <c r="AA219" i="3"/>
  <c r="AA235" i="3"/>
  <c r="AA251" i="3"/>
  <c r="AA22" i="3"/>
  <c r="AA38" i="3"/>
  <c r="AA54" i="3"/>
  <c r="AA70" i="3"/>
  <c r="AA86" i="3"/>
  <c r="AA102" i="3"/>
  <c r="AA118" i="3"/>
  <c r="AA134" i="3"/>
  <c r="AA150" i="3"/>
  <c r="AA166" i="3"/>
  <c r="AA182" i="3"/>
  <c r="AA198" i="3"/>
  <c r="AA214" i="3"/>
  <c r="AA230" i="3"/>
  <c r="AA246" i="3"/>
  <c r="AA17" i="3"/>
  <c r="AA33" i="3"/>
  <c r="AA49" i="3"/>
  <c r="AA65" i="3"/>
  <c r="AA81" i="3"/>
  <c r="AA97" i="3"/>
  <c r="AA113" i="3"/>
  <c r="AA129" i="3"/>
  <c r="AA145" i="3"/>
  <c r="AA161" i="3"/>
  <c r="AA177" i="3"/>
  <c r="AA193" i="3"/>
  <c r="AA209" i="3"/>
  <c r="AA225" i="3"/>
  <c r="AA12" i="3"/>
  <c r="AA28" i="3"/>
  <c r="AA44" i="3"/>
  <c r="AA60" i="3"/>
  <c r="AA76" i="3"/>
  <c r="AA92" i="3"/>
  <c r="AA108" i="3"/>
  <c r="AA124" i="3"/>
  <c r="AA23" i="3"/>
  <c r="AA39" i="3"/>
  <c r="AA55" i="3"/>
  <c r="AA71" i="3"/>
  <c r="AA87" i="3"/>
  <c r="AA103" i="3"/>
  <c r="AA119" i="3"/>
  <c r="AA135" i="3"/>
  <c r="AA151" i="3"/>
  <c r="AA18" i="3"/>
  <c r="AA34" i="3"/>
  <c r="AA50" i="3"/>
  <c r="AA66" i="3"/>
  <c r="AA82" i="3"/>
  <c r="AA98" i="3"/>
  <c r="AA114" i="3"/>
  <c r="AA13" i="3"/>
  <c r="AA29" i="3"/>
  <c r="AA45" i="3"/>
  <c r="AA61" i="3"/>
  <c r="AA77" i="3"/>
  <c r="AA93" i="3"/>
  <c r="AA24" i="3"/>
  <c r="AA40" i="3"/>
  <c r="AA56" i="3"/>
  <c r="AA146" i="3"/>
  <c r="AA257" i="3"/>
  <c r="AA336" i="3"/>
  <c r="AA265" i="3"/>
  <c r="AA330" i="3"/>
  <c r="AA342" i="3"/>
  <c r="AA359" i="3"/>
  <c r="AA376" i="3"/>
  <c r="AA399" i="3"/>
  <c r="AA416" i="3"/>
  <c r="AA471" i="3"/>
  <c r="AA487" i="3"/>
  <c r="AA503" i="3"/>
  <c r="AA519" i="3"/>
  <c r="AA535" i="3"/>
  <c r="AA551" i="3"/>
  <c r="AA567" i="3"/>
  <c r="AA583" i="3"/>
  <c r="AA599" i="3"/>
  <c r="AA615" i="3"/>
  <c r="AA631" i="3"/>
  <c r="AA647" i="3"/>
  <c r="AA663" i="3"/>
  <c r="AA238" i="3"/>
  <c r="AA274" i="3"/>
  <c r="AA297" i="3"/>
  <c r="AA317" i="3"/>
  <c r="AA382" i="3"/>
  <c r="AA433" i="3"/>
  <c r="AA444" i="3"/>
  <c r="AA455" i="3"/>
  <c r="AA125" i="3"/>
  <c r="AA183" i="3"/>
  <c r="AA283" i="3"/>
  <c r="AA311" i="3"/>
  <c r="AA324" i="3"/>
  <c r="AA348" i="3"/>
  <c r="AA365" i="3"/>
  <c r="AA388" i="3"/>
  <c r="AA405" i="3"/>
  <c r="AA422" i="3"/>
  <c r="AA466" i="3"/>
  <c r="AA482" i="3"/>
  <c r="AA498" i="3"/>
  <c r="AA514" i="3"/>
  <c r="AA530" i="3"/>
  <c r="AA546" i="3"/>
  <c r="AA562" i="3"/>
  <c r="AA578" i="3"/>
  <c r="AA594" i="3"/>
  <c r="AA220" i="3"/>
  <c r="AA240" i="3"/>
  <c r="AA248" i="3"/>
  <c r="AA267" i="3"/>
  <c r="AA290" i="3"/>
  <c r="AA305" i="3"/>
  <c r="AA167" i="3"/>
  <c r="AA354" i="3"/>
  <c r="AA377" i="3"/>
  <c r="AA394" i="3"/>
  <c r="AA411" i="3"/>
  <c r="AA428" i="3"/>
  <c r="AA439" i="3"/>
  <c r="AA450" i="3"/>
  <c r="AA461" i="3"/>
  <c r="AA477" i="3"/>
  <c r="AA493" i="3"/>
  <c r="AA509" i="3"/>
  <c r="AA525" i="3"/>
  <c r="AA541" i="3"/>
  <c r="AA557" i="3"/>
  <c r="AA573" i="3"/>
  <c r="AA589" i="3"/>
  <c r="AA605" i="3"/>
  <c r="AA258" i="3"/>
  <c r="AA318" i="3"/>
  <c r="AA337" i="3"/>
  <c r="AA249" i="3"/>
  <c r="AA331" i="3"/>
  <c r="AA343" i="3"/>
  <c r="AA360" i="3"/>
  <c r="AA383" i="3"/>
  <c r="AA400" i="3"/>
  <c r="AA417" i="3"/>
  <c r="AA472" i="3"/>
  <c r="AA130" i="3"/>
  <c r="AA199" i="3"/>
  <c r="AA210" i="3"/>
  <c r="AA231" i="3"/>
  <c r="AA241" i="3"/>
  <c r="AA299" i="3"/>
  <c r="AA325" i="3"/>
  <c r="AA366" i="3"/>
  <c r="AA434" i="3"/>
  <c r="AA445" i="3"/>
  <c r="AA456" i="3"/>
  <c r="AA184" i="3"/>
  <c r="AA284" i="3"/>
  <c r="AA312" i="3"/>
  <c r="AA319" i="3"/>
  <c r="AA349" i="3"/>
  <c r="AA372" i="3"/>
  <c r="AA389" i="3"/>
  <c r="AA406" i="3"/>
  <c r="AA423" i="3"/>
  <c r="AA467" i="3"/>
  <c r="AA483" i="3"/>
  <c r="AA221" i="3"/>
  <c r="AA268" i="3"/>
  <c r="AA306" i="3"/>
  <c r="AA104" i="3"/>
  <c r="AA168" i="3"/>
  <c r="AA361" i="3"/>
  <c r="AA378" i="3"/>
  <c r="AA395" i="3"/>
  <c r="AA412" i="3"/>
  <c r="AA429" i="3"/>
  <c r="AA440" i="3"/>
  <c r="AA462" i="3"/>
  <c r="AA478" i="3"/>
  <c r="AA494" i="3"/>
  <c r="AA188" i="3"/>
  <c r="AA313" i="3"/>
  <c r="AA338" i="3"/>
  <c r="AA152" i="3"/>
  <c r="AA172" i="3"/>
  <c r="AA293" i="3"/>
  <c r="AA332" i="3"/>
  <c r="AA344" i="3"/>
  <c r="AA367" i="3"/>
  <c r="AA384" i="3"/>
  <c r="AA401" i="3"/>
  <c r="AA418" i="3"/>
  <c r="AA446" i="3"/>
  <c r="AA457" i="3"/>
  <c r="AA473" i="3"/>
  <c r="AA489" i="3"/>
  <c r="AA200" i="3"/>
  <c r="AA222" i="3"/>
  <c r="AA232" i="3"/>
  <c r="AA242" i="3"/>
  <c r="AA300" i="3"/>
  <c r="AA326" i="3"/>
  <c r="AA350" i="3"/>
  <c r="AA109" i="3"/>
  <c r="AA156" i="3"/>
  <c r="AA252" i="3"/>
  <c r="AA278" i="3"/>
  <c r="AA285" i="3"/>
  <c r="AA320" i="3"/>
  <c r="AA356" i="3"/>
  <c r="AA373" i="3"/>
  <c r="AA390" i="3"/>
  <c r="AA407" i="3"/>
  <c r="AA424" i="3"/>
  <c r="AA224" i="3"/>
  <c r="AA269" i="3"/>
  <c r="AA314" i="3"/>
  <c r="AA430" i="3"/>
  <c r="AA441" i="3"/>
  <c r="AA201" i="3"/>
  <c r="AA233" i="3"/>
  <c r="AA345" i="3"/>
  <c r="AA362" i="3"/>
  <c r="AA379" i="3"/>
  <c r="AA396" i="3"/>
  <c r="AA413" i="3"/>
  <c r="AA189" i="3"/>
  <c r="AA262" i="3"/>
  <c r="AA308" i="3"/>
  <c r="AA72" i="3"/>
  <c r="AA173" i="3"/>
  <c r="AA286" i="3"/>
  <c r="AA294" i="3"/>
  <c r="AA333" i="3"/>
  <c r="AA351" i="3"/>
  <c r="AA368" i="3"/>
  <c r="AA385" i="3"/>
  <c r="AA402" i="3"/>
  <c r="AA425" i="3"/>
  <c r="AA436" i="3"/>
  <c r="AA447" i="3"/>
  <c r="AA136" i="3"/>
  <c r="AA270" i="3"/>
  <c r="AA301" i="3"/>
  <c r="AA327" i="3"/>
  <c r="AA157" i="3"/>
  <c r="AA204" i="3"/>
  <c r="AA253" i="3"/>
  <c r="AA279" i="3"/>
  <c r="AA321" i="3"/>
  <c r="AA340" i="3"/>
  <c r="AA357" i="3"/>
  <c r="AA374" i="3"/>
  <c r="AA391" i="3"/>
  <c r="AA408" i="3"/>
  <c r="AA140" i="3"/>
  <c r="AA215" i="3"/>
  <c r="AA272" i="3"/>
  <c r="AA315" i="3"/>
  <c r="AA309" i="3"/>
  <c r="AA334" i="3"/>
  <c r="AA346" i="3"/>
  <c r="AA363" i="3"/>
  <c r="AA380" i="3"/>
  <c r="AA226" i="3"/>
  <c r="AA236" i="3"/>
  <c r="AA263" i="3"/>
  <c r="AA288" i="3"/>
  <c r="AA302" i="3"/>
  <c r="AA254" i="3"/>
  <c r="AA295" i="3"/>
  <c r="AA352" i="3"/>
  <c r="AA369" i="3"/>
  <c r="AA141" i="3"/>
  <c r="AA328" i="3"/>
  <c r="AA335" i="3"/>
  <c r="AA178" i="3"/>
  <c r="AA205" i="3"/>
  <c r="AA256" i="3"/>
  <c r="AA280" i="3"/>
  <c r="AA322" i="3"/>
  <c r="AA341" i="3"/>
  <c r="AA358" i="3"/>
  <c r="AA375" i="3"/>
  <c r="AA194" i="3"/>
  <c r="AA216" i="3"/>
  <c r="AA273" i="3"/>
  <c r="AA316" i="3"/>
  <c r="AA162" i="3"/>
  <c r="AA120" i="3"/>
  <c r="AA237" i="3"/>
  <c r="AA247" i="3"/>
  <c r="AA264" i="3"/>
  <c r="AA281" i="3"/>
  <c r="AA289" i="3"/>
  <c r="AA304" i="3"/>
  <c r="AA88" i="3"/>
  <c r="AA206" i="3"/>
  <c r="AA217" i="3"/>
  <c r="AA296" i="3"/>
  <c r="AA310" i="3"/>
  <c r="AA496" i="3"/>
  <c r="AA564" i="3"/>
  <c r="AA584" i="3"/>
  <c r="AA602" i="3"/>
  <c r="AA625" i="3"/>
  <c r="AA636" i="3"/>
  <c r="AA420" i="3"/>
  <c r="AA459" i="3"/>
  <c r="AA531" i="3"/>
  <c r="AA544" i="3"/>
  <c r="AA608" i="3"/>
  <c r="AA680" i="3"/>
  <c r="AA696" i="3"/>
  <c r="AA712" i="3"/>
  <c r="AA728" i="3"/>
  <c r="AA744" i="3"/>
  <c r="AA760" i="3"/>
  <c r="AA776" i="3"/>
  <c r="AA792" i="3"/>
  <c r="AA808" i="3"/>
  <c r="AA824" i="3"/>
  <c r="AA840" i="3"/>
  <c r="AA856" i="3"/>
  <c r="AA872" i="3"/>
  <c r="AA888" i="3"/>
  <c r="AA904" i="3"/>
  <c r="AA920" i="3"/>
  <c r="AA936" i="3"/>
  <c r="AA952" i="3"/>
  <c r="AA968" i="3"/>
  <c r="AA504" i="3"/>
  <c r="AA517" i="3"/>
  <c r="AA558" i="3"/>
  <c r="AA577" i="3"/>
  <c r="AA614" i="3"/>
  <c r="AA642" i="3"/>
  <c r="AA653" i="3"/>
  <c r="AA664" i="3"/>
  <c r="AA480" i="3"/>
  <c r="AA675" i="3"/>
  <c r="AA691" i="3"/>
  <c r="AA707" i="3"/>
  <c r="AA723" i="3"/>
  <c r="AA739" i="3"/>
  <c r="AA755" i="3"/>
  <c r="AA771" i="3"/>
  <c r="AA787" i="3"/>
  <c r="AA803" i="3"/>
  <c r="AA819" i="3"/>
  <c r="AA835" i="3"/>
  <c r="AA851" i="3"/>
  <c r="AA867" i="3"/>
  <c r="AA883" i="3"/>
  <c r="AA381" i="3"/>
  <c r="AA538" i="3"/>
  <c r="AA552" i="3"/>
  <c r="AA571" i="3"/>
  <c r="AA620" i="3"/>
  <c r="AA329" i="3"/>
  <c r="AA437" i="3"/>
  <c r="AA449" i="3"/>
  <c r="AA470" i="3"/>
  <c r="AA511" i="3"/>
  <c r="AA524" i="3"/>
  <c r="AA591" i="3"/>
  <c r="AA597" i="3"/>
  <c r="AA626" i="3"/>
  <c r="AA637" i="3"/>
  <c r="AA648" i="3"/>
  <c r="AA659" i="3"/>
  <c r="AA670" i="3"/>
  <c r="AA686" i="3"/>
  <c r="AA702" i="3"/>
  <c r="AA718" i="3"/>
  <c r="AA734" i="3"/>
  <c r="AA750" i="3"/>
  <c r="AA766" i="3"/>
  <c r="AA782" i="3"/>
  <c r="AA798" i="3"/>
  <c r="AA814" i="3"/>
  <c r="AA830" i="3"/>
  <c r="AA846" i="3"/>
  <c r="AA862" i="3"/>
  <c r="AA878" i="3"/>
  <c r="AA894" i="3"/>
  <c r="AA490" i="3"/>
  <c r="AA497" i="3"/>
  <c r="AA565" i="3"/>
  <c r="AA585" i="3"/>
  <c r="AA603" i="3"/>
  <c r="AA421" i="3"/>
  <c r="AA452" i="3"/>
  <c r="AA460" i="3"/>
  <c r="AA532" i="3"/>
  <c r="AA545" i="3"/>
  <c r="AA609" i="3"/>
  <c r="AA681" i="3"/>
  <c r="AA697" i="3"/>
  <c r="AA713" i="3"/>
  <c r="AA729" i="3"/>
  <c r="AA745" i="3"/>
  <c r="AA761" i="3"/>
  <c r="AA777" i="3"/>
  <c r="AA793" i="3"/>
  <c r="AA505" i="3"/>
  <c r="AA518" i="3"/>
  <c r="AA559" i="3"/>
  <c r="AA579" i="3"/>
  <c r="AA621" i="3"/>
  <c r="AA632" i="3"/>
  <c r="AA643" i="3"/>
  <c r="AA654" i="3"/>
  <c r="AA665" i="3"/>
  <c r="AA386" i="3"/>
  <c r="AA404" i="3"/>
  <c r="AA481" i="3"/>
  <c r="AA676" i="3"/>
  <c r="AA692" i="3"/>
  <c r="AA708" i="3"/>
  <c r="AA724" i="3"/>
  <c r="AA740" i="3"/>
  <c r="AA756" i="3"/>
  <c r="AA772" i="3"/>
  <c r="AA788" i="3"/>
  <c r="AA804" i="3"/>
  <c r="AA463" i="3"/>
  <c r="AA526" i="3"/>
  <c r="AA539" i="3"/>
  <c r="AA553" i="3"/>
  <c r="AA572" i="3"/>
  <c r="AA438" i="3"/>
  <c r="AA499" i="3"/>
  <c r="AA512" i="3"/>
  <c r="AA592" i="3"/>
  <c r="AA598" i="3"/>
  <c r="AA610" i="3"/>
  <c r="AA627" i="3"/>
  <c r="AA638" i="3"/>
  <c r="AA649" i="3"/>
  <c r="AA660" i="3"/>
  <c r="AA671" i="3"/>
  <c r="AA687" i="3"/>
  <c r="AA703" i="3"/>
  <c r="AA719" i="3"/>
  <c r="AA735" i="3"/>
  <c r="AA751" i="3"/>
  <c r="AA767" i="3"/>
  <c r="AA783" i="3"/>
  <c r="AA799" i="3"/>
  <c r="AA491" i="3"/>
  <c r="AA547" i="3"/>
  <c r="AA566" i="3"/>
  <c r="AA586" i="3"/>
  <c r="AA604" i="3"/>
  <c r="AA616" i="3"/>
  <c r="AA453" i="3"/>
  <c r="AA484" i="3"/>
  <c r="AA520" i="3"/>
  <c r="AA533" i="3"/>
  <c r="AA682" i="3"/>
  <c r="AA698" i="3"/>
  <c r="AA714" i="3"/>
  <c r="AA730" i="3"/>
  <c r="AA746" i="3"/>
  <c r="AA762" i="3"/>
  <c r="AA778" i="3"/>
  <c r="AA794" i="3"/>
  <c r="AA810" i="3"/>
  <c r="AA347" i="3"/>
  <c r="AA426" i="3"/>
  <c r="AA442" i="3"/>
  <c r="AA474" i="3"/>
  <c r="AA506" i="3"/>
  <c r="AA560" i="3"/>
  <c r="AA580" i="3"/>
  <c r="AA622" i="3"/>
  <c r="AA633" i="3"/>
  <c r="AA644" i="3"/>
  <c r="AA655" i="3"/>
  <c r="AA666" i="3"/>
  <c r="AA409" i="3"/>
  <c r="AA677" i="3"/>
  <c r="AA693" i="3"/>
  <c r="AA709" i="3"/>
  <c r="AA725" i="3"/>
  <c r="AA464" i="3"/>
  <c r="AA527" i="3"/>
  <c r="AA540" i="3"/>
  <c r="AA554" i="3"/>
  <c r="AA574" i="3"/>
  <c r="AA611" i="3"/>
  <c r="AA500" i="3"/>
  <c r="AA513" i="3"/>
  <c r="AA593" i="3"/>
  <c r="AA628" i="3"/>
  <c r="AA639" i="3"/>
  <c r="AA650" i="3"/>
  <c r="AA661" i="3"/>
  <c r="AA672" i="3"/>
  <c r="AA688" i="3"/>
  <c r="AA704" i="3"/>
  <c r="AA492" i="3"/>
  <c r="AA548" i="3"/>
  <c r="AA568" i="3"/>
  <c r="AA587" i="3"/>
  <c r="AA617" i="3"/>
  <c r="AA353" i="3"/>
  <c r="AA454" i="3"/>
  <c r="AA485" i="3"/>
  <c r="AA521" i="3"/>
  <c r="AA534" i="3"/>
  <c r="AA683" i="3"/>
  <c r="AA699" i="3"/>
  <c r="AA715" i="3"/>
  <c r="AA731" i="3"/>
  <c r="AA392" i="3"/>
  <c r="AA427" i="3"/>
  <c r="AA443" i="3"/>
  <c r="AA475" i="3"/>
  <c r="AA507" i="3"/>
  <c r="AA561" i="3"/>
  <c r="AA581" i="3"/>
  <c r="AA600" i="3"/>
  <c r="AA623" i="3"/>
  <c r="AA634" i="3"/>
  <c r="AA645" i="3"/>
  <c r="AA656" i="3"/>
  <c r="AA667" i="3"/>
  <c r="AA410" i="3"/>
  <c r="AA542" i="3"/>
  <c r="AA606" i="3"/>
  <c r="AA678" i="3"/>
  <c r="AA694" i="3"/>
  <c r="AA710" i="3"/>
  <c r="AA726" i="3"/>
  <c r="AA414" i="3"/>
  <c r="AA431" i="3"/>
  <c r="AA465" i="3"/>
  <c r="AA515" i="3"/>
  <c r="AA528" i="3"/>
  <c r="AA555" i="3"/>
  <c r="AA575" i="3"/>
  <c r="AA612" i="3"/>
  <c r="AA364" i="3"/>
  <c r="AA501" i="3"/>
  <c r="AA629" i="3"/>
  <c r="AA640" i="3"/>
  <c r="AA651" i="3"/>
  <c r="AA662" i="3"/>
  <c r="AA673" i="3"/>
  <c r="AA393" i="3"/>
  <c r="AA536" i="3"/>
  <c r="AA549" i="3"/>
  <c r="AA569" i="3"/>
  <c r="AA588" i="3"/>
  <c r="AA618" i="3"/>
  <c r="AA397" i="3"/>
  <c r="AA468" i="3"/>
  <c r="AA486" i="3"/>
  <c r="AA522" i="3"/>
  <c r="AA595" i="3"/>
  <c r="AA476" i="3"/>
  <c r="AA495" i="3"/>
  <c r="AA508" i="3"/>
  <c r="AA563" i="3"/>
  <c r="AA582" i="3"/>
  <c r="AA601" i="3"/>
  <c r="AA624" i="3"/>
  <c r="AA635" i="3"/>
  <c r="AA646" i="3"/>
  <c r="AA657" i="3"/>
  <c r="AA668" i="3"/>
  <c r="AA415" i="3"/>
  <c r="AA458" i="3"/>
  <c r="AA543" i="3"/>
  <c r="AA607" i="3"/>
  <c r="AA432" i="3"/>
  <c r="AA516" i="3"/>
  <c r="AA529" i="3"/>
  <c r="AA556" i="3"/>
  <c r="AA576" i="3"/>
  <c r="AA613" i="3"/>
  <c r="AA370" i="3"/>
  <c r="AA479" i="3"/>
  <c r="AA502" i="3"/>
  <c r="AA398" i="3"/>
  <c r="AA488" i="3"/>
  <c r="AA537" i="3"/>
  <c r="AA550" i="3"/>
  <c r="AA570" i="3"/>
  <c r="AA619" i="3"/>
  <c r="AA448" i="3"/>
  <c r="AA469" i="3"/>
  <c r="AA510" i="3"/>
  <c r="AA523" i="3"/>
  <c r="AA590" i="3"/>
  <c r="AA596" i="3"/>
  <c r="AA679" i="3"/>
  <c r="AA786" i="3"/>
  <c r="AA827" i="3"/>
  <c r="AA889" i="3"/>
  <c r="AA925" i="3"/>
  <c r="AA931" i="3"/>
  <c r="AA948" i="3"/>
  <c r="AA965" i="3"/>
  <c r="AA976" i="3"/>
  <c r="AA992" i="3"/>
  <c r="AA1008" i="3"/>
  <c r="AA1024" i="3"/>
  <c r="AA1040" i="3"/>
  <c r="AA1056" i="3"/>
  <c r="AA1072" i="3"/>
  <c r="AA1088" i="3"/>
  <c r="AA1104" i="3"/>
  <c r="AA1120" i="3"/>
  <c r="AA1136" i="3"/>
  <c r="AA1152" i="3"/>
  <c r="AA1168" i="3"/>
  <c r="AA1184" i="3"/>
  <c r="AA1200" i="3"/>
  <c r="AA1216" i="3"/>
  <c r="AA1232" i="3"/>
  <c r="AA1248" i="3"/>
  <c r="AA1264" i="3"/>
  <c r="AA1280" i="3"/>
  <c r="AA1296" i="3"/>
  <c r="AA747" i="3"/>
  <c r="AA768" i="3"/>
  <c r="AA875" i="3"/>
  <c r="AA700" i="3"/>
  <c r="AA806" i="3"/>
  <c r="AA813" i="3"/>
  <c r="AA848" i="3"/>
  <c r="AA861" i="3"/>
  <c r="AA937" i="3"/>
  <c r="AA954" i="3"/>
  <c r="AA987" i="3"/>
  <c r="AA1003" i="3"/>
  <c r="AA1019" i="3"/>
  <c r="AA1035" i="3"/>
  <c r="AA1051" i="3"/>
  <c r="AA1067" i="3"/>
  <c r="AA1083" i="3"/>
  <c r="AA1099" i="3"/>
  <c r="AA1115" i="3"/>
  <c r="AA1131" i="3"/>
  <c r="AA1147" i="3"/>
  <c r="AA1163" i="3"/>
  <c r="AA1179" i="3"/>
  <c r="AA1195" i="3"/>
  <c r="AA1211" i="3"/>
  <c r="AA717" i="3"/>
  <c r="AA733" i="3"/>
  <c r="AA758" i="3"/>
  <c r="AA789" i="3"/>
  <c r="AA821" i="3"/>
  <c r="AA834" i="3"/>
  <c r="AA908" i="3"/>
  <c r="AA914" i="3"/>
  <c r="AA971" i="3"/>
  <c r="AA720" i="3"/>
  <c r="AA869" i="3"/>
  <c r="AA882" i="3"/>
  <c r="AA902" i="3"/>
  <c r="AA926" i="3"/>
  <c r="AA943" i="3"/>
  <c r="AA960" i="3"/>
  <c r="AA982" i="3"/>
  <c r="AA998" i="3"/>
  <c r="AA1014" i="3"/>
  <c r="AA1030" i="3"/>
  <c r="AA1046" i="3"/>
  <c r="AA1062" i="3"/>
  <c r="AA1078" i="3"/>
  <c r="AA1094" i="3"/>
  <c r="AA1110" i="3"/>
  <c r="AA1126" i="3"/>
  <c r="AA1142" i="3"/>
  <c r="AA1158" i="3"/>
  <c r="AA1174" i="3"/>
  <c r="AA1190" i="3"/>
  <c r="AA1206" i="3"/>
  <c r="AA630" i="3"/>
  <c r="AA721" i="3"/>
  <c r="AA736" i="3"/>
  <c r="AA779" i="3"/>
  <c r="AA797" i="3"/>
  <c r="AA842" i="3"/>
  <c r="AA855" i="3"/>
  <c r="AA896" i="3"/>
  <c r="AA815" i="3"/>
  <c r="AA828" i="3"/>
  <c r="AA890" i="3"/>
  <c r="AA932" i="3"/>
  <c r="AA949" i="3"/>
  <c r="AA966" i="3"/>
  <c r="AA977" i="3"/>
  <c r="AA993" i="3"/>
  <c r="AA1009" i="3"/>
  <c r="AA1025" i="3"/>
  <c r="AA1041" i="3"/>
  <c r="AA1057" i="3"/>
  <c r="AA1073" i="3"/>
  <c r="AA1089" i="3"/>
  <c r="AA1105" i="3"/>
  <c r="AA1121" i="3"/>
  <c r="AA1137" i="3"/>
  <c r="AA1153" i="3"/>
  <c r="AA1169" i="3"/>
  <c r="AA1185" i="3"/>
  <c r="AA1201" i="3"/>
  <c r="AA1217" i="3"/>
  <c r="AA684" i="3"/>
  <c r="AA737" i="3"/>
  <c r="AA748" i="3"/>
  <c r="AA769" i="3"/>
  <c r="AA863" i="3"/>
  <c r="AA876" i="3"/>
  <c r="AA915" i="3"/>
  <c r="AA701" i="3"/>
  <c r="AA807" i="3"/>
  <c r="AA836" i="3"/>
  <c r="AA849" i="3"/>
  <c r="AA921" i="3"/>
  <c r="AA938" i="3"/>
  <c r="AA955" i="3"/>
  <c r="AA988" i="3"/>
  <c r="AA1004" i="3"/>
  <c r="AA1020" i="3"/>
  <c r="AA1036" i="3"/>
  <c r="AA1052" i="3"/>
  <c r="AA1068" i="3"/>
  <c r="AA1084" i="3"/>
  <c r="AA705" i="3"/>
  <c r="AA759" i="3"/>
  <c r="AA790" i="3"/>
  <c r="AA822" i="3"/>
  <c r="AA884" i="3"/>
  <c r="AA909" i="3"/>
  <c r="AA972" i="3"/>
  <c r="AA641" i="3"/>
  <c r="AA800" i="3"/>
  <c r="AA857" i="3"/>
  <c r="AA870" i="3"/>
  <c r="AA903" i="3"/>
  <c r="AA927" i="3"/>
  <c r="AA944" i="3"/>
  <c r="AA961" i="3"/>
  <c r="AA983" i="3"/>
  <c r="AA999" i="3"/>
  <c r="AA1015" i="3"/>
  <c r="AA1031" i="3"/>
  <c r="AA1047" i="3"/>
  <c r="AA1063" i="3"/>
  <c r="AA1079" i="3"/>
  <c r="AA1095" i="3"/>
  <c r="AA722" i="3"/>
  <c r="AA780" i="3"/>
  <c r="AA843" i="3"/>
  <c r="AA897" i="3"/>
  <c r="AA816" i="3"/>
  <c r="AA829" i="3"/>
  <c r="AA891" i="3"/>
  <c r="AA910" i="3"/>
  <c r="AA916" i="3"/>
  <c r="AA933" i="3"/>
  <c r="AA950" i="3"/>
  <c r="AA967" i="3"/>
  <c r="AA978" i="3"/>
  <c r="AA994" i="3"/>
  <c r="AA1010" i="3"/>
  <c r="AA1026" i="3"/>
  <c r="AA1042" i="3"/>
  <c r="AA1058" i="3"/>
  <c r="AA1074" i="3"/>
  <c r="AA1090" i="3"/>
  <c r="AA685" i="3"/>
  <c r="AA738" i="3"/>
  <c r="AA749" i="3"/>
  <c r="AA770" i="3"/>
  <c r="AA809" i="3"/>
  <c r="AA864" i="3"/>
  <c r="AA877" i="3"/>
  <c r="AA689" i="3"/>
  <c r="AA837" i="3"/>
  <c r="AA850" i="3"/>
  <c r="AA922" i="3"/>
  <c r="AA939" i="3"/>
  <c r="AA956" i="3"/>
  <c r="AA989" i="3"/>
  <c r="AA1005" i="3"/>
  <c r="AA1021" i="3"/>
  <c r="AA1037" i="3"/>
  <c r="AA1053" i="3"/>
  <c r="AA1069" i="3"/>
  <c r="AA1085" i="3"/>
  <c r="AA1101" i="3"/>
  <c r="AA706" i="3"/>
  <c r="AA791" i="3"/>
  <c r="AA823" i="3"/>
  <c r="AA885" i="3"/>
  <c r="AA973" i="3"/>
  <c r="AA652" i="3"/>
  <c r="AA741" i="3"/>
  <c r="AA752" i="3"/>
  <c r="AA773" i="3"/>
  <c r="AA801" i="3"/>
  <c r="AA858" i="3"/>
  <c r="AA871" i="3"/>
  <c r="AA928" i="3"/>
  <c r="AA945" i="3"/>
  <c r="AA962" i="3"/>
  <c r="AA984" i="3"/>
  <c r="AA1000" i="3"/>
  <c r="AA1016" i="3"/>
  <c r="AA1032" i="3"/>
  <c r="AA781" i="3"/>
  <c r="AA831" i="3"/>
  <c r="AA844" i="3"/>
  <c r="AA898" i="3"/>
  <c r="AA905" i="3"/>
  <c r="AA911" i="3"/>
  <c r="AA763" i="3"/>
  <c r="AA817" i="3"/>
  <c r="AA879" i="3"/>
  <c r="AA892" i="3"/>
  <c r="AA917" i="3"/>
  <c r="AA934" i="3"/>
  <c r="AA951" i="3"/>
  <c r="AA979" i="3"/>
  <c r="AA995" i="3"/>
  <c r="AA1011" i="3"/>
  <c r="AA1027" i="3"/>
  <c r="AA1043" i="3"/>
  <c r="AA742" i="3"/>
  <c r="AA852" i="3"/>
  <c r="AA865" i="3"/>
  <c r="AA690" i="3"/>
  <c r="AA727" i="3"/>
  <c r="AA784" i="3"/>
  <c r="AA825" i="3"/>
  <c r="AA838" i="3"/>
  <c r="AA899" i="3"/>
  <c r="AA923" i="3"/>
  <c r="AA940" i="3"/>
  <c r="AA957" i="3"/>
  <c r="AA963" i="3"/>
  <c r="AA974" i="3"/>
  <c r="AA990" i="3"/>
  <c r="AA1006" i="3"/>
  <c r="AA1022" i="3"/>
  <c r="AA1038" i="3"/>
  <c r="AA658" i="3"/>
  <c r="AA753" i="3"/>
  <c r="AA873" i="3"/>
  <c r="AA886" i="3"/>
  <c r="AA711" i="3"/>
  <c r="AA774" i="3"/>
  <c r="AA802" i="3"/>
  <c r="AA811" i="3"/>
  <c r="AA859" i="3"/>
  <c r="AA929" i="3"/>
  <c r="AA946" i="3"/>
  <c r="AA985" i="3"/>
  <c r="AA1001" i="3"/>
  <c r="AA832" i="3"/>
  <c r="AA845" i="3"/>
  <c r="AA906" i="3"/>
  <c r="AA912" i="3"/>
  <c r="AA969" i="3"/>
  <c r="AA764" i="3"/>
  <c r="AA818" i="3"/>
  <c r="AA880" i="3"/>
  <c r="AA893" i="3"/>
  <c r="AA900" i="3"/>
  <c r="AA918" i="3"/>
  <c r="AA935" i="3"/>
  <c r="AA958" i="3"/>
  <c r="AA743" i="3"/>
  <c r="AA795" i="3"/>
  <c r="AA853" i="3"/>
  <c r="AA866" i="3"/>
  <c r="AA785" i="3"/>
  <c r="AA826" i="3"/>
  <c r="AA839" i="3"/>
  <c r="AA924" i="3"/>
  <c r="AA941" i="3"/>
  <c r="AA947" i="3"/>
  <c r="AA964" i="3"/>
  <c r="AA669" i="3"/>
  <c r="AA695" i="3"/>
  <c r="AA754" i="3"/>
  <c r="AA874" i="3"/>
  <c r="AA887" i="3"/>
  <c r="AA775" i="3"/>
  <c r="AA805" i="3"/>
  <c r="AA812" i="3"/>
  <c r="AA847" i="3"/>
  <c r="AA860" i="3"/>
  <c r="AA930" i="3"/>
  <c r="AA953" i="3"/>
  <c r="AA674" i="3"/>
  <c r="AA716" i="3"/>
  <c r="AA732" i="3"/>
  <c r="AA820" i="3"/>
  <c r="AA833" i="3"/>
  <c r="AA757" i="3"/>
  <c r="AA765" i="3"/>
  <c r="AA868" i="3"/>
  <c r="AA881" i="3"/>
  <c r="AA901" i="3"/>
  <c r="AA796" i="3"/>
  <c r="AA841" i="3"/>
  <c r="AA854" i="3"/>
  <c r="AA895" i="3"/>
  <c r="AA1007" i="3"/>
  <c r="AA1034" i="3"/>
  <c r="AA1045" i="3"/>
  <c r="AA1076" i="3"/>
  <c r="AA1138" i="3"/>
  <c r="AA1151" i="3"/>
  <c r="AA1204" i="3"/>
  <c r="AA1234" i="3"/>
  <c r="AA1245" i="3"/>
  <c r="AA1256" i="3"/>
  <c r="AA1267" i="3"/>
  <c r="AA1278" i="3"/>
  <c r="AA1289" i="3"/>
  <c r="AA1300" i="3"/>
  <c r="AA1311" i="3"/>
  <c r="AA1327" i="3"/>
  <c r="AA1343" i="3"/>
  <c r="AA1359" i="3"/>
  <c r="AA1375" i="3"/>
  <c r="AA1391" i="3"/>
  <c r="AA1407" i="3"/>
  <c r="AA1423" i="3"/>
  <c r="AA1439" i="3"/>
  <c r="AA1455" i="3"/>
  <c r="AA1471" i="3"/>
  <c r="AA1487" i="3"/>
  <c r="AA1503" i="3"/>
  <c r="AA1519" i="3"/>
  <c r="AA1535" i="3"/>
  <c r="AA1551" i="3"/>
  <c r="AA1567" i="3"/>
  <c r="AA1583" i="3"/>
  <c r="AA1599" i="3"/>
  <c r="AA1615" i="3"/>
  <c r="AA907" i="3"/>
  <c r="AA1111" i="3"/>
  <c r="AA1124" i="3"/>
  <c r="AA1198" i="3"/>
  <c r="AA1223" i="3"/>
  <c r="AA1066" i="3"/>
  <c r="AA1159" i="3"/>
  <c r="AA1172" i="3"/>
  <c r="AA1192" i="3"/>
  <c r="AA1322" i="3"/>
  <c r="AA1338" i="3"/>
  <c r="AA1354" i="3"/>
  <c r="AA1370" i="3"/>
  <c r="AA1386" i="3"/>
  <c r="AA1402" i="3"/>
  <c r="AA1418" i="3"/>
  <c r="AA1434" i="3"/>
  <c r="AA1450" i="3"/>
  <c r="AA1466" i="3"/>
  <c r="AA1482" i="3"/>
  <c r="AA1498" i="3"/>
  <c r="AA1514" i="3"/>
  <c r="AA913" i="3"/>
  <c r="AA970" i="3"/>
  <c r="AA1048" i="3"/>
  <c r="AA1132" i="3"/>
  <c r="AA1145" i="3"/>
  <c r="AA1186" i="3"/>
  <c r="AA1229" i="3"/>
  <c r="AA1240" i="3"/>
  <c r="AA1251" i="3"/>
  <c r="AA1262" i="3"/>
  <c r="AA1273" i="3"/>
  <c r="AA1284" i="3"/>
  <c r="AA1295" i="3"/>
  <c r="AA1306" i="3"/>
  <c r="AA991" i="3"/>
  <c r="AA1023" i="3"/>
  <c r="AA1087" i="3"/>
  <c r="AA1097" i="3"/>
  <c r="AA1118" i="3"/>
  <c r="AA1317" i="3"/>
  <c r="AA1333" i="3"/>
  <c r="AA1349" i="3"/>
  <c r="AA1365" i="3"/>
  <c r="AA1381" i="3"/>
  <c r="AA1397" i="3"/>
  <c r="AA1413" i="3"/>
  <c r="AA1429" i="3"/>
  <c r="AA1445" i="3"/>
  <c r="AA1461" i="3"/>
  <c r="AA1477" i="3"/>
  <c r="AA1493" i="3"/>
  <c r="AA1509" i="3"/>
  <c r="AA1166" i="3"/>
  <c r="AA1180" i="3"/>
  <c r="AA919" i="3"/>
  <c r="AA1077" i="3"/>
  <c r="AA1139" i="3"/>
  <c r="AA1205" i="3"/>
  <c r="AA1235" i="3"/>
  <c r="AA1246" i="3"/>
  <c r="AA1257" i="3"/>
  <c r="AA1268" i="3"/>
  <c r="AA1279" i="3"/>
  <c r="AA1290" i="3"/>
  <c r="AA1301" i="3"/>
  <c r="AA1312" i="3"/>
  <c r="AA1328" i="3"/>
  <c r="AA1344" i="3"/>
  <c r="AA1360" i="3"/>
  <c r="AA1376" i="3"/>
  <c r="AA1392" i="3"/>
  <c r="AA1408" i="3"/>
  <c r="AA1424" i="3"/>
  <c r="AA1440" i="3"/>
  <c r="AA1456" i="3"/>
  <c r="AA1472" i="3"/>
  <c r="AA1488" i="3"/>
  <c r="AA1504" i="3"/>
  <c r="AA1520" i="3"/>
  <c r="AA1536" i="3"/>
  <c r="AA1059" i="3"/>
  <c r="AA1112" i="3"/>
  <c r="AA1125" i="3"/>
  <c r="AA1199" i="3"/>
  <c r="AA1212" i="3"/>
  <c r="AA1218" i="3"/>
  <c r="AA1224" i="3"/>
  <c r="AA1160" i="3"/>
  <c r="AA1173" i="3"/>
  <c r="AA1193" i="3"/>
  <c r="AA1307" i="3"/>
  <c r="AA1323" i="3"/>
  <c r="AA1339" i="3"/>
  <c r="AA1355" i="3"/>
  <c r="AA1371" i="3"/>
  <c r="AA1387" i="3"/>
  <c r="AA975" i="3"/>
  <c r="AA1049" i="3"/>
  <c r="AA1080" i="3"/>
  <c r="AA1133" i="3"/>
  <c r="AA1146" i="3"/>
  <c r="AA1187" i="3"/>
  <c r="AA1230" i="3"/>
  <c r="AA1241" i="3"/>
  <c r="AA1252" i="3"/>
  <c r="AA1263" i="3"/>
  <c r="AA1274" i="3"/>
  <c r="AA1285" i="3"/>
  <c r="AA1012" i="3"/>
  <c r="AA1098" i="3"/>
  <c r="AA1106" i="3"/>
  <c r="AA1119" i="3"/>
  <c r="AA1318" i="3"/>
  <c r="AA1334" i="3"/>
  <c r="AA1350" i="3"/>
  <c r="AA1366" i="3"/>
  <c r="AA1382" i="3"/>
  <c r="AA1398" i="3"/>
  <c r="AA996" i="3"/>
  <c r="AA1070" i="3"/>
  <c r="AA1154" i="3"/>
  <c r="AA1167" i="3"/>
  <c r="AA1181" i="3"/>
  <c r="AA1291" i="3"/>
  <c r="AA1302" i="3"/>
  <c r="AA1039" i="3"/>
  <c r="AA1127" i="3"/>
  <c r="AA1140" i="3"/>
  <c r="AA1236" i="3"/>
  <c r="AA1247" i="3"/>
  <c r="AA1258" i="3"/>
  <c r="AA1269" i="3"/>
  <c r="AA1313" i="3"/>
  <c r="AA1329" i="3"/>
  <c r="AA1345" i="3"/>
  <c r="AA1361" i="3"/>
  <c r="AA1377" i="3"/>
  <c r="AA1393" i="3"/>
  <c r="AA1409" i="3"/>
  <c r="AA1060" i="3"/>
  <c r="AA1113" i="3"/>
  <c r="AA1175" i="3"/>
  <c r="AA1207" i="3"/>
  <c r="AA1213" i="3"/>
  <c r="AA1219" i="3"/>
  <c r="AA1225" i="3"/>
  <c r="AA1091" i="3"/>
  <c r="AA1148" i="3"/>
  <c r="AA1161" i="3"/>
  <c r="AA1194" i="3"/>
  <c r="AA1275" i="3"/>
  <c r="AA1286" i="3"/>
  <c r="AA1297" i="3"/>
  <c r="AA1308" i="3"/>
  <c r="AA1324" i="3"/>
  <c r="AA1340" i="3"/>
  <c r="AA1356" i="3"/>
  <c r="AA1372" i="3"/>
  <c r="AA1388" i="3"/>
  <c r="AA1404" i="3"/>
  <c r="AA1028" i="3"/>
  <c r="AA1050" i="3"/>
  <c r="AA1081" i="3"/>
  <c r="AA1100" i="3"/>
  <c r="AA1134" i="3"/>
  <c r="AA1188" i="3"/>
  <c r="AA1231" i="3"/>
  <c r="AA1242" i="3"/>
  <c r="AA1253" i="3"/>
  <c r="AA980" i="3"/>
  <c r="AA1013" i="3"/>
  <c r="AA1107" i="3"/>
  <c r="AA1319" i="3"/>
  <c r="AA1335" i="3"/>
  <c r="AA1351" i="3"/>
  <c r="AA942" i="3"/>
  <c r="AA997" i="3"/>
  <c r="AA1071" i="3"/>
  <c r="AA1155" i="3"/>
  <c r="AA1182" i="3"/>
  <c r="AA1259" i="3"/>
  <c r="AA1270" i="3"/>
  <c r="AA1281" i="3"/>
  <c r="AA1292" i="3"/>
  <c r="AA1303" i="3"/>
  <c r="AA1128" i="3"/>
  <c r="AA1141" i="3"/>
  <c r="AA1237" i="3"/>
  <c r="AA1314" i="3"/>
  <c r="AA1330" i="3"/>
  <c r="AA1346" i="3"/>
  <c r="AA1061" i="3"/>
  <c r="AA1114" i="3"/>
  <c r="AA1176" i="3"/>
  <c r="AA1208" i="3"/>
  <c r="AA1214" i="3"/>
  <c r="AA1220" i="3"/>
  <c r="AA1226" i="3"/>
  <c r="AA1017" i="3"/>
  <c r="AA1092" i="3"/>
  <c r="AA1149" i="3"/>
  <c r="AA1162" i="3"/>
  <c r="AA1202" i="3"/>
  <c r="AA1243" i="3"/>
  <c r="AA1254" i="3"/>
  <c r="AA1265" i="3"/>
  <c r="AA1276" i="3"/>
  <c r="AA1287" i="3"/>
  <c r="AA1298" i="3"/>
  <c r="AA1309" i="3"/>
  <c r="AA1325" i="3"/>
  <c r="AA1341" i="3"/>
  <c r="AA1029" i="3"/>
  <c r="AA1082" i="3"/>
  <c r="AA1122" i="3"/>
  <c r="AA1135" i="3"/>
  <c r="AA1189" i="3"/>
  <c r="AA1196" i="3"/>
  <c r="AA981" i="3"/>
  <c r="AA1064" i="3"/>
  <c r="AA1108" i="3"/>
  <c r="AA1170" i="3"/>
  <c r="AA1143" i="3"/>
  <c r="AA1156" i="3"/>
  <c r="AA1183" i="3"/>
  <c r="AA1238" i="3"/>
  <c r="AA1249" i="3"/>
  <c r="AA1260" i="3"/>
  <c r="AA1271" i="3"/>
  <c r="AA1282" i="3"/>
  <c r="AA1002" i="3"/>
  <c r="AA1054" i="3"/>
  <c r="AA1116" i="3"/>
  <c r="AA1129" i="3"/>
  <c r="AA1227" i="3"/>
  <c r="AA1102" i="3"/>
  <c r="AA1164" i="3"/>
  <c r="AA1177" i="3"/>
  <c r="AA1209" i="3"/>
  <c r="AA1215" i="3"/>
  <c r="AA1221" i="3"/>
  <c r="AA959" i="3"/>
  <c r="AA1018" i="3"/>
  <c r="AA1033" i="3"/>
  <c r="AA1044" i="3"/>
  <c r="AA1075" i="3"/>
  <c r="AA1093" i="3"/>
  <c r="AA1150" i="3"/>
  <c r="AA1203" i="3"/>
  <c r="AA1233" i="3"/>
  <c r="AA1244" i="3"/>
  <c r="AA1255" i="3"/>
  <c r="AA1266" i="3"/>
  <c r="AA1277" i="3"/>
  <c r="AA1123" i="3"/>
  <c r="AA1197" i="3"/>
  <c r="AA1065" i="3"/>
  <c r="AA1109" i="3"/>
  <c r="AA1171" i="3"/>
  <c r="AA1191" i="3"/>
  <c r="AA1222" i="3"/>
  <c r="AA986" i="3"/>
  <c r="AA1144" i="3"/>
  <c r="AA1157" i="3"/>
  <c r="AA1055" i="3"/>
  <c r="AA1086" i="3"/>
  <c r="AA1096" i="3"/>
  <c r="AA1117" i="3"/>
  <c r="AA1130" i="3"/>
  <c r="AA1103" i="3"/>
  <c r="AA1165" i="3"/>
  <c r="AA1178" i="3"/>
  <c r="AA1210" i="3"/>
  <c r="AA1304" i="3"/>
  <c r="AA1379" i="3"/>
  <c r="AA1457" i="3"/>
  <c r="AA1470" i="3"/>
  <c r="AA1430" i="3"/>
  <c r="AA1443" i="3"/>
  <c r="AA1516" i="3"/>
  <c r="AA1522" i="3"/>
  <c r="AA1539" i="3"/>
  <c r="AA1578" i="3"/>
  <c r="AA1589" i="3"/>
  <c r="AA1600" i="3"/>
  <c r="AA1611" i="3"/>
  <c r="AA1622" i="3"/>
  <c r="AA1638" i="3"/>
  <c r="AA1654" i="3"/>
  <c r="AA1670" i="3"/>
  <c r="AA1686" i="3"/>
  <c r="AA1702" i="3"/>
  <c r="AA1718" i="3"/>
  <c r="AA1734" i="3"/>
  <c r="AA1750" i="3"/>
  <c r="AA1766" i="3"/>
  <c r="AA1782" i="3"/>
  <c r="AA1798" i="3"/>
  <c r="AA1814" i="3"/>
  <c r="AA1830" i="3"/>
  <c r="AA1846" i="3"/>
  <c r="AA1862" i="3"/>
  <c r="AA1878" i="3"/>
  <c r="AA1283" i="3"/>
  <c r="AA1348" i="3"/>
  <c r="AA1369" i="3"/>
  <c r="AA1416" i="3"/>
  <c r="AA1478" i="3"/>
  <c r="AA1510" i="3"/>
  <c r="AA1556" i="3"/>
  <c r="AA1321" i="3"/>
  <c r="AA1400" i="3"/>
  <c r="AA1451" i="3"/>
  <c r="AA1464" i="3"/>
  <c r="AA1497" i="3"/>
  <c r="AA1528" i="3"/>
  <c r="AA1545" i="3"/>
  <c r="AA1633" i="3"/>
  <c r="AA1649" i="3"/>
  <c r="AA1665" i="3"/>
  <c r="AA1681" i="3"/>
  <c r="AA1697" i="3"/>
  <c r="AA1713" i="3"/>
  <c r="AA1729" i="3"/>
  <c r="AA1745" i="3"/>
  <c r="AA1761" i="3"/>
  <c r="AA1777" i="3"/>
  <c r="AA1793" i="3"/>
  <c r="AA1228" i="3"/>
  <c r="AA1390" i="3"/>
  <c r="AA1437" i="3"/>
  <c r="AA1491" i="3"/>
  <c r="AA1562" i="3"/>
  <c r="AA1573" i="3"/>
  <c r="AA1584" i="3"/>
  <c r="AA1595" i="3"/>
  <c r="AA1606" i="3"/>
  <c r="AA1617" i="3"/>
  <c r="AA1337" i="3"/>
  <c r="AA1485" i="3"/>
  <c r="AA1534" i="3"/>
  <c r="AA1628" i="3"/>
  <c r="AA1644" i="3"/>
  <c r="AA1660" i="3"/>
  <c r="AA1676" i="3"/>
  <c r="AA1692" i="3"/>
  <c r="AA1708" i="3"/>
  <c r="AA1724" i="3"/>
  <c r="AA1740" i="3"/>
  <c r="AA1756" i="3"/>
  <c r="AA1772" i="3"/>
  <c r="AA1788" i="3"/>
  <c r="AA1804" i="3"/>
  <c r="AA1820" i="3"/>
  <c r="AA1305" i="3"/>
  <c r="AA1380" i="3"/>
  <c r="AA1410" i="3"/>
  <c r="AA1458" i="3"/>
  <c r="AA1362" i="3"/>
  <c r="AA1431" i="3"/>
  <c r="AA1444" i="3"/>
  <c r="AA1517" i="3"/>
  <c r="AA1523" i="3"/>
  <c r="AA1540" i="3"/>
  <c r="AA1557" i="3"/>
  <c r="AA1568" i="3"/>
  <c r="AA1579" i="3"/>
  <c r="AA1590" i="3"/>
  <c r="AA1601" i="3"/>
  <c r="AA1612" i="3"/>
  <c r="AA1623" i="3"/>
  <c r="AA1639" i="3"/>
  <c r="AA1655" i="3"/>
  <c r="AA1671" i="3"/>
  <c r="AA1687" i="3"/>
  <c r="AA1703" i="3"/>
  <c r="AA1239" i="3"/>
  <c r="AA1288" i="3"/>
  <c r="AA1417" i="3"/>
  <c r="AA1479" i="3"/>
  <c r="AA1511" i="3"/>
  <c r="AA1546" i="3"/>
  <c r="AA1352" i="3"/>
  <c r="AA1383" i="3"/>
  <c r="AA1401" i="3"/>
  <c r="AA1452" i="3"/>
  <c r="AA1465" i="3"/>
  <c r="AA1505" i="3"/>
  <c r="AA1529" i="3"/>
  <c r="AA1634" i="3"/>
  <c r="AA1650" i="3"/>
  <c r="AA1666" i="3"/>
  <c r="AA1682" i="3"/>
  <c r="AA1698" i="3"/>
  <c r="AA1714" i="3"/>
  <c r="AA1425" i="3"/>
  <c r="AA1438" i="3"/>
  <c r="AA1492" i="3"/>
  <c r="AA1499" i="3"/>
  <c r="AA1552" i="3"/>
  <c r="AA1563" i="3"/>
  <c r="AA1574" i="3"/>
  <c r="AA1585" i="3"/>
  <c r="AA1596" i="3"/>
  <c r="AA1607" i="3"/>
  <c r="AA1618" i="3"/>
  <c r="AA1373" i="3"/>
  <c r="AA1473" i="3"/>
  <c r="AA1486" i="3"/>
  <c r="AA1629" i="3"/>
  <c r="AA1645" i="3"/>
  <c r="AA1661" i="3"/>
  <c r="AA1677" i="3"/>
  <c r="AA1693" i="3"/>
  <c r="AA1709" i="3"/>
  <c r="AA1310" i="3"/>
  <c r="AA1326" i="3"/>
  <c r="AA1411" i="3"/>
  <c r="AA1446" i="3"/>
  <c r="AA1459" i="3"/>
  <c r="AA1541" i="3"/>
  <c r="AA1363" i="3"/>
  <c r="AA1394" i="3"/>
  <c r="AA1419" i="3"/>
  <c r="AA1432" i="3"/>
  <c r="AA1518" i="3"/>
  <c r="AA1524" i="3"/>
  <c r="AA1547" i="3"/>
  <c r="AA1558" i="3"/>
  <c r="AA1569" i="3"/>
  <c r="AA1580" i="3"/>
  <c r="AA1591" i="3"/>
  <c r="AA1602" i="3"/>
  <c r="AA1613" i="3"/>
  <c r="AA1624" i="3"/>
  <c r="AA1640" i="3"/>
  <c r="AA1656" i="3"/>
  <c r="AA1672" i="3"/>
  <c r="AA1688" i="3"/>
  <c r="AA1704" i="3"/>
  <c r="AA1250" i="3"/>
  <c r="AA1293" i="3"/>
  <c r="AA1403" i="3"/>
  <c r="AA1467" i="3"/>
  <c r="AA1480" i="3"/>
  <c r="AA1512" i="3"/>
  <c r="AA1530" i="3"/>
  <c r="AA1342" i="3"/>
  <c r="AA1353" i="3"/>
  <c r="AA1384" i="3"/>
  <c r="AA1453" i="3"/>
  <c r="AA1506" i="3"/>
  <c r="AA1635" i="3"/>
  <c r="AA1426" i="3"/>
  <c r="AA1500" i="3"/>
  <c r="AA1553" i="3"/>
  <c r="AA1564" i="3"/>
  <c r="AA1575" i="3"/>
  <c r="AA1586" i="3"/>
  <c r="AA1597" i="3"/>
  <c r="AA1608" i="3"/>
  <c r="AA1619" i="3"/>
  <c r="AA1374" i="3"/>
  <c r="AA1474" i="3"/>
  <c r="AA1494" i="3"/>
  <c r="AA1542" i="3"/>
  <c r="AA1630" i="3"/>
  <c r="AA1412" i="3"/>
  <c r="AA1447" i="3"/>
  <c r="AA1460" i="3"/>
  <c r="AA1525" i="3"/>
  <c r="AA1364" i="3"/>
  <c r="AA1395" i="3"/>
  <c r="AA1420" i="3"/>
  <c r="AA1433" i="3"/>
  <c r="AA1531" i="3"/>
  <c r="AA1548" i="3"/>
  <c r="AA1559" i="3"/>
  <c r="AA1570" i="3"/>
  <c r="AA1581" i="3"/>
  <c r="AA1592" i="3"/>
  <c r="AA1603" i="3"/>
  <c r="AA1614" i="3"/>
  <c r="AA1625" i="3"/>
  <c r="AA1641" i="3"/>
  <c r="AA1657" i="3"/>
  <c r="AA1261" i="3"/>
  <c r="AA1294" i="3"/>
  <c r="AA1315" i="3"/>
  <c r="AA1405" i="3"/>
  <c r="AA1468" i="3"/>
  <c r="AA1481" i="3"/>
  <c r="AA1513" i="3"/>
  <c r="AA1331" i="3"/>
  <c r="AA1385" i="3"/>
  <c r="AA1441" i="3"/>
  <c r="AA1454" i="3"/>
  <c r="AA1507" i="3"/>
  <c r="AA1537" i="3"/>
  <c r="AA1636" i="3"/>
  <c r="AA1652" i="3"/>
  <c r="AA1367" i="3"/>
  <c r="AA1427" i="3"/>
  <c r="AA1501" i="3"/>
  <c r="AA1554" i="3"/>
  <c r="AA1565" i="3"/>
  <c r="AA1576" i="3"/>
  <c r="AA1587" i="3"/>
  <c r="AA1598" i="3"/>
  <c r="AA1609" i="3"/>
  <c r="AA1620" i="3"/>
  <c r="AA1414" i="3"/>
  <c r="AA1462" i="3"/>
  <c r="AA1475" i="3"/>
  <c r="AA1495" i="3"/>
  <c r="AA1526" i="3"/>
  <c r="AA1543" i="3"/>
  <c r="AA1357" i="3"/>
  <c r="AA1435" i="3"/>
  <c r="AA1448" i="3"/>
  <c r="AA1489" i="3"/>
  <c r="AA1396" i="3"/>
  <c r="AA1421" i="3"/>
  <c r="AA1483" i="3"/>
  <c r="AA1532" i="3"/>
  <c r="AA1549" i="3"/>
  <c r="AA1560" i="3"/>
  <c r="AA1571" i="3"/>
  <c r="AA1582" i="3"/>
  <c r="AA1593" i="3"/>
  <c r="AA1272" i="3"/>
  <c r="AA1299" i="3"/>
  <c r="AA1316" i="3"/>
  <c r="AA1378" i="3"/>
  <c r="AA1406" i="3"/>
  <c r="AA1469" i="3"/>
  <c r="AA1332" i="3"/>
  <c r="AA1442" i="3"/>
  <c r="AA1508" i="3"/>
  <c r="AA1515" i="3"/>
  <c r="AA1521" i="3"/>
  <c r="AA1538" i="3"/>
  <c r="AA1347" i="3"/>
  <c r="AA1368" i="3"/>
  <c r="AA1415" i="3"/>
  <c r="AA1428" i="3"/>
  <c r="AA1502" i="3"/>
  <c r="AA1555" i="3"/>
  <c r="AA1566" i="3"/>
  <c r="AA1577" i="3"/>
  <c r="AA1320" i="3"/>
  <c r="AA1399" i="3"/>
  <c r="AA1463" i="3"/>
  <c r="AA1476" i="3"/>
  <c r="AA1496" i="3"/>
  <c r="AA1358" i="3"/>
  <c r="AA1389" i="3"/>
  <c r="AA1436" i="3"/>
  <c r="AA1449" i="3"/>
  <c r="AA1490" i="3"/>
  <c r="AA1336" i="3"/>
  <c r="AA1422" i="3"/>
  <c r="AA1484" i="3"/>
  <c r="AA1533" i="3"/>
  <c r="AA1673" i="3"/>
  <c r="AA1747" i="3"/>
  <c r="AA1760" i="3"/>
  <c r="AA1895" i="3"/>
  <c r="AA1911" i="3"/>
  <c r="AA1927" i="3"/>
  <c r="AA1943" i="3"/>
  <c r="AA1959" i="3"/>
  <c r="AA1975" i="3"/>
  <c r="AA1991" i="3"/>
  <c r="AA2007" i="3"/>
  <c r="AA2023" i="3"/>
  <c r="AA2039" i="3"/>
  <c r="AA2055" i="3"/>
  <c r="AA2071" i="3"/>
  <c r="AA1527" i="3"/>
  <c r="AA1662" i="3"/>
  <c r="AA1720" i="3"/>
  <c r="AA1733" i="3"/>
  <c r="AA1795" i="3"/>
  <c r="AA1844" i="3"/>
  <c r="AA1861" i="3"/>
  <c r="AA1884" i="3"/>
  <c r="AA2083" i="3"/>
  <c r="AA1694" i="3"/>
  <c r="AA1768" i="3"/>
  <c r="AA1781" i="3"/>
  <c r="AA1808" i="3"/>
  <c r="AA1815" i="3"/>
  <c r="AA1821" i="3"/>
  <c r="AA1827" i="3"/>
  <c r="AA1906" i="3"/>
  <c r="AA1922" i="3"/>
  <c r="AA1938" i="3"/>
  <c r="AA1954" i="3"/>
  <c r="AA1970" i="3"/>
  <c r="AA1986" i="3"/>
  <c r="AA2002" i="3"/>
  <c r="AA2018" i="3"/>
  <c r="AA2034" i="3"/>
  <c r="AA2050" i="3"/>
  <c r="AA2066" i="3"/>
  <c r="AA2082" i="3"/>
  <c r="AA1632" i="3"/>
  <c r="AA1712" i="3"/>
  <c r="AA1741" i="3"/>
  <c r="AA1754" i="3"/>
  <c r="AA1833" i="3"/>
  <c r="AA1850" i="3"/>
  <c r="AA1867" i="3"/>
  <c r="AA1873" i="3"/>
  <c r="AA1890" i="3"/>
  <c r="AA1648" i="3"/>
  <c r="AA1684" i="3"/>
  <c r="AA1727" i="3"/>
  <c r="AA1789" i="3"/>
  <c r="AA1802" i="3"/>
  <c r="AA1901" i="3"/>
  <c r="AA1917" i="3"/>
  <c r="AA1933" i="3"/>
  <c r="AA1949" i="3"/>
  <c r="AA1965" i="3"/>
  <c r="AA1981" i="3"/>
  <c r="AA1997" i="3"/>
  <c r="AA2013" i="3"/>
  <c r="AA2029" i="3"/>
  <c r="AA2045" i="3"/>
  <c r="AA2061" i="3"/>
  <c r="AA2077" i="3"/>
  <c r="AA1663" i="3"/>
  <c r="AA1762" i="3"/>
  <c r="AA1775" i="3"/>
  <c r="AA1809" i="3"/>
  <c r="AA1839" i="3"/>
  <c r="AA1856" i="3"/>
  <c r="AA1879" i="3"/>
  <c r="AA1544" i="3"/>
  <c r="AA1594" i="3"/>
  <c r="AA1674" i="3"/>
  <c r="AA1705" i="3"/>
  <c r="AA1735" i="3"/>
  <c r="AA1748" i="3"/>
  <c r="AA1896" i="3"/>
  <c r="AA1912" i="3"/>
  <c r="AA1928" i="3"/>
  <c r="AA1944" i="3"/>
  <c r="AA1960" i="3"/>
  <c r="AA1976" i="3"/>
  <c r="AA1992" i="3"/>
  <c r="AA2008" i="3"/>
  <c r="AA2024" i="3"/>
  <c r="AA2040" i="3"/>
  <c r="AA2056" i="3"/>
  <c r="AA2072" i="3"/>
  <c r="AA1651" i="3"/>
  <c r="AA1721" i="3"/>
  <c r="AA1783" i="3"/>
  <c r="AA1796" i="3"/>
  <c r="AA1845" i="3"/>
  <c r="AA1868" i="3"/>
  <c r="AA1885" i="3"/>
  <c r="AA1616" i="3"/>
  <c r="AA1695" i="3"/>
  <c r="AA1769" i="3"/>
  <c r="AA1816" i="3"/>
  <c r="AA1822" i="3"/>
  <c r="AA1828" i="3"/>
  <c r="AA1907" i="3"/>
  <c r="AA1923" i="3"/>
  <c r="AA1939" i="3"/>
  <c r="AA1955" i="3"/>
  <c r="AA1971" i="3"/>
  <c r="AA1987" i="3"/>
  <c r="AA2003" i="3"/>
  <c r="AA2019" i="3"/>
  <c r="AA2035" i="3"/>
  <c r="AA2051" i="3"/>
  <c r="AA1742" i="3"/>
  <c r="AA1755" i="3"/>
  <c r="AA1810" i="3"/>
  <c r="AA1834" i="3"/>
  <c r="AA1851" i="3"/>
  <c r="AA1857" i="3"/>
  <c r="AA1874" i="3"/>
  <c r="AA1891" i="3"/>
  <c r="AA1685" i="3"/>
  <c r="AA1715" i="3"/>
  <c r="AA1728" i="3"/>
  <c r="AA1790" i="3"/>
  <c r="AA1803" i="3"/>
  <c r="AA1902" i="3"/>
  <c r="AA1918" i="3"/>
  <c r="AA1934" i="3"/>
  <c r="AA1950" i="3"/>
  <c r="AA1966" i="3"/>
  <c r="AA1982" i="3"/>
  <c r="AA1998" i="3"/>
  <c r="AA2014" i="3"/>
  <c r="AA2030" i="3"/>
  <c r="AA2046" i="3"/>
  <c r="AA2062" i="3"/>
  <c r="AA1550" i="3"/>
  <c r="AA1664" i="3"/>
  <c r="AA1763" i="3"/>
  <c r="AA1776" i="3"/>
  <c r="AA1840" i="3"/>
  <c r="AA1863" i="3"/>
  <c r="AA1880" i="3"/>
  <c r="AA1637" i="3"/>
  <c r="AA1675" i="3"/>
  <c r="AA1706" i="3"/>
  <c r="AA1736" i="3"/>
  <c r="AA1749" i="3"/>
  <c r="AA1897" i="3"/>
  <c r="AA1913" i="3"/>
  <c r="AA1929" i="3"/>
  <c r="AA1945" i="3"/>
  <c r="AA1961" i="3"/>
  <c r="AA1977" i="3"/>
  <c r="AA1993" i="3"/>
  <c r="AA2009" i="3"/>
  <c r="AA2025" i="3"/>
  <c r="AA2041" i="3"/>
  <c r="AA2057" i="3"/>
  <c r="AA1722" i="3"/>
  <c r="AA1784" i="3"/>
  <c r="AA1797" i="3"/>
  <c r="AA1852" i="3"/>
  <c r="AA1869" i="3"/>
  <c r="AA1886" i="3"/>
  <c r="AA1621" i="3"/>
  <c r="AA1653" i="3"/>
  <c r="AA1667" i="3"/>
  <c r="AA1696" i="3"/>
  <c r="AA1757" i="3"/>
  <c r="AA1770" i="3"/>
  <c r="AA1817" i="3"/>
  <c r="AA1823" i="3"/>
  <c r="AA1829" i="3"/>
  <c r="AA1908" i="3"/>
  <c r="AA1924" i="3"/>
  <c r="AA1940" i="3"/>
  <c r="AA1956" i="3"/>
  <c r="AA1972" i="3"/>
  <c r="AA1988" i="3"/>
  <c r="AA2004" i="3"/>
  <c r="AA2020" i="3"/>
  <c r="AA2036" i="3"/>
  <c r="AA2052" i="3"/>
  <c r="AA2068" i="3"/>
  <c r="AA1678" i="3"/>
  <c r="AA1730" i="3"/>
  <c r="AA1743" i="3"/>
  <c r="AA1811" i="3"/>
  <c r="AA1835" i="3"/>
  <c r="AA1841" i="3"/>
  <c r="AA1858" i="3"/>
  <c r="AA1875" i="3"/>
  <c r="AA1892" i="3"/>
  <c r="AA1716" i="3"/>
  <c r="AA1778" i="3"/>
  <c r="AA1791" i="3"/>
  <c r="AA1805" i="3"/>
  <c r="AA1903" i="3"/>
  <c r="AA1919" i="3"/>
  <c r="AA1935" i="3"/>
  <c r="AA1951" i="3"/>
  <c r="AA1967" i="3"/>
  <c r="AA1983" i="3"/>
  <c r="AA1999" i="3"/>
  <c r="AA2015" i="3"/>
  <c r="AA2031" i="3"/>
  <c r="AA1561" i="3"/>
  <c r="AA1604" i="3"/>
  <c r="AA1668" i="3"/>
  <c r="AA1699" i="3"/>
  <c r="AA1751" i="3"/>
  <c r="AA1764" i="3"/>
  <c r="AA1847" i="3"/>
  <c r="AA1864" i="3"/>
  <c r="AA1881" i="3"/>
  <c r="AA1707" i="3"/>
  <c r="AA1737" i="3"/>
  <c r="AA1799" i="3"/>
  <c r="AA1898" i="3"/>
  <c r="AA1914" i="3"/>
  <c r="AA1930" i="3"/>
  <c r="AA1946" i="3"/>
  <c r="AA1962" i="3"/>
  <c r="AA1978" i="3"/>
  <c r="AA1994" i="3"/>
  <c r="AA2010" i="3"/>
  <c r="AA2026" i="3"/>
  <c r="AA1689" i="3"/>
  <c r="AA1723" i="3"/>
  <c r="AA1785" i="3"/>
  <c r="AA1836" i="3"/>
  <c r="AA1853" i="3"/>
  <c r="AA1870" i="3"/>
  <c r="AA1887" i="3"/>
  <c r="AA1758" i="3"/>
  <c r="AA1771" i="3"/>
  <c r="AA1818" i="3"/>
  <c r="AA1824" i="3"/>
  <c r="AA1909" i="3"/>
  <c r="AA1925" i="3"/>
  <c r="AA1941" i="3"/>
  <c r="AA1957" i="3"/>
  <c r="AA1973" i="3"/>
  <c r="AA1989" i="3"/>
  <c r="AA2005" i="3"/>
  <c r="AA2021" i="3"/>
  <c r="AA1626" i="3"/>
  <c r="AA1642" i="3"/>
  <c r="AA1679" i="3"/>
  <c r="AA1731" i="3"/>
  <c r="AA1744" i="3"/>
  <c r="AA1812" i="3"/>
  <c r="AA1842" i="3"/>
  <c r="AA1859" i="3"/>
  <c r="AA1876" i="3"/>
  <c r="AA1893" i="3"/>
  <c r="AA1605" i="3"/>
  <c r="AA1717" i="3"/>
  <c r="AA1779" i="3"/>
  <c r="AA1792" i="3"/>
  <c r="AA1806" i="3"/>
  <c r="AA1904" i="3"/>
  <c r="AA1920" i="3"/>
  <c r="AA1936" i="3"/>
  <c r="AA1952" i="3"/>
  <c r="AA1968" i="3"/>
  <c r="AA1572" i="3"/>
  <c r="AA1669" i="3"/>
  <c r="AA1700" i="3"/>
  <c r="AA1710" i="3"/>
  <c r="AA1752" i="3"/>
  <c r="AA1765" i="3"/>
  <c r="AA1831" i="3"/>
  <c r="AA1848" i="3"/>
  <c r="AA1865" i="3"/>
  <c r="AA1882" i="3"/>
  <c r="AA1725" i="3"/>
  <c r="AA1738" i="3"/>
  <c r="AA1800" i="3"/>
  <c r="AA1825" i="3"/>
  <c r="AA1899" i="3"/>
  <c r="AA1915" i="3"/>
  <c r="AA1931" i="3"/>
  <c r="AA1947" i="3"/>
  <c r="AA1658" i="3"/>
  <c r="AA1690" i="3"/>
  <c r="AA1773" i="3"/>
  <c r="AA1786" i="3"/>
  <c r="AA1837" i="3"/>
  <c r="AA1854" i="3"/>
  <c r="AA1871" i="3"/>
  <c r="AA1888" i="3"/>
  <c r="AA1746" i="3"/>
  <c r="AA1759" i="3"/>
  <c r="AA1819" i="3"/>
  <c r="AA1894" i="3"/>
  <c r="AA1910" i="3"/>
  <c r="AA1926" i="3"/>
  <c r="AA1942" i="3"/>
  <c r="AA1627" i="3"/>
  <c r="AA1643" i="3"/>
  <c r="AA1680" i="3"/>
  <c r="AA1719" i="3"/>
  <c r="AA1732" i="3"/>
  <c r="AA1794" i="3"/>
  <c r="AA1813" i="3"/>
  <c r="AA1843" i="3"/>
  <c r="AA1860" i="3"/>
  <c r="AA1877" i="3"/>
  <c r="AA1610" i="3"/>
  <c r="AA1646" i="3"/>
  <c r="AA1767" i="3"/>
  <c r="AA1780" i="3"/>
  <c r="AA1807" i="3"/>
  <c r="AA1826" i="3"/>
  <c r="AA1905" i="3"/>
  <c r="AA1921" i="3"/>
  <c r="AA1937" i="3"/>
  <c r="AA1953" i="3"/>
  <c r="AA1631" i="3"/>
  <c r="AA1701" i="3"/>
  <c r="AA1711" i="3"/>
  <c r="AA1753" i="3"/>
  <c r="AA1832" i="3"/>
  <c r="AA1849" i="3"/>
  <c r="AA1866" i="3"/>
  <c r="AA1647" i="3"/>
  <c r="AA1683" i="3"/>
  <c r="AA1726" i="3"/>
  <c r="AA1739" i="3"/>
  <c r="AA1801" i="3"/>
  <c r="AA1588" i="3"/>
  <c r="AA1659" i="3"/>
  <c r="AA1691" i="3"/>
  <c r="AA1774" i="3"/>
  <c r="AA1787" i="3"/>
  <c r="AA1838" i="3"/>
  <c r="AA1855" i="3"/>
  <c r="AA1872" i="3"/>
  <c r="J2073" i="3"/>
  <c r="X2073" i="3" s="1"/>
  <c r="K2079" i="3"/>
  <c r="Y2079" i="3" s="1"/>
  <c r="K2071" i="3"/>
  <c r="Y2071" i="3" s="1"/>
  <c r="I2064" i="3"/>
  <c r="W2064" i="3" s="1"/>
  <c r="AA2053" i="3"/>
  <c r="K2043" i="3"/>
  <c r="Y2043" i="3" s="1"/>
  <c r="I2033" i="3"/>
  <c r="W2033" i="3" s="1"/>
  <c r="AB2021" i="3"/>
  <c r="AA2006" i="3"/>
  <c r="K1991" i="3"/>
  <c r="Y1991" i="3" s="1"/>
  <c r="Z1958" i="3"/>
  <c r="AB1889" i="3"/>
  <c r="K14" i="3"/>
  <c r="Y14" i="3" s="1"/>
  <c r="K30" i="3"/>
  <c r="Y30" i="3" s="1"/>
  <c r="K46" i="3"/>
  <c r="Y46" i="3" s="1"/>
  <c r="K62" i="3"/>
  <c r="Y62" i="3" s="1"/>
  <c r="K78" i="3"/>
  <c r="Y78" i="3" s="1"/>
  <c r="K94" i="3"/>
  <c r="Y94" i="3" s="1"/>
  <c r="K110" i="3"/>
  <c r="Y110" i="3" s="1"/>
  <c r="K126" i="3"/>
  <c r="Y126" i="3" s="1"/>
  <c r="K142" i="3"/>
  <c r="Y142" i="3" s="1"/>
  <c r="K158" i="3"/>
  <c r="Y158" i="3" s="1"/>
  <c r="K174" i="3"/>
  <c r="Y174" i="3" s="1"/>
  <c r="K190" i="3"/>
  <c r="Y190" i="3" s="1"/>
  <c r="K206" i="3"/>
  <c r="Y206" i="3" s="1"/>
  <c r="K222" i="3"/>
  <c r="Y222" i="3" s="1"/>
  <c r="K238" i="3"/>
  <c r="Y238" i="3" s="1"/>
  <c r="K254" i="3"/>
  <c r="Y254" i="3" s="1"/>
  <c r="K270" i="3"/>
  <c r="Y270" i="3" s="1"/>
  <c r="K286" i="3"/>
  <c r="Y286" i="3" s="1"/>
  <c r="K302" i="3"/>
  <c r="Y302" i="3" s="1"/>
  <c r="K318" i="3"/>
  <c r="Y318" i="3" s="1"/>
  <c r="K334" i="3"/>
  <c r="Y334" i="3" s="1"/>
  <c r="K350" i="3"/>
  <c r="Y350" i="3" s="1"/>
  <c r="K366" i="3"/>
  <c r="Y366" i="3" s="1"/>
  <c r="K382" i="3"/>
  <c r="Y382" i="3" s="1"/>
  <c r="K398" i="3"/>
  <c r="Y398" i="3" s="1"/>
  <c r="K414" i="3"/>
  <c r="Y414" i="3" s="1"/>
  <c r="K430" i="3"/>
  <c r="Y430" i="3" s="1"/>
  <c r="K446" i="3"/>
  <c r="Y446" i="3" s="1"/>
  <c r="K9" i="3"/>
  <c r="Y9" i="3" s="1"/>
  <c r="K25" i="3"/>
  <c r="Y25" i="3" s="1"/>
  <c r="K41" i="3"/>
  <c r="Y41" i="3" s="1"/>
  <c r="K57" i="3"/>
  <c r="Y57" i="3" s="1"/>
  <c r="K73" i="3"/>
  <c r="Y73" i="3" s="1"/>
  <c r="K89" i="3"/>
  <c r="Y89" i="3" s="1"/>
  <c r="K105" i="3"/>
  <c r="Y105" i="3" s="1"/>
  <c r="K121" i="3"/>
  <c r="Y121" i="3" s="1"/>
  <c r="K137" i="3"/>
  <c r="Y137" i="3" s="1"/>
  <c r="K153" i="3"/>
  <c r="Y153" i="3" s="1"/>
  <c r="K169" i="3"/>
  <c r="Y169" i="3" s="1"/>
  <c r="K185" i="3"/>
  <c r="Y185" i="3" s="1"/>
  <c r="K20" i="3"/>
  <c r="Y20" i="3" s="1"/>
  <c r="K36" i="3"/>
  <c r="Y36" i="3" s="1"/>
  <c r="K52" i="3"/>
  <c r="Y52" i="3" s="1"/>
  <c r="K68" i="3"/>
  <c r="Y68" i="3" s="1"/>
  <c r="K84" i="3"/>
  <c r="Y84" i="3" s="1"/>
  <c r="K100" i="3"/>
  <c r="Y100" i="3" s="1"/>
  <c r="K116" i="3"/>
  <c r="Y116" i="3" s="1"/>
  <c r="K132" i="3"/>
  <c r="Y132" i="3" s="1"/>
  <c r="K148" i="3"/>
  <c r="Y148" i="3" s="1"/>
  <c r="K164" i="3"/>
  <c r="Y164" i="3" s="1"/>
  <c r="K180" i="3"/>
  <c r="Y180" i="3" s="1"/>
  <c r="K15" i="3"/>
  <c r="Y15" i="3" s="1"/>
  <c r="K31" i="3"/>
  <c r="Y31" i="3" s="1"/>
  <c r="K47" i="3"/>
  <c r="Y47" i="3" s="1"/>
  <c r="K63" i="3"/>
  <c r="Y63" i="3" s="1"/>
  <c r="K79" i="3"/>
  <c r="Y79" i="3" s="1"/>
  <c r="K95" i="3"/>
  <c r="Y95" i="3" s="1"/>
  <c r="K111" i="3"/>
  <c r="Y111" i="3" s="1"/>
  <c r="K127" i="3"/>
  <c r="Y127" i="3" s="1"/>
  <c r="K143" i="3"/>
  <c r="Y143" i="3" s="1"/>
  <c r="K159" i="3"/>
  <c r="Y159" i="3" s="1"/>
  <c r="K175" i="3"/>
  <c r="Y175" i="3" s="1"/>
  <c r="K191" i="3"/>
  <c r="Y191" i="3" s="1"/>
  <c r="K207" i="3"/>
  <c r="Y207" i="3" s="1"/>
  <c r="K223" i="3"/>
  <c r="Y223" i="3" s="1"/>
  <c r="K239" i="3"/>
  <c r="Y239" i="3" s="1"/>
  <c r="K255" i="3"/>
  <c r="Y255" i="3" s="1"/>
  <c r="K271" i="3"/>
  <c r="Y271" i="3" s="1"/>
  <c r="K287" i="3"/>
  <c r="Y287" i="3" s="1"/>
  <c r="K303" i="3"/>
  <c r="Y303" i="3" s="1"/>
  <c r="K10" i="3"/>
  <c r="Y10" i="3" s="1"/>
  <c r="K26" i="3"/>
  <c r="Y26" i="3" s="1"/>
  <c r="K42" i="3"/>
  <c r="Y42" i="3" s="1"/>
  <c r="K58" i="3"/>
  <c r="Y58" i="3" s="1"/>
  <c r="K74" i="3"/>
  <c r="Y74" i="3" s="1"/>
  <c r="K90" i="3"/>
  <c r="Y90" i="3" s="1"/>
  <c r="K106" i="3"/>
  <c r="Y106" i="3" s="1"/>
  <c r="K122" i="3"/>
  <c r="Y122" i="3" s="1"/>
  <c r="K138" i="3"/>
  <c r="Y138" i="3" s="1"/>
  <c r="K154" i="3"/>
  <c r="Y154" i="3" s="1"/>
  <c r="K170" i="3"/>
  <c r="Y170" i="3" s="1"/>
  <c r="K186" i="3"/>
  <c r="Y186" i="3" s="1"/>
  <c r="K202" i="3"/>
  <c r="Y202" i="3" s="1"/>
  <c r="K218" i="3"/>
  <c r="Y218" i="3" s="1"/>
  <c r="K234" i="3"/>
  <c r="Y234" i="3" s="1"/>
  <c r="K250" i="3"/>
  <c r="Y250" i="3" s="1"/>
  <c r="K266" i="3"/>
  <c r="Y266" i="3" s="1"/>
  <c r="K282" i="3"/>
  <c r="Y282" i="3" s="1"/>
  <c r="K298" i="3"/>
  <c r="Y298" i="3" s="1"/>
  <c r="K21" i="3"/>
  <c r="Y21" i="3" s="1"/>
  <c r="K37" i="3"/>
  <c r="Y37" i="3" s="1"/>
  <c r="K53" i="3"/>
  <c r="Y53" i="3" s="1"/>
  <c r="K69" i="3"/>
  <c r="Y69" i="3" s="1"/>
  <c r="K85" i="3"/>
  <c r="Y85" i="3" s="1"/>
  <c r="K101" i="3"/>
  <c r="Y101" i="3" s="1"/>
  <c r="K117" i="3"/>
  <c r="Y117" i="3" s="1"/>
  <c r="K133" i="3"/>
  <c r="Y133" i="3" s="1"/>
  <c r="K149" i="3"/>
  <c r="Y149" i="3" s="1"/>
  <c r="K165" i="3"/>
  <c r="Y165" i="3" s="1"/>
  <c r="K181" i="3"/>
  <c r="Y181" i="3" s="1"/>
  <c r="K197" i="3"/>
  <c r="Y197" i="3" s="1"/>
  <c r="K213" i="3"/>
  <c r="Y213" i="3" s="1"/>
  <c r="K229" i="3"/>
  <c r="Y229" i="3" s="1"/>
  <c r="K245" i="3"/>
  <c r="Y245" i="3" s="1"/>
  <c r="K261" i="3"/>
  <c r="Y261" i="3" s="1"/>
  <c r="K277" i="3"/>
  <c r="Y277" i="3" s="1"/>
  <c r="K293" i="3"/>
  <c r="Y293" i="3" s="1"/>
  <c r="K16" i="3"/>
  <c r="Y16" i="3" s="1"/>
  <c r="K32" i="3"/>
  <c r="Y32" i="3" s="1"/>
  <c r="K48" i="3"/>
  <c r="Y48" i="3" s="1"/>
  <c r="K64" i="3"/>
  <c r="Y64" i="3" s="1"/>
  <c r="K80" i="3"/>
  <c r="Y80" i="3" s="1"/>
  <c r="K96" i="3"/>
  <c r="Y96" i="3" s="1"/>
  <c r="K112" i="3"/>
  <c r="Y112" i="3" s="1"/>
  <c r="K128" i="3"/>
  <c r="Y128" i="3" s="1"/>
  <c r="K144" i="3"/>
  <c r="Y144" i="3" s="1"/>
  <c r="K160" i="3"/>
  <c r="Y160" i="3" s="1"/>
  <c r="K176" i="3"/>
  <c r="Y176" i="3" s="1"/>
  <c r="K192" i="3"/>
  <c r="Y192" i="3" s="1"/>
  <c r="K208" i="3"/>
  <c r="Y208" i="3" s="1"/>
  <c r="K224" i="3"/>
  <c r="Y224" i="3" s="1"/>
  <c r="K240" i="3"/>
  <c r="Y240" i="3" s="1"/>
  <c r="K256" i="3"/>
  <c r="Y256" i="3" s="1"/>
  <c r="K272" i="3"/>
  <c r="Y272" i="3" s="1"/>
  <c r="K11" i="3"/>
  <c r="Y11" i="3" s="1"/>
  <c r="K27" i="3"/>
  <c r="Y27" i="3" s="1"/>
  <c r="K43" i="3"/>
  <c r="Y43" i="3" s="1"/>
  <c r="K59" i="3"/>
  <c r="Y59" i="3" s="1"/>
  <c r="K75" i="3"/>
  <c r="Y75" i="3" s="1"/>
  <c r="K91" i="3"/>
  <c r="Y91" i="3" s="1"/>
  <c r="K107" i="3"/>
  <c r="Y107" i="3" s="1"/>
  <c r="K123" i="3"/>
  <c r="Y123" i="3" s="1"/>
  <c r="K139" i="3"/>
  <c r="Y139" i="3" s="1"/>
  <c r="K155" i="3"/>
  <c r="Y155" i="3" s="1"/>
  <c r="K171" i="3"/>
  <c r="Y171" i="3" s="1"/>
  <c r="K187" i="3"/>
  <c r="Y187" i="3" s="1"/>
  <c r="K203" i="3"/>
  <c r="Y203" i="3" s="1"/>
  <c r="K22" i="3"/>
  <c r="Y22" i="3" s="1"/>
  <c r="K38" i="3"/>
  <c r="Y38" i="3" s="1"/>
  <c r="K54" i="3"/>
  <c r="Y54" i="3" s="1"/>
  <c r="K70" i="3"/>
  <c r="Y70" i="3" s="1"/>
  <c r="K86" i="3"/>
  <c r="Y86" i="3" s="1"/>
  <c r="K102" i="3"/>
  <c r="Y102" i="3" s="1"/>
  <c r="K118" i="3"/>
  <c r="Y118" i="3" s="1"/>
  <c r="K134" i="3"/>
  <c r="Y134" i="3" s="1"/>
  <c r="K150" i="3"/>
  <c r="Y150" i="3" s="1"/>
  <c r="K166" i="3"/>
  <c r="Y166" i="3" s="1"/>
  <c r="K182" i="3"/>
  <c r="Y182" i="3" s="1"/>
  <c r="K198" i="3"/>
  <c r="Y198" i="3" s="1"/>
  <c r="K214" i="3"/>
  <c r="Y214" i="3" s="1"/>
  <c r="K230" i="3"/>
  <c r="Y230" i="3" s="1"/>
  <c r="K246" i="3"/>
  <c r="Y246" i="3" s="1"/>
  <c r="K17" i="3"/>
  <c r="Y17" i="3" s="1"/>
  <c r="K33" i="3"/>
  <c r="Y33" i="3" s="1"/>
  <c r="K49" i="3"/>
  <c r="Y49" i="3" s="1"/>
  <c r="K65" i="3"/>
  <c r="Y65" i="3" s="1"/>
  <c r="K81" i="3"/>
  <c r="Y81" i="3" s="1"/>
  <c r="K97" i="3"/>
  <c r="Y97" i="3" s="1"/>
  <c r="K113" i="3"/>
  <c r="Y113" i="3" s="1"/>
  <c r="K129" i="3"/>
  <c r="Y129" i="3" s="1"/>
  <c r="K145" i="3"/>
  <c r="Y145" i="3" s="1"/>
  <c r="K161" i="3"/>
  <c r="Y161" i="3" s="1"/>
  <c r="K177" i="3"/>
  <c r="Y177" i="3" s="1"/>
  <c r="K193" i="3"/>
  <c r="Y193" i="3" s="1"/>
  <c r="K209" i="3"/>
  <c r="Y209" i="3" s="1"/>
  <c r="K225" i="3"/>
  <c r="Y225" i="3" s="1"/>
  <c r="K241" i="3"/>
  <c r="Y241" i="3" s="1"/>
  <c r="K12" i="3"/>
  <c r="Y12" i="3" s="1"/>
  <c r="K28" i="3"/>
  <c r="Y28" i="3" s="1"/>
  <c r="K44" i="3"/>
  <c r="Y44" i="3" s="1"/>
  <c r="K60" i="3"/>
  <c r="Y60" i="3" s="1"/>
  <c r="K76" i="3"/>
  <c r="Y76" i="3" s="1"/>
  <c r="K92" i="3"/>
  <c r="Y92" i="3" s="1"/>
  <c r="K108" i="3"/>
  <c r="Y108" i="3" s="1"/>
  <c r="K124" i="3"/>
  <c r="Y124" i="3" s="1"/>
  <c r="K140" i="3"/>
  <c r="Y140" i="3" s="1"/>
  <c r="K156" i="3"/>
  <c r="Y156" i="3" s="1"/>
  <c r="K172" i="3"/>
  <c r="Y172" i="3" s="1"/>
  <c r="K188" i="3"/>
  <c r="Y188" i="3" s="1"/>
  <c r="K204" i="3"/>
  <c r="Y204" i="3" s="1"/>
  <c r="K220" i="3"/>
  <c r="Y220" i="3" s="1"/>
  <c r="K23" i="3"/>
  <c r="Y23" i="3" s="1"/>
  <c r="K39" i="3"/>
  <c r="Y39" i="3" s="1"/>
  <c r="K55" i="3"/>
  <c r="Y55" i="3" s="1"/>
  <c r="K71" i="3"/>
  <c r="Y71" i="3" s="1"/>
  <c r="K87" i="3"/>
  <c r="Y87" i="3" s="1"/>
  <c r="K103" i="3"/>
  <c r="Y103" i="3" s="1"/>
  <c r="K119" i="3"/>
  <c r="Y119" i="3" s="1"/>
  <c r="K18" i="3"/>
  <c r="Y18" i="3" s="1"/>
  <c r="K34" i="3"/>
  <c r="Y34" i="3" s="1"/>
  <c r="K50" i="3"/>
  <c r="Y50" i="3" s="1"/>
  <c r="K66" i="3"/>
  <c r="Y66" i="3" s="1"/>
  <c r="K82" i="3"/>
  <c r="Y82" i="3" s="1"/>
  <c r="K98" i="3"/>
  <c r="Y98" i="3" s="1"/>
  <c r="K114" i="3"/>
  <c r="Y114" i="3" s="1"/>
  <c r="K130" i="3"/>
  <c r="Y130" i="3" s="1"/>
  <c r="K146" i="3"/>
  <c r="Y146" i="3" s="1"/>
  <c r="K13" i="3"/>
  <c r="Y13" i="3" s="1"/>
  <c r="K29" i="3"/>
  <c r="Y29" i="3" s="1"/>
  <c r="K45" i="3"/>
  <c r="Y45" i="3" s="1"/>
  <c r="K61" i="3"/>
  <c r="Y61" i="3" s="1"/>
  <c r="K77" i="3"/>
  <c r="Y77" i="3" s="1"/>
  <c r="K93" i="3"/>
  <c r="Y93" i="3" s="1"/>
  <c r="K109" i="3"/>
  <c r="Y109" i="3" s="1"/>
  <c r="K24" i="3"/>
  <c r="Y24" i="3" s="1"/>
  <c r="K40" i="3"/>
  <c r="Y40" i="3" s="1"/>
  <c r="K56" i="3"/>
  <c r="Y56" i="3" s="1"/>
  <c r="K72" i="3"/>
  <c r="Y72" i="3" s="1"/>
  <c r="K88" i="3"/>
  <c r="Y88" i="3" s="1"/>
  <c r="K104" i="3"/>
  <c r="Y104" i="3" s="1"/>
  <c r="K19" i="3"/>
  <c r="Y19" i="3" s="1"/>
  <c r="K35" i="3"/>
  <c r="Y35" i="3" s="1"/>
  <c r="K51" i="3"/>
  <c r="Y51" i="3" s="1"/>
  <c r="K195" i="3"/>
  <c r="Y195" i="3" s="1"/>
  <c r="K219" i="3"/>
  <c r="Y219" i="3" s="1"/>
  <c r="K265" i="3"/>
  <c r="Y265" i="3" s="1"/>
  <c r="K274" i="3"/>
  <c r="Y274" i="3" s="1"/>
  <c r="K317" i="3"/>
  <c r="Y317" i="3" s="1"/>
  <c r="K433" i="3"/>
  <c r="Y433" i="3" s="1"/>
  <c r="K444" i="3"/>
  <c r="Y444" i="3" s="1"/>
  <c r="K455" i="3"/>
  <c r="Y455" i="3" s="1"/>
  <c r="K125" i="3"/>
  <c r="Y125" i="3" s="1"/>
  <c r="K163" i="3"/>
  <c r="Y163" i="3" s="1"/>
  <c r="K183" i="3"/>
  <c r="Y183" i="3" s="1"/>
  <c r="K283" i="3"/>
  <c r="Y283" i="3" s="1"/>
  <c r="K297" i="3"/>
  <c r="Y297" i="3" s="1"/>
  <c r="K311" i="3"/>
  <c r="Y311" i="3" s="1"/>
  <c r="K348" i="3"/>
  <c r="Y348" i="3" s="1"/>
  <c r="K365" i="3"/>
  <c r="Y365" i="3" s="1"/>
  <c r="K388" i="3"/>
  <c r="Y388" i="3" s="1"/>
  <c r="K405" i="3"/>
  <c r="Y405" i="3" s="1"/>
  <c r="K422" i="3"/>
  <c r="Y422" i="3" s="1"/>
  <c r="K466" i="3"/>
  <c r="Y466" i="3" s="1"/>
  <c r="K482" i="3"/>
  <c r="Y482" i="3" s="1"/>
  <c r="K498" i="3"/>
  <c r="Y498" i="3" s="1"/>
  <c r="K514" i="3"/>
  <c r="Y514" i="3" s="1"/>
  <c r="K530" i="3"/>
  <c r="Y530" i="3" s="1"/>
  <c r="K546" i="3"/>
  <c r="Y546" i="3" s="1"/>
  <c r="K562" i="3"/>
  <c r="Y562" i="3" s="1"/>
  <c r="K578" i="3"/>
  <c r="Y578" i="3" s="1"/>
  <c r="K594" i="3"/>
  <c r="Y594" i="3" s="1"/>
  <c r="K610" i="3"/>
  <c r="Y610" i="3" s="1"/>
  <c r="K626" i="3"/>
  <c r="Y626" i="3" s="1"/>
  <c r="K642" i="3"/>
  <c r="Y642" i="3" s="1"/>
  <c r="K658" i="3"/>
  <c r="Y658" i="3" s="1"/>
  <c r="K248" i="3"/>
  <c r="Y248" i="3" s="1"/>
  <c r="K267" i="3"/>
  <c r="Y267" i="3" s="1"/>
  <c r="K290" i="3"/>
  <c r="Y290" i="3" s="1"/>
  <c r="K305" i="3"/>
  <c r="Y305" i="3" s="1"/>
  <c r="K324" i="3"/>
  <c r="Y324" i="3" s="1"/>
  <c r="K167" i="3"/>
  <c r="Y167" i="3" s="1"/>
  <c r="K196" i="3"/>
  <c r="Y196" i="3" s="1"/>
  <c r="K354" i="3"/>
  <c r="Y354" i="3" s="1"/>
  <c r="K371" i="3"/>
  <c r="Y371" i="3" s="1"/>
  <c r="K394" i="3"/>
  <c r="Y394" i="3" s="1"/>
  <c r="K411" i="3"/>
  <c r="Y411" i="3" s="1"/>
  <c r="K428" i="3"/>
  <c r="Y428" i="3" s="1"/>
  <c r="K439" i="3"/>
  <c r="Y439" i="3" s="1"/>
  <c r="K450" i="3"/>
  <c r="Y450" i="3" s="1"/>
  <c r="K461" i="3"/>
  <c r="Y461" i="3" s="1"/>
  <c r="K477" i="3"/>
  <c r="Y477" i="3" s="1"/>
  <c r="K493" i="3"/>
  <c r="Y493" i="3" s="1"/>
  <c r="K509" i="3"/>
  <c r="Y509" i="3" s="1"/>
  <c r="K525" i="3"/>
  <c r="Y525" i="3" s="1"/>
  <c r="K541" i="3"/>
  <c r="Y541" i="3" s="1"/>
  <c r="K557" i="3"/>
  <c r="Y557" i="3" s="1"/>
  <c r="K573" i="3"/>
  <c r="Y573" i="3" s="1"/>
  <c r="K589" i="3"/>
  <c r="Y589" i="3" s="1"/>
  <c r="K147" i="3"/>
  <c r="Y147" i="3" s="1"/>
  <c r="K258" i="3"/>
  <c r="Y258" i="3" s="1"/>
  <c r="K337" i="3"/>
  <c r="Y337" i="3" s="1"/>
  <c r="K377" i="3"/>
  <c r="Y377" i="3" s="1"/>
  <c r="K331" i="3"/>
  <c r="Y331" i="3" s="1"/>
  <c r="K343" i="3"/>
  <c r="Y343" i="3" s="1"/>
  <c r="K360" i="3"/>
  <c r="Y360" i="3" s="1"/>
  <c r="K383" i="3"/>
  <c r="Y383" i="3" s="1"/>
  <c r="K400" i="3"/>
  <c r="Y400" i="3" s="1"/>
  <c r="K417" i="3"/>
  <c r="Y417" i="3" s="1"/>
  <c r="K472" i="3"/>
  <c r="Y472" i="3" s="1"/>
  <c r="K488" i="3"/>
  <c r="Y488" i="3" s="1"/>
  <c r="K504" i="3"/>
  <c r="Y504" i="3" s="1"/>
  <c r="K520" i="3"/>
  <c r="Y520" i="3" s="1"/>
  <c r="K536" i="3"/>
  <c r="Y536" i="3" s="1"/>
  <c r="K552" i="3"/>
  <c r="Y552" i="3" s="1"/>
  <c r="K568" i="3"/>
  <c r="Y568" i="3" s="1"/>
  <c r="K584" i="3"/>
  <c r="Y584" i="3" s="1"/>
  <c r="K600" i="3"/>
  <c r="Y600" i="3" s="1"/>
  <c r="K151" i="3"/>
  <c r="Y151" i="3" s="1"/>
  <c r="K199" i="3"/>
  <c r="Y199" i="3" s="1"/>
  <c r="K210" i="3"/>
  <c r="Y210" i="3" s="1"/>
  <c r="K231" i="3"/>
  <c r="Y231" i="3" s="1"/>
  <c r="K249" i="3"/>
  <c r="Y249" i="3" s="1"/>
  <c r="K275" i="3"/>
  <c r="Y275" i="3" s="1"/>
  <c r="K299" i="3"/>
  <c r="Y299" i="3" s="1"/>
  <c r="K325" i="3"/>
  <c r="Y325" i="3" s="1"/>
  <c r="K434" i="3"/>
  <c r="Y434" i="3" s="1"/>
  <c r="K445" i="3"/>
  <c r="Y445" i="3" s="1"/>
  <c r="K456" i="3"/>
  <c r="Y456" i="3" s="1"/>
  <c r="K99" i="3"/>
  <c r="Y99" i="3" s="1"/>
  <c r="K184" i="3"/>
  <c r="Y184" i="3" s="1"/>
  <c r="K284" i="3"/>
  <c r="Y284" i="3" s="1"/>
  <c r="K312" i="3"/>
  <c r="Y312" i="3" s="1"/>
  <c r="K349" i="3"/>
  <c r="Y349" i="3" s="1"/>
  <c r="K372" i="3"/>
  <c r="Y372" i="3" s="1"/>
  <c r="K389" i="3"/>
  <c r="Y389" i="3" s="1"/>
  <c r="K406" i="3"/>
  <c r="Y406" i="3" s="1"/>
  <c r="K423" i="3"/>
  <c r="Y423" i="3" s="1"/>
  <c r="K467" i="3"/>
  <c r="Y467" i="3" s="1"/>
  <c r="K483" i="3"/>
  <c r="Y483" i="3" s="1"/>
  <c r="K221" i="3"/>
  <c r="Y221" i="3" s="1"/>
  <c r="K251" i="3"/>
  <c r="Y251" i="3" s="1"/>
  <c r="K268" i="3"/>
  <c r="Y268" i="3" s="1"/>
  <c r="K291" i="3"/>
  <c r="Y291" i="3" s="1"/>
  <c r="K306" i="3"/>
  <c r="Y306" i="3" s="1"/>
  <c r="K319" i="3"/>
  <c r="Y319" i="3" s="1"/>
  <c r="K168" i="3"/>
  <c r="Y168" i="3" s="1"/>
  <c r="K276" i="3"/>
  <c r="Y276" i="3" s="1"/>
  <c r="K355" i="3"/>
  <c r="Y355" i="3" s="1"/>
  <c r="K378" i="3"/>
  <c r="Y378" i="3" s="1"/>
  <c r="K395" i="3"/>
  <c r="Y395" i="3" s="1"/>
  <c r="K412" i="3"/>
  <c r="Y412" i="3" s="1"/>
  <c r="K429" i="3"/>
  <c r="Y429" i="3" s="1"/>
  <c r="K440" i="3"/>
  <c r="Y440" i="3" s="1"/>
  <c r="K451" i="3"/>
  <c r="Y451" i="3" s="1"/>
  <c r="K462" i="3"/>
  <c r="Y462" i="3" s="1"/>
  <c r="K478" i="3"/>
  <c r="Y478" i="3" s="1"/>
  <c r="K494" i="3"/>
  <c r="Y494" i="3" s="1"/>
  <c r="K259" i="3"/>
  <c r="Y259" i="3" s="1"/>
  <c r="K338" i="3"/>
  <c r="Y338" i="3" s="1"/>
  <c r="K361" i="3"/>
  <c r="Y361" i="3" s="1"/>
  <c r="K152" i="3"/>
  <c r="Y152" i="3" s="1"/>
  <c r="K292" i="3"/>
  <c r="Y292" i="3" s="1"/>
  <c r="K313" i="3"/>
  <c r="Y313" i="3" s="1"/>
  <c r="K332" i="3"/>
  <c r="Y332" i="3" s="1"/>
  <c r="K344" i="3"/>
  <c r="Y344" i="3" s="1"/>
  <c r="K367" i="3"/>
  <c r="Y367" i="3" s="1"/>
  <c r="K384" i="3"/>
  <c r="Y384" i="3" s="1"/>
  <c r="K401" i="3"/>
  <c r="Y401" i="3" s="1"/>
  <c r="K418" i="3"/>
  <c r="Y418" i="3" s="1"/>
  <c r="K457" i="3"/>
  <c r="Y457" i="3" s="1"/>
  <c r="K473" i="3"/>
  <c r="Y473" i="3" s="1"/>
  <c r="K489" i="3"/>
  <c r="Y489" i="3" s="1"/>
  <c r="K131" i="3"/>
  <c r="Y131" i="3" s="1"/>
  <c r="K200" i="3"/>
  <c r="Y200" i="3" s="1"/>
  <c r="K211" i="3"/>
  <c r="Y211" i="3" s="1"/>
  <c r="K232" i="3"/>
  <c r="Y232" i="3" s="1"/>
  <c r="K242" i="3"/>
  <c r="Y242" i="3" s="1"/>
  <c r="K300" i="3"/>
  <c r="Y300" i="3" s="1"/>
  <c r="K326" i="3"/>
  <c r="Y326" i="3" s="1"/>
  <c r="K435" i="3"/>
  <c r="Y435" i="3" s="1"/>
  <c r="K252" i="3"/>
  <c r="Y252" i="3" s="1"/>
  <c r="K260" i="3"/>
  <c r="Y260" i="3" s="1"/>
  <c r="K278" i="3"/>
  <c r="Y278" i="3" s="1"/>
  <c r="K285" i="3"/>
  <c r="Y285" i="3" s="1"/>
  <c r="K320" i="3"/>
  <c r="Y320" i="3" s="1"/>
  <c r="K356" i="3"/>
  <c r="Y356" i="3" s="1"/>
  <c r="K373" i="3"/>
  <c r="Y373" i="3" s="1"/>
  <c r="K390" i="3"/>
  <c r="Y390" i="3" s="1"/>
  <c r="K407" i="3"/>
  <c r="Y407" i="3" s="1"/>
  <c r="K424" i="3"/>
  <c r="Y424" i="3" s="1"/>
  <c r="K468" i="3"/>
  <c r="Y468" i="3" s="1"/>
  <c r="K484" i="3"/>
  <c r="Y484" i="3" s="1"/>
  <c r="K135" i="3"/>
  <c r="Y135" i="3" s="1"/>
  <c r="K269" i="3"/>
  <c r="Y269" i="3" s="1"/>
  <c r="K307" i="3"/>
  <c r="Y307" i="3" s="1"/>
  <c r="K314" i="3"/>
  <c r="Y314" i="3" s="1"/>
  <c r="K441" i="3"/>
  <c r="Y441" i="3" s="1"/>
  <c r="K452" i="3"/>
  <c r="Y452" i="3" s="1"/>
  <c r="K67" i="3"/>
  <c r="Y67" i="3" s="1"/>
  <c r="K212" i="3"/>
  <c r="Y212" i="3" s="1"/>
  <c r="K362" i="3"/>
  <c r="Y362" i="3" s="1"/>
  <c r="K379" i="3"/>
  <c r="Y379" i="3" s="1"/>
  <c r="K396" i="3"/>
  <c r="Y396" i="3" s="1"/>
  <c r="K413" i="3"/>
  <c r="Y413" i="3" s="1"/>
  <c r="K189" i="3"/>
  <c r="Y189" i="3" s="1"/>
  <c r="K201" i="3"/>
  <c r="Y201" i="3" s="1"/>
  <c r="K233" i="3"/>
  <c r="Y233" i="3" s="1"/>
  <c r="K262" i="3"/>
  <c r="Y262" i="3" s="1"/>
  <c r="K339" i="3"/>
  <c r="Y339" i="3" s="1"/>
  <c r="K345" i="3"/>
  <c r="Y345" i="3" s="1"/>
  <c r="K173" i="3"/>
  <c r="Y173" i="3" s="1"/>
  <c r="K294" i="3"/>
  <c r="Y294" i="3" s="1"/>
  <c r="K308" i="3"/>
  <c r="Y308" i="3" s="1"/>
  <c r="K333" i="3"/>
  <c r="Y333" i="3" s="1"/>
  <c r="K351" i="3"/>
  <c r="Y351" i="3" s="1"/>
  <c r="K368" i="3"/>
  <c r="Y368" i="3" s="1"/>
  <c r="K385" i="3"/>
  <c r="Y385" i="3" s="1"/>
  <c r="K402" i="3"/>
  <c r="Y402" i="3" s="1"/>
  <c r="K419" i="3"/>
  <c r="Y419" i="3" s="1"/>
  <c r="K136" i="3"/>
  <c r="Y136" i="3" s="1"/>
  <c r="K235" i="3"/>
  <c r="Y235" i="3" s="1"/>
  <c r="K243" i="3"/>
  <c r="Y243" i="3" s="1"/>
  <c r="K301" i="3"/>
  <c r="Y301" i="3" s="1"/>
  <c r="K327" i="3"/>
  <c r="Y327" i="3" s="1"/>
  <c r="K425" i="3"/>
  <c r="Y425" i="3" s="1"/>
  <c r="K157" i="3"/>
  <c r="Y157" i="3" s="1"/>
  <c r="K253" i="3"/>
  <c r="Y253" i="3" s="1"/>
  <c r="K279" i="3"/>
  <c r="Y279" i="3" s="1"/>
  <c r="K321" i="3"/>
  <c r="Y321" i="3" s="1"/>
  <c r="K340" i="3"/>
  <c r="Y340" i="3" s="1"/>
  <c r="K357" i="3"/>
  <c r="Y357" i="3" s="1"/>
  <c r="K374" i="3"/>
  <c r="Y374" i="3" s="1"/>
  <c r="K391" i="3"/>
  <c r="Y391" i="3" s="1"/>
  <c r="K408" i="3"/>
  <c r="Y408" i="3" s="1"/>
  <c r="K215" i="3"/>
  <c r="Y215" i="3" s="1"/>
  <c r="K315" i="3"/>
  <c r="Y315" i="3" s="1"/>
  <c r="K431" i="3"/>
  <c r="Y431" i="3" s="1"/>
  <c r="K244" i="3"/>
  <c r="Y244" i="3" s="1"/>
  <c r="K309" i="3"/>
  <c r="Y309" i="3" s="1"/>
  <c r="K346" i="3"/>
  <c r="Y346" i="3" s="1"/>
  <c r="K363" i="3"/>
  <c r="Y363" i="3" s="1"/>
  <c r="K380" i="3"/>
  <c r="Y380" i="3" s="1"/>
  <c r="K397" i="3"/>
  <c r="Y397" i="3" s="1"/>
  <c r="K420" i="3"/>
  <c r="Y420" i="3" s="1"/>
  <c r="K226" i="3"/>
  <c r="Y226" i="3" s="1"/>
  <c r="K236" i="3"/>
  <c r="Y236" i="3" s="1"/>
  <c r="K263" i="3"/>
  <c r="Y263" i="3" s="1"/>
  <c r="K288" i="3"/>
  <c r="Y288" i="3" s="1"/>
  <c r="K115" i="3"/>
  <c r="Y115" i="3" s="1"/>
  <c r="K295" i="3"/>
  <c r="Y295" i="3" s="1"/>
  <c r="K352" i="3"/>
  <c r="Y352" i="3" s="1"/>
  <c r="K369" i="3"/>
  <c r="Y369" i="3" s="1"/>
  <c r="K141" i="3"/>
  <c r="Y141" i="3" s="1"/>
  <c r="K328" i="3"/>
  <c r="Y328" i="3" s="1"/>
  <c r="K178" i="3"/>
  <c r="Y178" i="3" s="1"/>
  <c r="K205" i="3"/>
  <c r="Y205" i="3" s="1"/>
  <c r="K280" i="3"/>
  <c r="Y280" i="3" s="1"/>
  <c r="K322" i="3"/>
  <c r="Y322" i="3" s="1"/>
  <c r="K335" i="3"/>
  <c r="Y335" i="3" s="1"/>
  <c r="K341" i="3"/>
  <c r="Y341" i="3" s="1"/>
  <c r="K358" i="3"/>
  <c r="Y358" i="3" s="1"/>
  <c r="K375" i="3"/>
  <c r="Y375" i="3" s="1"/>
  <c r="K194" i="3"/>
  <c r="Y194" i="3" s="1"/>
  <c r="K216" i="3"/>
  <c r="Y216" i="3" s="1"/>
  <c r="K273" i="3"/>
  <c r="Y273" i="3" s="1"/>
  <c r="K316" i="3"/>
  <c r="Y316" i="3" s="1"/>
  <c r="K83" i="3"/>
  <c r="Y83" i="3" s="1"/>
  <c r="K162" i="3"/>
  <c r="Y162" i="3" s="1"/>
  <c r="K310" i="3"/>
  <c r="Y310" i="3" s="1"/>
  <c r="K347" i="3"/>
  <c r="Y347" i="3" s="1"/>
  <c r="K364" i="3"/>
  <c r="Y364" i="3" s="1"/>
  <c r="K120" i="3"/>
  <c r="Y120" i="3" s="1"/>
  <c r="K227" i="3"/>
  <c r="Y227" i="3" s="1"/>
  <c r="K237" i="3"/>
  <c r="Y237" i="3" s="1"/>
  <c r="K247" i="3"/>
  <c r="Y247" i="3" s="1"/>
  <c r="K264" i="3"/>
  <c r="Y264" i="3" s="1"/>
  <c r="K289" i="3"/>
  <c r="Y289" i="3" s="1"/>
  <c r="K304" i="3"/>
  <c r="Y304" i="3" s="1"/>
  <c r="K329" i="3"/>
  <c r="Y329" i="3" s="1"/>
  <c r="K281" i="3"/>
  <c r="Y281" i="3" s="1"/>
  <c r="K296" i="3"/>
  <c r="Y296" i="3" s="1"/>
  <c r="K217" i="3"/>
  <c r="Y217" i="3" s="1"/>
  <c r="K257" i="3"/>
  <c r="Y257" i="3" s="1"/>
  <c r="K179" i="3"/>
  <c r="Y179" i="3" s="1"/>
  <c r="K228" i="3"/>
  <c r="Y228" i="3" s="1"/>
  <c r="K436" i="3"/>
  <c r="Y436" i="3" s="1"/>
  <c r="K517" i="3"/>
  <c r="Y517" i="3" s="1"/>
  <c r="K558" i="3"/>
  <c r="Y558" i="3" s="1"/>
  <c r="K577" i="3"/>
  <c r="Y577" i="3" s="1"/>
  <c r="K614" i="3"/>
  <c r="Y614" i="3" s="1"/>
  <c r="K653" i="3"/>
  <c r="Y653" i="3" s="1"/>
  <c r="K664" i="3"/>
  <c r="Y664" i="3" s="1"/>
  <c r="K376" i="3"/>
  <c r="Y376" i="3" s="1"/>
  <c r="K399" i="3"/>
  <c r="Y399" i="3" s="1"/>
  <c r="K480" i="3"/>
  <c r="Y480" i="3" s="1"/>
  <c r="K503" i="3"/>
  <c r="Y503" i="3" s="1"/>
  <c r="K631" i="3"/>
  <c r="Y631" i="3" s="1"/>
  <c r="K675" i="3"/>
  <c r="Y675" i="3" s="1"/>
  <c r="K691" i="3"/>
  <c r="Y691" i="3" s="1"/>
  <c r="K707" i="3"/>
  <c r="Y707" i="3" s="1"/>
  <c r="K723" i="3"/>
  <c r="Y723" i="3" s="1"/>
  <c r="K739" i="3"/>
  <c r="Y739" i="3" s="1"/>
  <c r="K755" i="3"/>
  <c r="Y755" i="3" s="1"/>
  <c r="K771" i="3"/>
  <c r="Y771" i="3" s="1"/>
  <c r="K787" i="3"/>
  <c r="Y787" i="3" s="1"/>
  <c r="K803" i="3"/>
  <c r="Y803" i="3" s="1"/>
  <c r="K819" i="3"/>
  <c r="Y819" i="3" s="1"/>
  <c r="K835" i="3"/>
  <c r="Y835" i="3" s="1"/>
  <c r="K851" i="3"/>
  <c r="Y851" i="3" s="1"/>
  <c r="K867" i="3"/>
  <c r="Y867" i="3" s="1"/>
  <c r="K883" i="3"/>
  <c r="Y883" i="3" s="1"/>
  <c r="K899" i="3"/>
  <c r="Y899" i="3" s="1"/>
  <c r="K915" i="3"/>
  <c r="Y915" i="3" s="1"/>
  <c r="K931" i="3"/>
  <c r="Y931" i="3" s="1"/>
  <c r="K947" i="3"/>
  <c r="Y947" i="3" s="1"/>
  <c r="K963" i="3"/>
  <c r="Y963" i="3" s="1"/>
  <c r="K381" i="3"/>
  <c r="Y381" i="3" s="1"/>
  <c r="K538" i="3"/>
  <c r="Y538" i="3" s="1"/>
  <c r="K551" i="3"/>
  <c r="Y551" i="3" s="1"/>
  <c r="K571" i="3"/>
  <c r="Y571" i="3" s="1"/>
  <c r="K620" i="3"/>
  <c r="Y620" i="3" s="1"/>
  <c r="K403" i="3"/>
  <c r="Y403" i="3" s="1"/>
  <c r="K437" i="3"/>
  <c r="Y437" i="3" s="1"/>
  <c r="K449" i="3"/>
  <c r="Y449" i="3" s="1"/>
  <c r="K470" i="3"/>
  <c r="Y470" i="3" s="1"/>
  <c r="K511" i="3"/>
  <c r="Y511" i="3" s="1"/>
  <c r="K524" i="3"/>
  <c r="Y524" i="3" s="1"/>
  <c r="K591" i="3"/>
  <c r="Y591" i="3" s="1"/>
  <c r="K597" i="3"/>
  <c r="Y597" i="3" s="1"/>
  <c r="K637" i="3"/>
  <c r="Y637" i="3" s="1"/>
  <c r="K648" i="3"/>
  <c r="Y648" i="3" s="1"/>
  <c r="K659" i="3"/>
  <c r="Y659" i="3" s="1"/>
  <c r="K670" i="3"/>
  <c r="Y670" i="3" s="1"/>
  <c r="K686" i="3"/>
  <c r="Y686" i="3" s="1"/>
  <c r="K702" i="3"/>
  <c r="Y702" i="3" s="1"/>
  <c r="K718" i="3"/>
  <c r="Y718" i="3" s="1"/>
  <c r="K734" i="3"/>
  <c r="Y734" i="3" s="1"/>
  <c r="K750" i="3"/>
  <c r="Y750" i="3" s="1"/>
  <c r="K766" i="3"/>
  <c r="Y766" i="3" s="1"/>
  <c r="K782" i="3"/>
  <c r="Y782" i="3" s="1"/>
  <c r="K798" i="3"/>
  <c r="Y798" i="3" s="1"/>
  <c r="K814" i="3"/>
  <c r="Y814" i="3" s="1"/>
  <c r="K830" i="3"/>
  <c r="Y830" i="3" s="1"/>
  <c r="K846" i="3"/>
  <c r="Y846" i="3" s="1"/>
  <c r="K862" i="3"/>
  <c r="Y862" i="3" s="1"/>
  <c r="K878" i="3"/>
  <c r="Y878" i="3" s="1"/>
  <c r="K323" i="3"/>
  <c r="Y323" i="3" s="1"/>
  <c r="K490" i="3"/>
  <c r="Y490" i="3" s="1"/>
  <c r="K497" i="3"/>
  <c r="Y497" i="3" s="1"/>
  <c r="K565" i="3"/>
  <c r="Y565" i="3" s="1"/>
  <c r="K585" i="3"/>
  <c r="Y585" i="3" s="1"/>
  <c r="K603" i="3"/>
  <c r="Y603" i="3" s="1"/>
  <c r="K421" i="3"/>
  <c r="Y421" i="3" s="1"/>
  <c r="K460" i="3"/>
  <c r="Y460" i="3" s="1"/>
  <c r="K532" i="3"/>
  <c r="Y532" i="3" s="1"/>
  <c r="K545" i="3"/>
  <c r="Y545" i="3" s="1"/>
  <c r="K609" i="3"/>
  <c r="Y609" i="3" s="1"/>
  <c r="K681" i="3"/>
  <c r="Y681" i="3" s="1"/>
  <c r="K697" i="3"/>
  <c r="Y697" i="3" s="1"/>
  <c r="K713" i="3"/>
  <c r="Y713" i="3" s="1"/>
  <c r="K729" i="3"/>
  <c r="Y729" i="3" s="1"/>
  <c r="K745" i="3"/>
  <c r="Y745" i="3" s="1"/>
  <c r="K761" i="3"/>
  <c r="Y761" i="3" s="1"/>
  <c r="K777" i="3"/>
  <c r="Y777" i="3" s="1"/>
  <c r="K793" i="3"/>
  <c r="Y793" i="3" s="1"/>
  <c r="K809" i="3"/>
  <c r="Y809" i="3" s="1"/>
  <c r="K825" i="3"/>
  <c r="Y825" i="3" s="1"/>
  <c r="K841" i="3"/>
  <c r="Y841" i="3" s="1"/>
  <c r="K857" i="3"/>
  <c r="Y857" i="3" s="1"/>
  <c r="K873" i="3"/>
  <c r="Y873" i="3" s="1"/>
  <c r="K889" i="3"/>
  <c r="Y889" i="3" s="1"/>
  <c r="K905" i="3"/>
  <c r="Y905" i="3" s="1"/>
  <c r="K505" i="3"/>
  <c r="Y505" i="3" s="1"/>
  <c r="K518" i="3"/>
  <c r="Y518" i="3" s="1"/>
  <c r="K559" i="3"/>
  <c r="Y559" i="3" s="1"/>
  <c r="K579" i="3"/>
  <c r="Y579" i="3" s="1"/>
  <c r="K615" i="3"/>
  <c r="Y615" i="3" s="1"/>
  <c r="K621" i="3"/>
  <c r="Y621" i="3" s="1"/>
  <c r="K632" i="3"/>
  <c r="Y632" i="3" s="1"/>
  <c r="K643" i="3"/>
  <c r="Y643" i="3" s="1"/>
  <c r="K654" i="3"/>
  <c r="Y654" i="3" s="1"/>
  <c r="K665" i="3"/>
  <c r="Y665" i="3" s="1"/>
  <c r="K330" i="3"/>
  <c r="Y330" i="3" s="1"/>
  <c r="K386" i="3"/>
  <c r="Y386" i="3" s="1"/>
  <c r="K404" i="3"/>
  <c r="Y404" i="3" s="1"/>
  <c r="K481" i="3"/>
  <c r="Y481" i="3" s="1"/>
  <c r="K676" i="3"/>
  <c r="Y676" i="3" s="1"/>
  <c r="K692" i="3"/>
  <c r="Y692" i="3" s="1"/>
  <c r="K708" i="3"/>
  <c r="Y708" i="3" s="1"/>
  <c r="K724" i="3"/>
  <c r="Y724" i="3" s="1"/>
  <c r="K740" i="3"/>
  <c r="Y740" i="3" s="1"/>
  <c r="K756" i="3"/>
  <c r="Y756" i="3" s="1"/>
  <c r="K772" i="3"/>
  <c r="Y772" i="3" s="1"/>
  <c r="K788" i="3"/>
  <c r="Y788" i="3" s="1"/>
  <c r="K804" i="3"/>
  <c r="Y804" i="3" s="1"/>
  <c r="K463" i="3"/>
  <c r="Y463" i="3" s="1"/>
  <c r="K526" i="3"/>
  <c r="Y526" i="3" s="1"/>
  <c r="K539" i="3"/>
  <c r="Y539" i="3" s="1"/>
  <c r="K553" i="3"/>
  <c r="Y553" i="3" s="1"/>
  <c r="K572" i="3"/>
  <c r="Y572" i="3" s="1"/>
  <c r="K336" i="3"/>
  <c r="Y336" i="3" s="1"/>
  <c r="K438" i="3"/>
  <c r="Y438" i="3" s="1"/>
  <c r="K471" i="3"/>
  <c r="Y471" i="3" s="1"/>
  <c r="K499" i="3"/>
  <c r="Y499" i="3" s="1"/>
  <c r="K512" i="3"/>
  <c r="Y512" i="3" s="1"/>
  <c r="K592" i="3"/>
  <c r="Y592" i="3" s="1"/>
  <c r="K598" i="3"/>
  <c r="Y598" i="3" s="1"/>
  <c r="K627" i="3"/>
  <c r="Y627" i="3" s="1"/>
  <c r="K638" i="3"/>
  <c r="Y638" i="3" s="1"/>
  <c r="K649" i="3"/>
  <c r="Y649" i="3" s="1"/>
  <c r="K660" i="3"/>
  <c r="Y660" i="3" s="1"/>
  <c r="K671" i="3"/>
  <c r="Y671" i="3" s="1"/>
  <c r="K687" i="3"/>
  <c r="Y687" i="3" s="1"/>
  <c r="K703" i="3"/>
  <c r="Y703" i="3" s="1"/>
  <c r="K719" i="3"/>
  <c r="Y719" i="3" s="1"/>
  <c r="K735" i="3"/>
  <c r="Y735" i="3" s="1"/>
  <c r="K751" i="3"/>
  <c r="Y751" i="3" s="1"/>
  <c r="K767" i="3"/>
  <c r="Y767" i="3" s="1"/>
  <c r="K783" i="3"/>
  <c r="Y783" i="3" s="1"/>
  <c r="K799" i="3"/>
  <c r="Y799" i="3" s="1"/>
  <c r="K815" i="3"/>
  <c r="Y815" i="3" s="1"/>
  <c r="K491" i="3"/>
  <c r="Y491" i="3" s="1"/>
  <c r="K547" i="3"/>
  <c r="Y547" i="3" s="1"/>
  <c r="K566" i="3"/>
  <c r="Y566" i="3" s="1"/>
  <c r="K586" i="3"/>
  <c r="Y586" i="3" s="1"/>
  <c r="K604" i="3"/>
  <c r="Y604" i="3" s="1"/>
  <c r="K616" i="3"/>
  <c r="Y616" i="3" s="1"/>
  <c r="K453" i="3"/>
  <c r="Y453" i="3" s="1"/>
  <c r="K533" i="3"/>
  <c r="Y533" i="3" s="1"/>
  <c r="K682" i="3"/>
  <c r="Y682" i="3" s="1"/>
  <c r="K698" i="3"/>
  <c r="Y698" i="3" s="1"/>
  <c r="K714" i="3"/>
  <c r="Y714" i="3" s="1"/>
  <c r="K730" i="3"/>
  <c r="Y730" i="3" s="1"/>
  <c r="K746" i="3"/>
  <c r="Y746" i="3" s="1"/>
  <c r="K762" i="3"/>
  <c r="Y762" i="3" s="1"/>
  <c r="K778" i="3"/>
  <c r="Y778" i="3" s="1"/>
  <c r="K794" i="3"/>
  <c r="Y794" i="3" s="1"/>
  <c r="K810" i="3"/>
  <c r="Y810" i="3" s="1"/>
  <c r="K426" i="3"/>
  <c r="Y426" i="3" s="1"/>
  <c r="K474" i="3"/>
  <c r="Y474" i="3" s="1"/>
  <c r="K506" i="3"/>
  <c r="Y506" i="3" s="1"/>
  <c r="K519" i="3"/>
  <c r="Y519" i="3" s="1"/>
  <c r="K560" i="3"/>
  <c r="Y560" i="3" s="1"/>
  <c r="K580" i="3"/>
  <c r="Y580" i="3" s="1"/>
  <c r="K622" i="3"/>
  <c r="Y622" i="3" s="1"/>
  <c r="K633" i="3"/>
  <c r="Y633" i="3" s="1"/>
  <c r="K644" i="3"/>
  <c r="Y644" i="3" s="1"/>
  <c r="K655" i="3"/>
  <c r="Y655" i="3" s="1"/>
  <c r="K666" i="3"/>
  <c r="Y666" i="3" s="1"/>
  <c r="K342" i="3"/>
  <c r="Y342" i="3" s="1"/>
  <c r="K387" i="3"/>
  <c r="Y387" i="3" s="1"/>
  <c r="K442" i="3"/>
  <c r="Y442" i="3" s="1"/>
  <c r="K677" i="3"/>
  <c r="Y677" i="3" s="1"/>
  <c r="K693" i="3"/>
  <c r="Y693" i="3" s="1"/>
  <c r="K709" i="3"/>
  <c r="Y709" i="3" s="1"/>
  <c r="K725" i="3"/>
  <c r="Y725" i="3" s="1"/>
  <c r="K741" i="3"/>
  <c r="Y741" i="3" s="1"/>
  <c r="K757" i="3"/>
  <c r="Y757" i="3" s="1"/>
  <c r="K773" i="3"/>
  <c r="Y773" i="3" s="1"/>
  <c r="K789" i="3"/>
  <c r="Y789" i="3" s="1"/>
  <c r="K805" i="3"/>
  <c r="Y805" i="3" s="1"/>
  <c r="K409" i="3"/>
  <c r="Y409" i="3" s="1"/>
  <c r="K464" i="3"/>
  <c r="Y464" i="3" s="1"/>
  <c r="K527" i="3"/>
  <c r="Y527" i="3" s="1"/>
  <c r="K540" i="3"/>
  <c r="Y540" i="3" s="1"/>
  <c r="K554" i="3"/>
  <c r="Y554" i="3" s="1"/>
  <c r="K574" i="3"/>
  <c r="Y574" i="3" s="1"/>
  <c r="K605" i="3"/>
  <c r="Y605" i="3" s="1"/>
  <c r="K611" i="3"/>
  <c r="Y611" i="3" s="1"/>
  <c r="K500" i="3"/>
  <c r="Y500" i="3" s="1"/>
  <c r="K513" i="3"/>
  <c r="Y513" i="3" s="1"/>
  <c r="K593" i="3"/>
  <c r="Y593" i="3" s="1"/>
  <c r="K599" i="3"/>
  <c r="Y599" i="3" s="1"/>
  <c r="K628" i="3"/>
  <c r="Y628" i="3" s="1"/>
  <c r="K639" i="3"/>
  <c r="Y639" i="3" s="1"/>
  <c r="K650" i="3"/>
  <c r="Y650" i="3" s="1"/>
  <c r="K661" i="3"/>
  <c r="Y661" i="3" s="1"/>
  <c r="K672" i="3"/>
  <c r="Y672" i="3" s="1"/>
  <c r="K688" i="3"/>
  <c r="Y688" i="3" s="1"/>
  <c r="K704" i="3"/>
  <c r="Y704" i="3" s="1"/>
  <c r="K720" i="3"/>
  <c r="Y720" i="3" s="1"/>
  <c r="K492" i="3"/>
  <c r="Y492" i="3" s="1"/>
  <c r="K548" i="3"/>
  <c r="Y548" i="3" s="1"/>
  <c r="K567" i="3"/>
  <c r="Y567" i="3" s="1"/>
  <c r="K587" i="3"/>
  <c r="Y587" i="3" s="1"/>
  <c r="K617" i="3"/>
  <c r="Y617" i="3" s="1"/>
  <c r="K353" i="3"/>
  <c r="Y353" i="3" s="1"/>
  <c r="K454" i="3"/>
  <c r="Y454" i="3" s="1"/>
  <c r="K485" i="3"/>
  <c r="Y485" i="3" s="1"/>
  <c r="K521" i="3"/>
  <c r="Y521" i="3" s="1"/>
  <c r="K534" i="3"/>
  <c r="Y534" i="3" s="1"/>
  <c r="K683" i="3"/>
  <c r="Y683" i="3" s="1"/>
  <c r="K699" i="3"/>
  <c r="Y699" i="3" s="1"/>
  <c r="K715" i="3"/>
  <c r="Y715" i="3" s="1"/>
  <c r="K392" i="3"/>
  <c r="Y392" i="3" s="1"/>
  <c r="K427" i="3"/>
  <c r="Y427" i="3" s="1"/>
  <c r="K443" i="3"/>
  <c r="Y443" i="3" s="1"/>
  <c r="K475" i="3"/>
  <c r="Y475" i="3" s="1"/>
  <c r="K507" i="3"/>
  <c r="Y507" i="3" s="1"/>
  <c r="K561" i="3"/>
  <c r="Y561" i="3" s="1"/>
  <c r="K581" i="3"/>
  <c r="Y581" i="3" s="1"/>
  <c r="K623" i="3"/>
  <c r="Y623" i="3" s="1"/>
  <c r="K634" i="3"/>
  <c r="Y634" i="3" s="1"/>
  <c r="K645" i="3"/>
  <c r="Y645" i="3" s="1"/>
  <c r="K656" i="3"/>
  <c r="Y656" i="3" s="1"/>
  <c r="K667" i="3"/>
  <c r="Y667" i="3" s="1"/>
  <c r="K410" i="3"/>
  <c r="Y410" i="3" s="1"/>
  <c r="K542" i="3"/>
  <c r="Y542" i="3" s="1"/>
  <c r="K606" i="3"/>
  <c r="Y606" i="3" s="1"/>
  <c r="K678" i="3"/>
  <c r="Y678" i="3" s="1"/>
  <c r="K694" i="3"/>
  <c r="Y694" i="3" s="1"/>
  <c r="K710" i="3"/>
  <c r="Y710" i="3" s="1"/>
  <c r="K726" i="3"/>
  <c r="Y726" i="3" s="1"/>
  <c r="K742" i="3"/>
  <c r="Y742" i="3" s="1"/>
  <c r="K465" i="3"/>
  <c r="Y465" i="3" s="1"/>
  <c r="K515" i="3"/>
  <c r="Y515" i="3" s="1"/>
  <c r="K528" i="3"/>
  <c r="Y528" i="3" s="1"/>
  <c r="K555" i="3"/>
  <c r="Y555" i="3" s="1"/>
  <c r="K575" i="3"/>
  <c r="Y575" i="3" s="1"/>
  <c r="K612" i="3"/>
  <c r="Y612" i="3" s="1"/>
  <c r="K501" i="3"/>
  <c r="Y501" i="3" s="1"/>
  <c r="K629" i="3"/>
  <c r="Y629" i="3" s="1"/>
  <c r="K640" i="3"/>
  <c r="Y640" i="3" s="1"/>
  <c r="K651" i="3"/>
  <c r="Y651" i="3" s="1"/>
  <c r="K662" i="3"/>
  <c r="Y662" i="3" s="1"/>
  <c r="K673" i="3"/>
  <c r="Y673" i="3" s="1"/>
  <c r="K689" i="3"/>
  <c r="Y689" i="3" s="1"/>
  <c r="K705" i="3"/>
  <c r="Y705" i="3" s="1"/>
  <c r="K721" i="3"/>
  <c r="Y721" i="3" s="1"/>
  <c r="K737" i="3"/>
  <c r="Y737" i="3" s="1"/>
  <c r="K359" i="3"/>
  <c r="Y359" i="3" s="1"/>
  <c r="K549" i="3"/>
  <c r="Y549" i="3" s="1"/>
  <c r="K569" i="3"/>
  <c r="Y569" i="3" s="1"/>
  <c r="K588" i="3"/>
  <c r="Y588" i="3" s="1"/>
  <c r="K618" i="3"/>
  <c r="Y618" i="3" s="1"/>
  <c r="K393" i="3"/>
  <c r="Y393" i="3" s="1"/>
  <c r="K486" i="3"/>
  <c r="Y486" i="3" s="1"/>
  <c r="K522" i="3"/>
  <c r="Y522" i="3" s="1"/>
  <c r="K535" i="3"/>
  <c r="Y535" i="3" s="1"/>
  <c r="K595" i="3"/>
  <c r="Y595" i="3" s="1"/>
  <c r="K476" i="3"/>
  <c r="Y476" i="3" s="1"/>
  <c r="K495" i="3"/>
  <c r="Y495" i="3" s="1"/>
  <c r="K508" i="3"/>
  <c r="Y508" i="3" s="1"/>
  <c r="K563" i="3"/>
  <c r="Y563" i="3" s="1"/>
  <c r="K582" i="3"/>
  <c r="Y582" i="3" s="1"/>
  <c r="K601" i="3"/>
  <c r="Y601" i="3" s="1"/>
  <c r="K624" i="3"/>
  <c r="Y624" i="3" s="1"/>
  <c r="K635" i="3"/>
  <c r="Y635" i="3" s="1"/>
  <c r="K646" i="3"/>
  <c r="Y646" i="3" s="1"/>
  <c r="K657" i="3"/>
  <c r="Y657" i="3" s="1"/>
  <c r="K668" i="3"/>
  <c r="Y668" i="3" s="1"/>
  <c r="K415" i="3"/>
  <c r="Y415" i="3" s="1"/>
  <c r="K447" i="3"/>
  <c r="Y447" i="3" s="1"/>
  <c r="K458" i="3"/>
  <c r="Y458" i="3" s="1"/>
  <c r="K543" i="3"/>
  <c r="Y543" i="3" s="1"/>
  <c r="K607" i="3"/>
  <c r="Y607" i="3" s="1"/>
  <c r="K679" i="3"/>
  <c r="Y679" i="3" s="1"/>
  <c r="K432" i="3"/>
  <c r="Y432" i="3" s="1"/>
  <c r="K516" i="3"/>
  <c r="Y516" i="3" s="1"/>
  <c r="K529" i="3"/>
  <c r="Y529" i="3" s="1"/>
  <c r="K556" i="3"/>
  <c r="Y556" i="3" s="1"/>
  <c r="K576" i="3"/>
  <c r="Y576" i="3" s="1"/>
  <c r="K613" i="3"/>
  <c r="Y613" i="3" s="1"/>
  <c r="K370" i="3"/>
  <c r="Y370" i="3" s="1"/>
  <c r="K479" i="3"/>
  <c r="Y479" i="3" s="1"/>
  <c r="K502" i="3"/>
  <c r="Y502" i="3" s="1"/>
  <c r="K630" i="3"/>
  <c r="Y630" i="3" s="1"/>
  <c r="K641" i="3"/>
  <c r="Y641" i="3" s="1"/>
  <c r="K652" i="3"/>
  <c r="Y652" i="3" s="1"/>
  <c r="K663" i="3"/>
  <c r="Y663" i="3" s="1"/>
  <c r="K674" i="3"/>
  <c r="Y674" i="3" s="1"/>
  <c r="K537" i="3"/>
  <c r="Y537" i="3" s="1"/>
  <c r="K550" i="3"/>
  <c r="Y550" i="3" s="1"/>
  <c r="K570" i="3"/>
  <c r="Y570" i="3" s="1"/>
  <c r="K619" i="3"/>
  <c r="Y619" i="3" s="1"/>
  <c r="K448" i="3"/>
  <c r="Y448" i="3" s="1"/>
  <c r="K469" i="3"/>
  <c r="Y469" i="3" s="1"/>
  <c r="K487" i="3"/>
  <c r="Y487" i="3" s="1"/>
  <c r="K510" i="3"/>
  <c r="Y510" i="3" s="1"/>
  <c r="K523" i="3"/>
  <c r="Y523" i="3" s="1"/>
  <c r="K590" i="3"/>
  <c r="Y590" i="3" s="1"/>
  <c r="K596" i="3"/>
  <c r="Y596" i="3" s="1"/>
  <c r="K496" i="3"/>
  <c r="Y496" i="3" s="1"/>
  <c r="K564" i="3"/>
  <c r="Y564" i="3" s="1"/>
  <c r="K583" i="3"/>
  <c r="Y583" i="3" s="1"/>
  <c r="K602" i="3"/>
  <c r="Y602" i="3" s="1"/>
  <c r="K416" i="3"/>
  <c r="Y416" i="3" s="1"/>
  <c r="K459" i="3"/>
  <c r="Y459" i="3" s="1"/>
  <c r="K531" i="3"/>
  <c r="Y531" i="3" s="1"/>
  <c r="K544" i="3"/>
  <c r="Y544" i="3" s="1"/>
  <c r="K608" i="3"/>
  <c r="Y608" i="3" s="1"/>
  <c r="K700" i="3"/>
  <c r="Y700" i="3" s="1"/>
  <c r="K747" i="3"/>
  <c r="Y747" i="3" s="1"/>
  <c r="K776" i="3"/>
  <c r="Y776" i="3" s="1"/>
  <c r="K806" i="3"/>
  <c r="Y806" i="3" s="1"/>
  <c r="K813" i="3"/>
  <c r="Y813" i="3" s="1"/>
  <c r="K848" i="3"/>
  <c r="Y848" i="3" s="1"/>
  <c r="K861" i="3"/>
  <c r="Y861" i="3" s="1"/>
  <c r="K937" i="3"/>
  <c r="Y937" i="3" s="1"/>
  <c r="K954" i="3"/>
  <c r="Y954" i="3" s="1"/>
  <c r="K987" i="3"/>
  <c r="Y987" i="3" s="1"/>
  <c r="K1003" i="3"/>
  <c r="Y1003" i="3" s="1"/>
  <c r="K1019" i="3"/>
  <c r="Y1019" i="3" s="1"/>
  <c r="K1035" i="3"/>
  <c r="Y1035" i="3" s="1"/>
  <c r="K1051" i="3"/>
  <c r="Y1051" i="3" s="1"/>
  <c r="K1067" i="3"/>
  <c r="Y1067" i="3" s="1"/>
  <c r="K1083" i="3"/>
  <c r="Y1083" i="3" s="1"/>
  <c r="K1099" i="3"/>
  <c r="Y1099" i="3" s="1"/>
  <c r="K1115" i="3"/>
  <c r="Y1115" i="3" s="1"/>
  <c r="K1131" i="3"/>
  <c r="Y1131" i="3" s="1"/>
  <c r="K1147" i="3"/>
  <c r="Y1147" i="3" s="1"/>
  <c r="K1163" i="3"/>
  <c r="Y1163" i="3" s="1"/>
  <c r="K1179" i="3"/>
  <c r="Y1179" i="3" s="1"/>
  <c r="K1195" i="3"/>
  <c r="Y1195" i="3" s="1"/>
  <c r="K1211" i="3"/>
  <c r="Y1211" i="3" s="1"/>
  <c r="K1227" i="3"/>
  <c r="Y1227" i="3" s="1"/>
  <c r="K1243" i="3"/>
  <c r="Y1243" i="3" s="1"/>
  <c r="K1259" i="3"/>
  <c r="Y1259" i="3" s="1"/>
  <c r="K1275" i="3"/>
  <c r="Y1275" i="3" s="1"/>
  <c r="K1291" i="3"/>
  <c r="Y1291" i="3" s="1"/>
  <c r="K1307" i="3"/>
  <c r="Y1307" i="3" s="1"/>
  <c r="K717" i="3"/>
  <c r="Y717" i="3" s="1"/>
  <c r="K733" i="3"/>
  <c r="Y733" i="3" s="1"/>
  <c r="K758" i="3"/>
  <c r="Y758" i="3" s="1"/>
  <c r="K821" i="3"/>
  <c r="Y821" i="3" s="1"/>
  <c r="K834" i="3"/>
  <c r="Y834" i="3" s="1"/>
  <c r="K908" i="3"/>
  <c r="Y908" i="3" s="1"/>
  <c r="K914" i="3"/>
  <c r="Y914" i="3" s="1"/>
  <c r="K971" i="3"/>
  <c r="Y971" i="3" s="1"/>
  <c r="K869" i="3"/>
  <c r="Y869" i="3" s="1"/>
  <c r="K882" i="3"/>
  <c r="Y882" i="3" s="1"/>
  <c r="K902" i="3"/>
  <c r="Y902" i="3" s="1"/>
  <c r="K920" i="3"/>
  <c r="Y920" i="3" s="1"/>
  <c r="K926" i="3"/>
  <c r="Y926" i="3" s="1"/>
  <c r="K943" i="3"/>
  <c r="Y943" i="3" s="1"/>
  <c r="K960" i="3"/>
  <c r="Y960" i="3" s="1"/>
  <c r="K982" i="3"/>
  <c r="Y982" i="3" s="1"/>
  <c r="K998" i="3"/>
  <c r="Y998" i="3" s="1"/>
  <c r="K1014" i="3"/>
  <c r="Y1014" i="3" s="1"/>
  <c r="K1030" i="3"/>
  <c r="Y1030" i="3" s="1"/>
  <c r="K1046" i="3"/>
  <c r="Y1046" i="3" s="1"/>
  <c r="K1062" i="3"/>
  <c r="Y1062" i="3" s="1"/>
  <c r="K1078" i="3"/>
  <c r="Y1078" i="3" s="1"/>
  <c r="K1094" i="3"/>
  <c r="Y1094" i="3" s="1"/>
  <c r="K1110" i="3"/>
  <c r="Y1110" i="3" s="1"/>
  <c r="K1126" i="3"/>
  <c r="Y1126" i="3" s="1"/>
  <c r="K1142" i="3"/>
  <c r="Y1142" i="3" s="1"/>
  <c r="K1158" i="3"/>
  <c r="Y1158" i="3" s="1"/>
  <c r="K1174" i="3"/>
  <c r="Y1174" i="3" s="1"/>
  <c r="K1190" i="3"/>
  <c r="Y1190" i="3" s="1"/>
  <c r="K1206" i="3"/>
  <c r="Y1206" i="3" s="1"/>
  <c r="K1222" i="3"/>
  <c r="Y1222" i="3" s="1"/>
  <c r="K779" i="3"/>
  <c r="Y779" i="3" s="1"/>
  <c r="K797" i="3"/>
  <c r="Y797" i="3" s="1"/>
  <c r="K842" i="3"/>
  <c r="Y842" i="3" s="1"/>
  <c r="K855" i="3"/>
  <c r="Y855" i="3" s="1"/>
  <c r="K896" i="3"/>
  <c r="Y896" i="3" s="1"/>
  <c r="K625" i="3"/>
  <c r="Y625" i="3" s="1"/>
  <c r="K680" i="3"/>
  <c r="Y680" i="3" s="1"/>
  <c r="K736" i="3"/>
  <c r="Y736" i="3" s="1"/>
  <c r="K828" i="3"/>
  <c r="Y828" i="3" s="1"/>
  <c r="K890" i="3"/>
  <c r="Y890" i="3" s="1"/>
  <c r="K932" i="3"/>
  <c r="Y932" i="3" s="1"/>
  <c r="K949" i="3"/>
  <c r="Y949" i="3" s="1"/>
  <c r="K966" i="3"/>
  <c r="Y966" i="3" s="1"/>
  <c r="K977" i="3"/>
  <c r="Y977" i="3" s="1"/>
  <c r="K993" i="3"/>
  <c r="Y993" i="3" s="1"/>
  <c r="K1009" i="3"/>
  <c r="Y1009" i="3" s="1"/>
  <c r="K1025" i="3"/>
  <c r="Y1025" i="3" s="1"/>
  <c r="K1041" i="3"/>
  <c r="Y1041" i="3" s="1"/>
  <c r="K1057" i="3"/>
  <c r="Y1057" i="3" s="1"/>
  <c r="K1073" i="3"/>
  <c r="Y1073" i="3" s="1"/>
  <c r="K1089" i="3"/>
  <c r="Y1089" i="3" s="1"/>
  <c r="K1105" i="3"/>
  <c r="Y1105" i="3" s="1"/>
  <c r="K1121" i="3"/>
  <c r="Y1121" i="3" s="1"/>
  <c r="K1137" i="3"/>
  <c r="Y1137" i="3" s="1"/>
  <c r="K1153" i="3"/>
  <c r="Y1153" i="3" s="1"/>
  <c r="K1169" i="3"/>
  <c r="Y1169" i="3" s="1"/>
  <c r="K1185" i="3"/>
  <c r="Y1185" i="3" s="1"/>
  <c r="K1201" i="3"/>
  <c r="Y1201" i="3" s="1"/>
  <c r="K684" i="3"/>
  <c r="Y684" i="3" s="1"/>
  <c r="K748" i="3"/>
  <c r="Y748" i="3" s="1"/>
  <c r="K769" i="3"/>
  <c r="Y769" i="3" s="1"/>
  <c r="K863" i="3"/>
  <c r="Y863" i="3" s="1"/>
  <c r="K876" i="3"/>
  <c r="Y876" i="3" s="1"/>
  <c r="K701" i="3"/>
  <c r="Y701" i="3" s="1"/>
  <c r="K807" i="3"/>
  <c r="Y807" i="3" s="1"/>
  <c r="K836" i="3"/>
  <c r="Y836" i="3" s="1"/>
  <c r="K849" i="3"/>
  <c r="Y849" i="3" s="1"/>
  <c r="K921" i="3"/>
  <c r="Y921" i="3" s="1"/>
  <c r="K938" i="3"/>
  <c r="Y938" i="3" s="1"/>
  <c r="K955" i="3"/>
  <c r="Y955" i="3" s="1"/>
  <c r="K988" i="3"/>
  <c r="Y988" i="3" s="1"/>
  <c r="K1004" i="3"/>
  <c r="Y1004" i="3" s="1"/>
  <c r="K1020" i="3"/>
  <c r="Y1020" i="3" s="1"/>
  <c r="K1036" i="3"/>
  <c r="Y1036" i="3" s="1"/>
  <c r="K1052" i="3"/>
  <c r="Y1052" i="3" s="1"/>
  <c r="K1068" i="3"/>
  <c r="Y1068" i="3" s="1"/>
  <c r="K1084" i="3"/>
  <c r="Y1084" i="3" s="1"/>
  <c r="K1100" i="3"/>
  <c r="Y1100" i="3" s="1"/>
  <c r="K1116" i="3"/>
  <c r="Y1116" i="3" s="1"/>
  <c r="K1132" i="3"/>
  <c r="Y1132" i="3" s="1"/>
  <c r="K1148" i="3"/>
  <c r="Y1148" i="3" s="1"/>
  <c r="K1164" i="3"/>
  <c r="Y1164" i="3" s="1"/>
  <c r="K1180" i="3"/>
  <c r="Y1180" i="3" s="1"/>
  <c r="K1196" i="3"/>
  <c r="Y1196" i="3" s="1"/>
  <c r="K1212" i="3"/>
  <c r="Y1212" i="3" s="1"/>
  <c r="K1228" i="3"/>
  <c r="Y1228" i="3" s="1"/>
  <c r="K759" i="3"/>
  <c r="Y759" i="3" s="1"/>
  <c r="K790" i="3"/>
  <c r="Y790" i="3" s="1"/>
  <c r="K822" i="3"/>
  <c r="Y822" i="3" s="1"/>
  <c r="K884" i="3"/>
  <c r="Y884" i="3" s="1"/>
  <c r="K909" i="3"/>
  <c r="Y909" i="3" s="1"/>
  <c r="K972" i="3"/>
  <c r="Y972" i="3" s="1"/>
  <c r="K636" i="3"/>
  <c r="Y636" i="3" s="1"/>
  <c r="K800" i="3"/>
  <c r="Y800" i="3" s="1"/>
  <c r="K870" i="3"/>
  <c r="Y870" i="3" s="1"/>
  <c r="K903" i="3"/>
  <c r="Y903" i="3" s="1"/>
  <c r="K927" i="3"/>
  <c r="Y927" i="3" s="1"/>
  <c r="K944" i="3"/>
  <c r="Y944" i="3" s="1"/>
  <c r="K961" i="3"/>
  <c r="Y961" i="3" s="1"/>
  <c r="K983" i="3"/>
  <c r="Y983" i="3" s="1"/>
  <c r="K999" i="3"/>
  <c r="Y999" i="3" s="1"/>
  <c r="K1015" i="3"/>
  <c r="Y1015" i="3" s="1"/>
  <c r="K1031" i="3"/>
  <c r="Y1031" i="3" s="1"/>
  <c r="K1047" i="3"/>
  <c r="Y1047" i="3" s="1"/>
  <c r="K1063" i="3"/>
  <c r="Y1063" i="3" s="1"/>
  <c r="K1079" i="3"/>
  <c r="Y1079" i="3" s="1"/>
  <c r="K1095" i="3"/>
  <c r="Y1095" i="3" s="1"/>
  <c r="K722" i="3"/>
  <c r="Y722" i="3" s="1"/>
  <c r="K780" i="3"/>
  <c r="Y780" i="3" s="1"/>
  <c r="K843" i="3"/>
  <c r="Y843" i="3" s="1"/>
  <c r="K856" i="3"/>
  <c r="Y856" i="3" s="1"/>
  <c r="K897" i="3"/>
  <c r="Y897" i="3" s="1"/>
  <c r="K816" i="3"/>
  <c r="Y816" i="3" s="1"/>
  <c r="K829" i="3"/>
  <c r="Y829" i="3" s="1"/>
  <c r="K891" i="3"/>
  <c r="Y891" i="3" s="1"/>
  <c r="K910" i="3"/>
  <c r="Y910" i="3" s="1"/>
  <c r="K916" i="3"/>
  <c r="Y916" i="3" s="1"/>
  <c r="K933" i="3"/>
  <c r="Y933" i="3" s="1"/>
  <c r="K950" i="3"/>
  <c r="Y950" i="3" s="1"/>
  <c r="K967" i="3"/>
  <c r="Y967" i="3" s="1"/>
  <c r="K978" i="3"/>
  <c r="Y978" i="3" s="1"/>
  <c r="K994" i="3"/>
  <c r="Y994" i="3" s="1"/>
  <c r="K1010" i="3"/>
  <c r="Y1010" i="3" s="1"/>
  <c r="K1026" i="3"/>
  <c r="Y1026" i="3" s="1"/>
  <c r="K1042" i="3"/>
  <c r="Y1042" i="3" s="1"/>
  <c r="K1058" i="3"/>
  <c r="Y1058" i="3" s="1"/>
  <c r="K1074" i="3"/>
  <c r="Y1074" i="3" s="1"/>
  <c r="K1090" i="3"/>
  <c r="Y1090" i="3" s="1"/>
  <c r="K685" i="3"/>
  <c r="Y685" i="3" s="1"/>
  <c r="K738" i="3"/>
  <c r="Y738" i="3" s="1"/>
  <c r="K749" i="3"/>
  <c r="Y749" i="3" s="1"/>
  <c r="K770" i="3"/>
  <c r="Y770" i="3" s="1"/>
  <c r="K864" i="3"/>
  <c r="Y864" i="3" s="1"/>
  <c r="K877" i="3"/>
  <c r="Y877" i="3" s="1"/>
  <c r="K808" i="3"/>
  <c r="Y808" i="3" s="1"/>
  <c r="K837" i="3"/>
  <c r="Y837" i="3" s="1"/>
  <c r="K850" i="3"/>
  <c r="Y850" i="3" s="1"/>
  <c r="K922" i="3"/>
  <c r="Y922" i="3" s="1"/>
  <c r="K939" i="3"/>
  <c r="Y939" i="3" s="1"/>
  <c r="K956" i="3"/>
  <c r="Y956" i="3" s="1"/>
  <c r="K989" i="3"/>
  <c r="Y989" i="3" s="1"/>
  <c r="K1005" i="3"/>
  <c r="Y1005" i="3" s="1"/>
  <c r="K1021" i="3"/>
  <c r="Y1021" i="3" s="1"/>
  <c r="K1037" i="3"/>
  <c r="Y1037" i="3" s="1"/>
  <c r="K1053" i="3"/>
  <c r="Y1053" i="3" s="1"/>
  <c r="K1069" i="3"/>
  <c r="Y1069" i="3" s="1"/>
  <c r="K1085" i="3"/>
  <c r="Y1085" i="3" s="1"/>
  <c r="K706" i="3"/>
  <c r="Y706" i="3" s="1"/>
  <c r="K760" i="3"/>
  <c r="Y760" i="3" s="1"/>
  <c r="K791" i="3"/>
  <c r="Y791" i="3" s="1"/>
  <c r="K823" i="3"/>
  <c r="Y823" i="3" s="1"/>
  <c r="K885" i="3"/>
  <c r="Y885" i="3" s="1"/>
  <c r="K973" i="3"/>
  <c r="Y973" i="3" s="1"/>
  <c r="K647" i="3"/>
  <c r="Y647" i="3" s="1"/>
  <c r="K752" i="3"/>
  <c r="Y752" i="3" s="1"/>
  <c r="K801" i="3"/>
  <c r="Y801" i="3" s="1"/>
  <c r="K858" i="3"/>
  <c r="Y858" i="3" s="1"/>
  <c r="K871" i="3"/>
  <c r="Y871" i="3" s="1"/>
  <c r="K904" i="3"/>
  <c r="Y904" i="3" s="1"/>
  <c r="K928" i="3"/>
  <c r="Y928" i="3" s="1"/>
  <c r="K945" i="3"/>
  <c r="Y945" i="3" s="1"/>
  <c r="K962" i="3"/>
  <c r="Y962" i="3" s="1"/>
  <c r="K984" i="3"/>
  <c r="Y984" i="3" s="1"/>
  <c r="K1000" i="3"/>
  <c r="Y1000" i="3" s="1"/>
  <c r="K1016" i="3"/>
  <c r="Y1016" i="3" s="1"/>
  <c r="K1032" i="3"/>
  <c r="Y1032" i="3" s="1"/>
  <c r="K1048" i="3"/>
  <c r="Y1048" i="3" s="1"/>
  <c r="K1064" i="3"/>
  <c r="Y1064" i="3" s="1"/>
  <c r="K1080" i="3"/>
  <c r="Y1080" i="3" s="1"/>
  <c r="K1096" i="3"/>
  <c r="Y1096" i="3" s="1"/>
  <c r="K781" i="3"/>
  <c r="Y781" i="3" s="1"/>
  <c r="K831" i="3"/>
  <c r="Y831" i="3" s="1"/>
  <c r="K844" i="3"/>
  <c r="Y844" i="3" s="1"/>
  <c r="K898" i="3"/>
  <c r="Y898" i="3" s="1"/>
  <c r="K911" i="3"/>
  <c r="Y911" i="3" s="1"/>
  <c r="K763" i="3"/>
  <c r="Y763" i="3" s="1"/>
  <c r="K817" i="3"/>
  <c r="Y817" i="3" s="1"/>
  <c r="K879" i="3"/>
  <c r="Y879" i="3" s="1"/>
  <c r="K892" i="3"/>
  <c r="Y892" i="3" s="1"/>
  <c r="K917" i="3"/>
  <c r="Y917" i="3" s="1"/>
  <c r="K934" i="3"/>
  <c r="Y934" i="3" s="1"/>
  <c r="K951" i="3"/>
  <c r="Y951" i="3" s="1"/>
  <c r="K968" i="3"/>
  <c r="Y968" i="3" s="1"/>
  <c r="K979" i="3"/>
  <c r="Y979" i="3" s="1"/>
  <c r="K995" i="3"/>
  <c r="Y995" i="3" s="1"/>
  <c r="K1011" i="3"/>
  <c r="Y1011" i="3" s="1"/>
  <c r="K1027" i="3"/>
  <c r="Y1027" i="3" s="1"/>
  <c r="K852" i="3"/>
  <c r="Y852" i="3" s="1"/>
  <c r="K865" i="3"/>
  <c r="Y865" i="3" s="1"/>
  <c r="K690" i="3"/>
  <c r="Y690" i="3" s="1"/>
  <c r="K727" i="3"/>
  <c r="Y727" i="3" s="1"/>
  <c r="K784" i="3"/>
  <c r="Y784" i="3" s="1"/>
  <c r="K838" i="3"/>
  <c r="Y838" i="3" s="1"/>
  <c r="K923" i="3"/>
  <c r="Y923" i="3" s="1"/>
  <c r="K940" i="3"/>
  <c r="Y940" i="3" s="1"/>
  <c r="K957" i="3"/>
  <c r="Y957" i="3" s="1"/>
  <c r="K974" i="3"/>
  <c r="Y974" i="3" s="1"/>
  <c r="K990" i="3"/>
  <c r="Y990" i="3" s="1"/>
  <c r="K1006" i="3"/>
  <c r="Y1006" i="3" s="1"/>
  <c r="K1022" i="3"/>
  <c r="Y1022" i="3" s="1"/>
  <c r="K1038" i="3"/>
  <c r="Y1038" i="3" s="1"/>
  <c r="K753" i="3"/>
  <c r="Y753" i="3" s="1"/>
  <c r="K792" i="3"/>
  <c r="Y792" i="3" s="1"/>
  <c r="K824" i="3"/>
  <c r="Y824" i="3" s="1"/>
  <c r="K886" i="3"/>
  <c r="Y886" i="3" s="1"/>
  <c r="K711" i="3"/>
  <c r="Y711" i="3" s="1"/>
  <c r="K774" i="3"/>
  <c r="Y774" i="3" s="1"/>
  <c r="K802" i="3"/>
  <c r="Y802" i="3" s="1"/>
  <c r="K811" i="3"/>
  <c r="Y811" i="3" s="1"/>
  <c r="K859" i="3"/>
  <c r="Y859" i="3" s="1"/>
  <c r="K872" i="3"/>
  <c r="Y872" i="3" s="1"/>
  <c r="K929" i="3"/>
  <c r="Y929" i="3" s="1"/>
  <c r="K946" i="3"/>
  <c r="Y946" i="3" s="1"/>
  <c r="K985" i="3"/>
  <c r="Y985" i="3" s="1"/>
  <c r="K1001" i="3"/>
  <c r="Y1001" i="3" s="1"/>
  <c r="K1017" i="3"/>
  <c r="Y1017" i="3" s="1"/>
  <c r="K1033" i="3"/>
  <c r="Y1033" i="3" s="1"/>
  <c r="K832" i="3"/>
  <c r="Y832" i="3" s="1"/>
  <c r="K845" i="3"/>
  <c r="Y845" i="3" s="1"/>
  <c r="K906" i="3"/>
  <c r="Y906" i="3" s="1"/>
  <c r="K912" i="3"/>
  <c r="Y912" i="3" s="1"/>
  <c r="K969" i="3"/>
  <c r="Y969" i="3" s="1"/>
  <c r="K764" i="3"/>
  <c r="Y764" i="3" s="1"/>
  <c r="K818" i="3"/>
  <c r="Y818" i="3" s="1"/>
  <c r="K880" i="3"/>
  <c r="Y880" i="3" s="1"/>
  <c r="K893" i="3"/>
  <c r="Y893" i="3" s="1"/>
  <c r="K900" i="3"/>
  <c r="Y900" i="3" s="1"/>
  <c r="K918" i="3"/>
  <c r="Y918" i="3" s="1"/>
  <c r="K935" i="3"/>
  <c r="Y935" i="3" s="1"/>
  <c r="K952" i="3"/>
  <c r="Y952" i="3" s="1"/>
  <c r="K958" i="3"/>
  <c r="Y958" i="3" s="1"/>
  <c r="K980" i="3"/>
  <c r="Y980" i="3" s="1"/>
  <c r="K996" i="3"/>
  <c r="Y996" i="3" s="1"/>
  <c r="K743" i="3"/>
  <c r="Y743" i="3" s="1"/>
  <c r="K795" i="3"/>
  <c r="Y795" i="3" s="1"/>
  <c r="K853" i="3"/>
  <c r="Y853" i="3" s="1"/>
  <c r="K866" i="3"/>
  <c r="Y866" i="3" s="1"/>
  <c r="K728" i="3"/>
  <c r="Y728" i="3" s="1"/>
  <c r="K785" i="3"/>
  <c r="Y785" i="3" s="1"/>
  <c r="K826" i="3"/>
  <c r="Y826" i="3" s="1"/>
  <c r="K839" i="3"/>
  <c r="Y839" i="3" s="1"/>
  <c r="K924" i="3"/>
  <c r="Y924" i="3" s="1"/>
  <c r="K941" i="3"/>
  <c r="Y941" i="3" s="1"/>
  <c r="K964" i="3"/>
  <c r="Y964" i="3" s="1"/>
  <c r="K669" i="3"/>
  <c r="Y669" i="3" s="1"/>
  <c r="K695" i="3"/>
  <c r="Y695" i="3" s="1"/>
  <c r="K731" i="3"/>
  <c r="Y731" i="3" s="1"/>
  <c r="K754" i="3"/>
  <c r="Y754" i="3" s="1"/>
  <c r="K874" i="3"/>
  <c r="Y874" i="3" s="1"/>
  <c r="K887" i="3"/>
  <c r="Y887" i="3" s="1"/>
  <c r="K894" i="3"/>
  <c r="Y894" i="3" s="1"/>
  <c r="K712" i="3"/>
  <c r="Y712" i="3" s="1"/>
  <c r="K775" i="3"/>
  <c r="Y775" i="3" s="1"/>
  <c r="K812" i="3"/>
  <c r="Y812" i="3" s="1"/>
  <c r="K847" i="3"/>
  <c r="Y847" i="3" s="1"/>
  <c r="K860" i="3"/>
  <c r="Y860" i="3" s="1"/>
  <c r="K930" i="3"/>
  <c r="Y930" i="3" s="1"/>
  <c r="K953" i="3"/>
  <c r="Y953" i="3" s="1"/>
  <c r="K716" i="3"/>
  <c r="Y716" i="3" s="1"/>
  <c r="K732" i="3"/>
  <c r="Y732" i="3" s="1"/>
  <c r="K820" i="3"/>
  <c r="Y820" i="3" s="1"/>
  <c r="K833" i="3"/>
  <c r="Y833" i="3" s="1"/>
  <c r="K907" i="3"/>
  <c r="Y907" i="3" s="1"/>
  <c r="K913" i="3"/>
  <c r="Y913" i="3" s="1"/>
  <c r="K765" i="3"/>
  <c r="Y765" i="3" s="1"/>
  <c r="K868" i="3"/>
  <c r="Y868" i="3" s="1"/>
  <c r="K881" i="3"/>
  <c r="Y881" i="3" s="1"/>
  <c r="K901" i="3"/>
  <c r="Y901" i="3" s="1"/>
  <c r="K919" i="3"/>
  <c r="Y919" i="3" s="1"/>
  <c r="K936" i="3"/>
  <c r="Y936" i="3" s="1"/>
  <c r="K942" i="3"/>
  <c r="Y942" i="3" s="1"/>
  <c r="K959" i="3"/>
  <c r="Y959" i="3" s="1"/>
  <c r="K744" i="3"/>
  <c r="Y744" i="3" s="1"/>
  <c r="K796" i="3"/>
  <c r="Y796" i="3" s="1"/>
  <c r="K854" i="3"/>
  <c r="Y854" i="3" s="1"/>
  <c r="K895" i="3"/>
  <c r="Y895" i="3" s="1"/>
  <c r="K786" i="3"/>
  <c r="Y786" i="3" s="1"/>
  <c r="K827" i="3"/>
  <c r="Y827" i="3" s="1"/>
  <c r="K840" i="3"/>
  <c r="Y840" i="3" s="1"/>
  <c r="K696" i="3"/>
  <c r="Y696" i="3" s="1"/>
  <c r="K768" i="3"/>
  <c r="Y768" i="3" s="1"/>
  <c r="K875" i="3"/>
  <c r="Y875" i="3" s="1"/>
  <c r="K888" i="3"/>
  <c r="Y888" i="3" s="1"/>
  <c r="K1066" i="3"/>
  <c r="Y1066" i="3" s="1"/>
  <c r="K1159" i="3"/>
  <c r="Y1159" i="3" s="1"/>
  <c r="K1172" i="3"/>
  <c r="Y1172" i="3" s="1"/>
  <c r="K1192" i="3"/>
  <c r="Y1192" i="3" s="1"/>
  <c r="K1217" i="3"/>
  <c r="Y1217" i="3" s="1"/>
  <c r="K1322" i="3"/>
  <c r="Y1322" i="3" s="1"/>
  <c r="K1338" i="3"/>
  <c r="Y1338" i="3" s="1"/>
  <c r="K1354" i="3"/>
  <c r="Y1354" i="3" s="1"/>
  <c r="K1370" i="3"/>
  <c r="Y1370" i="3" s="1"/>
  <c r="K1386" i="3"/>
  <c r="Y1386" i="3" s="1"/>
  <c r="K1402" i="3"/>
  <c r="Y1402" i="3" s="1"/>
  <c r="K1418" i="3"/>
  <c r="Y1418" i="3" s="1"/>
  <c r="K1434" i="3"/>
  <c r="Y1434" i="3" s="1"/>
  <c r="K1450" i="3"/>
  <c r="Y1450" i="3" s="1"/>
  <c r="K1466" i="3"/>
  <c r="Y1466" i="3" s="1"/>
  <c r="K1482" i="3"/>
  <c r="Y1482" i="3" s="1"/>
  <c r="K1498" i="3"/>
  <c r="Y1498" i="3" s="1"/>
  <c r="K1514" i="3"/>
  <c r="Y1514" i="3" s="1"/>
  <c r="K1530" i="3"/>
  <c r="Y1530" i="3" s="1"/>
  <c r="K1546" i="3"/>
  <c r="Y1546" i="3" s="1"/>
  <c r="K1562" i="3"/>
  <c r="Y1562" i="3" s="1"/>
  <c r="K1578" i="3"/>
  <c r="Y1578" i="3" s="1"/>
  <c r="K1594" i="3"/>
  <c r="Y1594" i="3" s="1"/>
  <c r="K1610" i="3"/>
  <c r="Y1610" i="3" s="1"/>
  <c r="K970" i="3"/>
  <c r="Y970" i="3" s="1"/>
  <c r="K1145" i="3"/>
  <c r="Y1145" i="3" s="1"/>
  <c r="K1186" i="3"/>
  <c r="Y1186" i="3" s="1"/>
  <c r="K1229" i="3"/>
  <c r="Y1229" i="3" s="1"/>
  <c r="K1240" i="3"/>
  <c r="Y1240" i="3" s="1"/>
  <c r="K1251" i="3"/>
  <c r="Y1251" i="3" s="1"/>
  <c r="K1262" i="3"/>
  <c r="Y1262" i="3" s="1"/>
  <c r="K1273" i="3"/>
  <c r="Y1273" i="3" s="1"/>
  <c r="K1284" i="3"/>
  <c r="Y1284" i="3" s="1"/>
  <c r="K1295" i="3"/>
  <c r="Y1295" i="3" s="1"/>
  <c r="K1306" i="3"/>
  <c r="Y1306" i="3" s="1"/>
  <c r="K991" i="3"/>
  <c r="Y991" i="3" s="1"/>
  <c r="K1023" i="3"/>
  <c r="Y1023" i="3" s="1"/>
  <c r="K1056" i="3"/>
  <c r="Y1056" i="3" s="1"/>
  <c r="K1087" i="3"/>
  <c r="Y1087" i="3" s="1"/>
  <c r="K1097" i="3"/>
  <c r="Y1097" i="3" s="1"/>
  <c r="K1118" i="3"/>
  <c r="Y1118" i="3" s="1"/>
  <c r="K1317" i="3"/>
  <c r="Y1317" i="3" s="1"/>
  <c r="K1333" i="3"/>
  <c r="Y1333" i="3" s="1"/>
  <c r="K1349" i="3"/>
  <c r="Y1349" i="3" s="1"/>
  <c r="K1365" i="3"/>
  <c r="Y1365" i="3" s="1"/>
  <c r="K1381" i="3"/>
  <c r="Y1381" i="3" s="1"/>
  <c r="K1397" i="3"/>
  <c r="Y1397" i="3" s="1"/>
  <c r="K1413" i="3"/>
  <c r="Y1413" i="3" s="1"/>
  <c r="K1429" i="3"/>
  <c r="Y1429" i="3" s="1"/>
  <c r="K1445" i="3"/>
  <c r="Y1445" i="3" s="1"/>
  <c r="K1461" i="3"/>
  <c r="Y1461" i="3" s="1"/>
  <c r="K1477" i="3"/>
  <c r="Y1477" i="3" s="1"/>
  <c r="K1493" i="3"/>
  <c r="Y1493" i="3" s="1"/>
  <c r="K1509" i="3"/>
  <c r="Y1509" i="3" s="1"/>
  <c r="K1104" i="3"/>
  <c r="Y1104" i="3" s="1"/>
  <c r="K1166" i="3"/>
  <c r="Y1166" i="3" s="1"/>
  <c r="K1008" i="3"/>
  <c r="Y1008" i="3" s="1"/>
  <c r="K1077" i="3"/>
  <c r="Y1077" i="3" s="1"/>
  <c r="K1139" i="3"/>
  <c r="Y1139" i="3" s="1"/>
  <c r="K1152" i="3"/>
  <c r="Y1152" i="3" s="1"/>
  <c r="K1205" i="3"/>
  <c r="Y1205" i="3" s="1"/>
  <c r="K1235" i="3"/>
  <c r="Y1235" i="3" s="1"/>
  <c r="K1246" i="3"/>
  <c r="Y1246" i="3" s="1"/>
  <c r="K1257" i="3"/>
  <c r="Y1257" i="3" s="1"/>
  <c r="K1268" i="3"/>
  <c r="Y1268" i="3" s="1"/>
  <c r="K1279" i="3"/>
  <c r="Y1279" i="3" s="1"/>
  <c r="K1290" i="3"/>
  <c r="Y1290" i="3" s="1"/>
  <c r="K1301" i="3"/>
  <c r="Y1301" i="3" s="1"/>
  <c r="K1312" i="3"/>
  <c r="Y1312" i="3" s="1"/>
  <c r="K1328" i="3"/>
  <c r="Y1328" i="3" s="1"/>
  <c r="K1344" i="3"/>
  <c r="Y1344" i="3" s="1"/>
  <c r="K1360" i="3"/>
  <c r="Y1360" i="3" s="1"/>
  <c r="K1376" i="3"/>
  <c r="Y1376" i="3" s="1"/>
  <c r="K1392" i="3"/>
  <c r="Y1392" i="3" s="1"/>
  <c r="K1408" i="3"/>
  <c r="Y1408" i="3" s="1"/>
  <c r="K1424" i="3"/>
  <c r="Y1424" i="3" s="1"/>
  <c r="K1440" i="3"/>
  <c r="Y1440" i="3" s="1"/>
  <c r="K1456" i="3"/>
  <c r="Y1456" i="3" s="1"/>
  <c r="K1472" i="3"/>
  <c r="Y1472" i="3" s="1"/>
  <c r="K1488" i="3"/>
  <c r="Y1488" i="3" s="1"/>
  <c r="K1504" i="3"/>
  <c r="Y1504" i="3" s="1"/>
  <c r="K1059" i="3"/>
  <c r="Y1059" i="3" s="1"/>
  <c r="K1112" i="3"/>
  <c r="Y1112" i="3" s="1"/>
  <c r="K1125" i="3"/>
  <c r="Y1125" i="3" s="1"/>
  <c r="K1199" i="3"/>
  <c r="Y1199" i="3" s="1"/>
  <c r="K1218" i="3"/>
  <c r="Y1218" i="3" s="1"/>
  <c r="K1224" i="3"/>
  <c r="Y1224" i="3" s="1"/>
  <c r="K1160" i="3"/>
  <c r="Y1160" i="3" s="1"/>
  <c r="K1173" i="3"/>
  <c r="Y1173" i="3" s="1"/>
  <c r="K1193" i="3"/>
  <c r="Y1193" i="3" s="1"/>
  <c r="K1323" i="3"/>
  <c r="Y1323" i="3" s="1"/>
  <c r="K1339" i="3"/>
  <c r="Y1339" i="3" s="1"/>
  <c r="K1355" i="3"/>
  <c r="Y1355" i="3" s="1"/>
  <c r="K1371" i="3"/>
  <c r="Y1371" i="3" s="1"/>
  <c r="K1387" i="3"/>
  <c r="Y1387" i="3" s="1"/>
  <c r="K1403" i="3"/>
  <c r="Y1403" i="3" s="1"/>
  <c r="K1419" i="3"/>
  <c r="Y1419" i="3" s="1"/>
  <c r="K1435" i="3"/>
  <c r="Y1435" i="3" s="1"/>
  <c r="K1451" i="3"/>
  <c r="Y1451" i="3" s="1"/>
  <c r="K1467" i="3"/>
  <c r="Y1467" i="3" s="1"/>
  <c r="K1483" i="3"/>
  <c r="Y1483" i="3" s="1"/>
  <c r="K1499" i="3"/>
  <c r="Y1499" i="3" s="1"/>
  <c r="K1515" i="3"/>
  <c r="Y1515" i="3" s="1"/>
  <c r="K1531" i="3"/>
  <c r="Y1531" i="3" s="1"/>
  <c r="K1547" i="3"/>
  <c r="Y1547" i="3" s="1"/>
  <c r="K975" i="3"/>
  <c r="Y975" i="3" s="1"/>
  <c r="K1049" i="3"/>
  <c r="Y1049" i="3" s="1"/>
  <c r="K1133" i="3"/>
  <c r="Y1133" i="3" s="1"/>
  <c r="K1146" i="3"/>
  <c r="Y1146" i="3" s="1"/>
  <c r="K1187" i="3"/>
  <c r="Y1187" i="3" s="1"/>
  <c r="K1230" i="3"/>
  <c r="Y1230" i="3" s="1"/>
  <c r="K1241" i="3"/>
  <c r="Y1241" i="3" s="1"/>
  <c r="K1252" i="3"/>
  <c r="Y1252" i="3" s="1"/>
  <c r="K1263" i="3"/>
  <c r="Y1263" i="3" s="1"/>
  <c r="K1274" i="3"/>
  <c r="Y1274" i="3" s="1"/>
  <c r="K1285" i="3"/>
  <c r="Y1285" i="3" s="1"/>
  <c r="K1296" i="3"/>
  <c r="Y1296" i="3" s="1"/>
  <c r="K925" i="3"/>
  <c r="Y925" i="3" s="1"/>
  <c r="K992" i="3"/>
  <c r="Y992" i="3" s="1"/>
  <c r="K1012" i="3"/>
  <c r="Y1012" i="3" s="1"/>
  <c r="K1024" i="3"/>
  <c r="Y1024" i="3" s="1"/>
  <c r="K1088" i="3"/>
  <c r="Y1088" i="3" s="1"/>
  <c r="K1098" i="3"/>
  <c r="Y1098" i="3" s="1"/>
  <c r="K1106" i="3"/>
  <c r="Y1106" i="3" s="1"/>
  <c r="K1119" i="3"/>
  <c r="Y1119" i="3" s="1"/>
  <c r="K1318" i="3"/>
  <c r="Y1318" i="3" s="1"/>
  <c r="K1334" i="3"/>
  <c r="Y1334" i="3" s="1"/>
  <c r="K1350" i="3"/>
  <c r="Y1350" i="3" s="1"/>
  <c r="K1366" i="3"/>
  <c r="Y1366" i="3" s="1"/>
  <c r="K1382" i="3"/>
  <c r="Y1382" i="3" s="1"/>
  <c r="K1398" i="3"/>
  <c r="Y1398" i="3" s="1"/>
  <c r="K1070" i="3"/>
  <c r="Y1070" i="3" s="1"/>
  <c r="K1154" i="3"/>
  <c r="Y1154" i="3" s="1"/>
  <c r="K1167" i="3"/>
  <c r="Y1167" i="3" s="1"/>
  <c r="K1181" i="3"/>
  <c r="Y1181" i="3" s="1"/>
  <c r="K1302" i="3"/>
  <c r="Y1302" i="3" s="1"/>
  <c r="K1039" i="3"/>
  <c r="Y1039" i="3" s="1"/>
  <c r="K1127" i="3"/>
  <c r="Y1127" i="3" s="1"/>
  <c r="K1140" i="3"/>
  <c r="Y1140" i="3" s="1"/>
  <c r="K1236" i="3"/>
  <c r="Y1236" i="3" s="1"/>
  <c r="K1247" i="3"/>
  <c r="Y1247" i="3" s="1"/>
  <c r="K1258" i="3"/>
  <c r="Y1258" i="3" s="1"/>
  <c r="K1269" i="3"/>
  <c r="Y1269" i="3" s="1"/>
  <c r="K1280" i="3"/>
  <c r="Y1280" i="3" s="1"/>
  <c r="K1313" i="3"/>
  <c r="Y1313" i="3" s="1"/>
  <c r="K1329" i="3"/>
  <c r="Y1329" i="3" s="1"/>
  <c r="K1345" i="3"/>
  <c r="Y1345" i="3" s="1"/>
  <c r="K1361" i="3"/>
  <c r="Y1361" i="3" s="1"/>
  <c r="K1377" i="3"/>
  <c r="Y1377" i="3" s="1"/>
  <c r="K1393" i="3"/>
  <c r="Y1393" i="3" s="1"/>
  <c r="K1409" i="3"/>
  <c r="Y1409" i="3" s="1"/>
  <c r="K1060" i="3"/>
  <c r="Y1060" i="3" s="1"/>
  <c r="K1113" i="3"/>
  <c r="Y1113" i="3" s="1"/>
  <c r="K1175" i="3"/>
  <c r="Y1175" i="3" s="1"/>
  <c r="K1200" i="3"/>
  <c r="Y1200" i="3" s="1"/>
  <c r="K1207" i="3"/>
  <c r="Y1207" i="3" s="1"/>
  <c r="K1213" i="3"/>
  <c r="Y1213" i="3" s="1"/>
  <c r="K1219" i="3"/>
  <c r="Y1219" i="3" s="1"/>
  <c r="K1225" i="3"/>
  <c r="Y1225" i="3" s="1"/>
  <c r="K1091" i="3"/>
  <c r="Y1091" i="3" s="1"/>
  <c r="K1161" i="3"/>
  <c r="Y1161" i="3" s="1"/>
  <c r="K1194" i="3"/>
  <c r="Y1194" i="3" s="1"/>
  <c r="K1286" i="3"/>
  <c r="Y1286" i="3" s="1"/>
  <c r="K1297" i="3"/>
  <c r="Y1297" i="3" s="1"/>
  <c r="K1308" i="3"/>
  <c r="Y1308" i="3" s="1"/>
  <c r="K1324" i="3"/>
  <c r="Y1324" i="3" s="1"/>
  <c r="K1340" i="3"/>
  <c r="Y1340" i="3" s="1"/>
  <c r="K1356" i="3"/>
  <c r="Y1356" i="3" s="1"/>
  <c r="K1372" i="3"/>
  <c r="Y1372" i="3" s="1"/>
  <c r="K1388" i="3"/>
  <c r="Y1388" i="3" s="1"/>
  <c r="K1404" i="3"/>
  <c r="Y1404" i="3" s="1"/>
  <c r="K976" i="3"/>
  <c r="Y976" i="3" s="1"/>
  <c r="K1028" i="3"/>
  <c r="Y1028" i="3" s="1"/>
  <c r="K1050" i="3"/>
  <c r="Y1050" i="3" s="1"/>
  <c r="K1081" i="3"/>
  <c r="Y1081" i="3" s="1"/>
  <c r="K1134" i="3"/>
  <c r="Y1134" i="3" s="1"/>
  <c r="K1188" i="3"/>
  <c r="Y1188" i="3" s="1"/>
  <c r="K1231" i="3"/>
  <c r="Y1231" i="3" s="1"/>
  <c r="K1242" i="3"/>
  <c r="Y1242" i="3" s="1"/>
  <c r="K1253" i="3"/>
  <c r="Y1253" i="3" s="1"/>
  <c r="K1264" i="3"/>
  <c r="Y1264" i="3" s="1"/>
  <c r="K1013" i="3"/>
  <c r="Y1013" i="3" s="1"/>
  <c r="K1107" i="3"/>
  <c r="Y1107" i="3" s="1"/>
  <c r="K1120" i="3"/>
  <c r="Y1120" i="3" s="1"/>
  <c r="K1319" i="3"/>
  <c r="Y1319" i="3" s="1"/>
  <c r="K1335" i="3"/>
  <c r="Y1335" i="3" s="1"/>
  <c r="K1351" i="3"/>
  <c r="Y1351" i="3" s="1"/>
  <c r="K1367" i="3"/>
  <c r="Y1367" i="3" s="1"/>
  <c r="K1383" i="3"/>
  <c r="Y1383" i="3" s="1"/>
  <c r="K1399" i="3"/>
  <c r="Y1399" i="3" s="1"/>
  <c r="K1415" i="3"/>
  <c r="Y1415" i="3" s="1"/>
  <c r="K997" i="3"/>
  <c r="Y997" i="3" s="1"/>
  <c r="K1071" i="3"/>
  <c r="Y1071" i="3" s="1"/>
  <c r="K1155" i="3"/>
  <c r="Y1155" i="3" s="1"/>
  <c r="K1168" i="3"/>
  <c r="Y1168" i="3" s="1"/>
  <c r="K1182" i="3"/>
  <c r="Y1182" i="3" s="1"/>
  <c r="K1270" i="3"/>
  <c r="Y1270" i="3" s="1"/>
  <c r="K1281" i="3"/>
  <c r="Y1281" i="3" s="1"/>
  <c r="K1292" i="3"/>
  <c r="Y1292" i="3" s="1"/>
  <c r="K1303" i="3"/>
  <c r="Y1303" i="3" s="1"/>
  <c r="K1040" i="3"/>
  <c r="Y1040" i="3" s="1"/>
  <c r="K1128" i="3"/>
  <c r="Y1128" i="3" s="1"/>
  <c r="K1141" i="3"/>
  <c r="Y1141" i="3" s="1"/>
  <c r="K1237" i="3"/>
  <c r="Y1237" i="3" s="1"/>
  <c r="K1248" i="3"/>
  <c r="Y1248" i="3" s="1"/>
  <c r="K1314" i="3"/>
  <c r="Y1314" i="3" s="1"/>
  <c r="K1330" i="3"/>
  <c r="Y1330" i="3" s="1"/>
  <c r="K1346" i="3"/>
  <c r="Y1346" i="3" s="1"/>
  <c r="K1061" i="3"/>
  <c r="Y1061" i="3" s="1"/>
  <c r="K1114" i="3"/>
  <c r="Y1114" i="3" s="1"/>
  <c r="K1176" i="3"/>
  <c r="Y1176" i="3" s="1"/>
  <c r="K1208" i="3"/>
  <c r="Y1208" i="3" s="1"/>
  <c r="K1214" i="3"/>
  <c r="Y1214" i="3" s="1"/>
  <c r="K1220" i="3"/>
  <c r="Y1220" i="3" s="1"/>
  <c r="K1226" i="3"/>
  <c r="Y1226" i="3" s="1"/>
  <c r="K1092" i="3"/>
  <c r="Y1092" i="3" s="1"/>
  <c r="K1101" i="3"/>
  <c r="Y1101" i="3" s="1"/>
  <c r="K1149" i="3"/>
  <c r="Y1149" i="3" s="1"/>
  <c r="K1162" i="3"/>
  <c r="Y1162" i="3" s="1"/>
  <c r="K1202" i="3"/>
  <c r="Y1202" i="3" s="1"/>
  <c r="K1254" i="3"/>
  <c r="Y1254" i="3" s="1"/>
  <c r="K1265" i="3"/>
  <c r="Y1265" i="3" s="1"/>
  <c r="K1276" i="3"/>
  <c r="Y1276" i="3" s="1"/>
  <c r="K1287" i="3"/>
  <c r="Y1287" i="3" s="1"/>
  <c r="K1298" i="3"/>
  <c r="Y1298" i="3" s="1"/>
  <c r="K1309" i="3"/>
  <c r="Y1309" i="3" s="1"/>
  <c r="K1325" i="3"/>
  <c r="Y1325" i="3" s="1"/>
  <c r="K1341" i="3"/>
  <c r="Y1341" i="3" s="1"/>
  <c r="K1029" i="3"/>
  <c r="Y1029" i="3" s="1"/>
  <c r="K1043" i="3"/>
  <c r="Y1043" i="3" s="1"/>
  <c r="K1082" i="3"/>
  <c r="Y1082" i="3" s="1"/>
  <c r="K1122" i="3"/>
  <c r="Y1122" i="3" s="1"/>
  <c r="K1135" i="3"/>
  <c r="Y1135" i="3" s="1"/>
  <c r="K1189" i="3"/>
  <c r="Y1189" i="3" s="1"/>
  <c r="K1232" i="3"/>
  <c r="Y1232" i="3" s="1"/>
  <c r="K948" i="3"/>
  <c r="Y948" i="3" s="1"/>
  <c r="K981" i="3"/>
  <c r="Y981" i="3" s="1"/>
  <c r="K1108" i="3"/>
  <c r="Y1108" i="3" s="1"/>
  <c r="K1170" i="3"/>
  <c r="Y1170" i="3" s="1"/>
  <c r="K1320" i="3"/>
  <c r="Y1320" i="3" s="1"/>
  <c r="K1336" i="3"/>
  <c r="Y1336" i="3" s="1"/>
  <c r="K1072" i="3"/>
  <c r="Y1072" i="3" s="1"/>
  <c r="K1143" i="3"/>
  <c r="Y1143" i="3" s="1"/>
  <c r="K1156" i="3"/>
  <c r="Y1156" i="3" s="1"/>
  <c r="K1183" i="3"/>
  <c r="Y1183" i="3" s="1"/>
  <c r="K1238" i="3"/>
  <c r="Y1238" i="3" s="1"/>
  <c r="K1249" i="3"/>
  <c r="Y1249" i="3" s="1"/>
  <c r="K1260" i="3"/>
  <c r="Y1260" i="3" s="1"/>
  <c r="K1271" i="3"/>
  <c r="Y1271" i="3" s="1"/>
  <c r="K1282" i="3"/>
  <c r="Y1282" i="3" s="1"/>
  <c r="K1293" i="3"/>
  <c r="Y1293" i="3" s="1"/>
  <c r="K1304" i="3"/>
  <c r="Y1304" i="3" s="1"/>
  <c r="K1002" i="3"/>
  <c r="Y1002" i="3" s="1"/>
  <c r="K1054" i="3"/>
  <c r="Y1054" i="3" s="1"/>
  <c r="K1129" i="3"/>
  <c r="Y1129" i="3" s="1"/>
  <c r="K1102" i="3"/>
  <c r="Y1102" i="3" s="1"/>
  <c r="K1177" i="3"/>
  <c r="Y1177" i="3" s="1"/>
  <c r="K1209" i="3"/>
  <c r="Y1209" i="3" s="1"/>
  <c r="K1215" i="3"/>
  <c r="Y1215" i="3" s="1"/>
  <c r="K1221" i="3"/>
  <c r="Y1221" i="3" s="1"/>
  <c r="K1018" i="3"/>
  <c r="Y1018" i="3" s="1"/>
  <c r="K1044" i="3"/>
  <c r="Y1044" i="3" s="1"/>
  <c r="K1075" i="3"/>
  <c r="Y1075" i="3" s="1"/>
  <c r="K1093" i="3"/>
  <c r="Y1093" i="3" s="1"/>
  <c r="K1150" i="3"/>
  <c r="Y1150" i="3" s="1"/>
  <c r="K1203" i="3"/>
  <c r="Y1203" i="3" s="1"/>
  <c r="K1233" i="3"/>
  <c r="Y1233" i="3" s="1"/>
  <c r="K1244" i="3"/>
  <c r="Y1244" i="3" s="1"/>
  <c r="K1255" i="3"/>
  <c r="Y1255" i="3" s="1"/>
  <c r="K1266" i="3"/>
  <c r="Y1266" i="3" s="1"/>
  <c r="K1277" i="3"/>
  <c r="Y1277" i="3" s="1"/>
  <c r="K1123" i="3"/>
  <c r="Y1123" i="3" s="1"/>
  <c r="K1136" i="3"/>
  <c r="Y1136" i="3" s="1"/>
  <c r="K1197" i="3"/>
  <c r="Y1197" i="3" s="1"/>
  <c r="K1065" i="3"/>
  <c r="Y1065" i="3" s="1"/>
  <c r="K1109" i="3"/>
  <c r="Y1109" i="3" s="1"/>
  <c r="K1171" i="3"/>
  <c r="Y1171" i="3" s="1"/>
  <c r="K1191" i="3"/>
  <c r="Y1191" i="3" s="1"/>
  <c r="K986" i="3"/>
  <c r="Y986" i="3" s="1"/>
  <c r="K1144" i="3"/>
  <c r="Y1144" i="3" s="1"/>
  <c r="K1157" i="3"/>
  <c r="Y1157" i="3" s="1"/>
  <c r="K1184" i="3"/>
  <c r="Y1184" i="3" s="1"/>
  <c r="K1239" i="3"/>
  <c r="Y1239" i="3" s="1"/>
  <c r="K1250" i="3"/>
  <c r="Y1250" i="3" s="1"/>
  <c r="K1261" i="3"/>
  <c r="Y1261" i="3" s="1"/>
  <c r="K1272" i="3"/>
  <c r="Y1272" i="3" s="1"/>
  <c r="K1055" i="3"/>
  <c r="Y1055" i="3" s="1"/>
  <c r="K1086" i="3"/>
  <c r="Y1086" i="3" s="1"/>
  <c r="K1117" i="3"/>
  <c r="Y1117" i="3" s="1"/>
  <c r="K1130" i="3"/>
  <c r="Y1130" i="3" s="1"/>
  <c r="K1103" i="3"/>
  <c r="Y1103" i="3" s="1"/>
  <c r="K1165" i="3"/>
  <c r="Y1165" i="3" s="1"/>
  <c r="K1178" i="3"/>
  <c r="Y1178" i="3" s="1"/>
  <c r="K965" i="3"/>
  <c r="Y965" i="3" s="1"/>
  <c r="K1007" i="3"/>
  <c r="Y1007" i="3" s="1"/>
  <c r="K1034" i="3"/>
  <c r="Y1034" i="3" s="1"/>
  <c r="K1045" i="3"/>
  <c r="Y1045" i="3" s="1"/>
  <c r="K1076" i="3"/>
  <c r="Y1076" i="3" s="1"/>
  <c r="K1138" i="3"/>
  <c r="Y1138" i="3" s="1"/>
  <c r="K1151" i="3"/>
  <c r="Y1151" i="3" s="1"/>
  <c r="K1204" i="3"/>
  <c r="Y1204" i="3" s="1"/>
  <c r="K1111" i="3"/>
  <c r="Y1111" i="3" s="1"/>
  <c r="K1124" i="3"/>
  <c r="Y1124" i="3" s="1"/>
  <c r="K1198" i="3"/>
  <c r="Y1198" i="3" s="1"/>
  <c r="K1223" i="3"/>
  <c r="Y1223" i="3" s="1"/>
  <c r="K1210" i="3"/>
  <c r="Y1210" i="3" s="1"/>
  <c r="K1283" i="3"/>
  <c r="Y1283" i="3" s="1"/>
  <c r="K1348" i="3"/>
  <c r="Y1348" i="3" s="1"/>
  <c r="K1369" i="3"/>
  <c r="Y1369" i="3" s="1"/>
  <c r="K1416" i="3"/>
  <c r="Y1416" i="3" s="1"/>
  <c r="K1478" i="3"/>
  <c r="Y1478" i="3" s="1"/>
  <c r="K1503" i="3"/>
  <c r="Y1503" i="3" s="1"/>
  <c r="K1510" i="3"/>
  <c r="Y1510" i="3" s="1"/>
  <c r="K1556" i="3"/>
  <c r="Y1556" i="3" s="1"/>
  <c r="K1567" i="3"/>
  <c r="Y1567" i="3" s="1"/>
  <c r="K1216" i="3"/>
  <c r="Y1216" i="3" s="1"/>
  <c r="K1321" i="3"/>
  <c r="Y1321" i="3" s="1"/>
  <c r="K1400" i="3"/>
  <c r="Y1400" i="3" s="1"/>
  <c r="K1464" i="3"/>
  <c r="Y1464" i="3" s="1"/>
  <c r="K1497" i="3"/>
  <c r="Y1497" i="3" s="1"/>
  <c r="K1528" i="3"/>
  <c r="Y1528" i="3" s="1"/>
  <c r="K1545" i="3"/>
  <c r="Y1545" i="3" s="1"/>
  <c r="K1633" i="3"/>
  <c r="Y1633" i="3" s="1"/>
  <c r="K1649" i="3"/>
  <c r="Y1649" i="3" s="1"/>
  <c r="K1665" i="3"/>
  <c r="Y1665" i="3" s="1"/>
  <c r="K1681" i="3"/>
  <c r="Y1681" i="3" s="1"/>
  <c r="K1697" i="3"/>
  <c r="Y1697" i="3" s="1"/>
  <c r="K1713" i="3"/>
  <c r="Y1713" i="3" s="1"/>
  <c r="K1729" i="3"/>
  <c r="Y1729" i="3" s="1"/>
  <c r="K1745" i="3"/>
  <c r="Y1745" i="3" s="1"/>
  <c r="K1761" i="3"/>
  <c r="Y1761" i="3" s="1"/>
  <c r="K1777" i="3"/>
  <c r="Y1777" i="3" s="1"/>
  <c r="K1793" i="3"/>
  <c r="Y1793" i="3" s="1"/>
  <c r="K1809" i="3"/>
  <c r="Y1809" i="3" s="1"/>
  <c r="K1825" i="3"/>
  <c r="Y1825" i="3" s="1"/>
  <c r="K1841" i="3"/>
  <c r="Y1841" i="3" s="1"/>
  <c r="K1857" i="3"/>
  <c r="Y1857" i="3" s="1"/>
  <c r="K1873" i="3"/>
  <c r="Y1873" i="3" s="1"/>
  <c r="K1889" i="3"/>
  <c r="Y1889" i="3" s="1"/>
  <c r="K1359" i="3"/>
  <c r="Y1359" i="3" s="1"/>
  <c r="K1390" i="3"/>
  <c r="Y1390" i="3" s="1"/>
  <c r="K1437" i="3"/>
  <c r="Y1437" i="3" s="1"/>
  <c r="K1491" i="3"/>
  <c r="Y1491" i="3" s="1"/>
  <c r="K1573" i="3"/>
  <c r="Y1573" i="3" s="1"/>
  <c r="K1584" i="3"/>
  <c r="Y1584" i="3" s="1"/>
  <c r="K1595" i="3"/>
  <c r="Y1595" i="3" s="1"/>
  <c r="K1606" i="3"/>
  <c r="Y1606" i="3" s="1"/>
  <c r="K1617" i="3"/>
  <c r="Y1617" i="3" s="1"/>
  <c r="K1337" i="3"/>
  <c r="Y1337" i="3" s="1"/>
  <c r="K1423" i="3"/>
  <c r="Y1423" i="3" s="1"/>
  <c r="K1485" i="3"/>
  <c r="Y1485" i="3" s="1"/>
  <c r="K1534" i="3"/>
  <c r="Y1534" i="3" s="1"/>
  <c r="K1551" i="3"/>
  <c r="Y1551" i="3" s="1"/>
  <c r="K1628" i="3"/>
  <c r="Y1628" i="3" s="1"/>
  <c r="K1644" i="3"/>
  <c r="Y1644" i="3" s="1"/>
  <c r="K1660" i="3"/>
  <c r="Y1660" i="3" s="1"/>
  <c r="K1676" i="3"/>
  <c r="Y1676" i="3" s="1"/>
  <c r="K1692" i="3"/>
  <c r="Y1692" i="3" s="1"/>
  <c r="K1708" i="3"/>
  <c r="Y1708" i="3" s="1"/>
  <c r="K1724" i="3"/>
  <c r="Y1724" i="3" s="1"/>
  <c r="K1740" i="3"/>
  <c r="Y1740" i="3" s="1"/>
  <c r="K1756" i="3"/>
  <c r="Y1756" i="3" s="1"/>
  <c r="K1772" i="3"/>
  <c r="Y1772" i="3" s="1"/>
  <c r="K1788" i="3"/>
  <c r="Y1788" i="3" s="1"/>
  <c r="K1305" i="3"/>
  <c r="Y1305" i="3" s="1"/>
  <c r="K1380" i="3"/>
  <c r="Y1380" i="3" s="1"/>
  <c r="K1410" i="3"/>
  <c r="Y1410" i="3" s="1"/>
  <c r="K1458" i="3"/>
  <c r="Y1458" i="3" s="1"/>
  <c r="K1471" i="3"/>
  <c r="Y1471" i="3" s="1"/>
  <c r="K1362" i="3"/>
  <c r="Y1362" i="3" s="1"/>
  <c r="K1431" i="3"/>
  <c r="Y1431" i="3" s="1"/>
  <c r="K1444" i="3"/>
  <c r="Y1444" i="3" s="1"/>
  <c r="K1517" i="3"/>
  <c r="Y1517" i="3" s="1"/>
  <c r="K1523" i="3"/>
  <c r="Y1523" i="3" s="1"/>
  <c r="K1540" i="3"/>
  <c r="Y1540" i="3" s="1"/>
  <c r="K1557" i="3"/>
  <c r="Y1557" i="3" s="1"/>
  <c r="K1568" i="3"/>
  <c r="Y1568" i="3" s="1"/>
  <c r="K1579" i="3"/>
  <c r="Y1579" i="3" s="1"/>
  <c r="K1590" i="3"/>
  <c r="Y1590" i="3" s="1"/>
  <c r="K1601" i="3"/>
  <c r="Y1601" i="3" s="1"/>
  <c r="K1612" i="3"/>
  <c r="Y1612" i="3" s="1"/>
  <c r="K1623" i="3"/>
  <c r="Y1623" i="3" s="1"/>
  <c r="K1639" i="3"/>
  <c r="Y1639" i="3" s="1"/>
  <c r="K1655" i="3"/>
  <c r="Y1655" i="3" s="1"/>
  <c r="K1671" i="3"/>
  <c r="Y1671" i="3" s="1"/>
  <c r="K1687" i="3"/>
  <c r="Y1687" i="3" s="1"/>
  <c r="K1703" i="3"/>
  <c r="Y1703" i="3" s="1"/>
  <c r="K1719" i="3"/>
  <c r="Y1719" i="3" s="1"/>
  <c r="K1735" i="3"/>
  <c r="Y1735" i="3" s="1"/>
  <c r="K1751" i="3"/>
  <c r="Y1751" i="3" s="1"/>
  <c r="K1767" i="3"/>
  <c r="Y1767" i="3" s="1"/>
  <c r="K1783" i="3"/>
  <c r="Y1783" i="3" s="1"/>
  <c r="K1799" i="3"/>
  <c r="Y1799" i="3" s="1"/>
  <c r="K1815" i="3"/>
  <c r="Y1815" i="3" s="1"/>
  <c r="K1288" i="3"/>
  <c r="Y1288" i="3" s="1"/>
  <c r="K1417" i="3"/>
  <c r="Y1417" i="3" s="1"/>
  <c r="K1479" i="3"/>
  <c r="Y1479" i="3" s="1"/>
  <c r="K1511" i="3"/>
  <c r="Y1511" i="3" s="1"/>
  <c r="K1234" i="3"/>
  <c r="Y1234" i="3" s="1"/>
  <c r="K1352" i="3"/>
  <c r="Y1352" i="3" s="1"/>
  <c r="K1401" i="3"/>
  <c r="Y1401" i="3" s="1"/>
  <c r="K1452" i="3"/>
  <c r="Y1452" i="3" s="1"/>
  <c r="K1465" i="3"/>
  <c r="Y1465" i="3" s="1"/>
  <c r="K1505" i="3"/>
  <c r="Y1505" i="3" s="1"/>
  <c r="K1529" i="3"/>
  <c r="Y1529" i="3" s="1"/>
  <c r="K1634" i="3"/>
  <c r="Y1634" i="3" s="1"/>
  <c r="K1650" i="3"/>
  <c r="Y1650" i="3" s="1"/>
  <c r="K1666" i="3"/>
  <c r="Y1666" i="3" s="1"/>
  <c r="K1682" i="3"/>
  <c r="Y1682" i="3" s="1"/>
  <c r="K1698" i="3"/>
  <c r="Y1698" i="3" s="1"/>
  <c r="K1391" i="3"/>
  <c r="Y1391" i="3" s="1"/>
  <c r="K1425" i="3"/>
  <c r="Y1425" i="3" s="1"/>
  <c r="K1438" i="3"/>
  <c r="Y1438" i="3" s="1"/>
  <c r="K1492" i="3"/>
  <c r="Y1492" i="3" s="1"/>
  <c r="K1552" i="3"/>
  <c r="Y1552" i="3" s="1"/>
  <c r="K1563" i="3"/>
  <c r="Y1563" i="3" s="1"/>
  <c r="K1574" i="3"/>
  <c r="Y1574" i="3" s="1"/>
  <c r="K1585" i="3"/>
  <c r="Y1585" i="3" s="1"/>
  <c r="K1596" i="3"/>
  <c r="Y1596" i="3" s="1"/>
  <c r="K1607" i="3"/>
  <c r="Y1607" i="3" s="1"/>
  <c r="K1618" i="3"/>
  <c r="Y1618" i="3" s="1"/>
  <c r="K1373" i="3"/>
  <c r="Y1373" i="3" s="1"/>
  <c r="K1473" i="3"/>
  <c r="Y1473" i="3" s="1"/>
  <c r="K1486" i="3"/>
  <c r="Y1486" i="3" s="1"/>
  <c r="K1535" i="3"/>
  <c r="Y1535" i="3" s="1"/>
  <c r="K1629" i="3"/>
  <c r="Y1629" i="3" s="1"/>
  <c r="K1645" i="3"/>
  <c r="Y1645" i="3" s="1"/>
  <c r="K1661" i="3"/>
  <c r="Y1661" i="3" s="1"/>
  <c r="K1677" i="3"/>
  <c r="Y1677" i="3" s="1"/>
  <c r="K1693" i="3"/>
  <c r="Y1693" i="3" s="1"/>
  <c r="K1709" i="3"/>
  <c r="Y1709" i="3" s="1"/>
  <c r="K1310" i="3"/>
  <c r="Y1310" i="3" s="1"/>
  <c r="K1326" i="3"/>
  <c r="Y1326" i="3" s="1"/>
  <c r="K1411" i="3"/>
  <c r="Y1411" i="3" s="1"/>
  <c r="K1446" i="3"/>
  <c r="Y1446" i="3" s="1"/>
  <c r="K1459" i="3"/>
  <c r="Y1459" i="3" s="1"/>
  <c r="K1541" i="3"/>
  <c r="Y1541" i="3" s="1"/>
  <c r="K1363" i="3"/>
  <c r="Y1363" i="3" s="1"/>
  <c r="K1394" i="3"/>
  <c r="Y1394" i="3" s="1"/>
  <c r="K1432" i="3"/>
  <c r="Y1432" i="3" s="1"/>
  <c r="K1518" i="3"/>
  <c r="Y1518" i="3" s="1"/>
  <c r="K1524" i="3"/>
  <c r="Y1524" i="3" s="1"/>
  <c r="K1558" i="3"/>
  <c r="Y1558" i="3" s="1"/>
  <c r="K1569" i="3"/>
  <c r="Y1569" i="3" s="1"/>
  <c r="K1580" i="3"/>
  <c r="Y1580" i="3" s="1"/>
  <c r="K1591" i="3"/>
  <c r="Y1591" i="3" s="1"/>
  <c r="K1602" i="3"/>
  <c r="Y1602" i="3" s="1"/>
  <c r="K1613" i="3"/>
  <c r="Y1613" i="3" s="1"/>
  <c r="K1624" i="3"/>
  <c r="Y1624" i="3" s="1"/>
  <c r="K1640" i="3"/>
  <c r="Y1640" i="3" s="1"/>
  <c r="K1656" i="3"/>
  <c r="Y1656" i="3" s="1"/>
  <c r="K1672" i="3"/>
  <c r="Y1672" i="3" s="1"/>
  <c r="K1688" i="3"/>
  <c r="Y1688" i="3" s="1"/>
  <c r="K1704" i="3"/>
  <c r="Y1704" i="3" s="1"/>
  <c r="K1245" i="3"/>
  <c r="Y1245" i="3" s="1"/>
  <c r="K1289" i="3"/>
  <c r="Y1289" i="3" s="1"/>
  <c r="K1480" i="3"/>
  <c r="Y1480" i="3" s="1"/>
  <c r="K1512" i="3"/>
  <c r="Y1512" i="3" s="1"/>
  <c r="K1342" i="3"/>
  <c r="Y1342" i="3" s="1"/>
  <c r="K1353" i="3"/>
  <c r="Y1353" i="3" s="1"/>
  <c r="K1384" i="3"/>
  <c r="Y1384" i="3" s="1"/>
  <c r="K1453" i="3"/>
  <c r="Y1453" i="3" s="1"/>
  <c r="K1506" i="3"/>
  <c r="Y1506" i="3" s="1"/>
  <c r="K1635" i="3"/>
  <c r="Y1635" i="3" s="1"/>
  <c r="K1651" i="3"/>
  <c r="Y1651" i="3" s="1"/>
  <c r="K1667" i="3"/>
  <c r="Y1667" i="3" s="1"/>
  <c r="K1683" i="3"/>
  <c r="Y1683" i="3" s="1"/>
  <c r="K1699" i="3"/>
  <c r="Y1699" i="3" s="1"/>
  <c r="K1715" i="3"/>
  <c r="Y1715" i="3" s="1"/>
  <c r="K1426" i="3"/>
  <c r="Y1426" i="3" s="1"/>
  <c r="K1439" i="3"/>
  <c r="Y1439" i="3" s="1"/>
  <c r="K1500" i="3"/>
  <c r="Y1500" i="3" s="1"/>
  <c r="K1536" i="3"/>
  <c r="Y1536" i="3" s="1"/>
  <c r="K1553" i="3"/>
  <c r="Y1553" i="3" s="1"/>
  <c r="K1564" i="3"/>
  <c r="Y1564" i="3" s="1"/>
  <c r="K1575" i="3"/>
  <c r="Y1575" i="3" s="1"/>
  <c r="K1586" i="3"/>
  <c r="Y1586" i="3" s="1"/>
  <c r="K1597" i="3"/>
  <c r="Y1597" i="3" s="1"/>
  <c r="K1608" i="3"/>
  <c r="Y1608" i="3" s="1"/>
  <c r="K1619" i="3"/>
  <c r="Y1619" i="3" s="1"/>
  <c r="K1374" i="3"/>
  <c r="Y1374" i="3" s="1"/>
  <c r="K1474" i="3"/>
  <c r="Y1474" i="3" s="1"/>
  <c r="K1487" i="3"/>
  <c r="Y1487" i="3" s="1"/>
  <c r="K1494" i="3"/>
  <c r="Y1494" i="3" s="1"/>
  <c r="K1542" i="3"/>
  <c r="Y1542" i="3" s="1"/>
  <c r="K1630" i="3"/>
  <c r="Y1630" i="3" s="1"/>
  <c r="K1646" i="3"/>
  <c r="Y1646" i="3" s="1"/>
  <c r="K1311" i="3"/>
  <c r="Y1311" i="3" s="1"/>
  <c r="K1327" i="3"/>
  <c r="Y1327" i="3" s="1"/>
  <c r="K1412" i="3"/>
  <c r="Y1412" i="3" s="1"/>
  <c r="K1447" i="3"/>
  <c r="Y1447" i="3" s="1"/>
  <c r="K1460" i="3"/>
  <c r="Y1460" i="3" s="1"/>
  <c r="K1525" i="3"/>
  <c r="Y1525" i="3" s="1"/>
  <c r="K1364" i="3"/>
  <c r="Y1364" i="3" s="1"/>
  <c r="K1395" i="3"/>
  <c r="Y1395" i="3" s="1"/>
  <c r="K1420" i="3"/>
  <c r="Y1420" i="3" s="1"/>
  <c r="K1433" i="3"/>
  <c r="Y1433" i="3" s="1"/>
  <c r="K1519" i="3"/>
  <c r="Y1519" i="3" s="1"/>
  <c r="K1548" i="3"/>
  <c r="Y1548" i="3" s="1"/>
  <c r="K1559" i="3"/>
  <c r="Y1559" i="3" s="1"/>
  <c r="K1570" i="3"/>
  <c r="Y1570" i="3" s="1"/>
  <c r="K1581" i="3"/>
  <c r="Y1581" i="3" s="1"/>
  <c r="K1592" i="3"/>
  <c r="Y1592" i="3" s="1"/>
  <c r="K1603" i="3"/>
  <c r="Y1603" i="3" s="1"/>
  <c r="K1614" i="3"/>
  <c r="Y1614" i="3" s="1"/>
  <c r="K1625" i="3"/>
  <c r="Y1625" i="3" s="1"/>
  <c r="K1256" i="3"/>
  <c r="Y1256" i="3" s="1"/>
  <c r="K1294" i="3"/>
  <c r="Y1294" i="3" s="1"/>
  <c r="K1315" i="3"/>
  <c r="Y1315" i="3" s="1"/>
  <c r="K1405" i="3"/>
  <c r="Y1405" i="3" s="1"/>
  <c r="K1468" i="3"/>
  <c r="Y1468" i="3" s="1"/>
  <c r="K1481" i="3"/>
  <c r="Y1481" i="3" s="1"/>
  <c r="K1513" i="3"/>
  <c r="Y1513" i="3" s="1"/>
  <c r="K1331" i="3"/>
  <c r="Y1331" i="3" s="1"/>
  <c r="K1343" i="3"/>
  <c r="Y1343" i="3" s="1"/>
  <c r="K1385" i="3"/>
  <c r="Y1385" i="3" s="1"/>
  <c r="K1441" i="3"/>
  <c r="Y1441" i="3" s="1"/>
  <c r="K1454" i="3"/>
  <c r="Y1454" i="3" s="1"/>
  <c r="K1507" i="3"/>
  <c r="Y1507" i="3" s="1"/>
  <c r="K1537" i="3"/>
  <c r="Y1537" i="3" s="1"/>
  <c r="K1636" i="3"/>
  <c r="Y1636" i="3" s="1"/>
  <c r="K1652" i="3"/>
  <c r="Y1652" i="3" s="1"/>
  <c r="K1668" i="3"/>
  <c r="Y1668" i="3" s="1"/>
  <c r="K1427" i="3"/>
  <c r="Y1427" i="3" s="1"/>
  <c r="K1501" i="3"/>
  <c r="Y1501" i="3" s="1"/>
  <c r="K1520" i="3"/>
  <c r="Y1520" i="3" s="1"/>
  <c r="K1554" i="3"/>
  <c r="Y1554" i="3" s="1"/>
  <c r="K1565" i="3"/>
  <c r="Y1565" i="3" s="1"/>
  <c r="K1576" i="3"/>
  <c r="Y1576" i="3" s="1"/>
  <c r="K1587" i="3"/>
  <c r="Y1587" i="3" s="1"/>
  <c r="K1598" i="3"/>
  <c r="Y1598" i="3" s="1"/>
  <c r="K1609" i="3"/>
  <c r="Y1609" i="3" s="1"/>
  <c r="K1620" i="3"/>
  <c r="Y1620" i="3" s="1"/>
  <c r="K1375" i="3"/>
  <c r="Y1375" i="3" s="1"/>
  <c r="K1414" i="3"/>
  <c r="Y1414" i="3" s="1"/>
  <c r="K1462" i="3"/>
  <c r="Y1462" i="3" s="1"/>
  <c r="K1475" i="3"/>
  <c r="Y1475" i="3" s="1"/>
  <c r="K1495" i="3"/>
  <c r="Y1495" i="3" s="1"/>
  <c r="K1526" i="3"/>
  <c r="Y1526" i="3" s="1"/>
  <c r="K1543" i="3"/>
  <c r="Y1543" i="3" s="1"/>
  <c r="K1631" i="3"/>
  <c r="Y1631" i="3" s="1"/>
  <c r="K1647" i="3"/>
  <c r="Y1647" i="3" s="1"/>
  <c r="K1357" i="3"/>
  <c r="Y1357" i="3" s="1"/>
  <c r="K1448" i="3"/>
  <c r="Y1448" i="3" s="1"/>
  <c r="K1489" i="3"/>
  <c r="Y1489" i="3" s="1"/>
  <c r="K1396" i="3"/>
  <c r="Y1396" i="3" s="1"/>
  <c r="K1421" i="3"/>
  <c r="Y1421" i="3" s="1"/>
  <c r="K1532" i="3"/>
  <c r="Y1532" i="3" s="1"/>
  <c r="K1549" i="3"/>
  <c r="Y1549" i="3" s="1"/>
  <c r="K1560" i="3"/>
  <c r="Y1560" i="3" s="1"/>
  <c r="K1571" i="3"/>
  <c r="Y1571" i="3" s="1"/>
  <c r="K1582" i="3"/>
  <c r="Y1582" i="3" s="1"/>
  <c r="K1593" i="3"/>
  <c r="Y1593" i="3" s="1"/>
  <c r="K1267" i="3"/>
  <c r="Y1267" i="3" s="1"/>
  <c r="K1299" i="3"/>
  <c r="Y1299" i="3" s="1"/>
  <c r="K1316" i="3"/>
  <c r="Y1316" i="3" s="1"/>
  <c r="K1378" i="3"/>
  <c r="Y1378" i="3" s="1"/>
  <c r="K1406" i="3"/>
  <c r="Y1406" i="3" s="1"/>
  <c r="K1469" i="3"/>
  <c r="Y1469" i="3" s="1"/>
  <c r="K1332" i="3"/>
  <c r="Y1332" i="3" s="1"/>
  <c r="K1442" i="3"/>
  <c r="Y1442" i="3" s="1"/>
  <c r="K1455" i="3"/>
  <c r="Y1455" i="3" s="1"/>
  <c r="K1508" i="3"/>
  <c r="Y1508" i="3" s="1"/>
  <c r="K1521" i="3"/>
  <c r="Y1521" i="3" s="1"/>
  <c r="K1538" i="3"/>
  <c r="Y1538" i="3" s="1"/>
  <c r="K1347" i="3"/>
  <c r="Y1347" i="3" s="1"/>
  <c r="K1368" i="3"/>
  <c r="Y1368" i="3" s="1"/>
  <c r="K1428" i="3"/>
  <c r="Y1428" i="3" s="1"/>
  <c r="K1502" i="3"/>
  <c r="Y1502" i="3" s="1"/>
  <c r="K1555" i="3"/>
  <c r="Y1555" i="3" s="1"/>
  <c r="K1566" i="3"/>
  <c r="Y1566" i="3" s="1"/>
  <c r="K1577" i="3"/>
  <c r="Y1577" i="3" s="1"/>
  <c r="K1588" i="3"/>
  <c r="Y1588" i="3" s="1"/>
  <c r="K1463" i="3"/>
  <c r="Y1463" i="3" s="1"/>
  <c r="K1476" i="3"/>
  <c r="Y1476" i="3" s="1"/>
  <c r="K1496" i="3"/>
  <c r="Y1496" i="3" s="1"/>
  <c r="K1527" i="3"/>
  <c r="Y1527" i="3" s="1"/>
  <c r="K1544" i="3"/>
  <c r="Y1544" i="3" s="1"/>
  <c r="K1358" i="3"/>
  <c r="Y1358" i="3" s="1"/>
  <c r="K1389" i="3"/>
  <c r="Y1389" i="3" s="1"/>
  <c r="K1436" i="3"/>
  <c r="Y1436" i="3" s="1"/>
  <c r="K1449" i="3"/>
  <c r="Y1449" i="3" s="1"/>
  <c r="K1490" i="3"/>
  <c r="Y1490" i="3" s="1"/>
  <c r="K1422" i="3"/>
  <c r="Y1422" i="3" s="1"/>
  <c r="K1484" i="3"/>
  <c r="Y1484" i="3" s="1"/>
  <c r="K1278" i="3"/>
  <c r="Y1278" i="3" s="1"/>
  <c r="K1300" i="3"/>
  <c r="Y1300" i="3" s="1"/>
  <c r="K1379" i="3"/>
  <c r="Y1379" i="3" s="1"/>
  <c r="K1407" i="3"/>
  <c r="Y1407" i="3" s="1"/>
  <c r="K1457" i="3"/>
  <c r="Y1457" i="3" s="1"/>
  <c r="K1470" i="3"/>
  <c r="Y1470" i="3" s="1"/>
  <c r="K1430" i="3"/>
  <c r="Y1430" i="3" s="1"/>
  <c r="K1443" i="3"/>
  <c r="Y1443" i="3" s="1"/>
  <c r="K1516" i="3"/>
  <c r="Y1516" i="3" s="1"/>
  <c r="K1522" i="3"/>
  <c r="Y1522" i="3" s="1"/>
  <c r="K1539" i="3"/>
  <c r="Y1539" i="3" s="1"/>
  <c r="K1611" i="3"/>
  <c r="Y1611" i="3" s="1"/>
  <c r="K1662" i="3"/>
  <c r="Y1662" i="3" s="1"/>
  <c r="K1694" i="3"/>
  <c r="Y1694" i="3" s="1"/>
  <c r="K1768" i="3"/>
  <c r="Y1768" i="3" s="1"/>
  <c r="K1781" i="3"/>
  <c r="Y1781" i="3" s="1"/>
  <c r="K1808" i="3"/>
  <c r="Y1808" i="3" s="1"/>
  <c r="K1821" i="3"/>
  <c r="Y1821" i="3" s="1"/>
  <c r="K1827" i="3"/>
  <c r="Y1827" i="3" s="1"/>
  <c r="K1906" i="3"/>
  <c r="Y1906" i="3" s="1"/>
  <c r="K1922" i="3"/>
  <c r="Y1922" i="3" s="1"/>
  <c r="K1938" i="3"/>
  <c r="Y1938" i="3" s="1"/>
  <c r="K1954" i="3"/>
  <c r="Y1954" i="3" s="1"/>
  <c r="K1970" i="3"/>
  <c r="Y1970" i="3" s="1"/>
  <c r="K1986" i="3"/>
  <c r="Y1986" i="3" s="1"/>
  <c r="K2002" i="3"/>
  <c r="Y2002" i="3" s="1"/>
  <c r="K2018" i="3"/>
  <c r="Y2018" i="3" s="1"/>
  <c r="K2034" i="3"/>
  <c r="Y2034" i="3" s="1"/>
  <c r="K2050" i="3"/>
  <c r="Y2050" i="3" s="1"/>
  <c r="K2066" i="3"/>
  <c r="Y2066" i="3" s="1"/>
  <c r="K2082" i="3"/>
  <c r="Y2082" i="3" s="1"/>
  <c r="K1615" i="3"/>
  <c r="Y1615" i="3" s="1"/>
  <c r="K1632" i="3"/>
  <c r="Y1632" i="3" s="1"/>
  <c r="K1702" i="3"/>
  <c r="Y1702" i="3" s="1"/>
  <c r="K1712" i="3"/>
  <c r="Y1712" i="3" s="1"/>
  <c r="K1741" i="3"/>
  <c r="Y1741" i="3" s="1"/>
  <c r="K1754" i="3"/>
  <c r="Y1754" i="3" s="1"/>
  <c r="K1833" i="3"/>
  <c r="Y1833" i="3" s="1"/>
  <c r="K1850" i="3"/>
  <c r="Y1850" i="3" s="1"/>
  <c r="K1867" i="3"/>
  <c r="Y1867" i="3" s="1"/>
  <c r="K1890" i="3"/>
  <c r="Y1890" i="3" s="1"/>
  <c r="K1533" i="3"/>
  <c r="Y1533" i="3" s="1"/>
  <c r="K1589" i="3"/>
  <c r="Y1589" i="3" s="1"/>
  <c r="K1648" i="3"/>
  <c r="Y1648" i="3" s="1"/>
  <c r="K1684" i="3"/>
  <c r="Y1684" i="3" s="1"/>
  <c r="K1727" i="3"/>
  <c r="Y1727" i="3" s="1"/>
  <c r="K1789" i="3"/>
  <c r="Y1789" i="3" s="1"/>
  <c r="K1802" i="3"/>
  <c r="Y1802" i="3" s="1"/>
  <c r="K1901" i="3"/>
  <c r="Y1901" i="3" s="1"/>
  <c r="K1917" i="3"/>
  <c r="Y1917" i="3" s="1"/>
  <c r="K1933" i="3"/>
  <c r="Y1933" i="3" s="1"/>
  <c r="K1949" i="3"/>
  <c r="Y1949" i="3" s="1"/>
  <c r="K1965" i="3"/>
  <c r="Y1965" i="3" s="1"/>
  <c r="K1981" i="3"/>
  <c r="Y1981" i="3" s="1"/>
  <c r="K1997" i="3"/>
  <c r="Y1997" i="3" s="1"/>
  <c r="K2013" i="3"/>
  <c r="Y2013" i="3" s="1"/>
  <c r="K2029" i="3"/>
  <c r="Y2029" i="3" s="1"/>
  <c r="K2045" i="3"/>
  <c r="Y2045" i="3" s="1"/>
  <c r="K2061" i="3"/>
  <c r="Y2061" i="3" s="1"/>
  <c r="K2077" i="3"/>
  <c r="Y2077" i="3" s="1"/>
  <c r="K1663" i="3"/>
  <c r="Y1663" i="3" s="1"/>
  <c r="K1762" i="3"/>
  <c r="Y1762" i="3" s="1"/>
  <c r="K1775" i="3"/>
  <c r="Y1775" i="3" s="1"/>
  <c r="K1839" i="3"/>
  <c r="Y1839" i="3" s="1"/>
  <c r="K1856" i="3"/>
  <c r="Y1856" i="3" s="1"/>
  <c r="K1879" i="3"/>
  <c r="Y1879" i="3" s="1"/>
  <c r="K1674" i="3"/>
  <c r="Y1674" i="3" s="1"/>
  <c r="K1705" i="3"/>
  <c r="Y1705" i="3" s="1"/>
  <c r="K1748" i="3"/>
  <c r="Y1748" i="3" s="1"/>
  <c r="K1896" i="3"/>
  <c r="Y1896" i="3" s="1"/>
  <c r="K1912" i="3"/>
  <c r="Y1912" i="3" s="1"/>
  <c r="K1928" i="3"/>
  <c r="Y1928" i="3" s="1"/>
  <c r="K1944" i="3"/>
  <c r="Y1944" i="3" s="1"/>
  <c r="K1960" i="3"/>
  <c r="Y1960" i="3" s="1"/>
  <c r="K1976" i="3"/>
  <c r="Y1976" i="3" s="1"/>
  <c r="K1992" i="3"/>
  <c r="Y1992" i="3" s="1"/>
  <c r="K2008" i="3"/>
  <c r="Y2008" i="3" s="1"/>
  <c r="K2024" i="3"/>
  <c r="Y2024" i="3" s="1"/>
  <c r="K2040" i="3"/>
  <c r="Y2040" i="3" s="1"/>
  <c r="K2056" i="3"/>
  <c r="Y2056" i="3" s="1"/>
  <c r="K2072" i="3"/>
  <c r="Y2072" i="3" s="1"/>
  <c r="K1721" i="3"/>
  <c r="Y1721" i="3" s="1"/>
  <c r="K1734" i="3"/>
  <c r="Y1734" i="3" s="1"/>
  <c r="K1796" i="3"/>
  <c r="Y1796" i="3" s="1"/>
  <c r="K1845" i="3"/>
  <c r="Y1845" i="3" s="1"/>
  <c r="K1862" i="3"/>
  <c r="Y1862" i="3" s="1"/>
  <c r="K1868" i="3"/>
  <c r="Y1868" i="3" s="1"/>
  <c r="K1885" i="3"/>
  <c r="Y1885" i="3" s="1"/>
  <c r="K1616" i="3"/>
  <c r="Y1616" i="3" s="1"/>
  <c r="K1695" i="3"/>
  <c r="Y1695" i="3" s="1"/>
  <c r="K1714" i="3"/>
  <c r="Y1714" i="3" s="1"/>
  <c r="K1769" i="3"/>
  <c r="Y1769" i="3" s="1"/>
  <c r="K1782" i="3"/>
  <c r="Y1782" i="3" s="1"/>
  <c r="K1816" i="3"/>
  <c r="Y1816" i="3" s="1"/>
  <c r="K1822" i="3"/>
  <c r="Y1822" i="3" s="1"/>
  <c r="K1828" i="3"/>
  <c r="Y1828" i="3" s="1"/>
  <c r="K1907" i="3"/>
  <c r="Y1907" i="3" s="1"/>
  <c r="K1923" i="3"/>
  <c r="Y1923" i="3" s="1"/>
  <c r="K1939" i="3"/>
  <c r="Y1939" i="3" s="1"/>
  <c r="K1955" i="3"/>
  <c r="Y1955" i="3" s="1"/>
  <c r="K1971" i="3"/>
  <c r="Y1971" i="3" s="1"/>
  <c r="K1987" i="3"/>
  <c r="Y1987" i="3" s="1"/>
  <c r="K2003" i="3"/>
  <c r="Y2003" i="3" s="1"/>
  <c r="K2019" i="3"/>
  <c r="Y2019" i="3" s="1"/>
  <c r="K2035" i="3"/>
  <c r="Y2035" i="3" s="1"/>
  <c r="K2051" i="3"/>
  <c r="Y2051" i="3" s="1"/>
  <c r="K2067" i="3"/>
  <c r="Y2067" i="3" s="1"/>
  <c r="K2083" i="3"/>
  <c r="Y2083" i="3" s="1"/>
  <c r="K1742" i="3"/>
  <c r="Y1742" i="3" s="1"/>
  <c r="K1755" i="3"/>
  <c r="Y1755" i="3" s="1"/>
  <c r="K1810" i="3"/>
  <c r="Y1810" i="3" s="1"/>
  <c r="K1834" i="3"/>
  <c r="Y1834" i="3" s="1"/>
  <c r="K1851" i="3"/>
  <c r="Y1851" i="3" s="1"/>
  <c r="K1874" i="3"/>
  <c r="Y1874" i="3" s="1"/>
  <c r="K1891" i="3"/>
  <c r="Y1891" i="3" s="1"/>
  <c r="K1685" i="3"/>
  <c r="Y1685" i="3" s="1"/>
  <c r="K1728" i="3"/>
  <c r="Y1728" i="3" s="1"/>
  <c r="K1790" i="3"/>
  <c r="Y1790" i="3" s="1"/>
  <c r="K1803" i="3"/>
  <c r="Y1803" i="3" s="1"/>
  <c r="K1902" i="3"/>
  <c r="Y1902" i="3" s="1"/>
  <c r="K1918" i="3"/>
  <c r="Y1918" i="3" s="1"/>
  <c r="K1934" i="3"/>
  <c r="Y1934" i="3" s="1"/>
  <c r="K1950" i="3"/>
  <c r="Y1950" i="3" s="1"/>
  <c r="K1966" i="3"/>
  <c r="Y1966" i="3" s="1"/>
  <c r="K1982" i="3"/>
  <c r="Y1982" i="3" s="1"/>
  <c r="K1998" i="3"/>
  <c r="Y1998" i="3" s="1"/>
  <c r="K2014" i="3"/>
  <c r="Y2014" i="3" s="1"/>
  <c r="K2030" i="3"/>
  <c r="Y2030" i="3" s="1"/>
  <c r="K2046" i="3"/>
  <c r="Y2046" i="3" s="1"/>
  <c r="K2062" i="3"/>
  <c r="Y2062" i="3" s="1"/>
  <c r="K1550" i="3"/>
  <c r="Y1550" i="3" s="1"/>
  <c r="K1599" i="3"/>
  <c r="Y1599" i="3" s="1"/>
  <c r="K1664" i="3"/>
  <c r="Y1664" i="3" s="1"/>
  <c r="K1763" i="3"/>
  <c r="Y1763" i="3" s="1"/>
  <c r="K1776" i="3"/>
  <c r="Y1776" i="3" s="1"/>
  <c r="K1840" i="3"/>
  <c r="Y1840" i="3" s="1"/>
  <c r="K1863" i="3"/>
  <c r="Y1863" i="3" s="1"/>
  <c r="K1880" i="3"/>
  <c r="Y1880" i="3" s="1"/>
  <c r="K1637" i="3"/>
  <c r="Y1637" i="3" s="1"/>
  <c r="K1675" i="3"/>
  <c r="Y1675" i="3" s="1"/>
  <c r="K1706" i="3"/>
  <c r="Y1706" i="3" s="1"/>
  <c r="K1736" i="3"/>
  <c r="Y1736" i="3" s="1"/>
  <c r="K1749" i="3"/>
  <c r="Y1749" i="3" s="1"/>
  <c r="K1897" i="3"/>
  <c r="Y1897" i="3" s="1"/>
  <c r="K1913" i="3"/>
  <c r="Y1913" i="3" s="1"/>
  <c r="K1929" i="3"/>
  <c r="Y1929" i="3" s="1"/>
  <c r="K1945" i="3"/>
  <c r="Y1945" i="3" s="1"/>
  <c r="K1961" i="3"/>
  <c r="Y1961" i="3" s="1"/>
  <c r="K1977" i="3"/>
  <c r="Y1977" i="3" s="1"/>
  <c r="K1993" i="3"/>
  <c r="Y1993" i="3" s="1"/>
  <c r="K2009" i="3"/>
  <c r="Y2009" i="3" s="1"/>
  <c r="K2025" i="3"/>
  <c r="Y2025" i="3" s="1"/>
  <c r="K2041" i="3"/>
  <c r="Y2041" i="3" s="1"/>
  <c r="K2057" i="3"/>
  <c r="Y2057" i="3" s="1"/>
  <c r="K1722" i="3"/>
  <c r="Y1722" i="3" s="1"/>
  <c r="K1784" i="3"/>
  <c r="Y1784" i="3" s="1"/>
  <c r="K1797" i="3"/>
  <c r="Y1797" i="3" s="1"/>
  <c r="K1804" i="3"/>
  <c r="Y1804" i="3" s="1"/>
  <c r="K1846" i="3"/>
  <c r="Y1846" i="3" s="1"/>
  <c r="K1852" i="3"/>
  <c r="Y1852" i="3" s="1"/>
  <c r="K1869" i="3"/>
  <c r="Y1869" i="3" s="1"/>
  <c r="K1886" i="3"/>
  <c r="Y1886" i="3" s="1"/>
  <c r="K1621" i="3"/>
  <c r="Y1621" i="3" s="1"/>
  <c r="K1653" i="3"/>
  <c r="Y1653" i="3" s="1"/>
  <c r="K1696" i="3"/>
  <c r="Y1696" i="3" s="1"/>
  <c r="K1757" i="3"/>
  <c r="Y1757" i="3" s="1"/>
  <c r="K1770" i="3"/>
  <c r="Y1770" i="3" s="1"/>
  <c r="K1817" i="3"/>
  <c r="Y1817" i="3" s="1"/>
  <c r="K1823" i="3"/>
  <c r="Y1823" i="3" s="1"/>
  <c r="K1829" i="3"/>
  <c r="Y1829" i="3" s="1"/>
  <c r="K1908" i="3"/>
  <c r="Y1908" i="3" s="1"/>
  <c r="K1924" i="3"/>
  <c r="Y1924" i="3" s="1"/>
  <c r="K1940" i="3"/>
  <c r="Y1940" i="3" s="1"/>
  <c r="K1956" i="3"/>
  <c r="Y1956" i="3" s="1"/>
  <c r="K1972" i="3"/>
  <c r="Y1972" i="3" s="1"/>
  <c r="K1988" i="3"/>
  <c r="Y1988" i="3" s="1"/>
  <c r="K2004" i="3"/>
  <c r="Y2004" i="3" s="1"/>
  <c r="K2020" i="3"/>
  <c r="Y2020" i="3" s="1"/>
  <c r="K2036" i="3"/>
  <c r="Y2036" i="3" s="1"/>
  <c r="K2052" i="3"/>
  <c r="Y2052" i="3" s="1"/>
  <c r="K1678" i="3"/>
  <c r="Y1678" i="3" s="1"/>
  <c r="K1730" i="3"/>
  <c r="Y1730" i="3" s="1"/>
  <c r="K1743" i="3"/>
  <c r="Y1743" i="3" s="1"/>
  <c r="K1811" i="3"/>
  <c r="Y1811" i="3" s="1"/>
  <c r="K1835" i="3"/>
  <c r="Y1835" i="3" s="1"/>
  <c r="K1858" i="3"/>
  <c r="Y1858" i="3" s="1"/>
  <c r="K1875" i="3"/>
  <c r="Y1875" i="3" s="1"/>
  <c r="K1892" i="3"/>
  <c r="Y1892" i="3" s="1"/>
  <c r="K1600" i="3"/>
  <c r="Y1600" i="3" s="1"/>
  <c r="K1686" i="3"/>
  <c r="Y1686" i="3" s="1"/>
  <c r="K1716" i="3"/>
  <c r="Y1716" i="3" s="1"/>
  <c r="K1778" i="3"/>
  <c r="Y1778" i="3" s="1"/>
  <c r="K1791" i="3"/>
  <c r="Y1791" i="3" s="1"/>
  <c r="K1805" i="3"/>
  <c r="Y1805" i="3" s="1"/>
  <c r="K1903" i="3"/>
  <c r="Y1903" i="3" s="1"/>
  <c r="K1919" i="3"/>
  <c r="Y1919" i="3" s="1"/>
  <c r="K1935" i="3"/>
  <c r="Y1935" i="3" s="1"/>
  <c r="K1951" i="3"/>
  <c r="Y1951" i="3" s="1"/>
  <c r="K1967" i="3"/>
  <c r="Y1967" i="3" s="1"/>
  <c r="K1983" i="3"/>
  <c r="Y1983" i="3" s="1"/>
  <c r="K1999" i="3"/>
  <c r="Y1999" i="3" s="1"/>
  <c r="K2015" i="3"/>
  <c r="Y2015" i="3" s="1"/>
  <c r="K2031" i="3"/>
  <c r="Y2031" i="3" s="1"/>
  <c r="K2047" i="3"/>
  <c r="Y2047" i="3" s="1"/>
  <c r="K2063" i="3"/>
  <c r="Y2063" i="3" s="1"/>
  <c r="K1561" i="3"/>
  <c r="Y1561" i="3" s="1"/>
  <c r="K1604" i="3"/>
  <c r="Y1604" i="3" s="1"/>
  <c r="K1764" i="3"/>
  <c r="Y1764" i="3" s="1"/>
  <c r="K1847" i="3"/>
  <c r="Y1847" i="3" s="1"/>
  <c r="K1864" i="3"/>
  <c r="Y1864" i="3" s="1"/>
  <c r="K1881" i="3"/>
  <c r="Y1881" i="3" s="1"/>
  <c r="K1638" i="3"/>
  <c r="Y1638" i="3" s="1"/>
  <c r="K1707" i="3"/>
  <c r="Y1707" i="3" s="1"/>
  <c r="K1737" i="3"/>
  <c r="Y1737" i="3" s="1"/>
  <c r="K1750" i="3"/>
  <c r="Y1750" i="3" s="1"/>
  <c r="K1898" i="3"/>
  <c r="Y1898" i="3" s="1"/>
  <c r="K1914" i="3"/>
  <c r="Y1914" i="3" s="1"/>
  <c r="K1930" i="3"/>
  <c r="Y1930" i="3" s="1"/>
  <c r="K1946" i="3"/>
  <c r="Y1946" i="3" s="1"/>
  <c r="K1962" i="3"/>
  <c r="Y1962" i="3" s="1"/>
  <c r="K1978" i="3"/>
  <c r="Y1978" i="3" s="1"/>
  <c r="K1994" i="3"/>
  <c r="Y1994" i="3" s="1"/>
  <c r="K2010" i="3"/>
  <c r="Y2010" i="3" s="1"/>
  <c r="K2026" i="3"/>
  <c r="Y2026" i="3" s="1"/>
  <c r="K1641" i="3"/>
  <c r="Y1641" i="3" s="1"/>
  <c r="K1689" i="3"/>
  <c r="Y1689" i="3" s="1"/>
  <c r="K1723" i="3"/>
  <c r="Y1723" i="3" s="1"/>
  <c r="K1785" i="3"/>
  <c r="Y1785" i="3" s="1"/>
  <c r="K1798" i="3"/>
  <c r="Y1798" i="3" s="1"/>
  <c r="K1836" i="3"/>
  <c r="Y1836" i="3" s="1"/>
  <c r="K1853" i="3"/>
  <c r="Y1853" i="3" s="1"/>
  <c r="K1870" i="3"/>
  <c r="Y1870" i="3" s="1"/>
  <c r="K1887" i="3"/>
  <c r="Y1887" i="3" s="1"/>
  <c r="K1622" i="3"/>
  <c r="Y1622" i="3" s="1"/>
  <c r="K1654" i="3"/>
  <c r="Y1654" i="3" s="1"/>
  <c r="K1758" i="3"/>
  <c r="Y1758" i="3" s="1"/>
  <c r="K1771" i="3"/>
  <c r="Y1771" i="3" s="1"/>
  <c r="K1818" i="3"/>
  <c r="Y1818" i="3" s="1"/>
  <c r="K1824" i="3"/>
  <c r="Y1824" i="3" s="1"/>
  <c r="K1830" i="3"/>
  <c r="Y1830" i="3" s="1"/>
  <c r="K1909" i="3"/>
  <c r="Y1909" i="3" s="1"/>
  <c r="K1925" i="3"/>
  <c r="Y1925" i="3" s="1"/>
  <c r="K1941" i="3"/>
  <c r="Y1941" i="3" s="1"/>
  <c r="K1957" i="3"/>
  <c r="Y1957" i="3" s="1"/>
  <c r="K1973" i="3"/>
  <c r="Y1973" i="3" s="1"/>
  <c r="K1989" i="3"/>
  <c r="Y1989" i="3" s="1"/>
  <c r="K2005" i="3"/>
  <c r="Y2005" i="3" s="1"/>
  <c r="K2021" i="3"/>
  <c r="Y2021" i="3" s="1"/>
  <c r="K1626" i="3"/>
  <c r="Y1626" i="3" s="1"/>
  <c r="K1642" i="3"/>
  <c r="Y1642" i="3" s="1"/>
  <c r="K1679" i="3"/>
  <c r="Y1679" i="3" s="1"/>
  <c r="K1731" i="3"/>
  <c r="Y1731" i="3" s="1"/>
  <c r="K1744" i="3"/>
  <c r="Y1744" i="3" s="1"/>
  <c r="K1812" i="3"/>
  <c r="Y1812" i="3" s="1"/>
  <c r="K1842" i="3"/>
  <c r="Y1842" i="3" s="1"/>
  <c r="K1859" i="3"/>
  <c r="Y1859" i="3" s="1"/>
  <c r="K1876" i="3"/>
  <c r="Y1876" i="3" s="1"/>
  <c r="K1893" i="3"/>
  <c r="Y1893" i="3" s="1"/>
  <c r="K1605" i="3"/>
  <c r="Y1605" i="3" s="1"/>
  <c r="K1657" i="3"/>
  <c r="Y1657" i="3" s="1"/>
  <c r="K1717" i="3"/>
  <c r="Y1717" i="3" s="1"/>
  <c r="K1779" i="3"/>
  <c r="Y1779" i="3" s="1"/>
  <c r="K1792" i="3"/>
  <c r="Y1792" i="3" s="1"/>
  <c r="K1806" i="3"/>
  <c r="Y1806" i="3" s="1"/>
  <c r="K1904" i="3"/>
  <c r="Y1904" i="3" s="1"/>
  <c r="K1920" i="3"/>
  <c r="Y1920" i="3" s="1"/>
  <c r="K1936" i="3"/>
  <c r="Y1936" i="3" s="1"/>
  <c r="K1952" i="3"/>
  <c r="Y1952" i="3" s="1"/>
  <c r="K1968" i="3"/>
  <c r="Y1968" i="3" s="1"/>
  <c r="K1984" i="3"/>
  <c r="Y1984" i="3" s="1"/>
  <c r="K2000" i="3"/>
  <c r="Y2000" i="3" s="1"/>
  <c r="K2016" i="3"/>
  <c r="Y2016" i="3" s="1"/>
  <c r="K1572" i="3"/>
  <c r="Y1572" i="3" s="1"/>
  <c r="K1669" i="3"/>
  <c r="Y1669" i="3" s="1"/>
  <c r="K1700" i="3"/>
  <c r="Y1700" i="3" s="1"/>
  <c r="K1710" i="3"/>
  <c r="Y1710" i="3" s="1"/>
  <c r="K1752" i="3"/>
  <c r="Y1752" i="3" s="1"/>
  <c r="K1765" i="3"/>
  <c r="Y1765" i="3" s="1"/>
  <c r="K1848" i="3"/>
  <c r="Y1848" i="3" s="1"/>
  <c r="K1865" i="3"/>
  <c r="Y1865" i="3" s="1"/>
  <c r="K1882" i="3"/>
  <c r="Y1882" i="3" s="1"/>
  <c r="K1725" i="3"/>
  <c r="Y1725" i="3" s="1"/>
  <c r="K1738" i="3"/>
  <c r="Y1738" i="3" s="1"/>
  <c r="K1800" i="3"/>
  <c r="Y1800" i="3" s="1"/>
  <c r="K1831" i="3"/>
  <c r="Y1831" i="3" s="1"/>
  <c r="K1899" i="3"/>
  <c r="Y1899" i="3" s="1"/>
  <c r="K1915" i="3"/>
  <c r="Y1915" i="3" s="1"/>
  <c r="K1931" i="3"/>
  <c r="Y1931" i="3" s="1"/>
  <c r="K1947" i="3"/>
  <c r="Y1947" i="3" s="1"/>
  <c r="K1963" i="3"/>
  <c r="Y1963" i="3" s="1"/>
  <c r="K1979" i="3"/>
  <c r="Y1979" i="3" s="1"/>
  <c r="K1658" i="3"/>
  <c r="Y1658" i="3" s="1"/>
  <c r="K1690" i="3"/>
  <c r="Y1690" i="3" s="1"/>
  <c r="K1773" i="3"/>
  <c r="Y1773" i="3" s="1"/>
  <c r="K1786" i="3"/>
  <c r="Y1786" i="3" s="1"/>
  <c r="K1837" i="3"/>
  <c r="Y1837" i="3" s="1"/>
  <c r="K1854" i="3"/>
  <c r="Y1854" i="3" s="1"/>
  <c r="K1871" i="3"/>
  <c r="Y1871" i="3" s="1"/>
  <c r="K1888" i="3"/>
  <c r="Y1888" i="3" s="1"/>
  <c r="K1746" i="3"/>
  <c r="Y1746" i="3" s="1"/>
  <c r="K1759" i="3"/>
  <c r="Y1759" i="3" s="1"/>
  <c r="K1819" i="3"/>
  <c r="Y1819" i="3" s="1"/>
  <c r="K1910" i="3"/>
  <c r="Y1910" i="3" s="1"/>
  <c r="K1926" i="3"/>
  <c r="Y1926" i="3" s="1"/>
  <c r="K1942" i="3"/>
  <c r="Y1942" i="3" s="1"/>
  <c r="K1627" i="3"/>
  <c r="Y1627" i="3" s="1"/>
  <c r="K1643" i="3"/>
  <c r="Y1643" i="3" s="1"/>
  <c r="K1680" i="3"/>
  <c r="Y1680" i="3" s="1"/>
  <c r="K1732" i="3"/>
  <c r="Y1732" i="3" s="1"/>
  <c r="K1794" i="3"/>
  <c r="Y1794" i="3" s="1"/>
  <c r="K1813" i="3"/>
  <c r="Y1813" i="3" s="1"/>
  <c r="K1843" i="3"/>
  <c r="Y1843" i="3" s="1"/>
  <c r="K1860" i="3"/>
  <c r="Y1860" i="3" s="1"/>
  <c r="K1877" i="3"/>
  <c r="Y1877" i="3" s="1"/>
  <c r="K1894" i="3"/>
  <c r="Y1894" i="3" s="1"/>
  <c r="K1718" i="3"/>
  <c r="Y1718" i="3" s="1"/>
  <c r="K1780" i="3"/>
  <c r="Y1780" i="3" s="1"/>
  <c r="K1807" i="3"/>
  <c r="Y1807" i="3" s="1"/>
  <c r="K1826" i="3"/>
  <c r="Y1826" i="3" s="1"/>
  <c r="K1905" i="3"/>
  <c r="Y1905" i="3" s="1"/>
  <c r="K1921" i="3"/>
  <c r="Y1921" i="3" s="1"/>
  <c r="K1937" i="3"/>
  <c r="Y1937" i="3" s="1"/>
  <c r="K1953" i="3"/>
  <c r="Y1953" i="3" s="1"/>
  <c r="K1583" i="3"/>
  <c r="Y1583" i="3" s="1"/>
  <c r="K1670" i="3"/>
  <c r="Y1670" i="3" s="1"/>
  <c r="K1701" i="3"/>
  <c r="Y1701" i="3" s="1"/>
  <c r="K1711" i="3"/>
  <c r="Y1711" i="3" s="1"/>
  <c r="K1753" i="3"/>
  <c r="Y1753" i="3" s="1"/>
  <c r="K1766" i="3"/>
  <c r="Y1766" i="3" s="1"/>
  <c r="K1832" i="3"/>
  <c r="Y1832" i="3" s="1"/>
  <c r="K1849" i="3"/>
  <c r="Y1849" i="3" s="1"/>
  <c r="K1866" i="3"/>
  <c r="Y1866" i="3" s="1"/>
  <c r="K1883" i="3"/>
  <c r="Y1883" i="3" s="1"/>
  <c r="K1726" i="3"/>
  <c r="Y1726" i="3" s="1"/>
  <c r="K1739" i="3"/>
  <c r="Y1739" i="3" s="1"/>
  <c r="K1801" i="3"/>
  <c r="Y1801" i="3" s="1"/>
  <c r="K1820" i="3"/>
  <c r="Y1820" i="3" s="1"/>
  <c r="K1900" i="3"/>
  <c r="Y1900" i="3" s="1"/>
  <c r="K1916" i="3"/>
  <c r="Y1916" i="3" s="1"/>
  <c r="K1932" i="3"/>
  <c r="Y1932" i="3" s="1"/>
  <c r="K1948" i="3"/>
  <c r="Y1948" i="3" s="1"/>
  <c r="K1659" i="3"/>
  <c r="Y1659" i="3" s="1"/>
  <c r="K1691" i="3"/>
  <c r="Y1691" i="3" s="1"/>
  <c r="K1774" i="3"/>
  <c r="Y1774" i="3" s="1"/>
  <c r="K1787" i="3"/>
  <c r="Y1787" i="3" s="1"/>
  <c r="K1838" i="3"/>
  <c r="Y1838" i="3" s="1"/>
  <c r="K1855" i="3"/>
  <c r="Y1855" i="3" s="1"/>
  <c r="K1872" i="3"/>
  <c r="Y1872" i="3" s="1"/>
  <c r="K1673" i="3"/>
  <c r="Y1673" i="3" s="1"/>
  <c r="K1747" i="3"/>
  <c r="Y1747" i="3" s="1"/>
  <c r="K1760" i="3"/>
  <c r="Y1760" i="3" s="1"/>
  <c r="K1720" i="3"/>
  <c r="Y1720" i="3" s="1"/>
  <c r="K1733" i="3"/>
  <c r="Y1733" i="3" s="1"/>
  <c r="K1795" i="3"/>
  <c r="Y1795" i="3" s="1"/>
  <c r="K1814" i="3"/>
  <c r="Y1814" i="3" s="1"/>
  <c r="K1844" i="3"/>
  <c r="Y1844" i="3" s="1"/>
  <c r="K1861" i="3"/>
  <c r="Y1861" i="3" s="1"/>
  <c r="K1878" i="3"/>
  <c r="Y1878" i="3" s="1"/>
  <c r="K1884" i="3"/>
  <c r="Y1884" i="3" s="1"/>
  <c r="J2079" i="3"/>
  <c r="X2079" i="3" s="1"/>
  <c r="J2071" i="3"/>
  <c r="X2071" i="3" s="1"/>
  <c r="AB2063" i="3"/>
  <c r="J2043" i="3"/>
  <c r="X2043" i="3" s="1"/>
  <c r="AB2032" i="3"/>
  <c r="J2021" i="3"/>
  <c r="X2021" i="3" s="1"/>
  <c r="Z2006" i="3"/>
  <c r="J1991" i="3"/>
  <c r="X1991" i="3" s="1"/>
  <c r="J1975" i="3"/>
  <c r="X1975" i="3" s="1"/>
  <c r="K1958" i="3"/>
  <c r="Y1958" i="3" s="1"/>
  <c r="AA1889" i="3"/>
  <c r="I2079" i="3"/>
  <c r="W2079" i="3" s="1"/>
  <c r="I2071" i="3"/>
  <c r="W2071" i="3" s="1"/>
  <c r="AA2063" i="3"/>
  <c r="K2053" i="3"/>
  <c r="Y2053" i="3" s="1"/>
  <c r="I2043" i="3"/>
  <c r="W2043" i="3" s="1"/>
  <c r="AA2032" i="3"/>
  <c r="AB2020" i="3"/>
  <c r="K2006" i="3"/>
  <c r="Y2006" i="3" s="1"/>
  <c r="I1991" i="3"/>
  <c r="W1991" i="3" s="1"/>
  <c r="I1975" i="3"/>
  <c r="W1975" i="3" s="1"/>
  <c r="J1958" i="3"/>
  <c r="X1958" i="3" s="1"/>
  <c r="J1884" i="3"/>
  <c r="X1884" i="3" s="1"/>
  <c r="Z14" i="3"/>
  <c r="Z30" i="3"/>
  <c r="Z62" i="3"/>
  <c r="Z94" i="3"/>
  <c r="Z110" i="3"/>
  <c r="Z126" i="3"/>
  <c r="Z158" i="3"/>
  <c r="Z174" i="3"/>
  <c r="Z190" i="3"/>
  <c r="Z206" i="3"/>
  <c r="Z222" i="3"/>
  <c r="Z238" i="3"/>
  <c r="Z254" i="3"/>
  <c r="Z270" i="3"/>
  <c r="Z286" i="3"/>
  <c r="Z302" i="3"/>
  <c r="Z318" i="3"/>
  <c r="Z334" i="3"/>
  <c r="Z9" i="3"/>
  <c r="Z25" i="3"/>
  <c r="Z41" i="3"/>
  <c r="Z57" i="3"/>
  <c r="Z73" i="3"/>
  <c r="Z89" i="3"/>
  <c r="Z105" i="3"/>
  <c r="Z137" i="3"/>
  <c r="Z153" i="3"/>
  <c r="Z185" i="3"/>
  <c r="Z217" i="3"/>
  <c r="Z233" i="3"/>
  <c r="Z249" i="3"/>
  <c r="Z265" i="3"/>
  <c r="Z281" i="3"/>
  <c r="Z297" i="3"/>
  <c r="Z313" i="3"/>
  <c r="Z345" i="3"/>
  <c r="Z361" i="3"/>
  <c r="Z393" i="3"/>
  <c r="Z409" i="3"/>
  <c r="Z425" i="3"/>
  <c r="Z20" i="3"/>
  <c r="Z36" i="3"/>
  <c r="Z84" i="3"/>
  <c r="Z100" i="3"/>
  <c r="Z116" i="3"/>
  <c r="Z132" i="3"/>
  <c r="Z148" i="3"/>
  <c r="Z164" i="3"/>
  <c r="Z180" i="3"/>
  <c r="Z196" i="3"/>
  <c r="Z212" i="3"/>
  <c r="Z228" i="3"/>
  <c r="Z244" i="3"/>
  <c r="Z260" i="3"/>
  <c r="Z276" i="3"/>
  <c r="Z292" i="3"/>
  <c r="Z308" i="3"/>
  <c r="Z15" i="3"/>
  <c r="Z31" i="3"/>
  <c r="Z47" i="3"/>
  <c r="Z63" i="3"/>
  <c r="Z79" i="3"/>
  <c r="Z95" i="3"/>
  <c r="Z111" i="3"/>
  <c r="Z127" i="3"/>
  <c r="Z143" i="3"/>
  <c r="Z159" i="3"/>
  <c r="Z175" i="3"/>
  <c r="Z191" i="3"/>
  <c r="Z207" i="3"/>
  <c r="Z223" i="3"/>
  <c r="Z239" i="3"/>
  <c r="Z255" i="3"/>
  <c r="Z271" i="3"/>
  <c r="Z287" i="3"/>
  <c r="Z303" i="3"/>
  <c r="Z335" i="3"/>
  <c r="Z10" i="3"/>
  <c r="Z26" i="3"/>
  <c r="Z42" i="3"/>
  <c r="Z58" i="3"/>
  <c r="Z74" i="3"/>
  <c r="Z106" i="3"/>
  <c r="Z122" i="3"/>
  <c r="Z138" i="3"/>
  <c r="Z154" i="3"/>
  <c r="Z170" i="3"/>
  <c r="Z186" i="3"/>
  <c r="Z202" i="3"/>
  <c r="Z234" i="3"/>
  <c r="Z250" i="3"/>
  <c r="Z266" i="3"/>
  <c r="Z282" i="3"/>
  <c r="Z298" i="3"/>
  <c r="Z37" i="3"/>
  <c r="Z53" i="3"/>
  <c r="Z85" i="3"/>
  <c r="Z101" i="3"/>
  <c r="Z133" i="3"/>
  <c r="Z149" i="3"/>
  <c r="Z165" i="3"/>
  <c r="Z181" i="3"/>
  <c r="Z197" i="3"/>
  <c r="Z213" i="3"/>
  <c r="Z229" i="3"/>
  <c r="Z245" i="3"/>
  <c r="Z261" i="3"/>
  <c r="Z277" i="3"/>
  <c r="Z16" i="3"/>
  <c r="Z32" i="3"/>
  <c r="Z48" i="3"/>
  <c r="Z64" i="3"/>
  <c r="Z80" i="3"/>
  <c r="Z96" i="3"/>
  <c r="Z112" i="3"/>
  <c r="Z128" i="3"/>
  <c r="Z144" i="3"/>
  <c r="Z160" i="3"/>
  <c r="Z176" i="3"/>
  <c r="Z192" i="3"/>
  <c r="Z208" i="3"/>
  <c r="Z224" i="3"/>
  <c r="Z240" i="3"/>
  <c r="Z256" i="3"/>
  <c r="Z272" i="3"/>
  <c r="Z27" i="3"/>
  <c r="Z43" i="3"/>
  <c r="Z59" i="3"/>
  <c r="Z75" i="3"/>
  <c r="Z107" i="3"/>
  <c r="Z123" i="3"/>
  <c r="Z139" i="3"/>
  <c r="Z155" i="3"/>
  <c r="Z171" i="3"/>
  <c r="Z187" i="3"/>
  <c r="Z203" i="3"/>
  <c r="Z219" i="3"/>
  <c r="Z22" i="3"/>
  <c r="Z38" i="3"/>
  <c r="Z54" i="3"/>
  <c r="Z70" i="3"/>
  <c r="Z86" i="3"/>
  <c r="Z102" i="3"/>
  <c r="Z134" i="3"/>
  <c r="Z150" i="3"/>
  <c r="Z166" i="3"/>
  <c r="Z182" i="3"/>
  <c r="Z17" i="3"/>
  <c r="Z49" i="3"/>
  <c r="Z65" i="3"/>
  <c r="Z81" i="3"/>
  <c r="Z97" i="3"/>
  <c r="Z113" i="3"/>
  <c r="Z129" i="3"/>
  <c r="Z145" i="3"/>
  <c r="Z161" i="3"/>
  <c r="Z193" i="3"/>
  <c r="Z12" i="3"/>
  <c r="Z44" i="3"/>
  <c r="Z60" i="3"/>
  <c r="Z76" i="3"/>
  <c r="Z92" i="3"/>
  <c r="Z108" i="3"/>
  <c r="Z124" i="3"/>
  <c r="Z140" i="3"/>
  <c r="Z156" i="3"/>
  <c r="Z172" i="3"/>
  <c r="Z23" i="3"/>
  <c r="Z39" i="3"/>
  <c r="Z55" i="3"/>
  <c r="Z71" i="3"/>
  <c r="Z87" i="3"/>
  <c r="Z103" i="3"/>
  <c r="Z119" i="3"/>
  <c r="Z135" i="3"/>
  <c r="Z34" i="3"/>
  <c r="Z50" i="3"/>
  <c r="Z13" i="3"/>
  <c r="Z29" i="3"/>
  <c r="Z45" i="3"/>
  <c r="Z61" i="3"/>
  <c r="Z77" i="3"/>
  <c r="Z93" i="3"/>
  <c r="Z24" i="3"/>
  <c r="Z40" i="3"/>
  <c r="Z56" i="3"/>
  <c r="Z179" i="3"/>
  <c r="Z323" i="3"/>
  <c r="Z330" i="3"/>
  <c r="Z342" i="3"/>
  <c r="Z359" i="3"/>
  <c r="Z376" i="3"/>
  <c r="Z399" i="3"/>
  <c r="Z416" i="3"/>
  <c r="Z471" i="3"/>
  <c r="Z487" i="3"/>
  <c r="Z519" i="3"/>
  <c r="Z535" i="3"/>
  <c r="Z551" i="3"/>
  <c r="Z567" i="3"/>
  <c r="Z583" i="3"/>
  <c r="Z599" i="3"/>
  <c r="Z615" i="3"/>
  <c r="Z19" i="3"/>
  <c r="Z195" i="3"/>
  <c r="Z274" i="3"/>
  <c r="Z317" i="3"/>
  <c r="Z382" i="3"/>
  <c r="Z433" i="3"/>
  <c r="Z444" i="3"/>
  <c r="Z455" i="3"/>
  <c r="Z125" i="3"/>
  <c r="Z163" i="3"/>
  <c r="Z183" i="3"/>
  <c r="Z230" i="3"/>
  <c r="Z283" i="3"/>
  <c r="Z311" i="3"/>
  <c r="Z348" i="3"/>
  <c r="Z365" i="3"/>
  <c r="Z388" i="3"/>
  <c r="Z405" i="3"/>
  <c r="Z422" i="3"/>
  <c r="Z466" i="3"/>
  <c r="Z482" i="3"/>
  <c r="Z498" i="3"/>
  <c r="Z514" i="3"/>
  <c r="Z546" i="3"/>
  <c r="Z562" i="3"/>
  <c r="Z578" i="3"/>
  <c r="Z220" i="3"/>
  <c r="Z248" i="3"/>
  <c r="Z267" i="3"/>
  <c r="Z290" i="3"/>
  <c r="Z305" i="3"/>
  <c r="Z35" i="3"/>
  <c r="Z167" i="3"/>
  <c r="Z198" i="3"/>
  <c r="Z354" i="3"/>
  <c r="Z371" i="3"/>
  <c r="Z394" i="3"/>
  <c r="Z411" i="3"/>
  <c r="Z428" i="3"/>
  <c r="Z439" i="3"/>
  <c r="Z450" i="3"/>
  <c r="Z461" i="3"/>
  <c r="Z477" i="3"/>
  <c r="Z493" i="3"/>
  <c r="Z509" i="3"/>
  <c r="Z525" i="3"/>
  <c r="Z541" i="3"/>
  <c r="Z147" i="3"/>
  <c r="Z258" i="3"/>
  <c r="Z337" i="3"/>
  <c r="Z331" i="3"/>
  <c r="Z343" i="3"/>
  <c r="Z383" i="3"/>
  <c r="Z400" i="3"/>
  <c r="Z417" i="3"/>
  <c r="Z472" i="3"/>
  <c r="Z504" i="3"/>
  <c r="Z520" i="3"/>
  <c r="Z536" i="3"/>
  <c r="Z552" i="3"/>
  <c r="Z568" i="3"/>
  <c r="Z584" i="3"/>
  <c r="Z51" i="3"/>
  <c r="Z130" i="3"/>
  <c r="Z151" i="3"/>
  <c r="Z199" i="3"/>
  <c r="Z210" i="3"/>
  <c r="Z231" i="3"/>
  <c r="Z241" i="3"/>
  <c r="Z275" i="3"/>
  <c r="Z299" i="3"/>
  <c r="Z325" i="3"/>
  <c r="Z366" i="3"/>
  <c r="Z434" i="3"/>
  <c r="Z445" i="3"/>
  <c r="Z456" i="3"/>
  <c r="Z184" i="3"/>
  <c r="Z284" i="3"/>
  <c r="Z312" i="3"/>
  <c r="Z349" i="3"/>
  <c r="Z372" i="3"/>
  <c r="Z389" i="3"/>
  <c r="Z406" i="3"/>
  <c r="Z423" i="3"/>
  <c r="Z467" i="3"/>
  <c r="Z221" i="3"/>
  <c r="Z251" i="3"/>
  <c r="Z268" i="3"/>
  <c r="Z291" i="3"/>
  <c r="Z306" i="3"/>
  <c r="Z104" i="3"/>
  <c r="Z168" i="3"/>
  <c r="Z355" i="3"/>
  <c r="Z395" i="3"/>
  <c r="Z412" i="3"/>
  <c r="Z429" i="3"/>
  <c r="Z451" i="3"/>
  <c r="Z462" i="3"/>
  <c r="Z478" i="3"/>
  <c r="Z188" i="3"/>
  <c r="Z259" i="3"/>
  <c r="Z152" i="3"/>
  <c r="Z293" i="3"/>
  <c r="Z332" i="3"/>
  <c r="Z344" i="3"/>
  <c r="Z367" i="3"/>
  <c r="Z384" i="3"/>
  <c r="Z401" i="3"/>
  <c r="Z418" i="3"/>
  <c r="Z446" i="3"/>
  <c r="Z457" i="3"/>
  <c r="Z473" i="3"/>
  <c r="Z66" i="3"/>
  <c r="Z131" i="3"/>
  <c r="Z200" i="3"/>
  <c r="Z211" i="3"/>
  <c r="Z232" i="3"/>
  <c r="Z242" i="3"/>
  <c r="Z326" i="3"/>
  <c r="Z350" i="3"/>
  <c r="Z435" i="3"/>
  <c r="Z109" i="3"/>
  <c r="Z252" i="3"/>
  <c r="Z278" i="3"/>
  <c r="Z285" i="3"/>
  <c r="Z320" i="3"/>
  <c r="Z356" i="3"/>
  <c r="Z373" i="3"/>
  <c r="Z407" i="3"/>
  <c r="Z424" i="3"/>
  <c r="Z468" i="3"/>
  <c r="Z484" i="3"/>
  <c r="Z269" i="3"/>
  <c r="Z307" i="3"/>
  <c r="Z314" i="3"/>
  <c r="Z441" i="3"/>
  <c r="Z67" i="3"/>
  <c r="Z362" i="3"/>
  <c r="Z379" i="3"/>
  <c r="Z396" i="3"/>
  <c r="Z413" i="3"/>
  <c r="Z189" i="3"/>
  <c r="Z214" i="3"/>
  <c r="Z262" i="3"/>
  <c r="Z339" i="3"/>
  <c r="Z72" i="3"/>
  <c r="Z173" i="3"/>
  <c r="Z225" i="3"/>
  <c r="Z294" i="3"/>
  <c r="Z333" i="3"/>
  <c r="Z368" i="3"/>
  <c r="Z385" i="3"/>
  <c r="Z402" i="3"/>
  <c r="Z419" i="3"/>
  <c r="Z436" i="3"/>
  <c r="Z447" i="3"/>
  <c r="Z114" i="3"/>
  <c r="Z136" i="3"/>
  <c r="Z235" i="3"/>
  <c r="Z243" i="3"/>
  <c r="Z301" i="3"/>
  <c r="Z327" i="3"/>
  <c r="Z157" i="3"/>
  <c r="Z253" i="3"/>
  <c r="Z279" i="3"/>
  <c r="Z321" i="3"/>
  <c r="Z340" i="3"/>
  <c r="Z357" i="3"/>
  <c r="Z374" i="3"/>
  <c r="Z391" i="3"/>
  <c r="Z408" i="3"/>
  <c r="Z215" i="3"/>
  <c r="Z414" i="3"/>
  <c r="Z431" i="3"/>
  <c r="Z442" i="3"/>
  <c r="Z309" i="3"/>
  <c r="Z346" i="3"/>
  <c r="Z363" i="3"/>
  <c r="Z380" i="3"/>
  <c r="Z397" i="3"/>
  <c r="Z226" i="3"/>
  <c r="Z288" i="3"/>
  <c r="Z115" i="3"/>
  <c r="Z246" i="3"/>
  <c r="Z295" i="3"/>
  <c r="Z352" i="3"/>
  <c r="Z369" i="3"/>
  <c r="Z82" i="3"/>
  <c r="Z141" i="3"/>
  <c r="Z328" i="3"/>
  <c r="Z178" i="3"/>
  <c r="Z205" i="3"/>
  <c r="Z280" i="3"/>
  <c r="Z341" i="3"/>
  <c r="Z375" i="3"/>
  <c r="Z194" i="3"/>
  <c r="Z216" i="3"/>
  <c r="Z273" i="3"/>
  <c r="Z316" i="3"/>
  <c r="Z83" i="3"/>
  <c r="Z162" i="3"/>
  <c r="Z310" i="3"/>
  <c r="Z347" i="3"/>
  <c r="Z364" i="3"/>
  <c r="Z120" i="3"/>
  <c r="Z227" i="3"/>
  <c r="Z237" i="3"/>
  <c r="Z264" i="3"/>
  <c r="Z289" i="3"/>
  <c r="Z304" i="3"/>
  <c r="Z88" i="3"/>
  <c r="Z296" i="3"/>
  <c r="Z146" i="3"/>
  <c r="Z420" i="3"/>
  <c r="Z459" i="3"/>
  <c r="Z489" i="3"/>
  <c r="Z531" i="3"/>
  <c r="Z544" i="3"/>
  <c r="Z608" i="3"/>
  <c r="Z696" i="3"/>
  <c r="Z712" i="3"/>
  <c r="Z728" i="3"/>
  <c r="Z760" i="3"/>
  <c r="Z776" i="3"/>
  <c r="Z792" i="3"/>
  <c r="Z808" i="3"/>
  <c r="Z824" i="3"/>
  <c r="Z840" i="3"/>
  <c r="Z856" i="3"/>
  <c r="Z872" i="3"/>
  <c r="Z888" i="3"/>
  <c r="Z904" i="3"/>
  <c r="Z920" i="3"/>
  <c r="Z936" i="3"/>
  <c r="Z952" i="3"/>
  <c r="Z517" i="3"/>
  <c r="Z558" i="3"/>
  <c r="Z577" i="3"/>
  <c r="Z614" i="3"/>
  <c r="Z642" i="3"/>
  <c r="Z653" i="3"/>
  <c r="Z664" i="3"/>
  <c r="Z480" i="3"/>
  <c r="Z631" i="3"/>
  <c r="Z675" i="3"/>
  <c r="Z691" i="3"/>
  <c r="Z707" i="3"/>
  <c r="Z723" i="3"/>
  <c r="Z739" i="3"/>
  <c r="Z755" i="3"/>
  <c r="Z771" i="3"/>
  <c r="Z787" i="3"/>
  <c r="Z803" i="3"/>
  <c r="Z819" i="3"/>
  <c r="Z835" i="3"/>
  <c r="Z851" i="3"/>
  <c r="Z867" i="3"/>
  <c r="Z883" i="3"/>
  <c r="Z899" i="3"/>
  <c r="Z381" i="3"/>
  <c r="Z538" i="3"/>
  <c r="Z571" i="3"/>
  <c r="Z620" i="3"/>
  <c r="Z403" i="3"/>
  <c r="Z437" i="3"/>
  <c r="Z449" i="3"/>
  <c r="Z470" i="3"/>
  <c r="Z511" i="3"/>
  <c r="Z524" i="3"/>
  <c r="Z591" i="3"/>
  <c r="Z597" i="3"/>
  <c r="Z626" i="3"/>
  <c r="Z637" i="3"/>
  <c r="Z659" i="3"/>
  <c r="Z686" i="3"/>
  <c r="Z702" i="3"/>
  <c r="Z718" i="3"/>
  <c r="Z734" i="3"/>
  <c r="Z750" i="3"/>
  <c r="Z766" i="3"/>
  <c r="Z798" i="3"/>
  <c r="Z830" i="3"/>
  <c r="Z846" i="3"/>
  <c r="Z862" i="3"/>
  <c r="Z490" i="3"/>
  <c r="Z497" i="3"/>
  <c r="Z565" i="3"/>
  <c r="Z585" i="3"/>
  <c r="Z452" i="3"/>
  <c r="Z460" i="3"/>
  <c r="Z532" i="3"/>
  <c r="Z545" i="3"/>
  <c r="Z609" i="3"/>
  <c r="Z697" i="3"/>
  <c r="Z713" i="3"/>
  <c r="Z729" i="3"/>
  <c r="Z745" i="3"/>
  <c r="Z761" i="3"/>
  <c r="Z777" i="3"/>
  <c r="Z793" i="3"/>
  <c r="Z809" i="3"/>
  <c r="Z825" i="3"/>
  <c r="Z841" i="3"/>
  <c r="Z857" i="3"/>
  <c r="Z873" i="3"/>
  <c r="Z889" i="3"/>
  <c r="Z905" i="3"/>
  <c r="Z505" i="3"/>
  <c r="Z518" i="3"/>
  <c r="Z579" i="3"/>
  <c r="Z621" i="3"/>
  <c r="Z632" i="3"/>
  <c r="Z643" i="3"/>
  <c r="Z654" i="3"/>
  <c r="Z665" i="3"/>
  <c r="Z386" i="3"/>
  <c r="Z404" i="3"/>
  <c r="Z481" i="3"/>
  <c r="Z676" i="3"/>
  <c r="Z692" i="3"/>
  <c r="Z708" i="3"/>
  <c r="Z724" i="3"/>
  <c r="Z740" i="3"/>
  <c r="Z756" i="3"/>
  <c r="Z772" i="3"/>
  <c r="Z788" i="3"/>
  <c r="Z463" i="3"/>
  <c r="Z526" i="3"/>
  <c r="Z539" i="3"/>
  <c r="Z553" i="3"/>
  <c r="Z572" i="3"/>
  <c r="Z336" i="3"/>
  <c r="Z438" i="3"/>
  <c r="Z499" i="3"/>
  <c r="Z512" i="3"/>
  <c r="Z598" i="3"/>
  <c r="Z610" i="3"/>
  <c r="Z627" i="3"/>
  <c r="Z638" i="3"/>
  <c r="Z649" i="3"/>
  <c r="Z671" i="3"/>
  <c r="Z687" i="3"/>
  <c r="Z703" i="3"/>
  <c r="Z719" i="3"/>
  <c r="Z735" i="3"/>
  <c r="Z751" i="3"/>
  <c r="Z767" i="3"/>
  <c r="Z783" i="3"/>
  <c r="Z799" i="3"/>
  <c r="Z491" i="3"/>
  <c r="Z547" i="3"/>
  <c r="Z566" i="3"/>
  <c r="Z573" i="3"/>
  <c r="Z586" i="3"/>
  <c r="Z604" i="3"/>
  <c r="Z616" i="3"/>
  <c r="Z453" i="3"/>
  <c r="Z483" i="3"/>
  <c r="Z533" i="3"/>
  <c r="Z682" i="3"/>
  <c r="Z698" i="3"/>
  <c r="Z730" i="3"/>
  <c r="Z778" i="3"/>
  <c r="Z426" i="3"/>
  <c r="Z506" i="3"/>
  <c r="Z560" i="3"/>
  <c r="Z580" i="3"/>
  <c r="Z622" i="3"/>
  <c r="Z633" i="3"/>
  <c r="Z644" i="3"/>
  <c r="Z655" i="3"/>
  <c r="Z666" i="3"/>
  <c r="Z387" i="3"/>
  <c r="Z677" i="3"/>
  <c r="Z693" i="3"/>
  <c r="Z725" i="3"/>
  <c r="Z757" i="3"/>
  <c r="Z773" i="3"/>
  <c r="Z789" i="3"/>
  <c r="Z464" i="3"/>
  <c r="Z527" i="3"/>
  <c r="Z540" i="3"/>
  <c r="Z554" i="3"/>
  <c r="Z574" i="3"/>
  <c r="Z605" i="3"/>
  <c r="Z611" i="3"/>
  <c r="Z500" i="3"/>
  <c r="Z513" i="3"/>
  <c r="Z593" i="3"/>
  <c r="Z628" i="3"/>
  <c r="Z639" i="3"/>
  <c r="Z650" i="3"/>
  <c r="Z661" i="3"/>
  <c r="Z672" i="3"/>
  <c r="Z688" i="3"/>
  <c r="Z720" i="3"/>
  <c r="Z492" i="3"/>
  <c r="Z548" i="3"/>
  <c r="Z587" i="3"/>
  <c r="Z617" i="3"/>
  <c r="Z353" i="3"/>
  <c r="Z454" i="3"/>
  <c r="Z485" i="3"/>
  <c r="Z521" i="3"/>
  <c r="Z534" i="3"/>
  <c r="Z683" i="3"/>
  <c r="Z699" i="3"/>
  <c r="Z715" i="3"/>
  <c r="Z731" i="3"/>
  <c r="Z392" i="3"/>
  <c r="Z427" i="3"/>
  <c r="Z443" i="3"/>
  <c r="Z475" i="3"/>
  <c r="Z507" i="3"/>
  <c r="Z561" i="3"/>
  <c r="Z600" i="3"/>
  <c r="Z623" i="3"/>
  <c r="Z634" i="3"/>
  <c r="Z645" i="3"/>
  <c r="Z656" i="3"/>
  <c r="Z667" i="3"/>
  <c r="Z410" i="3"/>
  <c r="Z594" i="3"/>
  <c r="Z606" i="3"/>
  <c r="Z678" i="3"/>
  <c r="Z710" i="3"/>
  <c r="Z465" i="3"/>
  <c r="Z494" i="3"/>
  <c r="Z515" i="3"/>
  <c r="Z528" i="3"/>
  <c r="Z555" i="3"/>
  <c r="Z575" i="3"/>
  <c r="Z612" i="3"/>
  <c r="Z501" i="3"/>
  <c r="Z629" i="3"/>
  <c r="Z640" i="3"/>
  <c r="Z651" i="3"/>
  <c r="Z662" i="3"/>
  <c r="Z673" i="3"/>
  <c r="Z689" i="3"/>
  <c r="Z705" i="3"/>
  <c r="Z721" i="3"/>
  <c r="Z549" i="3"/>
  <c r="Z569" i="3"/>
  <c r="Z588" i="3"/>
  <c r="Z618" i="3"/>
  <c r="Z486" i="3"/>
  <c r="Z522" i="3"/>
  <c r="Z595" i="3"/>
  <c r="Z495" i="3"/>
  <c r="Z508" i="3"/>
  <c r="Z563" i="3"/>
  <c r="Z582" i="3"/>
  <c r="Z601" i="3"/>
  <c r="Z624" i="3"/>
  <c r="Z635" i="3"/>
  <c r="Z646" i="3"/>
  <c r="Z668" i="3"/>
  <c r="Z415" i="3"/>
  <c r="Z458" i="3"/>
  <c r="Z543" i="3"/>
  <c r="Z589" i="3"/>
  <c r="Z607" i="3"/>
  <c r="Z679" i="3"/>
  <c r="Z516" i="3"/>
  <c r="Z529" i="3"/>
  <c r="Z556" i="3"/>
  <c r="Z576" i="3"/>
  <c r="Z613" i="3"/>
  <c r="Z370" i="3"/>
  <c r="Z479" i="3"/>
  <c r="Z502" i="3"/>
  <c r="Z630" i="3"/>
  <c r="Z641" i="3"/>
  <c r="Z652" i="3"/>
  <c r="Z663" i="3"/>
  <c r="Z398" i="3"/>
  <c r="Z550" i="3"/>
  <c r="Z557" i="3"/>
  <c r="Z570" i="3"/>
  <c r="Z448" i="3"/>
  <c r="Z469" i="3"/>
  <c r="Z510" i="3"/>
  <c r="Z523" i="3"/>
  <c r="Z590" i="3"/>
  <c r="Z564" i="3"/>
  <c r="Z602" i="3"/>
  <c r="Z625" i="3"/>
  <c r="Z768" i="3"/>
  <c r="Z875" i="3"/>
  <c r="Z700" i="3"/>
  <c r="Z806" i="3"/>
  <c r="Z848" i="3"/>
  <c r="Z861" i="3"/>
  <c r="Z937" i="3"/>
  <c r="Z954" i="3"/>
  <c r="Z987" i="3"/>
  <c r="Z1003" i="3"/>
  <c r="Z1019" i="3"/>
  <c r="Z1035" i="3"/>
  <c r="Z1051" i="3"/>
  <c r="Z1067" i="3"/>
  <c r="Z1083" i="3"/>
  <c r="Z1099" i="3"/>
  <c r="Z1115" i="3"/>
  <c r="Z1131" i="3"/>
  <c r="Z1195" i="3"/>
  <c r="Z1211" i="3"/>
  <c r="Z619" i="3"/>
  <c r="Z717" i="3"/>
  <c r="Z733" i="3"/>
  <c r="Z758" i="3"/>
  <c r="Z821" i="3"/>
  <c r="Z834" i="3"/>
  <c r="Z908" i="3"/>
  <c r="Z914" i="3"/>
  <c r="Z971" i="3"/>
  <c r="Z869" i="3"/>
  <c r="Z902" i="3"/>
  <c r="Z926" i="3"/>
  <c r="Z943" i="3"/>
  <c r="Z960" i="3"/>
  <c r="Z982" i="3"/>
  <c r="Z1014" i="3"/>
  <c r="Z1046" i="3"/>
  <c r="Z1062" i="3"/>
  <c r="Z1078" i="3"/>
  <c r="Z1094" i="3"/>
  <c r="Z1126" i="3"/>
  <c r="Z1142" i="3"/>
  <c r="Z1158" i="3"/>
  <c r="Z1174" i="3"/>
  <c r="Z797" i="3"/>
  <c r="Z842" i="3"/>
  <c r="Z855" i="3"/>
  <c r="Z896" i="3"/>
  <c r="Z815" i="3"/>
  <c r="Z828" i="3"/>
  <c r="Z890" i="3"/>
  <c r="Z949" i="3"/>
  <c r="Z966" i="3"/>
  <c r="Z993" i="3"/>
  <c r="Z1009" i="3"/>
  <c r="Z1025" i="3"/>
  <c r="Z1041" i="3"/>
  <c r="Z1057" i="3"/>
  <c r="Z1073" i="3"/>
  <c r="Z1089" i="3"/>
  <c r="Z1105" i="3"/>
  <c r="Z1121" i="3"/>
  <c r="Z1137" i="3"/>
  <c r="Z1153" i="3"/>
  <c r="Z1169" i="3"/>
  <c r="Z1185" i="3"/>
  <c r="Z684" i="3"/>
  <c r="Z737" i="3"/>
  <c r="Z769" i="3"/>
  <c r="Z863" i="3"/>
  <c r="Z876" i="3"/>
  <c r="Z915" i="3"/>
  <c r="Z701" i="3"/>
  <c r="Z807" i="3"/>
  <c r="Z836" i="3"/>
  <c r="Z849" i="3"/>
  <c r="Z921" i="3"/>
  <c r="Z938" i="3"/>
  <c r="Z955" i="3"/>
  <c r="Z988" i="3"/>
  <c r="Z1004" i="3"/>
  <c r="Z1020" i="3"/>
  <c r="Z1036" i="3"/>
  <c r="Z1052" i="3"/>
  <c r="Z1068" i="3"/>
  <c r="Z1084" i="3"/>
  <c r="Z822" i="3"/>
  <c r="Z884" i="3"/>
  <c r="Z909" i="3"/>
  <c r="Z972" i="3"/>
  <c r="Z636" i="3"/>
  <c r="Z870" i="3"/>
  <c r="Z903" i="3"/>
  <c r="Z927" i="3"/>
  <c r="Z944" i="3"/>
  <c r="Z961" i="3"/>
  <c r="Z983" i="3"/>
  <c r="Z999" i="3"/>
  <c r="Z1015" i="3"/>
  <c r="Z1031" i="3"/>
  <c r="Z1047" i="3"/>
  <c r="Z1063" i="3"/>
  <c r="Z1079" i="3"/>
  <c r="Z1095" i="3"/>
  <c r="Z722" i="3"/>
  <c r="Z897" i="3"/>
  <c r="Z816" i="3"/>
  <c r="Z829" i="3"/>
  <c r="Z891" i="3"/>
  <c r="Z910" i="3"/>
  <c r="Z916" i="3"/>
  <c r="Z933" i="3"/>
  <c r="Z950" i="3"/>
  <c r="Z967" i="3"/>
  <c r="Z978" i="3"/>
  <c r="Z994" i="3"/>
  <c r="Z1010" i="3"/>
  <c r="Z1026" i="3"/>
  <c r="Z1042" i="3"/>
  <c r="Z1058" i="3"/>
  <c r="Z1074" i="3"/>
  <c r="Z1090" i="3"/>
  <c r="Z685" i="3"/>
  <c r="Z738" i="3"/>
  <c r="Z749" i="3"/>
  <c r="Z770" i="3"/>
  <c r="Z864" i="3"/>
  <c r="Z850" i="3"/>
  <c r="Z922" i="3"/>
  <c r="Z939" i="3"/>
  <c r="Z956" i="3"/>
  <c r="Z1005" i="3"/>
  <c r="Z1021" i="3"/>
  <c r="Z1037" i="3"/>
  <c r="Z1053" i="3"/>
  <c r="Z1069" i="3"/>
  <c r="Z1085" i="3"/>
  <c r="Z706" i="3"/>
  <c r="Z791" i="3"/>
  <c r="Z823" i="3"/>
  <c r="Z885" i="3"/>
  <c r="Z973" i="3"/>
  <c r="Z801" i="3"/>
  <c r="Z871" i="3"/>
  <c r="Z928" i="3"/>
  <c r="Z945" i="3"/>
  <c r="Z962" i="3"/>
  <c r="Z984" i="3"/>
  <c r="Z1000" i="3"/>
  <c r="Z831" i="3"/>
  <c r="Z898" i="3"/>
  <c r="Z911" i="3"/>
  <c r="Z763" i="3"/>
  <c r="Z817" i="3"/>
  <c r="Z879" i="3"/>
  <c r="Z892" i="3"/>
  <c r="Z934" i="3"/>
  <c r="Z951" i="3"/>
  <c r="Z968" i="3"/>
  <c r="Z979" i="3"/>
  <c r="Z995" i="3"/>
  <c r="Z742" i="3"/>
  <c r="Z852" i="3"/>
  <c r="Z690" i="3"/>
  <c r="Z727" i="3"/>
  <c r="Z784" i="3"/>
  <c r="Z838" i="3"/>
  <c r="Z923" i="3"/>
  <c r="Z940" i="3"/>
  <c r="Z957" i="3"/>
  <c r="Z963" i="3"/>
  <c r="Z974" i="3"/>
  <c r="Z990" i="3"/>
  <c r="Z1006" i="3"/>
  <c r="Z1022" i="3"/>
  <c r="Z658" i="3"/>
  <c r="Z753" i="3"/>
  <c r="Z886" i="3"/>
  <c r="Z711" i="3"/>
  <c r="Z774" i="3"/>
  <c r="Z802" i="3"/>
  <c r="Z811" i="3"/>
  <c r="Z859" i="3"/>
  <c r="Z929" i="3"/>
  <c r="Z946" i="3"/>
  <c r="Z985" i="3"/>
  <c r="Z1001" i="3"/>
  <c r="Z1017" i="3"/>
  <c r="Z832" i="3"/>
  <c r="Z845" i="3"/>
  <c r="Z906" i="3"/>
  <c r="Z912" i="3"/>
  <c r="Z969" i="3"/>
  <c r="Z764" i="3"/>
  <c r="Z880" i="3"/>
  <c r="Z918" i="3"/>
  <c r="Z935" i="3"/>
  <c r="Z958" i="3"/>
  <c r="Z743" i="3"/>
  <c r="Z795" i="3"/>
  <c r="Z853" i="3"/>
  <c r="Z866" i="3"/>
  <c r="Z785" i="3"/>
  <c r="Z804" i="3"/>
  <c r="Z826" i="3"/>
  <c r="Z839" i="3"/>
  <c r="Z941" i="3"/>
  <c r="Z947" i="3"/>
  <c r="Z964" i="3"/>
  <c r="Z669" i="3"/>
  <c r="Z695" i="3"/>
  <c r="Z754" i="3"/>
  <c r="Z874" i="3"/>
  <c r="Z887" i="3"/>
  <c r="Z894" i="3"/>
  <c r="Z812" i="3"/>
  <c r="Z847" i="3"/>
  <c r="Z860" i="3"/>
  <c r="Z930" i="3"/>
  <c r="Z953" i="3"/>
  <c r="Z674" i="3"/>
  <c r="Z716" i="3"/>
  <c r="Z732" i="3"/>
  <c r="Z820" i="3"/>
  <c r="Z833" i="3"/>
  <c r="Z907" i="3"/>
  <c r="Z913" i="3"/>
  <c r="Z765" i="3"/>
  <c r="Z868" i="3"/>
  <c r="Z881" i="3"/>
  <c r="Z796" i="3"/>
  <c r="Z854" i="3"/>
  <c r="Z895" i="3"/>
  <c r="Z827" i="3"/>
  <c r="Z901" i="3"/>
  <c r="Z1111" i="3"/>
  <c r="Z1124" i="3"/>
  <c r="Z1223" i="3"/>
  <c r="Z1066" i="3"/>
  <c r="Z1159" i="3"/>
  <c r="Z1172" i="3"/>
  <c r="Z1192" i="3"/>
  <c r="Z1217" i="3"/>
  <c r="Z1322" i="3"/>
  <c r="Z1338" i="3"/>
  <c r="Z1354" i="3"/>
  <c r="Z1370" i="3"/>
  <c r="Z1386" i="3"/>
  <c r="Z1402" i="3"/>
  <c r="Z1418" i="3"/>
  <c r="Z1434" i="3"/>
  <c r="Z1450" i="3"/>
  <c r="Z1466" i="3"/>
  <c r="Z1482" i="3"/>
  <c r="Z1498" i="3"/>
  <c r="Z1514" i="3"/>
  <c r="Z970" i="3"/>
  <c r="Z1132" i="3"/>
  <c r="Z1145" i="3"/>
  <c r="Z1229" i="3"/>
  <c r="Z1240" i="3"/>
  <c r="Z1251" i="3"/>
  <c r="Z1262" i="3"/>
  <c r="Z1273" i="3"/>
  <c r="Z1284" i="3"/>
  <c r="Z1295" i="3"/>
  <c r="Z1306" i="3"/>
  <c r="Z1056" i="3"/>
  <c r="Z1118" i="3"/>
  <c r="Z1317" i="3"/>
  <c r="Z1333" i="3"/>
  <c r="Z1349" i="3"/>
  <c r="Z1365" i="3"/>
  <c r="Z1381" i="3"/>
  <c r="Z1397" i="3"/>
  <c r="Z1413" i="3"/>
  <c r="Z1429" i="3"/>
  <c r="Z1445" i="3"/>
  <c r="Z1461" i="3"/>
  <c r="Z1477" i="3"/>
  <c r="Z1104" i="3"/>
  <c r="Z1166" i="3"/>
  <c r="Z1180" i="3"/>
  <c r="Z919" i="3"/>
  <c r="Z1008" i="3"/>
  <c r="Z1077" i="3"/>
  <c r="Z1139" i="3"/>
  <c r="Z1152" i="3"/>
  <c r="Z1205" i="3"/>
  <c r="Z1235" i="3"/>
  <c r="Z1246" i="3"/>
  <c r="Z1257" i="3"/>
  <c r="Z1279" i="3"/>
  <c r="Z1290" i="3"/>
  <c r="Z1301" i="3"/>
  <c r="Z1312" i="3"/>
  <c r="Z1328" i="3"/>
  <c r="Z1344" i="3"/>
  <c r="Z1376" i="3"/>
  <c r="Z1392" i="3"/>
  <c r="Z1408" i="3"/>
  <c r="Z1424" i="3"/>
  <c r="Z1440" i="3"/>
  <c r="Z1472" i="3"/>
  <c r="Z1038" i="3"/>
  <c r="Z1059" i="3"/>
  <c r="Z1125" i="3"/>
  <c r="Z1212" i="3"/>
  <c r="Z1218" i="3"/>
  <c r="Z1224" i="3"/>
  <c r="Z1160" i="3"/>
  <c r="Z1173" i="3"/>
  <c r="Z1193" i="3"/>
  <c r="Z1307" i="3"/>
  <c r="Z1323" i="3"/>
  <c r="Z1339" i="3"/>
  <c r="Z1355" i="3"/>
  <c r="Z1371" i="3"/>
  <c r="Z1387" i="3"/>
  <c r="Z975" i="3"/>
  <c r="Z1049" i="3"/>
  <c r="Z1080" i="3"/>
  <c r="Z1133" i="3"/>
  <c r="Z1146" i="3"/>
  <c r="Z1206" i="3"/>
  <c r="Z1230" i="3"/>
  <c r="Z1241" i="3"/>
  <c r="Z1252" i="3"/>
  <c r="Z1263" i="3"/>
  <c r="Z1274" i="3"/>
  <c r="Z1285" i="3"/>
  <c r="Z1296" i="3"/>
  <c r="Z992" i="3"/>
  <c r="Z1012" i="3"/>
  <c r="Z1024" i="3"/>
  <c r="Z1088" i="3"/>
  <c r="Z1098" i="3"/>
  <c r="Z1106" i="3"/>
  <c r="Z1119" i="3"/>
  <c r="Z1318" i="3"/>
  <c r="Z1334" i="3"/>
  <c r="Z1350" i="3"/>
  <c r="Z1366" i="3"/>
  <c r="Z1382" i="3"/>
  <c r="Z1398" i="3"/>
  <c r="Z996" i="3"/>
  <c r="Z1070" i="3"/>
  <c r="Z1154" i="3"/>
  <c r="Z1167" i="3"/>
  <c r="Z1181" i="3"/>
  <c r="Z1291" i="3"/>
  <c r="Z1302" i="3"/>
  <c r="Z1027" i="3"/>
  <c r="Z1039" i="3"/>
  <c r="Z1127" i="3"/>
  <c r="Z1140" i="3"/>
  <c r="Z1236" i="3"/>
  <c r="Z1247" i="3"/>
  <c r="Z1258" i="3"/>
  <c r="Z1269" i="3"/>
  <c r="Z1280" i="3"/>
  <c r="Z1313" i="3"/>
  <c r="Z1329" i="3"/>
  <c r="Z1345" i="3"/>
  <c r="Z1361" i="3"/>
  <c r="Z1377" i="3"/>
  <c r="Z1393" i="3"/>
  <c r="Z931" i="3"/>
  <c r="Z1060" i="3"/>
  <c r="Z1113" i="3"/>
  <c r="Z1175" i="3"/>
  <c r="Z1200" i="3"/>
  <c r="Z1207" i="3"/>
  <c r="Z1213" i="3"/>
  <c r="Z1219" i="3"/>
  <c r="Z1225" i="3"/>
  <c r="Z1148" i="3"/>
  <c r="Z1161" i="3"/>
  <c r="Z1194" i="3"/>
  <c r="Z1275" i="3"/>
  <c r="Z1286" i="3"/>
  <c r="Z1297" i="3"/>
  <c r="Z1308" i="3"/>
  <c r="Z1324" i="3"/>
  <c r="Z1340" i="3"/>
  <c r="Z1356" i="3"/>
  <c r="Z1372" i="3"/>
  <c r="Z1388" i="3"/>
  <c r="Z1404" i="3"/>
  <c r="Z976" i="3"/>
  <c r="Z1028" i="3"/>
  <c r="Z1050" i="3"/>
  <c r="Z1081" i="3"/>
  <c r="Z1100" i="3"/>
  <c r="Z1134" i="3"/>
  <c r="Z1188" i="3"/>
  <c r="Z1201" i="3"/>
  <c r="Z1231" i="3"/>
  <c r="Z1242" i="3"/>
  <c r="Z1253" i="3"/>
  <c r="Z1264" i="3"/>
  <c r="Z980" i="3"/>
  <c r="Z1013" i="3"/>
  <c r="Z1120" i="3"/>
  <c r="Z1319" i="3"/>
  <c r="Z942" i="3"/>
  <c r="Z997" i="3"/>
  <c r="Z1071" i="3"/>
  <c r="Z1155" i="3"/>
  <c r="Z1168" i="3"/>
  <c r="Z1182" i="3"/>
  <c r="Z1259" i="3"/>
  <c r="Z1270" i="3"/>
  <c r="Z1281" i="3"/>
  <c r="Z1292" i="3"/>
  <c r="Z1303" i="3"/>
  <c r="Z1040" i="3"/>
  <c r="Z1128" i="3"/>
  <c r="Z1141" i="3"/>
  <c r="Z1237" i="3"/>
  <c r="Z1248" i="3"/>
  <c r="Z1314" i="3"/>
  <c r="Z1061" i="3"/>
  <c r="Z1114" i="3"/>
  <c r="Z1176" i="3"/>
  <c r="Z1208" i="3"/>
  <c r="Z1214" i="3"/>
  <c r="Z1220" i="3"/>
  <c r="Z1226" i="3"/>
  <c r="Z1092" i="3"/>
  <c r="Z1101" i="3"/>
  <c r="Z1149" i="3"/>
  <c r="Z1162" i="3"/>
  <c r="Z1254" i="3"/>
  <c r="Z1265" i="3"/>
  <c r="Z1276" i="3"/>
  <c r="Z1287" i="3"/>
  <c r="Z1298" i="3"/>
  <c r="Z1325" i="3"/>
  <c r="Z1341" i="3"/>
  <c r="Z1029" i="3"/>
  <c r="Z1082" i="3"/>
  <c r="Z1122" i="3"/>
  <c r="Z1189" i="3"/>
  <c r="Z1196" i="3"/>
  <c r="Z1232" i="3"/>
  <c r="Z948" i="3"/>
  <c r="Z981" i="3"/>
  <c r="Z1064" i="3"/>
  <c r="Z1108" i="3"/>
  <c r="Z1170" i="3"/>
  <c r="Z1320" i="3"/>
  <c r="Z1336" i="3"/>
  <c r="Z1072" i="3"/>
  <c r="Z1143" i="3"/>
  <c r="Z1156" i="3"/>
  <c r="Z1183" i="3"/>
  <c r="Z1238" i="3"/>
  <c r="Z1249" i="3"/>
  <c r="Z1260" i="3"/>
  <c r="Z1271" i="3"/>
  <c r="Z1282" i="3"/>
  <c r="Z1293" i="3"/>
  <c r="Z1304" i="3"/>
  <c r="Z1002" i="3"/>
  <c r="Z1032" i="3"/>
  <c r="Z1054" i="3"/>
  <c r="Z1116" i="3"/>
  <c r="Z1129" i="3"/>
  <c r="Z1190" i="3"/>
  <c r="Z1227" i="3"/>
  <c r="Z1102" i="3"/>
  <c r="Z1177" i="3"/>
  <c r="Z1209" i="3"/>
  <c r="Z1215" i="3"/>
  <c r="Z959" i="3"/>
  <c r="Z1018" i="3"/>
  <c r="Z1033" i="3"/>
  <c r="Z1044" i="3"/>
  <c r="Z1075" i="3"/>
  <c r="Z1093" i="3"/>
  <c r="Z1150" i="3"/>
  <c r="Z1203" i="3"/>
  <c r="Z1233" i="3"/>
  <c r="Z1244" i="3"/>
  <c r="Z1255" i="3"/>
  <c r="Z1266" i="3"/>
  <c r="Z1277" i="3"/>
  <c r="Z1136" i="3"/>
  <c r="Z1065" i="3"/>
  <c r="Z1109" i="3"/>
  <c r="Z1171" i="3"/>
  <c r="Z1222" i="3"/>
  <c r="Z986" i="3"/>
  <c r="Z1144" i="3"/>
  <c r="Z1157" i="3"/>
  <c r="Z1184" i="3"/>
  <c r="Z1228" i="3"/>
  <c r="Z1239" i="3"/>
  <c r="Z1250" i="3"/>
  <c r="Z1261" i="3"/>
  <c r="Z1272" i="3"/>
  <c r="Z1055" i="3"/>
  <c r="Z1086" i="3"/>
  <c r="Z1096" i="3"/>
  <c r="Z1117" i="3"/>
  <c r="Z1165" i="3"/>
  <c r="Z1210" i="3"/>
  <c r="Z1216" i="3"/>
  <c r="Z965" i="3"/>
  <c r="Z1007" i="3"/>
  <c r="Z1034" i="3"/>
  <c r="Z1045" i="3"/>
  <c r="Z1076" i="3"/>
  <c r="Z1138" i="3"/>
  <c r="Z1151" i="3"/>
  <c r="Z1204" i="3"/>
  <c r="Z1234" i="3"/>
  <c r="Z1430" i="3"/>
  <c r="Z1443" i="3"/>
  <c r="Z1516" i="3"/>
  <c r="Z1522" i="3"/>
  <c r="Z1578" i="3"/>
  <c r="Z1589" i="3"/>
  <c r="Z1611" i="3"/>
  <c r="Z1622" i="3"/>
  <c r="Z1638" i="3"/>
  <c r="Z1654" i="3"/>
  <c r="Z1670" i="3"/>
  <c r="Z1702" i="3"/>
  <c r="Z1718" i="3"/>
  <c r="Z1734" i="3"/>
  <c r="Z1750" i="3"/>
  <c r="Z1766" i="3"/>
  <c r="Z1782" i="3"/>
  <c r="Z1798" i="3"/>
  <c r="Z1814" i="3"/>
  <c r="Z1830" i="3"/>
  <c r="Z1846" i="3"/>
  <c r="Z1862" i="3"/>
  <c r="Z1878" i="3"/>
  <c r="Z1894" i="3"/>
  <c r="Z1283" i="3"/>
  <c r="Z1348" i="3"/>
  <c r="Z1416" i="3"/>
  <c r="Z1478" i="3"/>
  <c r="Z1503" i="3"/>
  <c r="Z1510" i="3"/>
  <c r="Z1556" i="3"/>
  <c r="Z1567" i="3"/>
  <c r="Z1321" i="3"/>
  <c r="Z1400" i="3"/>
  <c r="Z1409" i="3"/>
  <c r="Z1451" i="3"/>
  <c r="Z1464" i="3"/>
  <c r="Z1497" i="3"/>
  <c r="Z1528" i="3"/>
  <c r="Z1545" i="3"/>
  <c r="Z1633" i="3"/>
  <c r="Z1649" i="3"/>
  <c r="Z1665" i="3"/>
  <c r="Z1697" i="3"/>
  <c r="Z1713" i="3"/>
  <c r="Z1729" i="3"/>
  <c r="Z1745" i="3"/>
  <c r="Z1761" i="3"/>
  <c r="Z1777" i="3"/>
  <c r="Z1793" i="3"/>
  <c r="Z1809" i="3"/>
  <c r="Z1359" i="3"/>
  <c r="Z1390" i="3"/>
  <c r="Z1437" i="3"/>
  <c r="Z1491" i="3"/>
  <c r="Z1504" i="3"/>
  <c r="Z1562" i="3"/>
  <c r="Z1573" i="3"/>
  <c r="Z1584" i="3"/>
  <c r="Z1595" i="3"/>
  <c r="Z1606" i="3"/>
  <c r="Z1337" i="3"/>
  <c r="Z1423" i="3"/>
  <c r="Z1485" i="3"/>
  <c r="Z1534" i="3"/>
  <c r="Z1551" i="3"/>
  <c r="Z1644" i="3"/>
  <c r="Z1660" i="3"/>
  <c r="Z1676" i="3"/>
  <c r="Z1692" i="3"/>
  <c r="Z1708" i="3"/>
  <c r="Z1724" i="3"/>
  <c r="Z1740" i="3"/>
  <c r="Z1756" i="3"/>
  <c r="Z1788" i="3"/>
  <c r="Z1305" i="3"/>
  <c r="Z1380" i="3"/>
  <c r="Z1458" i="3"/>
  <c r="Z1471" i="3"/>
  <c r="Z1362" i="3"/>
  <c r="Z1431" i="3"/>
  <c r="Z1444" i="3"/>
  <c r="Z1517" i="3"/>
  <c r="Z1523" i="3"/>
  <c r="Z1540" i="3"/>
  <c r="Z1568" i="3"/>
  <c r="Z1579" i="3"/>
  <c r="Z1590" i="3"/>
  <c r="Z1601" i="3"/>
  <c r="Z1612" i="3"/>
  <c r="Z1623" i="3"/>
  <c r="Z1639" i="3"/>
  <c r="Z1655" i="3"/>
  <c r="Z1671" i="3"/>
  <c r="Z1687" i="3"/>
  <c r="Z1719" i="3"/>
  <c r="Z1735" i="3"/>
  <c r="Z1751" i="3"/>
  <c r="Z1767" i="3"/>
  <c r="Z1783" i="3"/>
  <c r="Z1799" i="3"/>
  <c r="Z1815" i="3"/>
  <c r="Z1831" i="3"/>
  <c r="Z1288" i="3"/>
  <c r="Z1417" i="3"/>
  <c r="Z1479" i="3"/>
  <c r="Z1511" i="3"/>
  <c r="Z1546" i="3"/>
  <c r="Z1352" i="3"/>
  <c r="Z1383" i="3"/>
  <c r="Z1452" i="3"/>
  <c r="Z1505" i="3"/>
  <c r="Z1529" i="3"/>
  <c r="Z1634" i="3"/>
  <c r="Z1650" i="3"/>
  <c r="Z1666" i="3"/>
  <c r="Z1682" i="3"/>
  <c r="Z1698" i="3"/>
  <c r="Z1391" i="3"/>
  <c r="Z1425" i="3"/>
  <c r="Z1438" i="3"/>
  <c r="Z1492" i="3"/>
  <c r="Z1499" i="3"/>
  <c r="Z1552" i="3"/>
  <c r="Z1574" i="3"/>
  <c r="Z1596" i="3"/>
  <c r="Z1607" i="3"/>
  <c r="Z1618" i="3"/>
  <c r="Z1373" i="3"/>
  <c r="Z1473" i="3"/>
  <c r="Z1486" i="3"/>
  <c r="Z1535" i="3"/>
  <c r="Z1629" i="3"/>
  <c r="Z1645" i="3"/>
  <c r="Z1661" i="3"/>
  <c r="Z1677" i="3"/>
  <c r="Z1693" i="3"/>
  <c r="Z1709" i="3"/>
  <c r="Z1326" i="3"/>
  <c r="Z1411" i="3"/>
  <c r="Z1446" i="3"/>
  <c r="Z1459" i="3"/>
  <c r="Z1541" i="3"/>
  <c r="Z1363" i="3"/>
  <c r="Z1394" i="3"/>
  <c r="Z1419" i="3"/>
  <c r="Z1493" i="3"/>
  <c r="Z1518" i="3"/>
  <c r="Z1524" i="3"/>
  <c r="Z1547" i="3"/>
  <c r="Z1558" i="3"/>
  <c r="Z1569" i="3"/>
  <c r="Z1580" i="3"/>
  <c r="Z1591" i="3"/>
  <c r="Z1602" i="3"/>
  <c r="Z1613" i="3"/>
  <c r="Z1624" i="3"/>
  <c r="Z1640" i="3"/>
  <c r="Z1656" i="3"/>
  <c r="Z1688" i="3"/>
  <c r="Z1245" i="3"/>
  <c r="Z1289" i="3"/>
  <c r="Z1403" i="3"/>
  <c r="Z1467" i="3"/>
  <c r="Z1480" i="3"/>
  <c r="Z1512" i="3"/>
  <c r="Z1530" i="3"/>
  <c r="Z1342" i="3"/>
  <c r="Z1353" i="3"/>
  <c r="Z1384" i="3"/>
  <c r="Z1453" i="3"/>
  <c r="Z1635" i="3"/>
  <c r="Z1651" i="3"/>
  <c r="Z1667" i="3"/>
  <c r="Z1683" i="3"/>
  <c r="Z1699" i="3"/>
  <c r="Z1426" i="3"/>
  <c r="Z1439" i="3"/>
  <c r="Z1500" i="3"/>
  <c r="Z1536" i="3"/>
  <c r="Z1553" i="3"/>
  <c r="Z1575" i="3"/>
  <c r="Z1586" i="3"/>
  <c r="Z1597" i="3"/>
  <c r="Z1608" i="3"/>
  <c r="Z1619" i="3"/>
  <c r="Z1474" i="3"/>
  <c r="Z1487" i="3"/>
  <c r="Z1494" i="3"/>
  <c r="Z1542" i="3"/>
  <c r="Z1630" i="3"/>
  <c r="Z1646" i="3"/>
  <c r="Z1662" i="3"/>
  <c r="Z1311" i="3"/>
  <c r="Z1327" i="3"/>
  <c r="Z1447" i="3"/>
  <c r="Z1460" i="3"/>
  <c r="Z1330" i="3"/>
  <c r="Z1395" i="3"/>
  <c r="Z1420" i="3"/>
  <c r="Z1433" i="3"/>
  <c r="Z1488" i="3"/>
  <c r="Z1531" i="3"/>
  <c r="Z1548" i="3"/>
  <c r="Z1559" i="3"/>
  <c r="Z1570" i="3"/>
  <c r="Z1581" i="3"/>
  <c r="Z1592" i="3"/>
  <c r="Z1603" i="3"/>
  <c r="Z1614" i="3"/>
  <c r="Z1625" i="3"/>
  <c r="Z1641" i="3"/>
  <c r="Z1657" i="3"/>
  <c r="Z1256" i="3"/>
  <c r="Z1294" i="3"/>
  <c r="Z1315" i="3"/>
  <c r="Z1405" i="3"/>
  <c r="Z1468" i="3"/>
  <c r="Z1481" i="3"/>
  <c r="Z1513" i="3"/>
  <c r="Z1331" i="3"/>
  <c r="Z1343" i="3"/>
  <c r="Z1385" i="3"/>
  <c r="Z1441" i="3"/>
  <c r="Z1454" i="3"/>
  <c r="Z1507" i="3"/>
  <c r="Z1537" i="3"/>
  <c r="Z1636" i="3"/>
  <c r="Z1652" i="3"/>
  <c r="Z1427" i="3"/>
  <c r="Z1501" i="3"/>
  <c r="Z1520" i="3"/>
  <c r="Z1554" i="3"/>
  <c r="Z1565" i="3"/>
  <c r="Z1576" i="3"/>
  <c r="Z1587" i="3"/>
  <c r="Z1598" i="3"/>
  <c r="Z1609" i="3"/>
  <c r="Z1620" i="3"/>
  <c r="Z1346" i="3"/>
  <c r="Z1375" i="3"/>
  <c r="Z1414" i="3"/>
  <c r="Z1462" i="3"/>
  <c r="Z1475" i="3"/>
  <c r="Z1495" i="3"/>
  <c r="Z1526" i="3"/>
  <c r="Z1543" i="3"/>
  <c r="Z1357" i="3"/>
  <c r="Z1435" i="3"/>
  <c r="Z1448" i="3"/>
  <c r="Z1489" i="3"/>
  <c r="Z1396" i="3"/>
  <c r="Z1421" i="3"/>
  <c r="Z1483" i="3"/>
  <c r="Z1549" i="3"/>
  <c r="Z1560" i="3"/>
  <c r="Z1571" i="3"/>
  <c r="Z1582" i="3"/>
  <c r="Z1593" i="3"/>
  <c r="Z1267" i="3"/>
  <c r="Z1299" i="3"/>
  <c r="Z1316" i="3"/>
  <c r="Z1378" i="3"/>
  <c r="Z1469" i="3"/>
  <c r="Z1332" i="3"/>
  <c r="Z1442" i="3"/>
  <c r="Z1455" i="3"/>
  <c r="Z1508" i="3"/>
  <c r="Z1515" i="3"/>
  <c r="Z1521" i="3"/>
  <c r="Z1538" i="3"/>
  <c r="Z1347" i="3"/>
  <c r="Z1368" i="3"/>
  <c r="Z1415" i="3"/>
  <c r="Z1428" i="3"/>
  <c r="Z1502" i="3"/>
  <c r="Z1555" i="3"/>
  <c r="Z1566" i="3"/>
  <c r="Z1577" i="3"/>
  <c r="Z1476" i="3"/>
  <c r="Z1496" i="3"/>
  <c r="Z1527" i="3"/>
  <c r="Z1544" i="3"/>
  <c r="Z1335" i="3"/>
  <c r="Z1358" i="3"/>
  <c r="Z1389" i="3"/>
  <c r="Z1436" i="3"/>
  <c r="Z1449" i="3"/>
  <c r="Z1490" i="3"/>
  <c r="Z1509" i="3"/>
  <c r="Z1422" i="3"/>
  <c r="Z1484" i="3"/>
  <c r="Z1379" i="3"/>
  <c r="Z1407" i="3"/>
  <c r="Z1457" i="3"/>
  <c r="Z1470" i="3"/>
  <c r="Z1720" i="3"/>
  <c r="Z1733" i="3"/>
  <c r="Z1795" i="3"/>
  <c r="Z1844" i="3"/>
  <c r="Z1861" i="3"/>
  <c r="Z1781" i="3"/>
  <c r="Z1808" i="3"/>
  <c r="Z1827" i="3"/>
  <c r="Z1922" i="3"/>
  <c r="Z1938" i="3"/>
  <c r="Z1954" i="3"/>
  <c r="Z1970" i="3"/>
  <c r="Z1986" i="3"/>
  <c r="Z2002" i="3"/>
  <c r="Z2018" i="3"/>
  <c r="Z2034" i="3"/>
  <c r="Z2050" i="3"/>
  <c r="Z2066" i="3"/>
  <c r="Z2082" i="3"/>
  <c r="Z1615" i="3"/>
  <c r="Z1632" i="3"/>
  <c r="Z1712" i="3"/>
  <c r="Z1741" i="3"/>
  <c r="Z1754" i="3"/>
  <c r="Z1833" i="3"/>
  <c r="Z1850" i="3"/>
  <c r="Z1873" i="3"/>
  <c r="Z1533" i="3"/>
  <c r="Z1648" i="3"/>
  <c r="Z1684" i="3"/>
  <c r="Z1727" i="3"/>
  <c r="Z1802" i="3"/>
  <c r="Z1917" i="3"/>
  <c r="Z1933" i="3"/>
  <c r="Z1949" i="3"/>
  <c r="Z1965" i="3"/>
  <c r="Z1981" i="3"/>
  <c r="Z1997" i="3"/>
  <c r="Z2013" i="3"/>
  <c r="Z2029" i="3"/>
  <c r="Z2045" i="3"/>
  <c r="Z2061" i="3"/>
  <c r="Z2077" i="3"/>
  <c r="Z2067" i="3"/>
  <c r="Z1663" i="3"/>
  <c r="Z1762" i="3"/>
  <c r="Z1775" i="3"/>
  <c r="Z1839" i="3"/>
  <c r="Z1856" i="3"/>
  <c r="Z1879" i="3"/>
  <c r="Z1594" i="3"/>
  <c r="Z1674" i="3"/>
  <c r="Z1748" i="3"/>
  <c r="Z1896" i="3"/>
  <c r="Z1928" i="3"/>
  <c r="Z1944" i="3"/>
  <c r="Z1960" i="3"/>
  <c r="Z1992" i="3"/>
  <c r="Z2008" i="3"/>
  <c r="Z2024" i="3"/>
  <c r="Z2040" i="3"/>
  <c r="Z2056" i="3"/>
  <c r="Z1721" i="3"/>
  <c r="Z1796" i="3"/>
  <c r="Z1845" i="3"/>
  <c r="Z1885" i="3"/>
  <c r="Z2051" i="3"/>
  <c r="Z2083" i="3"/>
  <c r="Z1616" i="3"/>
  <c r="Z1695" i="3"/>
  <c r="Z1714" i="3"/>
  <c r="Z1769" i="3"/>
  <c r="Z1816" i="3"/>
  <c r="Z1822" i="3"/>
  <c r="Z1828" i="3"/>
  <c r="Z1907" i="3"/>
  <c r="Z1923" i="3"/>
  <c r="Z1939" i="3"/>
  <c r="Z1955" i="3"/>
  <c r="Z1971" i="3"/>
  <c r="Z2003" i="3"/>
  <c r="Z2035" i="3"/>
  <c r="Z1742" i="3"/>
  <c r="Z1755" i="3"/>
  <c r="Z1851" i="3"/>
  <c r="Z1857" i="3"/>
  <c r="Z1874" i="3"/>
  <c r="Z1891" i="3"/>
  <c r="Z1685" i="3"/>
  <c r="Z1715" i="3"/>
  <c r="Z1728" i="3"/>
  <c r="Z1790" i="3"/>
  <c r="Z1902" i="3"/>
  <c r="Z1918" i="3"/>
  <c r="Z1934" i="3"/>
  <c r="Z1950" i="3"/>
  <c r="Z1966" i="3"/>
  <c r="Z1982" i="3"/>
  <c r="Z1998" i="3"/>
  <c r="Z2014" i="3"/>
  <c r="Z2046" i="3"/>
  <c r="Z2062" i="3"/>
  <c r="Z1550" i="3"/>
  <c r="Z1599" i="3"/>
  <c r="Z1664" i="3"/>
  <c r="Z1763" i="3"/>
  <c r="Z1776" i="3"/>
  <c r="Z1840" i="3"/>
  <c r="Z1863" i="3"/>
  <c r="Z1880" i="3"/>
  <c r="Z1675" i="3"/>
  <c r="Z1706" i="3"/>
  <c r="Z1736" i="3"/>
  <c r="Z1749" i="3"/>
  <c r="Z1897" i="3"/>
  <c r="Z1913" i="3"/>
  <c r="Z1929" i="3"/>
  <c r="Z1945" i="3"/>
  <c r="Z1961" i="3"/>
  <c r="Z1977" i="3"/>
  <c r="Z1993" i="3"/>
  <c r="Z2009" i="3"/>
  <c r="Z2025" i="3"/>
  <c r="Z2041" i="3"/>
  <c r="Z2057" i="3"/>
  <c r="Z1722" i="3"/>
  <c r="Z1784" i="3"/>
  <c r="Z1797" i="3"/>
  <c r="Z1852" i="3"/>
  <c r="Z1869" i="3"/>
  <c r="Z1886" i="3"/>
  <c r="Z1621" i="3"/>
  <c r="Z1653" i="3"/>
  <c r="Z1696" i="3"/>
  <c r="Z1757" i="3"/>
  <c r="Z1817" i="3"/>
  <c r="Z1823" i="3"/>
  <c r="Z1829" i="3"/>
  <c r="Z1908" i="3"/>
  <c r="Z1924" i="3"/>
  <c r="Z1940" i="3"/>
  <c r="Z1956" i="3"/>
  <c r="Z1972" i="3"/>
  <c r="Z1988" i="3"/>
  <c r="Z2004" i="3"/>
  <c r="Z2020" i="3"/>
  <c r="Z2036" i="3"/>
  <c r="Z2052" i="3"/>
  <c r="Z2068" i="3"/>
  <c r="Z1678" i="3"/>
  <c r="Z1730" i="3"/>
  <c r="Z1743" i="3"/>
  <c r="Z1811" i="3"/>
  <c r="Z1835" i="3"/>
  <c r="Z1841" i="3"/>
  <c r="Z1858" i="3"/>
  <c r="Z1875" i="3"/>
  <c r="Z1716" i="3"/>
  <c r="Z1778" i="3"/>
  <c r="Z1791" i="3"/>
  <c r="Z1903" i="3"/>
  <c r="Z1919" i="3"/>
  <c r="Z1935" i="3"/>
  <c r="Z1951" i="3"/>
  <c r="Z1967" i="3"/>
  <c r="Z1983" i="3"/>
  <c r="Z1561" i="3"/>
  <c r="Z1604" i="3"/>
  <c r="Z1668" i="3"/>
  <c r="Z1764" i="3"/>
  <c r="Z1847" i="3"/>
  <c r="Z1864" i="3"/>
  <c r="Z1881" i="3"/>
  <c r="Z1707" i="3"/>
  <c r="Z1898" i="3"/>
  <c r="Z1914" i="3"/>
  <c r="Z1930" i="3"/>
  <c r="Z1962" i="3"/>
  <c r="Z1978" i="3"/>
  <c r="Z1689" i="3"/>
  <c r="Z1723" i="3"/>
  <c r="Z1785" i="3"/>
  <c r="Z1836" i="3"/>
  <c r="Z1853" i="3"/>
  <c r="Z1870" i="3"/>
  <c r="Z1887" i="3"/>
  <c r="Z1758" i="3"/>
  <c r="Z1818" i="3"/>
  <c r="Z1909" i="3"/>
  <c r="Z1925" i="3"/>
  <c r="Z1957" i="3"/>
  <c r="Z1973" i="3"/>
  <c r="Z1989" i="3"/>
  <c r="Z2005" i="3"/>
  <c r="Z2021" i="3"/>
  <c r="Z1626" i="3"/>
  <c r="Z1642" i="3"/>
  <c r="Z1679" i="3"/>
  <c r="Z1731" i="3"/>
  <c r="Z1744" i="3"/>
  <c r="Z1812" i="3"/>
  <c r="Z1859" i="3"/>
  <c r="Z1876" i="3"/>
  <c r="Z1893" i="3"/>
  <c r="Z1605" i="3"/>
  <c r="Z1717" i="3"/>
  <c r="Z1779" i="3"/>
  <c r="Z1792" i="3"/>
  <c r="Z1806" i="3"/>
  <c r="Z1904" i="3"/>
  <c r="Z1920" i="3"/>
  <c r="Z1952" i="3"/>
  <c r="Z1968" i="3"/>
  <c r="Z1984" i="3"/>
  <c r="Z2000" i="3"/>
  <c r="Z2016" i="3"/>
  <c r="Z1572" i="3"/>
  <c r="Z1669" i="3"/>
  <c r="Z1700" i="3"/>
  <c r="Z1710" i="3"/>
  <c r="Z1752" i="3"/>
  <c r="Z1765" i="3"/>
  <c r="Z1848" i="3"/>
  <c r="Z1865" i="3"/>
  <c r="Z1882" i="3"/>
  <c r="Z1725" i="3"/>
  <c r="Z1800" i="3"/>
  <c r="Z1825" i="3"/>
  <c r="Z1899" i="3"/>
  <c r="Z1915" i="3"/>
  <c r="Z1931" i="3"/>
  <c r="Z1947" i="3"/>
  <c r="Z1658" i="3"/>
  <c r="Z1690" i="3"/>
  <c r="Z1773" i="3"/>
  <c r="Z1786" i="3"/>
  <c r="Z1854" i="3"/>
  <c r="Z1871" i="3"/>
  <c r="Z1888" i="3"/>
  <c r="Z1746" i="3"/>
  <c r="Z1759" i="3"/>
  <c r="Z1819" i="3"/>
  <c r="Z1910" i="3"/>
  <c r="Z1942" i="3"/>
  <c r="Z1627" i="3"/>
  <c r="Z1643" i="3"/>
  <c r="Z1680" i="3"/>
  <c r="Z1732" i="3"/>
  <c r="Z1794" i="3"/>
  <c r="Z1813" i="3"/>
  <c r="Z1843" i="3"/>
  <c r="Z1860" i="3"/>
  <c r="Z1877" i="3"/>
  <c r="Z1610" i="3"/>
  <c r="Z1780" i="3"/>
  <c r="Z1807" i="3"/>
  <c r="Z1905" i="3"/>
  <c r="Z1921" i="3"/>
  <c r="Z1937" i="3"/>
  <c r="Z1953" i="3"/>
  <c r="Z1583" i="3"/>
  <c r="Z1631" i="3"/>
  <c r="Z1701" i="3"/>
  <c r="Z1711" i="3"/>
  <c r="Z1753" i="3"/>
  <c r="Z1832" i="3"/>
  <c r="Z1849" i="3"/>
  <c r="Z1866" i="3"/>
  <c r="Z1883" i="3"/>
  <c r="Z1889" i="3"/>
  <c r="Z1647" i="3"/>
  <c r="Z1726" i="3"/>
  <c r="Z1739" i="3"/>
  <c r="Z1820" i="3"/>
  <c r="Z1588" i="3"/>
  <c r="Z1659" i="3"/>
  <c r="Z1691" i="3"/>
  <c r="Z1774" i="3"/>
  <c r="Z1838" i="3"/>
  <c r="Z1855" i="3"/>
  <c r="Z1872" i="3"/>
  <c r="Z1673" i="3"/>
  <c r="Z1747" i="3"/>
  <c r="Z1760" i="3"/>
  <c r="Z1911" i="3"/>
  <c r="Z1927" i="3"/>
  <c r="AB2078" i="3"/>
  <c r="AB2070" i="3"/>
  <c r="Z2063" i="3"/>
  <c r="J2053" i="3"/>
  <c r="X2053" i="3" s="1"/>
  <c r="AB2042" i="3"/>
  <c r="Z2032" i="3"/>
  <c r="J2018" i="3"/>
  <c r="X2018" i="3" s="1"/>
  <c r="J2006" i="3"/>
  <c r="X2006" i="3" s="1"/>
  <c r="AB1990" i="3"/>
  <c r="AB1974" i="3"/>
  <c r="AA1883" i="3"/>
  <c r="J9" i="3"/>
  <c r="X9" i="3" s="1"/>
  <c r="J25" i="3"/>
  <c r="X25" i="3" s="1"/>
  <c r="J41" i="3"/>
  <c r="X41" i="3" s="1"/>
  <c r="J57" i="3"/>
  <c r="X57" i="3" s="1"/>
  <c r="J73" i="3"/>
  <c r="X73" i="3" s="1"/>
  <c r="J89" i="3"/>
  <c r="X89" i="3" s="1"/>
  <c r="J105" i="3"/>
  <c r="X105" i="3" s="1"/>
  <c r="J121" i="3"/>
  <c r="X121" i="3" s="1"/>
  <c r="J137" i="3"/>
  <c r="X137" i="3" s="1"/>
  <c r="J153" i="3"/>
  <c r="X153" i="3" s="1"/>
  <c r="J169" i="3"/>
  <c r="X169" i="3" s="1"/>
  <c r="J185" i="3"/>
  <c r="X185" i="3" s="1"/>
  <c r="J201" i="3"/>
  <c r="X201" i="3" s="1"/>
  <c r="J217" i="3"/>
  <c r="X217" i="3" s="1"/>
  <c r="J233" i="3"/>
  <c r="X233" i="3" s="1"/>
  <c r="J249" i="3"/>
  <c r="X249" i="3" s="1"/>
  <c r="J265" i="3"/>
  <c r="X265" i="3" s="1"/>
  <c r="J281" i="3"/>
  <c r="X281" i="3" s="1"/>
  <c r="J297" i="3"/>
  <c r="X297" i="3" s="1"/>
  <c r="J313" i="3"/>
  <c r="X313" i="3" s="1"/>
  <c r="J329" i="3"/>
  <c r="X329" i="3" s="1"/>
  <c r="J20" i="3"/>
  <c r="X20" i="3" s="1"/>
  <c r="J36" i="3"/>
  <c r="X36" i="3" s="1"/>
  <c r="J52" i="3"/>
  <c r="X52" i="3" s="1"/>
  <c r="J68" i="3"/>
  <c r="X68" i="3" s="1"/>
  <c r="J84" i="3"/>
  <c r="X84" i="3" s="1"/>
  <c r="J100" i="3"/>
  <c r="X100" i="3" s="1"/>
  <c r="J116" i="3"/>
  <c r="X116" i="3" s="1"/>
  <c r="J132" i="3"/>
  <c r="X132" i="3" s="1"/>
  <c r="J148" i="3"/>
  <c r="X148" i="3" s="1"/>
  <c r="J164" i="3"/>
  <c r="X164" i="3" s="1"/>
  <c r="J180" i="3"/>
  <c r="X180" i="3" s="1"/>
  <c r="J196" i="3"/>
  <c r="X196" i="3" s="1"/>
  <c r="J212" i="3"/>
  <c r="X212" i="3" s="1"/>
  <c r="J228" i="3"/>
  <c r="X228" i="3" s="1"/>
  <c r="J244" i="3"/>
  <c r="X244" i="3" s="1"/>
  <c r="J260" i="3"/>
  <c r="X260" i="3" s="1"/>
  <c r="J276" i="3"/>
  <c r="X276" i="3" s="1"/>
  <c r="J292" i="3"/>
  <c r="X292" i="3" s="1"/>
  <c r="J308" i="3"/>
  <c r="X308" i="3" s="1"/>
  <c r="J324" i="3"/>
  <c r="X324" i="3" s="1"/>
  <c r="J340" i="3"/>
  <c r="X340" i="3" s="1"/>
  <c r="J356" i="3"/>
  <c r="X356" i="3" s="1"/>
  <c r="J372" i="3"/>
  <c r="X372" i="3" s="1"/>
  <c r="J388" i="3"/>
  <c r="X388" i="3" s="1"/>
  <c r="J404" i="3"/>
  <c r="X404" i="3" s="1"/>
  <c r="J420" i="3"/>
  <c r="X420" i="3" s="1"/>
  <c r="J15" i="3"/>
  <c r="X15" i="3" s="1"/>
  <c r="J31" i="3"/>
  <c r="X31" i="3" s="1"/>
  <c r="J47" i="3"/>
  <c r="X47" i="3" s="1"/>
  <c r="J63" i="3"/>
  <c r="X63" i="3" s="1"/>
  <c r="J79" i="3"/>
  <c r="X79" i="3" s="1"/>
  <c r="J95" i="3"/>
  <c r="X95" i="3" s="1"/>
  <c r="J111" i="3"/>
  <c r="X111" i="3" s="1"/>
  <c r="J127" i="3"/>
  <c r="X127" i="3" s="1"/>
  <c r="J143" i="3"/>
  <c r="X143" i="3" s="1"/>
  <c r="J159" i="3"/>
  <c r="X159" i="3" s="1"/>
  <c r="J175" i="3"/>
  <c r="X175" i="3" s="1"/>
  <c r="J191" i="3"/>
  <c r="X191" i="3" s="1"/>
  <c r="J207" i="3"/>
  <c r="X207" i="3" s="1"/>
  <c r="J223" i="3"/>
  <c r="X223" i="3" s="1"/>
  <c r="J239" i="3"/>
  <c r="X239" i="3" s="1"/>
  <c r="J255" i="3"/>
  <c r="X255" i="3" s="1"/>
  <c r="J271" i="3"/>
  <c r="X271" i="3" s="1"/>
  <c r="J287" i="3"/>
  <c r="X287" i="3" s="1"/>
  <c r="J303" i="3"/>
  <c r="X303" i="3" s="1"/>
  <c r="J319" i="3"/>
  <c r="X319" i="3" s="1"/>
  <c r="J335" i="3"/>
  <c r="X335" i="3" s="1"/>
  <c r="J10" i="3"/>
  <c r="X10" i="3" s="1"/>
  <c r="J26" i="3"/>
  <c r="X26" i="3" s="1"/>
  <c r="J42" i="3"/>
  <c r="X42" i="3" s="1"/>
  <c r="J58" i="3"/>
  <c r="X58" i="3" s="1"/>
  <c r="J74" i="3"/>
  <c r="X74" i="3" s="1"/>
  <c r="J90" i="3"/>
  <c r="X90" i="3" s="1"/>
  <c r="J106" i="3"/>
  <c r="X106" i="3" s="1"/>
  <c r="J122" i="3"/>
  <c r="X122" i="3" s="1"/>
  <c r="J138" i="3"/>
  <c r="X138" i="3" s="1"/>
  <c r="J154" i="3"/>
  <c r="X154" i="3" s="1"/>
  <c r="J170" i="3"/>
  <c r="X170" i="3" s="1"/>
  <c r="J186" i="3"/>
  <c r="X186" i="3" s="1"/>
  <c r="J202" i="3"/>
  <c r="X202" i="3" s="1"/>
  <c r="J218" i="3"/>
  <c r="X218" i="3" s="1"/>
  <c r="J234" i="3"/>
  <c r="X234" i="3" s="1"/>
  <c r="J250" i="3"/>
  <c r="X250" i="3" s="1"/>
  <c r="J266" i="3"/>
  <c r="X266" i="3" s="1"/>
  <c r="J282" i="3"/>
  <c r="X282" i="3" s="1"/>
  <c r="J298" i="3"/>
  <c r="X298" i="3" s="1"/>
  <c r="J314" i="3"/>
  <c r="X314" i="3" s="1"/>
  <c r="J330" i="3"/>
  <c r="X330" i="3" s="1"/>
  <c r="J21" i="3"/>
  <c r="X21" i="3" s="1"/>
  <c r="J37" i="3"/>
  <c r="X37" i="3" s="1"/>
  <c r="J53" i="3"/>
  <c r="X53" i="3" s="1"/>
  <c r="J69" i="3"/>
  <c r="X69" i="3" s="1"/>
  <c r="J85" i="3"/>
  <c r="X85" i="3" s="1"/>
  <c r="J101" i="3"/>
  <c r="X101" i="3" s="1"/>
  <c r="J117" i="3"/>
  <c r="X117" i="3" s="1"/>
  <c r="J133" i="3"/>
  <c r="X133" i="3" s="1"/>
  <c r="J149" i="3"/>
  <c r="X149" i="3" s="1"/>
  <c r="J165" i="3"/>
  <c r="X165" i="3" s="1"/>
  <c r="J181" i="3"/>
  <c r="X181" i="3" s="1"/>
  <c r="J197" i="3"/>
  <c r="X197" i="3" s="1"/>
  <c r="J213" i="3"/>
  <c r="X213" i="3" s="1"/>
  <c r="J229" i="3"/>
  <c r="X229" i="3" s="1"/>
  <c r="J245" i="3"/>
  <c r="X245" i="3" s="1"/>
  <c r="J261" i="3"/>
  <c r="X261" i="3" s="1"/>
  <c r="J277" i="3"/>
  <c r="X277" i="3" s="1"/>
  <c r="J293" i="3"/>
  <c r="X293" i="3" s="1"/>
  <c r="J16" i="3"/>
  <c r="X16" i="3" s="1"/>
  <c r="J32" i="3"/>
  <c r="X32" i="3" s="1"/>
  <c r="J48" i="3"/>
  <c r="X48" i="3" s="1"/>
  <c r="J64" i="3"/>
  <c r="X64" i="3" s="1"/>
  <c r="J80" i="3"/>
  <c r="X80" i="3" s="1"/>
  <c r="J96" i="3"/>
  <c r="X96" i="3" s="1"/>
  <c r="J112" i="3"/>
  <c r="X112" i="3" s="1"/>
  <c r="J128" i="3"/>
  <c r="X128" i="3" s="1"/>
  <c r="J144" i="3"/>
  <c r="X144" i="3" s="1"/>
  <c r="J160" i="3"/>
  <c r="X160" i="3" s="1"/>
  <c r="J176" i="3"/>
  <c r="X176" i="3" s="1"/>
  <c r="J192" i="3"/>
  <c r="X192" i="3" s="1"/>
  <c r="J208" i="3"/>
  <c r="X208" i="3" s="1"/>
  <c r="J224" i="3"/>
  <c r="X224" i="3" s="1"/>
  <c r="J240" i="3"/>
  <c r="X240" i="3" s="1"/>
  <c r="J256" i="3"/>
  <c r="X256" i="3" s="1"/>
  <c r="J272" i="3"/>
  <c r="X272" i="3" s="1"/>
  <c r="J11" i="3"/>
  <c r="X11" i="3" s="1"/>
  <c r="J27" i="3"/>
  <c r="X27" i="3" s="1"/>
  <c r="J43" i="3"/>
  <c r="X43" i="3" s="1"/>
  <c r="J59" i="3"/>
  <c r="X59" i="3" s="1"/>
  <c r="J75" i="3"/>
  <c r="X75" i="3" s="1"/>
  <c r="J91" i="3"/>
  <c r="X91" i="3" s="1"/>
  <c r="J107" i="3"/>
  <c r="X107" i="3" s="1"/>
  <c r="J123" i="3"/>
  <c r="X123" i="3" s="1"/>
  <c r="J139" i="3"/>
  <c r="X139" i="3" s="1"/>
  <c r="J155" i="3"/>
  <c r="X155" i="3" s="1"/>
  <c r="J171" i="3"/>
  <c r="X171" i="3" s="1"/>
  <c r="J187" i="3"/>
  <c r="X187" i="3" s="1"/>
  <c r="J203" i="3"/>
  <c r="X203" i="3" s="1"/>
  <c r="J219" i="3"/>
  <c r="X219" i="3" s="1"/>
  <c r="J235" i="3"/>
  <c r="X235" i="3" s="1"/>
  <c r="J251" i="3"/>
  <c r="X251" i="3" s="1"/>
  <c r="J267" i="3"/>
  <c r="X267" i="3" s="1"/>
  <c r="J22" i="3"/>
  <c r="X22" i="3" s="1"/>
  <c r="J38" i="3"/>
  <c r="X38" i="3" s="1"/>
  <c r="J54" i="3"/>
  <c r="X54" i="3" s="1"/>
  <c r="J70" i="3"/>
  <c r="X70" i="3" s="1"/>
  <c r="J86" i="3"/>
  <c r="X86" i="3" s="1"/>
  <c r="J102" i="3"/>
  <c r="X102" i="3" s="1"/>
  <c r="J118" i="3"/>
  <c r="X118" i="3" s="1"/>
  <c r="J134" i="3"/>
  <c r="X134" i="3" s="1"/>
  <c r="J150" i="3"/>
  <c r="X150" i="3" s="1"/>
  <c r="J166" i="3"/>
  <c r="X166" i="3" s="1"/>
  <c r="J182" i="3"/>
  <c r="X182" i="3" s="1"/>
  <c r="J198" i="3"/>
  <c r="X198" i="3" s="1"/>
  <c r="J214" i="3"/>
  <c r="X214" i="3" s="1"/>
  <c r="J17" i="3"/>
  <c r="X17" i="3" s="1"/>
  <c r="J33" i="3"/>
  <c r="X33" i="3" s="1"/>
  <c r="J49" i="3"/>
  <c r="X49" i="3" s="1"/>
  <c r="J65" i="3"/>
  <c r="X65" i="3" s="1"/>
  <c r="J81" i="3"/>
  <c r="X81" i="3" s="1"/>
  <c r="J97" i="3"/>
  <c r="X97" i="3" s="1"/>
  <c r="J113" i="3"/>
  <c r="X113" i="3" s="1"/>
  <c r="J129" i="3"/>
  <c r="X129" i="3" s="1"/>
  <c r="J145" i="3"/>
  <c r="X145" i="3" s="1"/>
  <c r="J161" i="3"/>
  <c r="X161" i="3" s="1"/>
  <c r="J177" i="3"/>
  <c r="X177" i="3" s="1"/>
  <c r="J193" i="3"/>
  <c r="X193" i="3" s="1"/>
  <c r="J12" i="3"/>
  <c r="X12" i="3" s="1"/>
  <c r="J28" i="3"/>
  <c r="X28" i="3" s="1"/>
  <c r="J44" i="3"/>
  <c r="X44" i="3" s="1"/>
  <c r="J60" i="3"/>
  <c r="X60" i="3" s="1"/>
  <c r="J76" i="3"/>
  <c r="X76" i="3" s="1"/>
  <c r="J92" i="3"/>
  <c r="X92" i="3" s="1"/>
  <c r="J108" i="3"/>
  <c r="X108" i="3" s="1"/>
  <c r="J124" i="3"/>
  <c r="X124" i="3" s="1"/>
  <c r="J140" i="3"/>
  <c r="X140" i="3" s="1"/>
  <c r="J156" i="3"/>
  <c r="X156" i="3" s="1"/>
  <c r="J172" i="3"/>
  <c r="X172" i="3" s="1"/>
  <c r="J188" i="3"/>
  <c r="X188" i="3" s="1"/>
  <c r="J23" i="3"/>
  <c r="X23" i="3" s="1"/>
  <c r="J39" i="3"/>
  <c r="X39" i="3" s="1"/>
  <c r="J55" i="3"/>
  <c r="X55" i="3" s="1"/>
  <c r="J71" i="3"/>
  <c r="X71" i="3" s="1"/>
  <c r="J87" i="3"/>
  <c r="X87" i="3" s="1"/>
  <c r="J103" i="3"/>
  <c r="X103" i="3" s="1"/>
  <c r="J119" i="3"/>
  <c r="X119" i="3" s="1"/>
  <c r="J135" i="3"/>
  <c r="X135" i="3" s="1"/>
  <c r="J151" i="3"/>
  <c r="X151" i="3" s="1"/>
  <c r="J167" i="3"/>
  <c r="X167" i="3" s="1"/>
  <c r="J183" i="3"/>
  <c r="X183" i="3" s="1"/>
  <c r="J18" i="3"/>
  <c r="X18" i="3" s="1"/>
  <c r="J34" i="3"/>
  <c r="X34" i="3" s="1"/>
  <c r="J50" i="3"/>
  <c r="X50" i="3" s="1"/>
  <c r="J66" i="3"/>
  <c r="X66" i="3" s="1"/>
  <c r="J82" i="3"/>
  <c r="X82" i="3" s="1"/>
  <c r="J98" i="3"/>
  <c r="X98" i="3" s="1"/>
  <c r="J114" i="3"/>
  <c r="X114" i="3" s="1"/>
  <c r="J130" i="3"/>
  <c r="X130" i="3" s="1"/>
  <c r="J146" i="3"/>
  <c r="X146" i="3" s="1"/>
  <c r="J13" i="3"/>
  <c r="X13" i="3" s="1"/>
  <c r="J29" i="3"/>
  <c r="X29" i="3" s="1"/>
  <c r="J45" i="3"/>
  <c r="X45" i="3" s="1"/>
  <c r="J24" i="3"/>
  <c r="X24" i="3" s="1"/>
  <c r="J40" i="3"/>
  <c r="X40" i="3" s="1"/>
  <c r="J56" i="3"/>
  <c r="X56" i="3" s="1"/>
  <c r="J72" i="3"/>
  <c r="X72" i="3" s="1"/>
  <c r="J88" i="3"/>
  <c r="X88" i="3" s="1"/>
  <c r="J104" i="3"/>
  <c r="X104" i="3" s="1"/>
  <c r="J19" i="3"/>
  <c r="X19" i="3" s="1"/>
  <c r="J35" i="3"/>
  <c r="X35" i="3" s="1"/>
  <c r="J51" i="3"/>
  <c r="X51" i="3" s="1"/>
  <c r="J14" i="3"/>
  <c r="X14" i="3" s="1"/>
  <c r="J125" i="3"/>
  <c r="X125" i="3" s="1"/>
  <c r="J163" i="3"/>
  <c r="X163" i="3" s="1"/>
  <c r="J283" i="3"/>
  <c r="X283" i="3" s="1"/>
  <c r="J311" i="3"/>
  <c r="X311" i="3" s="1"/>
  <c r="J348" i="3"/>
  <c r="X348" i="3" s="1"/>
  <c r="J365" i="3"/>
  <c r="X365" i="3" s="1"/>
  <c r="J382" i="3"/>
  <c r="X382" i="3" s="1"/>
  <c r="J405" i="3"/>
  <c r="X405" i="3" s="1"/>
  <c r="J422" i="3"/>
  <c r="X422" i="3" s="1"/>
  <c r="J466" i="3"/>
  <c r="X466" i="3" s="1"/>
  <c r="J482" i="3"/>
  <c r="X482" i="3" s="1"/>
  <c r="J498" i="3"/>
  <c r="X498" i="3" s="1"/>
  <c r="J514" i="3"/>
  <c r="X514" i="3" s="1"/>
  <c r="J530" i="3"/>
  <c r="X530" i="3" s="1"/>
  <c r="J546" i="3"/>
  <c r="X546" i="3" s="1"/>
  <c r="J562" i="3"/>
  <c r="X562" i="3" s="1"/>
  <c r="J578" i="3"/>
  <c r="X578" i="3" s="1"/>
  <c r="J594" i="3"/>
  <c r="X594" i="3" s="1"/>
  <c r="J610" i="3"/>
  <c r="X610" i="3" s="1"/>
  <c r="J93" i="3"/>
  <c r="X93" i="3" s="1"/>
  <c r="J209" i="3"/>
  <c r="X209" i="3" s="1"/>
  <c r="J230" i="3"/>
  <c r="X230" i="3" s="1"/>
  <c r="J238" i="3"/>
  <c r="X238" i="3" s="1"/>
  <c r="J248" i="3"/>
  <c r="X248" i="3" s="1"/>
  <c r="J290" i="3"/>
  <c r="X290" i="3" s="1"/>
  <c r="J305" i="3"/>
  <c r="X305" i="3" s="1"/>
  <c r="J220" i="3"/>
  <c r="X220" i="3" s="1"/>
  <c r="J354" i="3"/>
  <c r="X354" i="3" s="1"/>
  <c r="J371" i="3"/>
  <c r="X371" i="3" s="1"/>
  <c r="J394" i="3"/>
  <c r="X394" i="3" s="1"/>
  <c r="J411" i="3"/>
  <c r="X411" i="3" s="1"/>
  <c r="J428" i="3"/>
  <c r="X428" i="3" s="1"/>
  <c r="J439" i="3"/>
  <c r="X439" i="3" s="1"/>
  <c r="J450" i="3"/>
  <c r="X450" i="3" s="1"/>
  <c r="J461" i="3"/>
  <c r="X461" i="3" s="1"/>
  <c r="J477" i="3"/>
  <c r="X477" i="3" s="1"/>
  <c r="J493" i="3"/>
  <c r="X493" i="3" s="1"/>
  <c r="J509" i="3"/>
  <c r="X509" i="3" s="1"/>
  <c r="J525" i="3"/>
  <c r="X525" i="3" s="1"/>
  <c r="J541" i="3"/>
  <c r="X541" i="3" s="1"/>
  <c r="J557" i="3"/>
  <c r="X557" i="3" s="1"/>
  <c r="J573" i="3"/>
  <c r="X573" i="3" s="1"/>
  <c r="J30" i="3"/>
  <c r="X30" i="3" s="1"/>
  <c r="J147" i="3"/>
  <c r="X147" i="3" s="1"/>
  <c r="J258" i="3"/>
  <c r="X258" i="3" s="1"/>
  <c r="J337" i="3"/>
  <c r="X337" i="3" s="1"/>
  <c r="J377" i="3"/>
  <c r="X377" i="3" s="1"/>
  <c r="J94" i="3"/>
  <c r="X94" i="3" s="1"/>
  <c r="J331" i="3"/>
  <c r="X331" i="3" s="1"/>
  <c r="J343" i="3"/>
  <c r="X343" i="3" s="1"/>
  <c r="J360" i="3"/>
  <c r="X360" i="3" s="1"/>
  <c r="J383" i="3"/>
  <c r="X383" i="3" s="1"/>
  <c r="J400" i="3"/>
  <c r="X400" i="3" s="1"/>
  <c r="J417" i="3"/>
  <c r="X417" i="3" s="1"/>
  <c r="J472" i="3"/>
  <c r="X472" i="3" s="1"/>
  <c r="J488" i="3"/>
  <c r="X488" i="3" s="1"/>
  <c r="J504" i="3"/>
  <c r="X504" i="3" s="1"/>
  <c r="J520" i="3"/>
  <c r="X520" i="3" s="1"/>
  <c r="J536" i="3"/>
  <c r="X536" i="3" s="1"/>
  <c r="J199" i="3"/>
  <c r="X199" i="3" s="1"/>
  <c r="J210" i="3"/>
  <c r="X210" i="3" s="1"/>
  <c r="J231" i="3"/>
  <c r="X231" i="3" s="1"/>
  <c r="J275" i="3"/>
  <c r="X275" i="3" s="1"/>
  <c r="J299" i="3"/>
  <c r="X299" i="3" s="1"/>
  <c r="J318" i="3"/>
  <c r="X318" i="3" s="1"/>
  <c r="J325" i="3"/>
  <c r="X325" i="3" s="1"/>
  <c r="J434" i="3"/>
  <c r="X434" i="3" s="1"/>
  <c r="J445" i="3"/>
  <c r="X445" i="3" s="1"/>
  <c r="J456" i="3"/>
  <c r="X456" i="3" s="1"/>
  <c r="J46" i="3"/>
  <c r="X46" i="3" s="1"/>
  <c r="J99" i="3"/>
  <c r="X99" i="3" s="1"/>
  <c r="J126" i="3"/>
  <c r="X126" i="3" s="1"/>
  <c r="J184" i="3"/>
  <c r="X184" i="3" s="1"/>
  <c r="J241" i="3"/>
  <c r="X241" i="3" s="1"/>
  <c r="J284" i="3"/>
  <c r="X284" i="3" s="1"/>
  <c r="J312" i="3"/>
  <c r="X312" i="3" s="1"/>
  <c r="J349" i="3"/>
  <c r="X349" i="3" s="1"/>
  <c r="J366" i="3"/>
  <c r="X366" i="3" s="1"/>
  <c r="J389" i="3"/>
  <c r="X389" i="3" s="1"/>
  <c r="J406" i="3"/>
  <c r="X406" i="3" s="1"/>
  <c r="J423" i="3"/>
  <c r="X423" i="3" s="1"/>
  <c r="J467" i="3"/>
  <c r="X467" i="3" s="1"/>
  <c r="J483" i="3"/>
  <c r="X483" i="3" s="1"/>
  <c r="J499" i="3"/>
  <c r="X499" i="3" s="1"/>
  <c r="J515" i="3"/>
  <c r="X515" i="3" s="1"/>
  <c r="J531" i="3"/>
  <c r="X531" i="3" s="1"/>
  <c r="J547" i="3"/>
  <c r="X547" i="3" s="1"/>
  <c r="J563" i="3"/>
  <c r="X563" i="3" s="1"/>
  <c r="J579" i="3"/>
  <c r="X579" i="3" s="1"/>
  <c r="J221" i="3"/>
  <c r="X221" i="3" s="1"/>
  <c r="J268" i="3"/>
  <c r="X268" i="3" s="1"/>
  <c r="J291" i="3"/>
  <c r="X291" i="3" s="1"/>
  <c r="J306" i="3"/>
  <c r="X306" i="3" s="1"/>
  <c r="J168" i="3"/>
  <c r="X168" i="3" s="1"/>
  <c r="J355" i="3"/>
  <c r="X355" i="3" s="1"/>
  <c r="J378" i="3"/>
  <c r="X378" i="3" s="1"/>
  <c r="J395" i="3"/>
  <c r="X395" i="3" s="1"/>
  <c r="J412" i="3"/>
  <c r="X412" i="3" s="1"/>
  <c r="J429" i="3"/>
  <c r="X429" i="3" s="1"/>
  <c r="J440" i="3"/>
  <c r="X440" i="3" s="1"/>
  <c r="J451" i="3"/>
  <c r="X451" i="3" s="1"/>
  <c r="J462" i="3"/>
  <c r="X462" i="3" s="1"/>
  <c r="J478" i="3"/>
  <c r="X478" i="3" s="1"/>
  <c r="J259" i="3"/>
  <c r="X259" i="3" s="1"/>
  <c r="J338" i="3"/>
  <c r="X338" i="3" s="1"/>
  <c r="J361" i="3"/>
  <c r="X361" i="3" s="1"/>
  <c r="J61" i="3"/>
  <c r="X61" i="3" s="1"/>
  <c r="J152" i="3"/>
  <c r="X152" i="3" s="1"/>
  <c r="J332" i="3"/>
  <c r="X332" i="3" s="1"/>
  <c r="J344" i="3"/>
  <c r="X344" i="3" s="1"/>
  <c r="J367" i="3"/>
  <c r="X367" i="3" s="1"/>
  <c r="J384" i="3"/>
  <c r="X384" i="3" s="1"/>
  <c r="J401" i="3"/>
  <c r="X401" i="3" s="1"/>
  <c r="J418" i="3"/>
  <c r="X418" i="3" s="1"/>
  <c r="J457" i="3"/>
  <c r="X457" i="3" s="1"/>
  <c r="J473" i="3"/>
  <c r="X473" i="3" s="1"/>
  <c r="J489" i="3"/>
  <c r="X489" i="3" s="1"/>
  <c r="J131" i="3"/>
  <c r="X131" i="3" s="1"/>
  <c r="J200" i="3"/>
  <c r="X200" i="3" s="1"/>
  <c r="J211" i="3"/>
  <c r="X211" i="3" s="1"/>
  <c r="J232" i="3"/>
  <c r="X232" i="3" s="1"/>
  <c r="J242" i="3"/>
  <c r="X242" i="3" s="1"/>
  <c r="J300" i="3"/>
  <c r="X300" i="3" s="1"/>
  <c r="J326" i="3"/>
  <c r="X326" i="3" s="1"/>
  <c r="J435" i="3"/>
  <c r="X435" i="3" s="1"/>
  <c r="J446" i="3"/>
  <c r="X446" i="3" s="1"/>
  <c r="J62" i="3"/>
  <c r="X62" i="3" s="1"/>
  <c r="J252" i="3"/>
  <c r="X252" i="3" s="1"/>
  <c r="J278" i="3"/>
  <c r="X278" i="3" s="1"/>
  <c r="J285" i="3"/>
  <c r="X285" i="3" s="1"/>
  <c r="J320" i="3"/>
  <c r="X320" i="3" s="1"/>
  <c r="J350" i="3"/>
  <c r="X350" i="3" s="1"/>
  <c r="J373" i="3"/>
  <c r="X373" i="3" s="1"/>
  <c r="J390" i="3"/>
  <c r="X390" i="3" s="1"/>
  <c r="J407" i="3"/>
  <c r="X407" i="3" s="1"/>
  <c r="J424" i="3"/>
  <c r="X424" i="3" s="1"/>
  <c r="J468" i="3"/>
  <c r="X468" i="3" s="1"/>
  <c r="J484" i="3"/>
  <c r="X484" i="3" s="1"/>
  <c r="J109" i="3"/>
  <c r="X109" i="3" s="1"/>
  <c r="J222" i="3"/>
  <c r="X222" i="3" s="1"/>
  <c r="J269" i="3"/>
  <c r="X269" i="3" s="1"/>
  <c r="J307" i="3"/>
  <c r="X307" i="3" s="1"/>
  <c r="J441" i="3"/>
  <c r="X441" i="3" s="1"/>
  <c r="J452" i="3"/>
  <c r="X452" i="3" s="1"/>
  <c r="J67" i="3"/>
  <c r="X67" i="3" s="1"/>
  <c r="J362" i="3"/>
  <c r="X362" i="3" s="1"/>
  <c r="J379" i="3"/>
  <c r="X379" i="3" s="1"/>
  <c r="J396" i="3"/>
  <c r="X396" i="3" s="1"/>
  <c r="J413" i="3"/>
  <c r="X413" i="3" s="1"/>
  <c r="J430" i="3"/>
  <c r="X430" i="3" s="1"/>
  <c r="J463" i="3"/>
  <c r="X463" i="3" s="1"/>
  <c r="J479" i="3"/>
  <c r="X479" i="3" s="1"/>
  <c r="J189" i="3"/>
  <c r="X189" i="3" s="1"/>
  <c r="J262" i="3"/>
  <c r="X262" i="3" s="1"/>
  <c r="J339" i="3"/>
  <c r="X339" i="3" s="1"/>
  <c r="J345" i="3"/>
  <c r="X345" i="3" s="1"/>
  <c r="J173" i="3"/>
  <c r="X173" i="3" s="1"/>
  <c r="J294" i="3"/>
  <c r="X294" i="3" s="1"/>
  <c r="J333" i="3"/>
  <c r="X333" i="3" s="1"/>
  <c r="J351" i="3"/>
  <c r="X351" i="3" s="1"/>
  <c r="J368" i="3"/>
  <c r="X368" i="3" s="1"/>
  <c r="J385" i="3"/>
  <c r="X385" i="3" s="1"/>
  <c r="J402" i="3"/>
  <c r="X402" i="3" s="1"/>
  <c r="J419" i="3"/>
  <c r="X419" i="3" s="1"/>
  <c r="J436" i="3"/>
  <c r="X436" i="3" s="1"/>
  <c r="J447" i="3"/>
  <c r="X447" i="3" s="1"/>
  <c r="J136" i="3"/>
  <c r="X136" i="3" s="1"/>
  <c r="J225" i="3"/>
  <c r="X225" i="3" s="1"/>
  <c r="J243" i="3"/>
  <c r="X243" i="3" s="1"/>
  <c r="J301" i="3"/>
  <c r="X301" i="3" s="1"/>
  <c r="J327" i="3"/>
  <c r="X327" i="3" s="1"/>
  <c r="J110" i="3"/>
  <c r="X110" i="3" s="1"/>
  <c r="J157" i="3"/>
  <c r="X157" i="3" s="1"/>
  <c r="J253" i="3"/>
  <c r="X253" i="3" s="1"/>
  <c r="J279" i="3"/>
  <c r="X279" i="3" s="1"/>
  <c r="J286" i="3"/>
  <c r="X286" i="3" s="1"/>
  <c r="J321" i="3"/>
  <c r="X321" i="3" s="1"/>
  <c r="J357" i="3"/>
  <c r="X357" i="3" s="1"/>
  <c r="J374" i="3"/>
  <c r="X374" i="3" s="1"/>
  <c r="J391" i="3"/>
  <c r="X391" i="3" s="1"/>
  <c r="J408" i="3"/>
  <c r="X408" i="3" s="1"/>
  <c r="J204" i="3"/>
  <c r="X204" i="3" s="1"/>
  <c r="J215" i="3"/>
  <c r="X215" i="3" s="1"/>
  <c r="J270" i="3"/>
  <c r="X270" i="3" s="1"/>
  <c r="J315" i="3"/>
  <c r="X315" i="3" s="1"/>
  <c r="J431" i="3"/>
  <c r="X431" i="3" s="1"/>
  <c r="J442" i="3"/>
  <c r="X442" i="3" s="1"/>
  <c r="J309" i="3"/>
  <c r="X309" i="3" s="1"/>
  <c r="J346" i="3"/>
  <c r="X346" i="3" s="1"/>
  <c r="J363" i="3"/>
  <c r="X363" i="3" s="1"/>
  <c r="J380" i="3"/>
  <c r="X380" i="3" s="1"/>
  <c r="J397" i="3"/>
  <c r="X397" i="3" s="1"/>
  <c r="J414" i="3"/>
  <c r="X414" i="3" s="1"/>
  <c r="J77" i="3"/>
  <c r="X77" i="3" s="1"/>
  <c r="J190" i="3"/>
  <c r="X190" i="3" s="1"/>
  <c r="J226" i="3"/>
  <c r="X226" i="3" s="1"/>
  <c r="J236" i="3"/>
  <c r="X236" i="3" s="1"/>
  <c r="J263" i="3"/>
  <c r="X263" i="3" s="1"/>
  <c r="J288" i="3"/>
  <c r="X288" i="3" s="1"/>
  <c r="J115" i="3"/>
  <c r="X115" i="3" s="1"/>
  <c r="J174" i="3"/>
  <c r="X174" i="3" s="1"/>
  <c r="J295" i="3"/>
  <c r="X295" i="3" s="1"/>
  <c r="J334" i="3"/>
  <c r="X334" i="3" s="1"/>
  <c r="J352" i="3"/>
  <c r="X352" i="3" s="1"/>
  <c r="J369" i="3"/>
  <c r="X369" i="3" s="1"/>
  <c r="J386" i="3"/>
  <c r="X386" i="3" s="1"/>
  <c r="J141" i="3"/>
  <c r="X141" i="3" s="1"/>
  <c r="J246" i="3"/>
  <c r="X246" i="3" s="1"/>
  <c r="J302" i="3"/>
  <c r="X302" i="3" s="1"/>
  <c r="J328" i="3"/>
  <c r="X328" i="3" s="1"/>
  <c r="J78" i="3"/>
  <c r="X78" i="3" s="1"/>
  <c r="J158" i="3"/>
  <c r="X158" i="3" s="1"/>
  <c r="J178" i="3"/>
  <c r="X178" i="3" s="1"/>
  <c r="J205" i="3"/>
  <c r="X205" i="3" s="1"/>
  <c r="J254" i="3"/>
  <c r="X254" i="3" s="1"/>
  <c r="J280" i="3"/>
  <c r="X280" i="3" s="1"/>
  <c r="J322" i="3"/>
  <c r="X322" i="3" s="1"/>
  <c r="J341" i="3"/>
  <c r="X341" i="3" s="1"/>
  <c r="J358" i="3"/>
  <c r="X358" i="3" s="1"/>
  <c r="J375" i="3"/>
  <c r="X375" i="3" s="1"/>
  <c r="J194" i="3"/>
  <c r="X194" i="3" s="1"/>
  <c r="J216" i="3"/>
  <c r="X216" i="3" s="1"/>
  <c r="J273" i="3"/>
  <c r="X273" i="3" s="1"/>
  <c r="J316" i="3"/>
  <c r="X316" i="3" s="1"/>
  <c r="J83" i="3"/>
  <c r="X83" i="3" s="1"/>
  <c r="J162" i="3"/>
  <c r="X162" i="3" s="1"/>
  <c r="J310" i="3"/>
  <c r="X310" i="3" s="1"/>
  <c r="J347" i="3"/>
  <c r="X347" i="3" s="1"/>
  <c r="J364" i="3"/>
  <c r="X364" i="3" s="1"/>
  <c r="J381" i="3"/>
  <c r="X381" i="3" s="1"/>
  <c r="J120" i="3"/>
  <c r="X120" i="3" s="1"/>
  <c r="J227" i="3"/>
  <c r="X227" i="3" s="1"/>
  <c r="J237" i="3"/>
  <c r="X237" i="3" s="1"/>
  <c r="J247" i="3"/>
  <c r="X247" i="3" s="1"/>
  <c r="J264" i="3"/>
  <c r="X264" i="3" s="1"/>
  <c r="J289" i="3"/>
  <c r="X289" i="3" s="1"/>
  <c r="J304" i="3"/>
  <c r="X304" i="3" s="1"/>
  <c r="J296" i="3"/>
  <c r="X296" i="3" s="1"/>
  <c r="J353" i="3"/>
  <c r="X353" i="3" s="1"/>
  <c r="J142" i="3"/>
  <c r="X142" i="3" s="1"/>
  <c r="J257" i="3"/>
  <c r="X257" i="3" s="1"/>
  <c r="J179" i="3"/>
  <c r="X179" i="3" s="1"/>
  <c r="J206" i="3"/>
  <c r="X206" i="3" s="1"/>
  <c r="J195" i="3"/>
  <c r="X195" i="3" s="1"/>
  <c r="J274" i="3"/>
  <c r="X274" i="3" s="1"/>
  <c r="J317" i="3"/>
  <c r="X317" i="3" s="1"/>
  <c r="J376" i="3"/>
  <c r="X376" i="3" s="1"/>
  <c r="J399" i="3"/>
  <c r="X399" i="3" s="1"/>
  <c r="J480" i="3"/>
  <c r="X480" i="3" s="1"/>
  <c r="J503" i="3"/>
  <c r="X503" i="3" s="1"/>
  <c r="J631" i="3"/>
  <c r="X631" i="3" s="1"/>
  <c r="J642" i="3"/>
  <c r="X642" i="3" s="1"/>
  <c r="J675" i="3"/>
  <c r="X675" i="3" s="1"/>
  <c r="J691" i="3"/>
  <c r="X691" i="3" s="1"/>
  <c r="J707" i="3"/>
  <c r="X707" i="3" s="1"/>
  <c r="J723" i="3"/>
  <c r="X723" i="3" s="1"/>
  <c r="J739" i="3"/>
  <c r="X739" i="3" s="1"/>
  <c r="J755" i="3"/>
  <c r="X755" i="3" s="1"/>
  <c r="J771" i="3"/>
  <c r="X771" i="3" s="1"/>
  <c r="J787" i="3"/>
  <c r="X787" i="3" s="1"/>
  <c r="J803" i="3"/>
  <c r="X803" i="3" s="1"/>
  <c r="J819" i="3"/>
  <c r="X819" i="3" s="1"/>
  <c r="J835" i="3"/>
  <c r="X835" i="3" s="1"/>
  <c r="J851" i="3"/>
  <c r="X851" i="3" s="1"/>
  <c r="J867" i="3"/>
  <c r="X867" i="3" s="1"/>
  <c r="J883" i="3"/>
  <c r="X883" i="3" s="1"/>
  <c r="J899" i="3"/>
  <c r="X899" i="3" s="1"/>
  <c r="J915" i="3"/>
  <c r="X915" i="3" s="1"/>
  <c r="J931" i="3"/>
  <c r="X931" i="3" s="1"/>
  <c r="J947" i="3"/>
  <c r="X947" i="3" s="1"/>
  <c r="J963" i="3"/>
  <c r="X963" i="3" s="1"/>
  <c r="J538" i="3"/>
  <c r="X538" i="3" s="1"/>
  <c r="J551" i="3"/>
  <c r="X551" i="3" s="1"/>
  <c r="J571" i="3"/>
  <c r="X571" i="3" s="1"/>
  <c r="J620" i="3"/>
  <c r="X620" i="3" s="1"/>
  <c r="J403" i="3"/>
  <c r="X403" i="3" s="1"/>
  <c r="J437" i="3"/>
  <c r="X437" i="3" s="1"/>
  <c r="J449" i="3"/>
  <c r="X449" i="3" s="1"/>
  <c r="J470" i="3"/>
  <c r="X470" i="3" s="1"/>
  <c r="J511" i="3"/>
  <c r="X511" i="3" s="1"/>
  <c r="J524" i="3"/>
  <c r="X524" i="3" s="1"/>
  <c r="J591" i="3"/>
  <c r="X591" i="3" s="1"/>
  <c r="J597" i="3"/>
  <c r="X597" i="3" s="1"/>
  <c r="J637" i="3"/>
  <c r="X637" i="3" s="1"/>
  <c r="J648" i="3"/>
  <c r="X648" i="3" s="1"/>
  <c r="J659" i="3"/>
  <c r="X659" i="3" s="1"/>
  <c r="J670" i="3"/>
  <c r="X670" i="3" s="1"/>
  <c r="J686" i="3"/>
  <c r="X686" i="3" s="1"/>
  <c r="J702" i="3"/>
  <c r="X702" i="3" s="1"/>
  <c r="J718" i="3"/>
  <c r="X718" i="3" s="1"/>
  <c r="J734" i="3"/>
  <c r="X734" i="3" s="1"/>
  <c r="J750" i="3"/>
  <c r="X750" i="3" s="1"/>
  <c r="J766" i="3"/>
  <c r="X766" i="3" s="1"/>
  <c r="J782" i="3"/>
  <c r="X782" i="3" s="1"/>
  <c r="J798" i="3"/>
  <c r="X798" i="3" s="1"/>
  <c r="J814" i="3"/>
  <c r="X814" i="3" s="1"/>
  <c r="J830" i="3"/>
  <c r="X830" i="3" s="1"/>
  <c r="J846" i="3"/>
  <c r="X846" i="3" s="1"/>
  <c r="J862" i="3"/>
  <c r="X862" i="3" s="1"/>
  <c r="J878" i="3"/>
  <c r="X878" i="3" s="1"/>
  <c r="J894" i="3"/>
  <c r="X894" i="3" s="1"/>
  <c r="J910" i="3"/>
  <c r="X910" i="3" s="1"/>
  <c r="J323" i="3"/>
  <c r="X323" i="3" s="1"/>
  <c r="J490" i="3"/>
  <c r="X490" i="3" s="1"/>
  <c r="J497" i="3"/>
  <c r="X497" i="3" s="1"/>
  <c r="J552" i="3"/>
  <c r="X552" i="3" s="1"/>
  <c r="J565" i="3"/>
  <c r="X565" i="3" s="1"/>
  <c r="J585" i="3"/>
  <c r="X585" i="3" s="1"/>
  <c r="J603" i="3"/>
  <c r="X603" i="3" s="1"/>
  <c r="J626" i="3"/>
  <c r="X626" i="3" s="1"/>
  <c r="J421" i="3"/>
  <c r="X421" i="3" s="1"/>
  <c r="J460" i="3"/>
  <c r="X460" i="3" s="1"/>
  <c r="J532" i="3"/>
  <c r="X532" i="3" s="1"/>
  <c r="J545" i="3"/>
  <c r="X545" i="3" s="1"/>
  <c r="J609" i="3"/>
  <c r="X609" i="3" s="1"/>
  <c r="J681" i="3"/>
  <c r="X681" i="3" s="1"/>
  <c r="J697" i="3"/>
  <c r="X697" i="3" s="1"/>
  <c r="J713" i="3"/>
  <c r="X713" i="3" s="1"/>
  <c r="J729" i="3"/>
  <c r="X729" i="3" s="1"/>
  <c r="J745" i="3"/>
  <c r="X745" i="3" s="1"/>
  <c r="J761" i="3"/>
  <c r="X761" i="3" s="1"/>
  <c r="J777" i="3"/>
  <c r="X777" i="3" s="1"/>
  <c r="J793" i="3"/>
  <c r="X793" i="3" s="1"/>
  <c r="J809" i="3"/>
  <c r="X809" i="3" s="1"/>
  <c r="J825" i="3"/>
  <c r="X825" i="3" s="1"/>
  <c r="J841" i="3"/>
  <c r="X841" i="3" s="1"/>
  <c r="J857" i="3"/>
  <c r="X857" i="3" s="1"/>
  <c r="J873" i="3"/>
  <c r="X873" i="3" s="1"/>
  <c r="J889" i="3"/>
  <c r="X889" i="3" s="1"/>
  <c r="J505" i="3"/>
  <c r="X505" i="3" s="1"/>
  <c r="J518" i="3"/>
  <c r="X518" i="3" s="1"/>
  <c r="J559" i="3"/>
  <c r="X559" i="3" s="1"/>
  <c r="J615" i="3"/>
  <c r="X615" i="3" s="1"/>
  <c r="J621" i="3"/>
  <c r="X621" i="3" s="1"/>
  <c r="J632" i="3"/>
  <c r="X632" i="3" s="1"/>
  <c r="J643" i="3"/>
  <c r="X643" i="3" s="1"/>
  <c r="J654" i="3"/>
  <c r="X654" i="3" s="1"/>
  <c r="J665" i="3"/>
  <c r="X665" i="3" s="1"/>
  <c r="J481" i="3"/>
  <c r="X481" i="3" s="1"/>
  <c r="J676" i="3"/>
  <c r="X676" i="3" s="1"/>
  <c r="J692" i="3"/>
  <c r="X692" i="3" s="1"/>
  <c r="J708" i="3"/>
  <c r="X708" i="3" s="1"/>
  <c r="J724" i="3"/>
  <c r="X724" i="3" s="1"/>
  <c r="J740" i="3"/>
  <c r="X740" i="3" s="1"/>
  <c r="J756" i="3"/>
  <c r="X756" i="3" s="1"/>
  <c r="J772" i="3"/>
  <c r="X772" i="3" s="1"/>
  <c r="J788" i="3"/>
  <c r="X788" i="3" s="1"/>
  <c r="J804" i="3"/>
  <c r="X804" i="3" s="1"/>
  <c r="J820" i="3"/>
  <c r="X820" i="3" s="1"/>
  <c r="J836" i="3"/>
  <c r="X836" i="3" s="1"/>
  <c r="J852" i="3"/>
  <c r="X852" i="3" s="1"/>
  <c r="J868" i="3"/>
  <c r="X868" i="3" s="1"/>
  <c r="J884" i="3"/>
  <c r="X884" i="3" s="1"/>
  <c r="J900" i="3"/>
  <c r="X900" i="3" s="1"/>
  <c r="J916" i="3"/>
  <c r="X916" i="3" s="1"/>
  <c r="J526" i="3"/>
  <c r="X526" i="3" s="1"/>
  <c r="J539" i="3"/>
  <c r="X539" i="3" s="1"/>
  <c r="J553" i="3"/>
  <c r="X553" i="3" s="1"/>
  <c r="J572" i="3"/>
  <c r="X572" i="3" s="1"/>
  <c r="J336" i="3"/>
  <c r="X336" i="3" s="1"/>
  <c r="J438" i="3"/>
  <c r="X438" i="3" s="1"/>
  <c r="J471" i="3"/>
  <c r="X471" i="3" s="1"/>
  <c r="J512" i="3"/>
  <c r="X512" i="3" s="1"/>
  <c r="J592" i="3"/>
  <c r="X592" i="3" s="1"/>
  <c r="J598" i="3"/>
  <c r="X598" i="3" s="1"/>
  <c r="J627" i="3"/>
  <c r="X627" i="3" s="1"/>
  <c r="J638" i="3"/>
  <c r="X638" i="3" s="1"/>
  <c r="J649" i="3"/>
  <c r="X649" i="3" s="1"/>
  <c r="J660" i="3"/>
  <c r="X660" i="3" s="1"/>
  <c r="J671" i="3"/>
  <c r="X671" i="3" s="1"/>
  <c r="J687" i="3"/>
  <c r="X687" i="3" s="1"/>
  <c r="J703" i="3"/>
  <c r="X703" i="3" s="1"/>
  <c r="J719" i="3"/>
  <c r="X719" i="3" s="1"/>
  <c r="J735" i="3"/>
  <c r="X735" i="3" s="1"/>
  <c r="J751" i="3"/>
  <c r="X751" i="3" s="1"/>
  <c r="J767" i="3"/>
  <c r="X767" i="3" s="1"/>
  <c r="J783" i="3"/>
  <c r="X783" i="3" s="1"/>
  <c r="J491" i="3"/>
  <c r="X491" i="3" s="1"/>
  <c r="J566" i="3"/>
  <c r="X566" i="3" s="1"/>
  <c r="J586" i="3"/>
  <c r="X586" i="3" s="1"/>
  <c r="J604" i="3"/>
  <c r="X604" i="3" s="1"/>
  <c r="J616" i="3"/>
  <c r="X616" i="3" s="1"/>
  <c r="J425" i="3"/>
  <c r="X425" i="3" s="1"/>
  <c r="J453" i="3"/>
  <c r="X453" i="3" s="1"/>
  <c r="J533" i="3"/>
  <c r="X533" i="3" s="1"/>
  <c r="J682" i="3"/>
  <c r="X682" i="3" s="1"/>
  <c r="J698" i="3"/>
  <c r="X698" i="3" s="1"/>
  <c r="J714" i="3"/>
  <c r="X714" i="3" s="1"/>
  <c r="J730" i="3"/>
  <c r="X730" i="3" s="1"/>
  <c r="J746" i="3"/>
  <c r="X746" i="3" s="1"/>
  <c r="J762" i="3"/>
  <c r="X762" i="3" s="1"/>
  <c r="J778" i="3"/>
  <c r="X778" i="3" s="1"/>
  <c r="J794" i="3"/>
  <c r="X794" i="3" s="1"/>
  <c r="J426" i="3"/>
  <c r="X426" i="3" s="1"/>
  <c r="J474" i="3"/>
  <c r="X474" i="3" s="1"/>
  <c r="J506" i="3"/>
  <c r="X506" i="3" s="1"/>
  <c r="J519" i="3"/>
  <c r="X519" i="3" s="1"/>
  <c r="J560" i="3"/>
  <c r="X560" i="3" s="1"/>
  <c r="J580" i="3"/>
  <c r="X580" i="3" s="1"/>
  <c r="J622" i="3"/>
  <c r="X622" i="3" s="1"/>
  <c r="J633" i="3"/>
  <c r="X633" i="3" s="1"/>
  <c r="J644" i="3"/>
  <c r="X644" i="3" s="1"/>
  <c r="J655" i="3"/>
  <c r="X655" i="3" s="1"/>
  <c r="J666" i="3"/>
  <c r="X666" i="3" s="1"/>
  <c r="J342" i="3"/>
  <c r="X342" i="3" s="1"/>
  <c r="J387" i="3"/>
  <c r="X387" i="3" s="1"/>
  <c r="J677" i="3"/>
  <c r="X677" i="3" s="1"/>
  <c r="J693" i="3"/>
  <c r="X693" i="3" s="1"/>
  <c r="J709" i="3"/>
  <c r="X709" i="3" s="1"/>
  <c r="J725" i="3"/>
  <c r="X725" i="3" s="1"/>
  <c r="J741" i="3"/>
  <c r="X741" i="3" s="1"/>
  <c r="J757" i="3"/>
  <c r="X757" i="3" s="1"/>
  <c r="J773" i="3"/>
  <c r="X773" i="3" s="1"/>
  <c r="J789" i="3"/>
  <c r="X789" i="3" s="1"/>
  <c r="J409" i="3"/>
  <c r="X409" i="3" s="1"/>
  <c r="J464" i="3"/>
  <c r="X464" i="3" s="1"/>
  <c r="J527" i="3"/>
  <c r="X527" i="3" s="1"/>
  <c r="J540" i="3"/>
  <c r="X540" i="3" s="1"/>
  <c r="J554" i="3"/>
  <c r="X554" i="3" s="1"/>
  <c r="J574" i="3"/>
  <c r="X574" i="3" s="1"/>
  <c r="J605" i="3"/>
  <c r="X605" i="3" s="1"/>
  <c r="J611" i="3"/>
  <c r="X611" i="3" s="1"/>
  <c r="J500" i="3"/>
  <c r="X500" i="3" s="1"/>
  <c r="J513" i="3"/>
  <c r="X513" i="3" s="1"/>
  <c r="J593" i="3"/>
  <c r="X593" i="3" s="1"/>
  <c r="J599" i="3"/>
  <c r="X599" i="3" s="1"/>
  <c r="J628" i="3"/>
  <c r="X628" i="3" s="1"/>
  <c r="J639" i="3"/>
  <c r="X639" i="3" s="1"/>
  <c r="J650" i="3"/>
  <c r="X650" i="3" s="1"/>
  <c r="J661" i="3"/>
  <c r="X661" i="3" s="1"/>
  <c r="J672" i="3"/>
  <c r="X672" i="3" s="1"/>
  <c r="J688" i="3"/>
  <c r="X688" i="3" s="1"/>
  <c r="J704" i="3"/>
  <c r="X704" i="3" s="1"/>
  <c r="J720" i="3"/>
  <c r="X720" i="3" s="1"/>
  <c r="J736" i="3"/>
  <c r="X736" i="3" s="1"/>
  <c r="J752" i="3"/>
  <c r="X752" i="3" s="1"/>
  <c r="J768" i="3"/>
  <c r="X768" i="3" s="1"/>
  <c r="J784" i="3"/>
  <c r="X784" i="3" s="1"/>
  <c r="J800" i="3"/>
  <c r="X800" i="3" s="1"/>
  <c r="J492" i="3"/>
  <c r="X492" i="3" s="1"/>
  <c r="J548" i="3"/>
  <c r="X548" i="3" s="1"/>
  <c r="J567" i="3"/>
  <c r="X567" i="3" s="1"/>
  <c r="J587" i="3"/>
  <c r="X587" i="3" s="1"/>
  <c r="J617" i="3"/>
  <c r="X617" i="3" s="1"/>
  <c r="J454" i="3"/>
  <c r="X454" i="3" s="1"/>
  <c r="J485" i="3"/>
  <c r="X485" i="3" s="1"/>
  <c r="J521" i="3"/>
  <c r="X521" i="3" s="1"/>
  <c r="J534" i="3"/>
  <c r="X534" i="3" s="1"/>
  <c r="J683" i="3"/>
  <c r="X683" i="3" s="1"/>
  <c r="J699" i="3"/>
  <c r="X699" i="3" s="1"/>
  <c r="J715" i="3"/>
  <c r="X715" i="3" s="1"/>
  <c r="J731" i="3"/>
  <c r="X731" i="3" s="1"/>
  <c r="J392" i="3"/>
  <c r="X392" i="3" s="1"/>
  <c r="J427" i="3"/>
  <c r="X427" i="3" s="1"/>
  <c r="J443" i="3"/>
  <c r="X443" i="3" s="1"/>
  <c r="J475" i="3"/>
  <c r="X475" i="3" s="1"/>
  <c r="J507" i="3"/>
  <c r="X507" i="3" s="1"/>
  <c r="J561" i="3"/>
  <c r="X561" i="3" s="1"/>
  <c r="J568" i="3"/>
  <c r="X568" i="3" s="1"/>
  <c r="J581" i="3"/>
  <c r="X581" i="3" s="1"/>
  <c r="J623" i="3"/>
  <c r="X623" i="3" s="1"/>
  <c r="J634" i="3"/>
  <c r="X634" i="3" s="1"/>
  <c r="J645" i="3"/>
  <c r="X645" i="3" s="1"/>
  <c r="J656" i="3"/>
  <c r="X656" i="3" s="1"/>
  <c r="J667" i="3"/>
  <c r="X667" i="3" s="1"/>
  <c r="J410" i="3"/>
  <c r="X410" i="3" s="1"/>
  <c r="J542" i="3"/>
  <c r="X542" i="3" s="1"/>
  <c r="J600" i="3"/>
  <c r="X600" i="3" s="1"/>
  <c r="J606" i="3"/>
  <c r="X606" i="3" s="1"/>
  <c r="J678" i="3"/>
  <c r="X678" i="3" s="1"/>
  <c r="J694" i="3"/>
  <c r="X694" i="3" s="1"/>
  <c r="J710" i="3"/>
  <c r="X710" i="3" s="1"/>
  <c r="J726" i="3"/>
  <c r="X726" i="3" s="1"/>
  <c r="J742" i="3"/>
  <c r="X742" i="3" s="1"/>
  <c r="J758" i="3"/>
  <c r="X758" i="3" s="1"/>
  <c r="J465" i="3"/>
  <c r="X465" i="3" s="1"/>
  <c r="J528" i="3"/>
  <c r="X528" i="3" s="1"/>
  <c r="J555" i="3"/>
  <c r="X555" i="3" s="1"/>
  <c r="J575" i="3"/>
  <c r="X575" i="3" s="1"/>
  <c r="J612" i="3"/>
  <c r="X612" i="3" s="1"/>
  <c r="J494" i="3"/>
  <c r="X494" i="3" s="1"/>
  <c r="J501" i="3"/>
  <c r="X501" i="3" s="1"/>
  <c r="J629" i="3"/>
  <c r="X629" i="3" s="1"/>
  <c r="J640" i="3"/>
  <c r="X640" i="3" s="1"/>
  <c r="J651" i="3"/>
  <c r="X651" i="3" s="1"/>
  <c r="J662" i="3"/>
  <c r="X662" i="3" s="1"/>
  <c r="J673" i="3"/>
  <c r="X673" i="3" s="1"/>
  <c r="J689" i="3"/>
  <c r="X689" i="3" s="1"/>
  <c r="J705" i="3"/>
  <c r="X705" i="3" s="1"/>
  <c r="J721" i="3"/>
  <c r="X721" i="3" s="1"/>
  <c r="J737" i="3"/>
  <c r="X737" i="3" s="1"/>
  <c r="J359" i="3"/>
  <c r="X359" i="3" s="1"/>
  <c r="J549" i="3"/>
  <c r="X549" i="3" s="1"/>
  <c r="J569" i="3"/>
  <c r="X569" i="3" s="1"/>
  <c r="J588" i="3"/>
  <c r="X588" i="3" s="1"/>
  <c r="J618" i="3"/>
  <c r="X618" i="3" s="1"/>
  <c r="J393" i="3"/>
  <c r="X393" i="3" s="1"/>
  <c r="J455" i="3"/>
  <c r="X455" i="3" s="1"/>
  <c r="J486" i="3"/>
  <c r="X486" i="3" s="1"/>
  <c r="J522" i="3"/>
  <c r="X522" i="3" s="1"/>
  <c r="J535" i="3"/>
  <c r="X535" i="3" s="1"/>
  <c r="J595" i="3"/>
  <c r="X595" i="3" s="1"/>
  <c r="J684" i="3"/>
  <c r="X684" i="3" s="1"/>
  <c r="J700" i="3"/>
  <c r="X700" i="3" s="1"/>
  <c r="J716" i="3"/>
  <c r="X716" i="3" s="1"/>
  <c r="J444" i="3"/>
  <c r="X444" i="3" s="1"/>
  <c r="J476" i="3"/>
  <c r="X476" i="3" s="1"/>
  <c r="J495" i="3"/>
  <c r="X495" i="3" s="1"/>
  <c r="J508" i="3"/>
  <c r="X508" i="3" s="1"/>
  <c r="J582" i="3"/>
  <c r="X582" i="3" s="1"/>
  <c r="J601" i="3"/>
  <c r="X601" i="3" s="1"/>
  <c r="J624" i="3"/>
  <c r="X624" i="3" s="1"/>
  <c r="J635" i="3"/>
  <c r="X635" i="3" s="1"/>
  <c r="J646" i="3"/>
  <c r="X646" i="3" s="1"/>
  <c r="J657" i="3"/>
  <c r="X657" i="3" s="1"/>
  <c r="J668" i="3"/>
  <c r="X668" i="3" s="1"/>
  <c r="J415" i="3"/>
  <c r="X415" i="3" s="1"/>
  <c r="J458" i="3"/>
  <c r="X458" i="3" s="1"/>
  <c r="J543" i="3"/>
  <c r="X543" i="3" s="1"/>
  <c r="J607" i="3"/>
  <c r="X607" i="3" s="1"/>
  <c r="J679" i="3"/>
  <c r="X679" i="3" s="1"/>
  <c r="J432" i="3"/>
  <c r="X432" i="3" s="1"/>
  <c r="J516" i="3"/>
  <c r="X516" i="3" s="1"/>
  <c r="J529" i="3"/>
  <c r="X529" i="3" s="1"/>
  <c r="J556" i="3"/>
  <c r="X556" i="3" s="1"/>
  <c r="J576" i="3"/>
  <c r="X576" i="3" s="1"/>
  <c r="J589" i="3"/>
  <c r="X589" i="3" s="1"/>
  <c r="J613" i="3"/>
  <c r="X613" i="3" s="1"/>
  <c r="J370" i="3"/>
  <c r="X370" i="3" s="1"/>
  <c r="J502" i="3"/>
  <c r="X502" i="3" s="1"/>
  <c r="J630" i="3"/>
  <c r="X630" i="3" s="1"/>
  <c r="J641" i="3"/>
  <c r="X641" i="3" s="1"/>
  <c r="J652" i="3"/>
  <c r="X652" i="3" s="1"/>
  <c r="J663" i="3"/>
  <c r="X663" i="3" s="1"/>
  <c r="J674" i="3"/>
  <c r="X674" i="3" s="1"/>
  <c r="J537" i="3"/>
  <c r="X537" i="3" s="1"/>
  <c r="J550" i="3"/>
  <c r="X550" i="3" s="1"/>
  <c r="J570" i="3"/>
  <c r="X570" i="3" s="1"/>
  <c r="J619" i="3"/>
  <c r="X619" i="3" s="1"/>
  <c r="J398" i="3"/>
  <c r="X398" i="3" s="1"/>
  <c r="J448" i="3"/>
  <c r="X448" i="3" s="1"/>
  <c r="J469" i="3"/>
  <c r="X469" i="3" s="1"/>
  <c r="J487" i="3"/>
  <c r="X487" i="3" s="1"/>
  <c r="J510" i="3"/>
  <c r="X510" i="3" s="1"/>
  <c r="J523" i="3"/>
  <c r="X523" i="3" s="1"/>
  <c r="J590" i="3"/>
  <c r="X590" i="3" s="1"/>
  <c r="J596" i="3"/>
  <c r="X596" i="3" s="1"/>
  <c r="J669" i="3"/>
  <c r="X669" i="3" s="1"/>
  <c r="J496" i="3"/>
  <c r="X496" i="3" s="1"/>
  <c r="J564" i="3"/>
  <c r="X564" i="3" s="1"/>
  <c r="J583" i="3"/>
  <c r="X583" i="3" s="1"/>
  <c r="J602" i="3"/>
  <c r="X602" i="3" s="1"/>
  <c r="J416" i="3"/>
  <c r="X416" i="3" s="1"/>
  <c r="J459" i="3"/>
  <c r="X459" i="3" s="1"/>
  <c r="J544" i="3"/>
  <c r="X544" i="3" s="1"/>
  <c r="J608" i="3"/>
  <c r="X608" i="3" s="1"/>
  <c r="J433" i="3"/>
  <c r="X433" i="3" s="1"/>
  <c r="J517" i="3"/>
  <c r="X517" i="3" s="1"/>
  <c r="J558" i="3"/>
  <c r="X558" i="3" s="1"/>
  <c r="J577" i="3"/>
  <c r="X577" i="3" s="1"/>
  <c r="J584" i="3"/>
  <c r="X584" i="3" s="1"/>
  <c r="J614" i="3"/>
  <c r="X614" i="3" s="1"/>
  <c r="J717" i="3"/>
  <c r="X717" i="3" s="1"/>
  <c r="J733" i="3"/>
  <c r="X733" i="3" s="1"/>
  <c r="J821" i="3"/>
  <c r="X821" i="3" s="1"/>
  <c r="J834" i="3"/>
  <c r="X834" i="3" s="1"/>
  <c r="J908" i="3"/>
  <c r="X908" i="3" s="1"/>
  <c r="J914" i="3"/>
  <c r="X914" i="3" s="1"/>
  <c r="J971" i="3"/>
  <c r="X971" i="3" s="1"/>
  <c r="J869" i="3"/>
  <c r="X869" i="3" s="1"/>
  <c r="J882" i="3"/>
  <c r="X882" i="3" s="1"/>
  <c r="J902" i="3"/>
  <c r="X902" i="3" s="1"/>
  <c r="J920" i="3"/>
  <c r="X920" i="3" s="1"/>
  <c r="J926" i="3"/>
  <c r="X926" i="3" s="1"/>
  <c r="J943" i="3"/>
  <c r="X943" i="3" s="1"/>
  <c r="J960" i="3"/>
  <c r="X960" i="3" s="1"/>
  <c r="J982" i="3"/>
  <c r="X982" i="3" s="1"/>
  <c r="J998" i="3"/>
  <c r="X998" i="3" s="1"/>
  <c r="J1014" i="3"/>
  <c r="X1014" i="3" s="1"/>
  <c r="J1030" i="3"/>
  <c r="X1030" i="3" s="1"/>
  <c r="J1046" i="3"/>
  <c r="X1046" i="3" s="1"/>
  <c r="J1062" i="3"/>
  <c r="X1062" i="3" s="1"/>
  <c r="J1078" i="3"/>
  <c r="X1078" i="3" s="1"/>
  <c r="J1094" i="3"/>
  <c r="X1094" i="3" s="1"/>
  <c r="J1110" i="3"/>
  <c r="X1110" i="3" s="1"/>
  <c r="J1126" i="3"/>
  <c r="X1126" i="3" s="1"/>
  <c r="J1142" i="3"/>
  <c r="X1142" i="3" s="1"/>
  <c r="J1158" i="3"/>
  <c r="X1158" i="3" s="1"/>
  <c r="J1174" i="3"/>
  <c r="X1174" i="3" s="1"/>
  <c r="J1190" i="3"/>
  <c r="X1190" i="3" s="1"/>
  <c r="J1206" i="3"/>
  <c r="X1206" i="3" s="1"/>
  <c r="J1222" i="3"/>
  <c r="X1222" i="3" s="1"/>
  <c r="J779" i="3"/>
  <c r="X779" i="3" s="1"/>
  <c r="J797" i="3"/>
  <c r="X797" i="3" s="1"/>
  <c r="J842" i="3"/>
  <c r="X842" i="3" s="1"/>
  <c r="J855" i="3"/>
  <c r="X855" i="3" s="1"/>
  <c r="J896" i="3"/>
  <c r="X896" i="3" s="1"/>
  <c r="J625" i="3"/>
  <c r="X625" i="3" s="1"/>
  <c r="J680" i="3"/>
  <c r="X680" i="3" s="1"/>
  <c r="J828" i="3"/>
  <c r="X828" i="3" s="1"/>
  <c r="J890" i="3"/>
  <c r="X890" i="3" s="1"/>
  <c r="J932" i="3"/>
  <c r="X932" i="3" s="1"/>
  <c r="J949" i="3"/>
  <c r="X949" i="3" s="1"/>
  <c r="J966" i="3"/>
  <c r="X966" i="3" s="1"/>
  <c r="J977" i="3"/>
  <c r="X977" i="3" s="1"/>
  <c r="J993" i="3"/>
  <c r="X993" i="3" s="1"/>
  <c r="J1009" i="3"/>
  <c r="X1009" i="3" s="1"/>
  <c r="J1025" i="3"/>
  <c r="X1025" i="3" s="1"/>
  <c r="J1041" i="3"/>
  <c r="X1041" i="3" s="1"/>
  <c r="J1057" i="3"/>
  <c r="X1057" i="3" s="1"/>
  <c r="J1073" i="3"/>
  <c r="X1073" i="3" s="1"/>
  <c r="J1089" i="3"/>
  <c r="X1089" i="3" s="1"/>
  <c r="J1105" i="3"/>
  <c r="X1105" i="3" s="1"/>
  <c r="J1121" i="3"/>
  <c r="X1121" i="3" s="1"/>
  <c r="J1137" i="3"/>
  <c r="X1137" i="3" s="1"/>
  <c r="J1153" i="3"/>
  <c r="X1153" i="3" s="1"/>
  <c r="J1169" i="3"/>
  <c r="X1169" i="3" s="1"/>
  <c r="J748" i="3"/>
  <c r="X748" i="3" s="1"/>
  <c r="J769" i="3"/>
  <c r="X769" i="3" s="1"/>
  <c r="J815" i="3"/>
  <c r="X815" i="3" s="1"/>
  <c r="J863" i="3"/>
  <c r="X863" i="3" s="1"/>
  <c r="J876" i="3"/>
  <c r="X876" i="3" s="1"/>
  <c r="J701" i="3"/>
  <c r="X701" i="3" s="1"/>
  <c r="J807" i="3"/>
  <c r="X807" i="3" s="1"/>
  <c r="J849" i="3"/>
  <c r="X849" i="3" s="1"/>
  <c r="J921" i="3"/>
  <c r="X921" i="3" s="1"/>
  <c r="J938" i="3"/>
  <c r="X938" i="3" s="1"/>
  <c r="J955" i="3"/>
  <c r="X955" i="3" s="1"/>
  <c r="J988" i="3"/>
  <c r="X988" i="3" s="1"/>
  <c r="J1004" i="3"/>
  <c r="X1004" i="3" s="1"/>
  <c r="J1020" i="3"/>
  <c r="X1020" i="3" s="1"/>
  <c r="J1036" i="3"/>
  <c r="X1036" i="3" s="1"/>
  <c r="J1052" i="3"/>
  <c r="X1052" i="3" s="1"/>
  <c r="J1068" i="3"/>
  <c r="X1068" i="3" s="1"/>
  <c r="J1084" i="3"/>
  <c r="X1084" i="3" s="1"/>
  <c r="J1100" i="3"/>
  <c r="X1100" i="3" s="1"/>
  <c r="J1116" i="3"/>
  <c r="X1116" i="3" s="1"/>
  <c r="J1132" i="3"/>
  <c r="X1132" i="3" s="1"/>
  <c r="J1148" i="3"/>
  <c r="X1148" i="3" s="1"/>
  <c r="J1164" i="3"/>
  <c r="X1164" i="3" s="1"/>
  <c r="J1180" i="3"/>
  <c r="X1180" i="3" s="1"/>
  <c r="J759" i="3"/>
  <c r="X759" i="3" s="1"/>
  <c r="J790" i="3"/>
  <c r="X790" i="3" s="1"/>
  <c r="J799" i="3"/>
  <c r="X799" i="3" s="1"/>
  <c r="J822" i="3"/>
  <c r="X822" i="3" s="1"/>
  <c r="J909" i="3"/>
  <c r="X909" i="3" s="1"/>
  <c r="J972" i="3"/>
  <c r="X972" i="3" s="1"/>
  <c r="J636" i="3"/>
  <c r="X636" i="3" s="1"/>
  <c r="J870" i="3"/>
  <c r="X870" i="3" s="1"/>
  <c r="J903" i="3"/>
  <c r="X903" i="3" s="1"/>
  <c r="J927" i="3"/>
  <c r="X927" i="3" s="1"/>
  <c r="J944" i="3"/>
  <c r="X944" i="3" s="1"/>
  <c r="J961" i="3"/>
  <c r="X961" i="3" s="1"/>
  <c r="J983" i="3"/>
  <c r="X983" i="3" s="1"/>
  <c r="J999" i="3"/>
  <c r="X999" i="3" s="1"/>
  <c r="J1015" i="3"/>
  <c r="X1015" i="3" s="1"/>
  <c r="J1031" i="3"/>
  <c r="X1031" i="3" s="1"/>
  <c r="J1047" i="3"/>
  <c r="X1047" i="3" s="1"/>
  <c r="J1063" i="3"/>
  <c r="X1063" i="3" s="1"/>
  <c r="J1079" i="3"/>
  <c r="X1079" i="3" s="1"/>
  <c r="J722" i="3"/>
  <c r="X722" i="3" s="1"/>
  <c r="J780" i="3"/>
  <c r="X780" i="3" s="1"/>
  <c r="J843" i="3"/>
  <c r="X843" i="3" s="1"/>
  <c r="J856" i="3"/>
  <c r="X856" i="3" s="1"/>
  <c r="J897" i="3"/>
  <c r="X897" i="3" s="1"/>
  <c r="J816" i="3"/>
  <c r="X816" i="3" s="1"/>
  <c r="J829" i="3"/>
  <c r="X829" i="3" s="1"/>
  <c r="J891" i="3"/>
  <c r="X891" i="3" s="1"/>
  <c r="J933" i="3"/>
  <c r="X933" i="3" s="1"/>
  <c r="J950" i="3"/>
  <c r="X950" i="3" s="1"/>
  <c r="J967" i="3"/>
  <c r="X967" i="3" s="1"/>
  <c r="J978" i="3"/>
  <c r="X978" i="3" s="1"/>
  <c r="J994" i="3"/>
  <c r="X994" i="3" s="1"/>
  <c r="J1010" i="3"/>
  <c r="X1010" i="3" s="1"/>
  <c r="J1026" i="3"/>
  <c r="X1026" i="3" s="1"/>
  <c r="J1042" i="3"/>
  <c r="X1042" i="3" s="1"/>
  <c r="J1058" i="3"/>
  <c r="X1058" i="3" s="1"/>
  <c r="J1074" i="3"/>
  <c r="X1074" i="3" s="1"/>
  <c r="J1090" i="3"/>
  <c r="X1090" i="3" s="1"/>
  <c r="J685" i="3"/>
  <c r="X685" i="3" s="1"/>
  <c r="J738" i="3"/>
  <c r="X738" i="3" s="1"/>
  <c r="J749" i="3"/>
  <c r="X749" i="3" s="1"/>
  <c r="J770" i="3"/>
  <c r="X770" i="3" s="1"/>
  <c r="J864" i="3"/>
  <c r="X864" i="3" s="1"/>
  <c r="J877" i="3"/>
  <c r="X877" i="3" s="1"/>
  <c r="J808" i="3"/>
  <c r="X808" i="3" s="1"/>
  <c r="J837" i="3"/>
  <c r="X837" i="3" s="1"/>
  <c r="J850" i="3"/>
  <c r="X850" i="3" s="1"/>
  <c r="J922" i="3"/>
  <c r="X922" i="3" s="1"/>
  <c r="J939" i="3"/>
  <c r="X939" i="3" s="1"/>
  <c r="J956" i="3"/>
  <c r="X956" i="3" s="1"/>
  <c r="J989" i="3"/>
  <c r="X989" i="3" s="1"/>
  <c r="J1005" i="3"/>
  <c r="X1005" i="3" s="1"/>
  <c r="J1021" i="3"/>
  <c r="X1021" i="3" s="1"/>
  <c r="J1037" i="3"/>
  <c r="X1037" i="3" s="1"/>
  <c r="J1053" i="3"/>
  <c r="X1053" i="3" s="1"/>
  <c r="J1069" i="3"/>
  <c r="X1069" i="3" s="1"/>
  <c r="J1085" i="3"/>
  <c r="X1085" i="3" s="1"/>
  <c r="J706" i="3"/>
  <c r="X706" i="3" s="1"/>
  <c r="J760" i="3"/>
  <c r="X760" i="3" s="1"/>
  <c r="J791" i="3"/>
  <c r="X791" i="3" s="1"/>
  <c r="J823" i="3"/>
  <c r="X823" i="3" s="1"/>
  <c r="J885" i="3"/>
  <c r="X885" i="3" s="1"/>
  <c r="J973" i="3"/>
  <c r="X973" i="3" s="1"/>
  <c r="J647" i="3"/>
  <c r="X647" i="3" s="1"/>
  <c r="J801" i="3"/>
  <c r="X801" i="3" s="1"/>
  <c r="J858" i="3"/>
  <c r="X858" i="3" s="1"/>
  <c r="J871" i="3"/>
  <c r="X871" i="3" s="1"/>
  <c r="J904" i="3"/>
  <c r="X904" i="3" s="1"/>
  <c r="J928" i="3"/>
  <c r="X928" i="3" s="1"/>
  <c r="J945" i="3"/>
  <c r="X945" i="3" s="1"/>
  <c r="J962" i="3"/>
  <c r="X962" i="3" s="1"/>
  <c r="J984" i="3"/>
  <c r="X984" i="3" s="1"/>
  <c r="J1000" i="3"/>
  <c r="X1000" i="3" s="1"/>
  <c r="J1016" i="3"/>
  <c r="X1016" i="3" s="1"/>
  <c r="J1032" i="3"/>
  <c r="X1032" i="3" s="1"/>
  <c r="J1048" i="3"/>
  <c r="X1048" i="3" s="1"/>
  <c r="J1064" i="3"/>
  <c r="X1064" i="3" s="1"/>
  <c r="J1080" i="3"/>
  <c r="X1080" i="3" s="1"/>
  <c r="J1096" i="3"/>
  <c r="X1096" i="3" s="1"/>
  <c r="J781" i="3"/>
  <c r="X781" i="3" s="1"/>
  <c r="J831" i="3"/>
  <c r="X831" i="3" s="1"/>
  <c r="J844" i="3"/>
  <c r="X844" i="3" s="1"/>
  <c r="J898" i="3"/>
  <c r="X898" i="3" s="1"/>
  <c r="J911" i="3"/>
  <c r="X911" i="3" s="1"/>
  <c r="J763" i="3"/>
  <c r="X763" i="3" s="1"/>
  <c r="J810" i="3"/>
  <c r="X810" i="3" s="1"/>
  <c r="J817" i="3"/>
  <c r="X817" i="3" s="1"/>
  <c r="J879" i="3"/>
  <c r="X879" i="3" s="1"/>
  <c r="J892" i="3"/>
  <c r="X892" i="3" s="1"/>
  <c r="J917" i="3"/>
  <c r="X917" i="3" s="1"/>
  <c r="J934" i="3"/>
  <c r="X934" i="3" s="1"/>
  <c r="J951" i="3"/>
  <c r="X951" i="3" s="1"/>
  <c r="J968" i="3"/>
  <c r="X968" i="3" s="1"/>
  <c r="J979" i="3"/>
  <c r="X979" i="3" s="1"/>
  <c r="J995" i="3"/>
  <c r="X995" i="3" s="1"/>
  <c r="J865" i="3"/>
  <c r="X865" i="3" s="1"/>
  <c r="J905" i="3"/>
  <c r="X905" i="3" s="1"/>
  <c r="J690" i="3"/>
  <c r="X690" i="3" s="1"/>
  <c r="J727" i="3"/>
  <c r="X727" i="3" s="1"/>
  <c r="J838" i="3"/>
  <c r="X838" i="3" s="1"/>
  <c r="J923" i="3"/>
  <c r="X923" i="3" s="1"/>
  <c r="J940" i="3"/>
  <c r="X940" i="3" s="1"/>
  <c r="J957" i="3"/>
  <c r="X957" i="3" s="1"/>
  <c r="J974" i="3"/>
  <c r="X974" i="3" s="1"/>
  <c r="J990" i="3"/>
  <c r="X990" i="3" s="1"/>
  <c r="J653" i="3"/>
  <c r="X653" i="3" s="1"/>
  <c r="J753" i="3"/>
  <c r="X753" i="3" s="1"/>
  <c r="J792" i="3"/>
  <c r="X792" i="3" s="1"/>
  <c r="J824" i="3"/>
  <c r="X824" i="3" s="1"/>
  <c r="J886" i="3"/>
  <c r="X886" i="3" s="1"/>
  <c r="J658" i="3"/>
  <c r="X658" i="3" s="1"/>
  <c r="J711" i="3"/>
  <c r="X711" i="3" s="1"/>
  <c r="J774" i="3"/>
  <c r="X774" i="3" s="1"/>
  <c r="J802" i="3"/>
  <c r="X802" i="3" s="1"/>
  <c r="J811" i="3"/>
  <c r="X811" i="3" s="1"/>
  <c r="J859" i="3"/>
  <c r="X859" i="3" s="1"/>
  <c r="J872" i="3"/>
  <c r="X872" i="3" s="1"/>
  <c r="J929" i="3"/>
  <c r="X929" i="3" s="1"/>
  <c r="J946" i="3"/>
  <c r="X946" i="3" s="1"/>
  <c r="J985" i="3"/>
  <c r="X985" i="3" s="1"/>
  <c r="J1001" i="3"/>
  <c r="X1001" i="3" s="1"/>
  <c r="J1017" i="3"/>
  <c r="X1017" i="3" s="1"/>
  <c r="J1033" i="3"/>
  <c r="X1033" i="3" s="1"/>
  <c r="J832" i="3"/>
  <c r="X832" i="3" s="1"/>
  <c r="J845" i="3"/>
  <c r="X845" i="3" s="1"/>
  <c r="J906" i="3"/>
  <c r="X906" i="3" s="1"/>
  <c r="J912" i="3"/>
  <c r="X912" i="3" s="1"/>
  <c r="J969" i="3"/>
  <c r="X969" i="3" s="1"/>
  <c r="J764" i="3"/>
  <c r="X764" i="3" s="1"/>
  <c r="J818" i="3"/>
  <c r="X818" i="3" s="1"/>
  <c r="J880" i="3"/>
  <c r="X880" i="3" s="1"/>
  <c r="J893" i="3"/>
  <c r="X893" i="3" s="1"/>
  <c r="J918" i="3"/>
  <c r="X918" i="3" s="1"/>
  <c r="J935" i="3"/>
  <c r="X935" i="3" s="1"/>
  <c r="J952" i="3"/>
  <c r="X952" i="3" s="1"/>
  <c r="J958" i="3"/>
  <c r="X958" i="3" s="1"/>
  <c r="J980" i="3"/>
  <c r="X980" i="3" s="1"/>
  <c r="J996" i="3"/>
  <c r="X996" i="3" s="1"/>
  <c r="J1012" i="3"/>
  <c r="X1012" i="3" s="1"/>
  <c r="J743" i="3"/>
  <c r="X743" i="3" s="1"/>
  <c r="J795" i="3"/>
  <c r="X795" i="3" s="1"/>
  <c r="J853" i="3"/>
  <c r="X853" i="3" s="1"/>
  <c r="J866" i="3"/>
  <c r="X866" i="3" s="1"/>
  <c r="J728" i="3"/>
  <c r="X728" i="3" s="1"/>
  <c r="J785" i="3"/>
  <c r="X785" i="3" s="1"/>
  <c r="J826" i="3"/>
  <c r="X826" i="3" s="1"/>
  <c r="J839" i="3"/>
  <c r="X839" i="3" s="1"/>
  <c r="J924" i="3"/>
  <c r="X924" i="3" s="1"/>
  <c r="J941" i="3"/>
  <c r="X941" i="3" s="1"/>
  <c r="J964" i="3"/>
  <c r="X964" i="3" s="1"/>
  <c r="J664" i="3"/>
  <c r="X664" i="3" s="1"/>
  <c r="J695" i="3"/>
  <c r="X695" i="3" s="1"/>
  <c r="J754" i="3"/>
  <c r="X754" i="3" s="1"/>
  <c r="J874" i="3"/>
  <c r="X874" i="3" s="1"/>
  <c r="J887" i="3"/>
  <c r="X887" i="3" s="1"/>
  <c r="J712" i="3"/>
  <c r="X712" i="3" s="1"/>
  <c r="J775" i="3"/>
  <c r="X775" i="3" s="1"/>
  <c r="J812" i="3"/>
  <c r="X812" i="3" s="1"/>
  <c r="J847" i="3"/>
  <c r="X847" i="3" s="1"/>
  <c r="J860" i="3"/>
  <c r="X860" i="3" s="1"/>
  <c r="J930" i="3"/>
  <c r="X930" i="3" s="1"/>
  <c r="J953" i="3"/>
  <c r="X953" i="3" s="1"/>
  <c r="J732" i="3"/>
  <c r="X732" i="3" s="1"/>
  <c r="J833" i="3"/>
  <c r="X833" i="3" s="1"/>
  <c r="J907" i="3"/>
  <c r="X907" i="3" s="1"/>
  <c r="J913" i="3"/>
  <c r="X913" i="3" s="1"/>
  <c r="J970" i="3"/>
  <c r="X970" i="3" s="1"/>
  <c r="J765" i="3"/>
  <c r="X765" i="3" s="1"/>
  <c r="J805" i="3"/>
  <c r="X805" i="3" s="1"/>
  <c r="J881" i="3"/>
  <c r="X881" i="3" s="1"/>
  <c r="J901" i="3"/>
  <c r="X901" i="3" s="1"/>
  <c r="J919" i="3"/>
  <c r="X919" i="3" s="1"/>
  <c r="J936" i="3"/>
  <c r="X936" i="3" s="1"/>
  <c r="J942" i="3"/>
  <c r="X942" i="3" s="1"/>
  <c r="J959" i="3"/>
  <c r="X959" i="3" s="1"/>
  <c r="J744" i="3"/>
  <c r="X744" i="3" s="1"/>
  <c r="J796" i="3"/>
  <c r="X796" i="3" s="1"/>
  <c r="J854" i="3"/>
  <c r="X854" i="3" s="1"/>
  <c r="J895" i="3"/>
  <c r="X895" i="3" s="1"/>
  <c r="J786" i="3"/>
  <c r="X786" i="3" s="1"/>
  <c r="J827" i="3"/>
  <c r="X827" i="3" s="1"/>
  <c r="J840" i="3"/>
  <c r="X840" i="3" s="1"/>
  <c r="J696" i="3"/>
  <c r="X696" i="3" s="1"/>
  <c r="J875" i="3"/>
  <c r="X875" i="3" s="1"/>
  <c r="J888" i="3"/>
  <c r="X888" i="3" s="1"/>
  <c r="J747" i="3"/>
  <c r="X747" i="3" s="1"/>
  <c r="J776" i="3"/>
  <c r="X776" i="3" s="1"/>
  <c r="J806" i="3"/>
  <c r="X806" i="3" s="1"/>
  <c r="J813" i="3"/>
  <c r="X813" i="3" s="1"/>
  <c r="J848" i="3"/>
  <c r="X848" i="3" s="1"/>
  <c r="J861" i="3"/>
  <c r="X861" i="3" s="1"/>
  <c r="J987" i="3"/>
  <c r="X987" i="3" s="1"/>
  <c r="J1145" i="3"/>
  <c r="X1145" i="3" s="1"/>
  <c r="J1186" i="3"/>
  <c r="X1186" i="3" s="1"/>
  <c r="J1229" i="3"/>
  <c r="X1229" i="3" s="1"/>
  <c r="J1240" i="3"/>
  <c r="X1240" i="3" s="1"/>
  <c r="J1251" i="3"/>
  <c r="X1251" i="3" s="1"/>
  <c r="J1262" i="3"/>
  <c r="X1262" i="3" s="1"/>
  <c r="J1273" i="3"/>
  <c r="X1273" i="3" s="1"/>
  <c r="J1284" i="3"/>
  <c r="X1284" i="3" s="1"/>
  <c r="J1295" i="3"/>
  <c r="X1295" i="3" s="1"/>
  <c r="J1306" i="3"/>
  <c r="X1306" i="3" s="1"/>
  <c r="J991" i="3"/>
  <c r="X991" i="3" s="1"/>
  <c r="J1023" i="3"/>
  <c r="X1023" i="3" s="1"/>
  <c r="J1056" i="3"/>
  <c r="X1056" i="3" s="1"/>
  <c r="J1087" i="3"/>
  <c r="X1087" i="3" s="1"/>
  <c r="J1097" i="3"/>
  <c r="X1097" i="3" s="1"/>
  <c r="J1118" i="3"/>
  <c r="X1118" i="3" s="1"/>
  <c r="J1131" i="3"/>
  <c r="X1131" i="3" s="1"/>
  <c r="J1317" i="3"/>
  <c r="X1317" i="3" s="1"/>
  <c r="J1333" i="3"/>
  <c r="X1333" i="3" s="1"/>
  <c r="J1349" i="3"/>
  <c r="X1349" i="3" s="1"/>
  <c r="J1365" i="3"/>
  <c r="X1365" i="3" s="1"/>
  <c r="J1381" i="3"/>
  <c r="X1381" i="3" s="1"/>
  <c r="J1397" i="3"/>
  <c r="X1397" i="3" s="1"/>
  <c r="J1413" i="3"/>
  <c r="X1413" i="3" s="1"/>
  <c r="J1429" i="3"/>
  <c r="X1429" i="3" s="1"/>
  <c r="J1445" i="3"/>
  <c r="X1445" i="3" s="1"/>
  <c r="J1461" i="3"/>
  <c r="X1461" i="3" s="1"/>
  <c r="J1477" i="3"/>
  <c r="X1477" i="3" s="1"/>
  <c r="J1493" i="3"/>
  <c r="X1493" i="3" s="1"/>
  <c r="J1509" i="3"/>
  <c r="X1509" i="3" s="1"/>
  <c r="J1104" i="3"/>
  <c r="X1104" i="3" s="1"/>
  <c r="J1166" i="3"/>
  <c r="X1166" i="3" s="1"/>
  <c r="J1179" i="3"/>
  <c r="X1179" i="3" s="1"/>
  <c r="J1211" i="3"/>
  <c r="X1211" i="3" s="1"/>
  <c r="J1008" i="3"/>
  <c r="X1008" i="3" s="1"/>
  <c r="J1035" i="3"/>
  <c r="X1035" i="3" s="1"/>
  <c r="J1077" i="3"/>
  <c r="X1077" i="3" s="1"/>
  <c r="J1139" i="3"/>
  <c r="X1139" i="3" s="1"/>
  <c r="J1152" i="3"/>
  <c r="X1152" i="3" s="1"/>
  <c r="J1205" i="3"/>
  <c r="X1205" i="3" s="1"/>
  <c r="J1235" i="3"/>
  <c r="X1235" i="3" s="1"/>
  <c r="J1246" i="3"/>
  <c r="X1246" i="3" s="1"/>
  <c r="J1257" i="3"/>
  <c r="X1257" i="3" s="1"/>
  <c r="J1268" i="3"/>
  <c r="X1268" i="3" s="1"/>
  <c r="J1279" i="3"/>
  <c r="X1279" i="3" s="1"/>
  <c r="J1290" i="3"/>
  <c r="X1290" i="3" s="1"/>
  <c r="J1301" i="3"/>
  <c r="X1301" i="3" s="1"/>
  <c r="J1312" i="3"/>
  <c r="X1312" i="3" s="1"/>
  <c r="J1328" i="3"/>
  <c r="X1328" i="3" s="1"/>
  <c r="J1344" i="3"/>
  <c r="X1344" i="3" s="1"/>
  <c r="J1360" i="3"/>
  <c r="X1360" i="3" s="1"/>
  <c r="J1376" i="3"/>
  <c r="X1376" i="3" s="1"/>
  <c r="J1392" i="3"/>
  <c r="X1392" i="3" s="1"/>
  <c r="J1408" i="3"/>
  <c r="X1408" i="3" s="1"/>
  <c r="J1424" i="3"/>
  <c r="X1424" i="3" s="1"/>
  <c r="J1440" i="3"/>
  <c r="X1440" i="3" s="1"/>
  <c r="J1456" i="3"/>
  <c r="X1456" i="3" s="1"/>
  <c r="J1472" i="3"/>
  <c r="X1472" i="3" s="1"/>
  <c r="J1059" i="3"/>
  <c r="X1059" i="3" s="1"/>
  <c r="J1112" i="3"/>
  <c r="X1112" i="3" s="1"/>
  <c r="J1125" i="3"/>
  <c r="X1125" i="3" s="1"/>
  <c r="J1199" i="3"/>
  <c r="X1199" i="3" s="1"/>
  <c r="J1218" i="3"/>
  <c r="X1218" i="3" s="1"/>
  <c r="J1224" i="3"/>
  <c r="X1224" i="3" s="1"/>
  <c r="J1038" i="3"/>
  <c r="X1038" i="3" s="1"/>
  <c r="J1067" i="3"/>
  <c r="X1067" i="3" s="1"/>
  <c r="J1160" i="3"/>
  <c r="X1160" i="3" s="1"/>
  <c r="J1173" i="3"/>
  <c r="X1173" i="3" s="1"/>
  <c r="J1193" i="3"/>
  <c r="X1193" i="3" s="1"/>
  <c r="J1212" i="3"/>
  <c r="X1212" i="3" s="1"/>
  <c r="J1323" i="3"/>
  <c r="X1323" i="3" s="1"/>
  <c r="J1339" i="3"/>
  <c r="X1339" i="3" s="1"/>
  <c r="J1355" i="3"/>
  <c r="X1355" i="3" s="1"/>
  <c r="J1371" i="3"/>
  <c r="X1371" i="3" s="1"/>
  <c r="J1387" i="3"/>
  <c r="X1387" i="3" s="1"/>
  <c r="J1403" i="3"/>
  <c r="X1403" i="3" s="1"/>
  <c r="J1419" i="3"/>
  <c r="X1419" i="3" s="1"/>
  <c r="J1435" i="3"/>
  <c r="X1435" i="3" s="1"/>
  <c r="J1451" i="3"/>
  <c r="X1451" i="3" s="1"/>
  <c r="J1467" i="3"/>
  <c r="X1467" i="3" s="1"/>
  <c r="J1483" i="3"/>
  <c r="X1483" i="3" s="1"/>
  <c r="J975" i="3"/>
  <c r="X975" i="3" s="1"/>
  <c r="J1011" i="3"/>
  <c r="X1011" i="3" s="1"/>
  <c r="J1049" i="3"/>
  <c r="X1049" i="3" s="1"/>
  <c r="J1133" i="3"/>
  <c r="X1133" i="3" s="1"/>
  <c r="J1146" i="3"/>
  <c r="X1146" i="3" s="1"/>
  <c r="J1187" i="3"/>
  <c r="X1187" i="3" s="1"/>
  <c r="J1230" i="3"/>
  <c r="X1230" i="3" s="1"/>
  <c r="J1241" i="3"/>
  <c r="X1241" i="3" s="1"/>
  <c r="J1252" i="3"/>
  <c r="X1252" i="3" s="1"/>
  <c r="J1263" i="3"/>
  <c r="X1263" i="3" s="1"/>
  <c r="J1274" i="3"/>
  <c r="X1274" i="3" s="1"/>
  <c r="J1285" i="3"/>
  <c r="X1285" i="3" s="1"/>
  <c r="J1296" i="3"/>
  <c r="X1296" i="3" s="1"/>
  <c r="J1307" i="3"/>
  <c r="X1307" i="3" s="1"/>
  <c r="J925" i="3"/>
  <c r="X925" i="3" s="1"/>
  <c r="J992" i="3"/>
  <c r="X992" i="3" s="1"/>
  <c r="J1024" i="3"/>
  <c r="X1024" i="3" s="1"/>
  <c r="J1088" i="3"/>
  <c r="X1088" i="3" s="1"/>
  <c r="J1098" i="3"/>
  <c r="X1098" i="3" s="1"/>
  <c r="J1106" i="3"/>
  <c r="X1106" i="3" s="1"/>
  <c r="J1119" i="3"/>
  <c r="X1119" i="3" s="1"/>
  <c r="J1318" i="3"/>
  <c r="X1318" i="3" s="1"/>
  <c r="J1334" i="3"/>
  <c r="X1334" i="3" s="1"/>
  <c r="J1350" i="3"/>
  <c r="X1350" i="3" s="1"/>
  <c r="J1366" i="3"/>
  <c r="X1366" i="3" s="1"/>
  <c r="J1382" i="3"/>
  <c r="X1382" i="3" s="1"/>
  <c r="J1070" i="3"/>
  <c r="X1070" i="3" s="1"/>
  <c r="J1154" i="3"/>
  <c r="X1154" i="3" s="1"/>
  <c r="J1167" i="3"/>
  <c r="X1167" i="3" s="1"/>
  <c r="J1181" i="3"/>
  <c r="X1181" i="3" s="1"/>
  <c r="J1302" i="3"/>
  <c r="X1302" i="3" s="1"/>
  <c r="J1039" i="3"/>
  <c r="X1039" i="3" s="1"/>
  <c r="J1127" i="3"/>
  <c r="X1127" i="3" s="1"/>
  <c r="J1140" i="3"/>
  <c r="X1140" i="3" s="1"/>
  <c r="J1236" i="3"/>
  <c r="X1236" i="3" s="1"/>
  <c r="J1247" i="3"/>
  <c r="X1247" i="3" s="1"/>
  <c r="J1258" i="3"/>
  <c r="X1258" i="3" s="1"/>
  <c r="J1269" i="3"/>
  <c r="X1269" i="3" s="1"/>
  <c r="J1280" i="3"/>
  <c r="X1280" i="3" s="1"/>
  <c r="J1291" i="3"/>
  <c r="X1291" i="3" s="1"/>
  <c r="J1313" i="3"/>
  <c r="X1313" i="3" s="1"/>
  <c r="J1329" i="3"/>
  <c r="X1329" i="3" s="1"/>
  <c r="J1345" i="3"/>
  <c r="X1345" i="3" s="1"/>
  <c r="J1361" i="3"/>
  <c r="X1361" i="3" s="1"/>
  <c r="J1377" i="3"/>
  <c r="X1377" i="3" s="1"/>
  <c r="J1393" i="3"/>
  <c r="X1393" i="3" s="1"/>
  <c r="J1409" i="3"/>
  <c r="X1409" i="3" s="1"/>
  <c r="J1027" i="3"/>
  <c r="X1027" i="3" s="1"/>
  <c r="J1060" i="3"/>
  <c r="X1060" i="3" s="1"/>
  <c r="J1113" i="3"/>
  <c r="X1113" i="3" s="1"/>
  <c r="J1175" i="3"/>
  <c r="X1175" i="3" s="1"/>
  <c r="J1200" i="3"/>
  <c r="X1200" i="3" s="1"/>
  <c r="J1207" i="3"/>
  <c r="X1207" i="3" s="1"/>
  <c r="J1213" i="3"/>
  <c r="X1213" i="3" s="1"/>
  <c r="J1219" i="3"/>
  <c r="X1219" i="3" s="1"/>
  <c r="J1225" i="3"/>
  <c r="X1225" i="3" s="1"/>
  <c r="J1091" i="3"/>
  <c r="X1091" i="3" s="1"/>
  <c r="J1161" i="3"/>
  <c r="X1161" i="3" s="1"/>
  <c r="J1194" i="3"/>
  <c r="X1194" i="3" s="1"/>
  <c r="J1286" i="3"/>
  <c r="X1286" i="3" s="1"/>
  <c r="J1297" i="3"/>
  <c r="X1297" i="3" s="1"/>
  <c r="J1308" i="3"/>
  <c r="X1308" i="3" s="1"/>
  <c r="J1324" i="3"/>
  <c r="X1324" i="3" s="1"/>
  <c r="J1340" i="3"/>
  <c r="X1340" i="3" s="1"/>
  <c r="J1356" i="3"/>
  <c r="X1356" i="3" s="1"/>
  <c r="J1372" i="3"/>
  <c r="X1372" i="3" s="1"/>
  <c r="J1388" i="3"/>
  <c r="X1388" i="3" s="1"/>
  <c r="J1404" i="3"/>
  <c r="X1404" i="3" s="1"/>
  <c r="J976" i="3"/>
  <c r="X976" i="3" s="1"/>
  <c r="J1028" i="3"/>
  <c r="X1028" i="3" s="1"/>
  <c r="J1050" i="3"/>
  <c r="X1050" i="3" s="1"/>
  <c r="J1081" i="3"/>
  <c r="X1081" i="3" s="1"/>
  <c r="J1134" i="3"/>
  <c r="X1134" i="3" s="1"/>
  <c r="J1147" i="3"/>
  <c r="X1147" i="3" s="1"/>
  <c r="J1188" i="3"/>
  <c r="X1188" i="3" s="1"/>
  <c r="J1231" i="3"/>
  <c r="X1231" i="3" s="1"/>
  <c r="J1242" i="3"/>
  <c r="X1242" i="3" s="1"/>
  <c r="J1253" i="3"/>
  <c r="X1253" i="3" s="1"/>
  <c r="J1264" i="3"/>
  <c r="X1264" i="3" s="1"/>
  <c r="J1275" i="3"/>
  <c r="X1275" i="3" s="1"/>
  <c r="J1013" i="3"/>
  <c r="X1013" i="3" s="1"/>
  <c r="J1099" i="3"/>
  <c r="X1099" i="3" s="1"/>
  <c r="J1107" i="3"/>
  <c r="X1107" i="3" s="1"/>
  <c r="J1120" i="3"/>
  <c r="X1120" i="3" s="1"/>
  <c r="J1201" i="3"/>
  <c r="X1201" i="3" s="1"/>
  <c r="J1319" i="3"/>
  <c r="X1319" i="3" s="1"/>
  <c r="J1335" i="3"/>
  <c r="X1335" i="3" s="1"/>
  <c r="J1351" i="3"/>
  <c r="X1351" i="3" s="1"/>
  <c r="J1367" i="3"/>
  <c r="X1367" i="3" s="1"/>
  <c r="J1383" i="3"/>
  <c r="X1383" i="3" s="1"/>
  <c r="J1399" i="3"/>
  <c r="X1399" i="3" s="1"/>
  <c r="J997" i="3"/>
  <c r="X997" i="3" s="1"/>
  <c r="J1071" i="3"/>
  <c r="X1071" i="3" s="1"/>
  <c r="J1155" i="3"/>
  <c r="X1155" i="3" s="1"/>
  <c r="J1168" i="3"/>
  <c r="X1168" i="3" s="1"/>
  <c r="J1182" i="3"/>
  <c r="X1182" i="3" s="1"/>
  <c r="J1270" i="3"/>
  <c r="X1270" i="3" s="1"/>
  <c r="J1281" i="3"/>
  <c r="X1281" i="3" s="1"/>
  <c r="J1292" i="3"/>
  <c r="X1292" i="3" s="1"/>
  <c r="J1303" i="3"/>
  <c r="X1303" i="3" s="1"/>
  <c r="J937" i="3"/>
  <c r="X937" i="3" s="1"/>
  <c r="J1040" i="3"/>
  <c r="X1040" i="3" s="1"/>
  <c r="J1128" i="3"/>
  <c r="X1128" i="3" s="1"/>
  <c r="J1141" i="3"/>
  <c r="X1141" i="3" s="1"/>
  <c r="J1237" i="3"/>
  <c r="X1237" i="3" s="1"/>
  <c r="J1248" i="3"/>
  <c r="X1248" i="3" s="1"/>
  <c r="J1259" i="3"/>
  <c r="X1259" i="3" s="1"/>
  <c r="J1314" i="3"/>
  <c r="X1314" i="3" s="1"/>
  <c r="J1330" i="3"/>
  <c r="X1330" i="3" s="1"/>
  <c r="J1061" i="3"/>
  <c r="X1061" i="3" s="1"/>
  <c r="J1114" i="3"/>
  <c r="X1114" i="3" s="1"/>
  <c r="J1176" i="3"/>
  <c r="X1176" i="3" s="1"/>
  <c r="J1208" i="3"/>
  <c r="X1208" i="3" s="1"/>
  <c r="J1214" i="3"/>
  <c r="X1214" i="3" s="1"/>
  <c r="J1220" i="3"/>
  <c r="X1220" i="3" s="1"/>
  <c r="J1226" i="3"/>
  <c r="X1226" i="3" s="1"/>
  <c r="J1092" i="3"/>
  <c r="X1092" i="3" s="1"/>
  <c r="J1101" i="3"/>
  <c r="X1101" i="3" s="1"/>
  <c r="J1149" i="3"/>
  <c r="X1149" i="3" s="1"/>
  <c r="J1162" i="3"/>
  <c r="X1162" i="3" s="1"/>
  <c r="J1195" i="3"/>
  <c r="X1195" i="3" s="1"/>
  <c r="J1202" i="3"/>
  <c r="X1202" i="3" s="1"/>
  <c r="J1254" i="3"/>
  <c r="X1254" i="3" s="1"/>
  <c r="J1265" i="3"/>
  <c r="X1265" i="3" s="1"/>
  <c r="J1276" i="3"/>
  <c r="X1276" i="3" s="1"/>
  <c r="J1287" i="3"/>
  <c r="X1287" i="3" s="1"/>
  <c r="J1298" i="3"/>
  <c r="X1298" i="3" s="1"/>
  <c r="J1309" i="3"/>
  <c r="X1309" i="3" s="1"/>
  <c r="J1029" i="3"/>
  <c r="X1029" i="3" s="1"/>
  <c r="J1043" i="3"/>
  <c r="X1043" i="3" s="1"/>
  <c r="J1051" i="3"/>
  <c r="X1051" i="3" s="1"/>
  <c r="J1082" i="3"/>
  <c r="X1082" i="3" s="1"/>
  <c r="J1122" i="3"/>
  <c r="X1122" i="3" s="1"/>
  <c r="J1135" i="3"/>
  <c r="X1135" i="3" s="1"/>
  <c r="J1189" i="3"/>
  <c r="X1189" i="3" s="1"/>
  <c r="J1232" i="3"/>
  <c r="X1232" i="3" s="1"/>
  <c r="J1243" i="3"/>
  <c r="X1243" i="3" s="1"/>
  <c r="J948" i="3"/>
  <c r="X948" i="3" s="1"/>
  <c r="J981" i="3"/>
  <c r="X981" i="3" s="1"/>
  <c r="J1108" i="3"/>
  <c r="X1108" i="3" s="1"/>
  <c r="J1170" i="3"/>
  <c r="X1170" i="3" s="1"/>
  <c r="J1196" i="3"/>
  <c r="X1196" i="3" s="1"/>
  <c r="J1320" i="3"/>
  <c r="X1320" i="3" s="1"/>
  <c r="J1336" i="3"/>
  <c r="X1336" i="3" s="1"/>
  <c r="J1072" i="3"/>
  <c r="X1072" i="3" s="1"/>
  <c r="J1143" i="3"/>
  <c r="X1143" i="3" s="1"/>
  <c r="J1156" i="3"/>
  <c r="X1156" i="3" s="1"/>
  <c r="J1183" i="3"/>
  <c r="X1183" i="3" s="1"/>
  <c r="J1238" i="3"/>
  <c r="X1238" i="3" s="1"/>
  <c r="J1249" i="3"/>
  <c r="X1249" i="3" s="1"/>
  <c r="J1260" i="3"/>
  <c r="X1260" i="3" s="1"/>
  <c r="J1271" i="3"/>
  <c r="X1271" i="3" s="1"/>
  <c r="J1282" i="3"/>
  <c r="X1282" i="3" s="1"/>
  <c r="J1293" i="3"/>
  <c r="X1293" i="3" s="1"/>
  <c r="J1304" i="3"/>
  <c r="X1304" i="3" s="1"/>
  <c r="J1002" i="3"/>
  <c r="X1002" i="3" s="1"/>
  <c r="J1054" i="3"/>
  <c r="X1054" i="3" s="1"/>
  <c r="J1129" i="3"/>
  <c r="X1129" i="3" s="1"/>
  <c r="J1315" i="3"/>
  <c r="X1315" i="3" s="1"/>
  <c r="J1331" i="3"/>
  <c r="X1331" i="3" s="1"/>
  <c r="J1102" i="3"/>
  <c r="X1102" i="3" s="1"/>
  <c r="J1115" i="3"/>
  <c r="X1115" i="3" s="1"/>
  <c r="J1177" i="3"/>
  <c r="X1177" i="3" s="1"/>
  <c r="J1209" i="3"/>
  <c r="X1209" i="3" s="1"/>
  <c r="J1215" i="3"/>
  <c r="X1215" i="3" s="1"/>
  <c r="J1221" i="3"/>
  <c r="X1221" i="3" s="1"/>
  <c r="J1227" i="3"/>
  <c r="X1227" i="3" s="1"/>
  <c r="J1018" i="3"/>
  <c r="X1018" i="3" s="1"/>
  <c r="J1044" i="3"/>
  <c r="X1044" i="3" s="1"/>
  <c r="J1075" i="3"/>
  <c r="X1075" i="3" s="1"/>
  <c r="J1093" i="3"/>
  <c r="X1093" i="3" s="1"/>
  <c r="J1150" i="3"/>
  <c r="X1150" i="3" s="1"/>
  <c r="J1163" i="3"/>
  <c r="X1163" i="3" s="1"/>
  <c r="J1203" i="3"/>
  <c r="X1203" i="3" s="1"/>
  <c r="J1233" i="3"/>
  <c r="X1233" i="3" s="1"/>
  <c r="J1244" i="3"/>
  <c r="X1244" i="3" s="1"/>
  <c r="J1255" i="3"/>
  <c r="X1255" i="3" s="1"/>
  <c r="J1266" i="3"/>
  <c r="X1266" i="3" s="1"/>
  <c r="J1277" i="3"/>
  <c r="X1277" i="3" s="1"/>
  <c r="J954" i="3"/>
  <c r="X954" i="3" s="1"/>
  <c r="J1083" i="3"/>
  <c r="X1083" i="3" s="1"/>
  <c r="J1123" i="3"/>
  <c r="X1123" i="3" s="1"/>
  <c r="J1136" i="3"/>
  <c r="X1136" i="3" s="1"/>
  <c r="J1197" i="3"/>
  <c r="X1197" i="3" s="1"/>
  <c r="J1065" i="3"/>
  <c r="X1065" i="3" s="1"/>
  <c r="J1109" i="3"/>
  <c r="X1109" i="3" s="1"/>
  <c r="J1171" i="3"/>
  <c r="X1171" i="3" s="1"/>
  <c r="J1191" i="3"/>
  <c r="X1191" i="3" s="1"/>
  <c r="J986" i="3"/>
  <c r="X986" i="3" s="1"/>
  <c r="J1144" i="3"/>
  <c r="X1144" i="3" s="1"/>
  <c r="J1157" i="3"/>
  <c r="X1157" i="3" s="1"/>
  <c r="J1184" i="3"/>
  <c r="X1184" i="3" s="1"/>
  <c r="J1239" i="3"/>
  <c r="X1239" i="3" s="1"/>
  <c r="J1250" i="3"/>
  <c r="X1250" i="3" s="1"/>
  <c r="J1261" i="3"/>
  <c r="X1261" i="3" s="1"/>
  <c r="J1272" i="3"/>
  <c r="X1272" i="3" s="1"/>
  <c r="J1283" i="3"/>
  <c r="X1283" i="3" s="1"/>
  <c r="J1003" i="3"/>
  <c r="X1003" i="3" s="1"/>
  <c r="J1055" i="3"/>
  <c r="X1055" i="3" s="1"/>
  <c r="J1086" i="3"/>
  <c r="X1086" i="3" s="1"/>
  <c r="J1117" i="3"/>
  <c r="X1117" i="3" s="1"/>
  <c r="J1130" i="3"/>
  <c r="X1130" i="3" s="1"/>
  <c r="J1228" i="3"/>
  <c r="X1228" i="3" s="1"/>
  <c r="J1006" i="3"/>
  <c r="X1006" i="3" s="1"/>
  <c r="J1095" i="3"/>
  <c r="X1095" i="3" s="1"/>
  <c r="J1103" i="3"/>
  <c r="X1103" i="3" s="1"/>
  <c r="J1165" i="3"/>
  <c r="X1165" i="3" s="1"/>
  <c r="J1178" i="3"/>
  <c r="X1178" i="3" s="1"/>
  <c r="J1210" i="3"/>
  <c r="X1210" i="3" s="1"/>
  <c r="J1216" i="3"/>
  <c r="X1216" i="3" s="1"/>
  <c r="J965" i="3"/>
  <c r="X965" i="3" s="1"/>
  <c r="J1007" i="3"/>
  <c r="X1007" i="3" s="1"/>
  <c r="J1019" i="3"/>
  <c r="X1019" i="3" s="1"/>
  <c r="J1034" i="3"/>
  <c r="X1034" i="3" s="1"/>
  <c r="J1045" i="3"/>
  <c r="X1045" i="3" s="1"/>
  <c r="J1076" i="3"/>
  <c r="X1076" i="3" s="1"/>
  <c r="J1138" i="3"/>
  <c r="X1138" i="3" s="1"/>
  <c r="J1151" i="3"/>
  <c r="X1151" i="3" s="1"/>
  <c r="J1185" i="3"/>
  <c r="X1185" i="3" s="1"/>
  <c r="J1204" i="3"/>
  <c r="X1204" i="3" s="1"/>
  <c r="J1111" i="3"/>
  <c r="X1111" i="3" s="1"/>
  <c r="J1124" i="3"/>
  <c r="X1124" i="3" s="1"/>
  <c r="J1198" i="3"/>
  <c r="X1198" i="3" s="1"/>
  <c r="J1022" i="3"/>
  <c r="X1022" i="3" s="1"/>
  <c r="J1066" i="3"/>
  <c r="X1066" i="3" s="1"/>
  <c r="J1159" i="3"/>
  <c r="X1159" i="3" s="1"/>
  <c r="J1172" i="3"/>
  <c r="X1172" i="3" s="1"/>
  <c r="J1192" i="3"/>
  <c r="X1192" i="3" s="1"/>
  <c r="J1217" i="3"/>
  <c r="X1217" i="3" s="1"/>
  <c r="J1321" i="3"/>
  <c r="X1321" i="3" s="1"/>
  <c r="J1400" i="3"/>
  <c r="X1400" i="3" s="1"/>
  <c r="J1464" i="3"/>
  <c r="X1464" i="3" s="1"/>
  <c r="J1497" i="3"/>
  <c r="X1497" i="3" s="1"/>
  <c r="J1528" i="3"/>
  <c r="X1528" i="3" s="1"/>
  <c r="J1545" i="3"/>
  <c r="X1545" i="3" s="1"/>
  <c r="J1633" i="3"/>
  <c r="X1633" i="3" s="1"/>
  <c r="J1649" i="3"/>
  <c r="X1649" i="3" s="1"/>
  <c r="J1665" i="3"/>
  <c r="X1665" i="3" s="1"/>
  <c r="J1681" i="3"/>
  <c r="X1681" i="3" s="1"/>
  <c r="J1697" i="3"/>
  <c r="X1697" i="3" s="1"/>
  <c r="J1713" i="3"/>
  <c r="X1713" i="3" s="1"/>
  <c r="J1729" i="3"/>
  <c r="X1729" i="3" s="1"/>
  <c r="J1745" i="3"/>
  <c r="X1745" i="3" s="1"/>
  <c r="J1761" i="3"/>
  <c r="X1761" i="3" s="1"/>
  <c r="J1777" i="3"/>
  <c r="X1777" i="3" s="1"/>
  <c r="J1793" i="3"/>
  <c r="X1793" i="3" s="1"/>
  <c r="J1809" i="3"/>
  <c r="X1809" i="3" s="1"/>
  <c r="J1825" i="3"/>
  <c r="X1825" i="3" s="1"/>
  <c r="J1841" i="3"/>
  <c r="X1841" i="3" s="1"/>
  <c r="J1857" i="3"/>
  <c r="X1857" i="3" s="1"/>
  <c r="J1873" i="3"/>
  <c r="X1873" i="3" s="1"/>
  <c r="J1889" i="3"/>
  <c r="X1889" i="3" s="1"/>
  <c r="J1359" i="3"/>
  <c r="X1359" i="3" s="1"/>
  <c r="J1390" i="3"/>
  <c r="X1390" i="3" s="1"/>
  <c r="J1437" i="3"/>
  <c r="X1437" i="3" s="1"/>
  <c r="J1450" i="3"/>
  <c r="X1450" i="3" s="1"/>
  <c r="J1491" i="3"/>
  <c r="X1491" i="3" s="1"/>
  <c r="J1573" i="3"/>
  <c r="X1573" i="3" s="1"/>
  <c r="J1584" i="3"/>
  <c r="X1584" i="3" s="1"/>
  <c r="J1595" i="3"/>
  <c r="X1595" i="3" s="1"/>
  <c r="J1606" i="3"/>
  <c r="X1606" i="3" s="1"/>
  <c r="J1617" i="3"/>
  <c r="X1617" i="3" s="1"/>
  <c r="J1337" i="3"/>
  <c r="X1337" i="3" s="1"/>
  <c r="J1423" i="3"/>
  <c r="X1423" i="3" s="1"/>
  <c r="J1485" i="3"/>
  <c r="X1485" i="3" s="1"/>
  <c r="J1504" i="3"/>
  <c r="X1504" i="3" s="1"/>
  <c r="J1534" i="3"/>
  <c r="X1534" i="3" s="1"/>
  <c r="J1551" i="3"/>
  <c r="X1551" i="3" s="1"/>
  <c r="J1562" i="3"/>
  <c r="X1562" i="3" s="1"/>
  <c r="J1628" i="3"/>
  <c r="X1628" i="3" s="1"/>
  <c r="J1644" i="3"/>
  <c r="X1644" i="3" s="1"/>
  <c r="J1660" i="3"/>
  <c r="X1660" i="3" s="1"/>
  <c r="J1676" i="3"/>
  <c r="X1676" i="3" s="1"/>
  <c r="J1692" i="3"/>
  <c r="X1692" i="3" s="1"/>
  <c r="J1708" i="3"/>
  <c r="X1708" i="3" s="1"/>
  <c r="J1724" i="3"/>
  <c r="X1724" i="3" s="1"/>
  <c r="J1740" i="3"/>
  <c r="X1740" i="3" s="1"/>
  <c r="J1756" i="3"/>
  <c r="X1756" i="3" s="1"/>
  <c r="J1772" i="3"/>
  <c r="X1772" i="3" s="1"/>
  <c r="J1788" i="3"/>
  <c r="X1788" i="3" s="1"/>
  <c r="J1804" i="3"/>
  <c r="X1804" i="3" s="1"/>
  <c r="J1223" i="3"/>
  <c r="X1223" i="3" s="1"/>
  <c r="J1305" i="3"/>
  <c r="X1305" i="3" s="1"/>
  <c r="J1380" i="3"/>
  <c r="X1380" i="3" s="1"/>
  <c r="J1410" i="3"/>
  <c r="X1410" i="3" s="1"/>
  <c r="J1458" i="3"/>
  <c r="X1458" i="3" s="1"/>
  <c r="J1471" i="3"/>
  <c r="X1471" i="3" s="1"/>
  <c r="J1362" i="3"/>
  <c r="X1362" i="3" s="1"/>
  <c r="J1431" i="3"/>
  <c r="X1431" i="3" s="1"/>
  <c r="J1444" i="3"/>
  <c r="X1444" i="3" s="1"/>
  <c r="J1517" i="3"/>
  <c r="X1517" i="3" s="1"/>
  <c r="J1523" i="3"/>
  <c r="X1523" i="3" s="1"/>
  <c r="J1540" i="3"/>
  <c r="X1540" i="3" s="1"/>
  <c r="J1557" i="3"/>
  <c r="X1557" i="3" s="1"/>
  <c r="J1568" i="3"/>
  <c r="X1568" i="3" s="1"/>
  <c r="J1579" i="3"/>
  <c r="X1579" i="3" s="1"/>
  <c r="J1590" i="3"/>
  <c r="X1590" i="3" s="1"/>
  <c r="J1601" i="3"/>
  <c r="X1601" i="3" s="1"/>
  <c r="J1612" i="3"/>
  <c r="X1612" i="3" s="1"/>
  <c r="J1623" i="3"/>
  <c r="X1623" i="3" s="1"/>
  <c r="J1639" i="3"/>
  <c r="X1639" i="3" s="1"/>
  <c r="J1655" i="3"/>
  <c r="X1655" i="3" s="1"/>
  <c r="J1671" i="3"/>
  <c r="X1671" i="3" s="1"/>
  <c r="J1687" i="3"/>
  <c r="X1687" i="3" s="1"/>
  <c r="J1703" i="3"/>
  <c r="X1703" i="3" s="1"/>
  <c r="J1719" i="3"/>
  <c r="X1719" i="3" s="1"/>
  <c r="J1735" i="3"/>
  <c r="X1735" i="3" s="1"/>
  <c r="J1751" i="3"/>
  <c r="X1751" i="3" s="1"/>
  <c r="J1767" i="3"/>
  <c r="X1767" i="3" s="1"/>
  <c r="J1783" i="3"/>
  <c r="X1783" i="3" s="1"/>
  <c r="J1799" i="3"/>
  <c r="X1799" i="3" s="1"/>
  <c r="J1288" i="3"/>
  <c r="X1288" i="3" s="1"/>
  <c r="J1370" i="3"/>
  <c r="X1370" i="3" s="1"/>
  <c r="J1417" i="3"/>
  <c r="X1417" i="3" s="1"/>
  <c r="J1479" i="3"/>
  <c r="X1479" i="3" s="1"/>
  <c r="J1511" i="3"/>
  <c r="X1511" i="3" s="1"/>
  <c r="J1234" i="3"/>
  <c r="X1234" i="3" s="1"/>
  <c r="J1322" i="3"/>
  <c r="X1322" i="3" s="1"/>
  <c r="J1352" i="3"/>
  <c r="X1352" i="3" s="1"/>
  <c r="J1401" i="3"/>
  <c r="X1401" i="3" s="1"/>
  <c r="J1452" i="3"/>
  <c r="X1452" i="3" s="1"/>
  <c r="J1465" i="3"/>
  <c r="X1465" i="3" s="1"/>
  <c r="J1498" i="3"/>
  <c r="X1498" i="3" s="1"/>
  <c r="J1505" i="3"/>
  <c r="X1505" i="3" s="1"/>
  <c r="J1529" i="3"/>
  <c r="X1529" i="3" s="1"/>
  <c r="J1546" i="3"/>
  <c r="X1546" i="3" s="1"/>
  <c r="J1634" i="3"/>
  <c r="X1634" i="3" s="1"/>
  <c r="J1650" i="3"/>
  <c r="X1650" i="3" s="1"/>
  <c r="J1666" i="3"/>
  <c r="X1666" i="3" s="1"/>
  <c r="J1682" i="3"/>
  <c r="X1682" i="3" s="1"/>
  <c r="J1698" i="3"/>
  <c r="X1698" i="3" s="1"/>
  <c r="J1714" i="3"/>
  <c r="X1714" i="3" s="1"/>
  <c r="J1730" i="3"/>
  <c r="X1730" i="3" s="1"/>
  <c r="J1746" i="3"/>
  <c r="X1746" i="3" s="1"/>
  <c r="J1762" i="3"/>
  <c r="X1762" i="3" s="1"/>
  <c r="J1778" i="3"/>
  <c r="X1778" i="3" s="1"/>
  <c r="J1794" i="3"/>
  <c r="X1794" i="3" s="1"/>
  <c r="J1810" i="3"/>
  <c r="X1810" i="3" s="1"/>
  <c r="J1826" i="3"/>
  <c r="X1826" i="3" s="1"/>
  <c r="J1325" i="3"/>
  <c r="X1325" i="3" s="1"/>
  <c r="J1391" i="3"/>
  <c r="X1391" i="3" s="1"/>
  <c r="J1425" i="3"/>
  <c r="X1425" i="3" s="1"/>
  <c r="J1438" i="3"/>
  <c r="X1438" i="3" s="1"/>
  <c r="J1492" i="3"/>
  <c r="X1492" i="3" s="1"/>
  <c r="J1552" i="3"/>
  <c r="X1552" i="3" s="1"/>
  <c r="J1563" i="3"/>
  <c r="X1563" i="3" s="1"/>
  <c r="J1574" i="3"/>
  <c r="X1574" i="3" s="1"/>
  <c r="J1585" i="3"/>
  <c r="X1585" i="3" s="1"/>
  <c r="J1596" i="3"/>
  <c r="X1596" i="3" s="1"/>
  <c r="J1607" i="3"/>
  <c r="X1607" i="3" s="1"/>
  <c r="J1618" i="3"/>
  <c r="X1618" i="3" s="1"/>
  <c r="J1338" i="3"/>
  <c r="X1338" i="3" s="1"/>
  <c r="J1373" i="3"/>
  <c r="X1373" i="3" s="1"/>
  <c r="J1473" i="3"/>
  <c r="X1473" i="3" s="1"/>
  <c r="J1486" i="3"/>
  <c r="X1486" i="3" s="1"/>
  <c r="J1499" i="3"/>
  <c r="X1499" i="3" s="1"/>
  <c r="J1535" i="3"/>
  <c r="X1535" i="3" s="1"/>
  <c r="J1629" i="3"/>
  <c r="X1629" i="3" s="1"/>
  <c r="J1645" i="3"/>
  <c r="X1645" i="3" s="1"/>
  <c r="J1661" i="3"/>
  <c r="X1661" i="3" s="1"/>
  <c r="J1677" i="3"/>
  <c r="X1677" i="3" s="1"/>
  <c r="J1693" i="3"/>
  <c r="X1693" i="3" s="1"/>
  <c r="J1310" i="3"/>
  <c r="X1310" i="3" s="1"/>
  <c r="J1326" i="3"/>
  <c r="X1326" i="3" s="1"/>
  <c r="J1411" i="3"/>
  <c r="X1411" i="3" s="1"/>
  <c r="J1446" i="3"/>
  <c r="X1446" i="3" s="1"/>
  <c r="J1459" i="3"/>
  <c r="X1459" i="3" s="1"/>
  <c r="J1541" i="3"/>
  <c r="X1541" i="3" s="1"/>
  <c r="J1341" i="3"/>
  <c r="X1341" i="3" s="1"/>
  <c r="J1363" i="3"/>
  <c r="X1363" i="3" s="1"/>
  <c r="J1394" i="3"/>
  <c r="X1394" i="3" s="1"/>
  <c r="J1432" i="3"/>
  <c r="X1432" i="3" s="1"/>
  <c r="J1518" i="3"/>
  <c r="X1518" i="3" s="1"/>
  <c r="J1524" i="3"/>
  <c r="X1524" i="3" s="1"/>
  <c r="J1558" i="3"/>
  <c r="X1558" i="3" s="1"/>
  <c r="J1569" i="3"/>
  <c r="X1569" i="3" s="1"/>
  <c r="J1580" i="3"/>
  <c r="X1580" i="3" s="1"/>
  <c r="J1591" i="3"/>
  <c r="X1591" i="3" s="1"/>
  <c r="J1602" i="3"/>
  <c r="X1602" i="3" s="1"/>
  <c r="J1613" i="3"/>
  <c r="X1613" i="3" s="1"/>
  <c r="J1624" i="3"/>
  <c r="X1624" i="3" s="1"/>
  <c r="J1640" i="3"/>
  <c r="X1640" i="3" s="1"/>
  <c r="J1656" i="3"/>
  <c r="X1656" i="3" s="1"/>
  <c r="J1672" i="3"/>
  <c r="X1672" i="3" s="1"/>
  <c r="J1688" i="3"/>
  <c r="X1688" i="3" s="1"/>
  <c r="J1704" i="3"/>
  <c r="X1704" i="3" s="1"/>
  <c r="J1245" i="3"/>
  <c r="X1245" i="3" s="1"/>
  <c r="J1289" i="3"/>
  <c r="X1289" i="3" s="1"/>
  <c r="J1418" i="3"/>
  <c r="X1418" i="3" s="1"/>
  <c r="J1480" i="3"/>
  <c r="X1480" i="3" s="1"/>
  <c r="J1512" i="3"/>
  <c r="X1512" i="3" s="1"/>
  <c r="J1547" i="3"/>
  <c r="X1547" i="3" s="1"/>
  <c r="J1342" i="3"/>
  <c r="X1342" i="3" s="1"/>
  <c r="J1353" i="3"/>
  <c r="X1353" i="3" s="1"/>
  <c r="J1384" i="3"/>
  <c r="X1384" i="3" s="1"/>
  <c r="J1402" i="3"/>
  <c r="X1402" i="3" s="1"/>
  <c r="J1453" i="3"/>
  <c r="X1453" i="3" s="1"/>
  <c r="J1466" i="3"/>
  <c r="X1466" i="3" s="1"/>
  <c r="J1506" i="3"/>
  <c r="X1506" i="3" s="1"/>
  <c r="J1530" i="3"/>
  <c r="X1530" i="3" s="1"/>
  <c r="J1635" i="3"/>
  <c r="X1635" i="3" s="1"/>
  <c r="J1651" i="3"/>
  <c r="X1651" i="3" s="1"/>
  <c r="J1667" i="3"/>
  <c r="X1667" i="3" s="1"/>
  <c r="J1683" i="3"/>
  <c r="X1683" i="3" s="1"/>
  <c r="J1699" i="3"/>
  <c r="X1699" i="3" s="1"/>
  <c r="J1426" i="3"/>
  <c r="X1426" i="3" s="1"/>
  <c r="J1439" i="3"/>
  <c r="X1439" i="3" s="1"/>
  <c r="J1500" i="3"/>
  <c r="X1500" i="3" s="1"/>
  <c r="J1536" i="3"/>
  <c r="X1536" i="3" s="1"/>
  <c r="J1553" i="3"/>
  <c r="X1553" i="3" s="1"/>
  <c r="J1564" i="3"/>
  <c r="X1564" i="3" s="1"/>
  <c r="J1575" i="3"/>
  <c r="X1575" i="3" s="1"/>
  <c r="J1586" i="3"/>
  <c r="X1586" i="3" s="1"/>
  <c r="J1597" i="3"/>
  <c r="X1597" i="3" s="1"/>
  <c r="J1608" i="3"/>
  <c r="X1608" i="3" s="1"/>
  <c r="J1619" i="3"/>
  <c r="X1619" i="3" s="1"/>
  <c r="J1374" i="3"/>
  <c r="X1374" i="3" s="1"/>
  <c r="J1474" i="3"/>
  <c r="X1474" i="3" s="1"/>
  <c r="J1487" i="3"/>
  <c r="X1487" i="3" s="1"/>
  <c r="J1494" i="3"/>
  <c r="X1494" i="3" s="1"/>
  <c r="J1542" i="3"/>
  <c r="X1542" i="3" s="1"/>
  <c r="J1630" i="3"/>
  <c r="X1630" i="3" s="1"/>
  <c r="J1646" i="3"/>
  <c r="X1646" i="3" s="1"/>
  <c r="J1662" i="3"/>
  <c r="X1662" i="3" s="1"/>
  <c r="J1678" i="3"/>
  <c r="X1678" i="3" s="1"/>
  <c r="J1694" i="3"/>
  <c r="X1694" i="3" s="1"/>
  <c r="J1710" i="3"/>
  <c r="X1710" i="3" s="1"/>
  <c r="J1311" i="3"/>
  <c r="X1311" i="3" s="1"/>
  <c r="J1327" i="3"/>
  <c r="X1327" i="3" s="1"/>
  <c r="J1412" i="3"/>
  <c r="X1412" i="3" s="1"/>
  <c r="J1447" i="3"/>
  <c r="X1447" i="3" s="1"/>
  <c r="J1460" i="3"/>
  <c r="X1460" i="3" s="1"/>
  <c r="J1525" i="3"/>
  <c r="X1525" i="3" s="1"/>
  <c r="J1364" i="3"/>
  <c r="X1364" i="3" s="1"/>
  <c r="J1395" i="3"/>
  <c r="X1395" i="3" s="1"/>
  <c r="J1420" i="3"/>
  <c r="X1420" i="3" s="1"/>
  <c r="J1433" i="3"/>
  <c r="X1433" i="3" s="1"/>
  <c r="J1519" i="3"/>
  <c r="X1519" i="3" s="1"/>
  <c r="J1548" i="3"/>
  <c r="X1548" i="3" s="1"/>
  <c r="J1559" i="3"/>
  <c r="X1559" i="3" s="1"/>
  <c r="J1570" i="3"/>
  <c r="X1570" i="3" s="1"/>
  <c r="J1581" i="3"/>
  <c r="X1581" i="3" s="1"/>
  <c r="J1592" i="3"/>
  <c r="X1592" i="3" s="1"/>
  <c r="J1603" i="3"/>
  <c r="X1603" i="3" s="1"/>
  <c r="J1614" i="3"/>
  <c r="X1614" i="3" s="1"/>
  <c r="J1625" i="3"/>
  <c r="X1625" i="3" s="1"/>
  <c r="J1641" i="3"/>
  <c r="X1641" i="3" s="1"/>
  <c r="J1657" i="3"/>
  <c r="X1657" i="3" s="1"/>
  <c r="J1256" i="3"/>
  <c r="X1256" i="3" s="1"/>
  <c r="J1294" i="3"/>
  <c r="X1294" i="3" s="1"/>
  <c r="J1405" i="3"/>
  <c r="X1405" i="3" s="1"/>
  <c r="J1468" i="3"/>
  <c r="X1468" i="3" s="1"/>
  <c r="J1481" i="3"/>
  <c r="X1481" i="3" s="1"/>
  <c r="J1488" i="3"/>
  <c r="X1488" i="3" s="1"/>
  <c r="J1513" i="3"/>
  <c r="X1513" i="3" s="1"/>
  <c r="J1531" i="3"/>
  <c r="X1531" i="3" s="1"/>
  <c r="J1343" i="3"/>
  <c r="X1343" i="3" s="1"/>
  <c r="J1354" i="3"/>
  <c r="X1354" i="3" s="1"/>
  <c r="J1385" i="3"/>
  <c r="X1385" i="3" s="1"/>
  <c r="J1441" i="3"/>
  <c r="X1441" i="3" s="1"/>
  <c r="J1454" i="3"/>
  <c r="X1454" i="3" s="1"/>
  <c r="J1507" i="3"/>
  <c r="X1507" i="3" s="1"/>
  <c r="J1537" i="3"/>
  <c r="X1537" i="3" s="1"/>
  <c r="J1636" i="3"/>
  <c r="X1636" i="3" s="1"/>
  <c r="J1652" i="3"/>
  <c r="X1652" i="3" s="1"/>
  <c r="J1668" i="3"/>
  <c r="X1668" i="3" s="1"/>
  <c r="J1427" i="3"/>
  <c r="X1427" i="3" s="1"/>
  <c r="J1501" i="3"/>
  <c r="X1501" i="3" s="1"/>
  <c r="J1520" i="3"/>
  <c r="X1520" i="3" s="1"/>
  <c r="J1554" i="3"/>
  <c r="X1554" i="3" s="1"/>
  <c r="J1565" i="3"/>
  <c r="X1565" i="3" s="1"/>
  <c r="J1576" i="3"/>
  <c r="X1576" i="3" s="1"/>
  <c r="J1587" i="3"/>
  <c r="X1587" i="3" s="1"/>
  <c r="J1598" i="3"/>
  <c r="X1598" i="3" s="1"/>
  <c r="J1609" i="3"/>
  <c r="X1609" i="3" s="1"/>
  <c r="J1620" i="3"/>
  <c r="X1620" i="3" s="1"/>
  <c r="J1375" i="3"/>
  <c r="X1375" i="3" s="1"/>
  <c r="J1414" i="3"/>
  <c r="X1414" i="3" s="1"/>
  <c r="J1462" i="3"/>
  <c r="X1462" i="3" s="1"/>
  <c r="J1475" i="3"/>
  <c r="X1475" i="3" s="1"/>
  <c r="J1495" i="3"/>
  <c r="X1495" i="3" s="1"/>
  <c r="J1526" i="3"/>
  <c r="X1526" i="3" s="1"/>
  <c r="J1543" i="3"/>
  <c r="X1543" i="3" s="1"/>
  <c r="J1631" i="3"/>
  <c r="X1631" i="3" s="1"/>
  <c r="J1647" i="3"/>
  <c r="X1647" i="3" s="1"/>
  <c r="J1346" i="3"/>
  <c r="X1346" i="3" s="1"/>
  <c r="J1357" i="3"/>
  <c r="X1357" i="3" s="1"/>
  <c r="J1448" i="3"/>
  <c r="X1448" i="3" s="1"/>
  <c r="J1489" i="3"/>
  <c r="X1489" i="3" s="1"/>
  <c r="J1396" i="3"/>
  <c r="X1396" i="3" s="1"/>
  <c r="J1421" i="3"/>
  <c r="X1421" i="3" s="1"/>
  <c r="J1434" i="3"/>
  <c r="X1434" i="3" s="1"/>
  <c r="J1532" i="3"/>
  <c r="X1532" i="3" s="1"/>
  <c r="J1549" i="3"/>
  <c r="X1549" i="3" s="1"/>
  <c r="J1560" i="3"/>
  <c r="X1560" i="3" s="1"/>
  <c r="J1571" i="3"/>
  <c r="X1571" i="3" s="1"/>
  <c r="J1582" i="3"/>
  <c r="X1582" i="3" s="1"/>
  <c r="J1593" i="3"/>
  <c r="X1593" i="3" s="1"/>
  <c r="J1604" i="3"/>
  <c r="X1604" i="3" s="1"/>
  <c r="J1615" i="3"/>
  <c r="X1615" i="3" s="1"/>
  <c r="J1626" i="3"/>
  <c r="X1626" i="3" s="1"/>
  <c r="J1267" i="3"/>
  <c r="X1267" i="3" s="1"/>
  <c r="J1299" i="3"/>
  <c r="X1299" i="3" s="1"/>
  <c r="J1316" i="3"/>
  <c r="X1316" i="3" s="1"/>
  <c r="J1378" i="3"/>
  <c r="X1378" i="3" s="1"/>
  <c r="J1406" i="3"/>
  <c r="X1406" i="3" s="1"/>
  <c r="J1469" i="3"/>
  <c r="X1469" i="3" s="1"/>
  <c r="J1482" i="3"/>
  <c r="X1482" i="3" s="1"/>
  <c r="J1514" i="3"/>
  <c r="X1514" i="3" s="1"/>
  <c r="J1332" i="3"/>
  <c r="X1332" i="3" s="1"/>
  <c r="J1386" i="3"/>
  <c r="X1386" i="3" s="1"/>
  <c r="J1442" i="3"/>
  <c r="X1442" i="3" s="1"/>
  <c r="J1455" i="3"/>
  <c r="X1455" i="3" s="1"/>
  <c r="J1508" i="3"/>
  <c r="X1508" i="3" s="1"/>
  <c r="J1521" i="3"/>
  <c r="X1521" i="3" s="1"/>
  <c r="J1538" i="3"/>
  <c r="X1538" i="3" s="1"/>
  <c r="J1347" i="3"/>
  <c r="X1347" i="3" s="1"/>
  <c r="J1368" i="3"/>
  <c r="X1368" i="3" s="1"/>
  <c r="J1428" i="3"/>
  <c r="X1428" i="3" s="1"/>
  <c r="J1502" i="3"/>
  <c r="X1502" i="3" s="1"/>
  <c r="J1515" i="3"/>
  <c r="X1515" i="3" s="1"/>
  <c r="J1555" i="3"/>
  <c r="X1555" i="3" s="1"/>
  <c r="J1566" i="3"/>
  <c r="X1566" i="3" s="1"/>
  <c r="J1577" i="3"/>
  <c r="X1577" i="3" s="1"/>
  <c r="J1588" i="3"/>
  <c r="X1588" i="3" s="1"/>
  <c r="J1599" i="3"/>
  <c r="X1599" i="3" s="1"/>
  <c r="J1415" i="3"/>
  <c r="X1415" i="3" s="1"/>
  <c r="J1463" i="3"/>
  <c r="X1463" i="3" s="1"/>
  <c r="J1476" i="3"/>
  <c r="X1476" i="3" s="1"/>
  <c r="J1496" i="3"/>
  <c r="X1496" i="3" s="1"/>
  <c r="J1527" i="3"/>
  <c r="X1527" i="3" s="1"/>
  <c r="J1544" i="3"/>
  <c r="X1544" i="3" s="1"/>
  <c r="J1358" i="3"/>
  <c r="X1358" i="3" s="1"/>
  <c r="J1389" i="3"/>
  <c r="X1389" i="3" s="1"/>
  <c r="J1398" i="3"/>
  <c r="X1398" i="3" s="1"/>
  <c r="J1436" i="3"/>
  <c r="X1436" i="3" s="1"/>
  <c r="J1449" i="3"/>
  <c r="X1449" i="3" s="1"/>
  <c r="J1490" i="3"/>
  <c r="X1490" i="3" s="1"/>
  <c r="J1422" i="3"/>
  <c r="X1422" i="3" s="1"/>
  <c r="J1484" i="3"/>
  <c r="X1484" i="3" s="1"/>
  <c r="J1533" i="3"/>
  <c r="X1533" i="3" s="1"/>
  <c r="J1550" i="3"/>
  <c r="X1550" i="3" s="1"/>
  <c r="J1561" i="3"/>
  <c r="X1561" i="3" s="1"/>
  <c r="J1572" i="3"/>
  <c r="X1572" i="3" s="1"/>
  <c r="J1583" i="3"/>
  <c r="X1583" i="3" s="1"/>
  <c r="J1278" i="3"/>
  <c r="X1278" i="3" s="1"/>
  <c r="J1300" i="3"/>
  <c r="X1300" i="3" s="1"/>
  <c r="J1379" i="3"/>
  <c r="X1379" i="3" s="1"/>
  <c r="J1407" i="3"/>
  <c r="X1407" i="3" s="1"/>
  <c r="J1457" i="3"/>
  <c r="X1457" i="3" s="1"/>
  <c r="J1470" i="3"/>
  <c r="X1470" i="3" s="1"/>
  <c r="J1430" i="3"/>
  <c r="X1430" i="3" s="1"/>
  <c r="J1443" i="3"/>
  <c r="X1443" i="3" s="1"/>
  <c r="J1516" i="3"/>
  <c r="X1516" i="3" s="1"/>
  <c r="J1522" i="3"/>
  <c r="X1522" i="3" s="1"/>
  <c r="J1348" i="3"/>
  <c r="X1348" i="3" s="1"/>
  <c r="J1369" i="3"/>
  <c r="X1369" i="3" s="1"/>
  <c r="J1416" i="3"/>
  <c r="X1416" i="3" s="1"/>
  <c r="J1478" i="3"/>
  <c r="X1478" i="3" s="1"/>
  <c r="J1503" i="3"/>
  <c r="X1503" i="3" s="1"/>
  <c r="J1510" i="3"/>
  <c r="X1510" i="3" s="1"/>
  <c r="J1632" i="3"/>
  <c r="X1632" i="3" s="1"/>
  <c r="J1702" i="3"/>
  <c r="X1702" i="3" s="1"/>
  <c r="J1712" i="3"/>
  <c r="X1712" i="3" s="1"/>
  <c r="J1741" i="3"/>
  <c r="X1741" i="3" s="1"/>
  <c r="J1754" i="3"/>
  <c r="X1754" i="3" s="1"/>
  <c r="J1833" i="3"/>
  <c r="X1833" i="3" s="1"/>
  <c r="J1850" i="3"/>
  <c r="X1850" i="3" s="1"/>
  <c r="J1867" i="3"/>
  <c r="X1867" i="3" s="1"/>
  <c r="J1890" i="3"/>
  <c r="X1890" i="3" s="1"/>
  <c r="J1589" i="3"/>
  <c r="X1589" i="3" s="1"/>
  <c r="J1648" i="3"/>
  <c r="X1648" i="3" s="1"/>
  <c r="J1684" i="3"/>
  <c r="X1684" i="3" s="1"/>
  <c r="J1727" i="3"/>
  <c r="X1727" i="3" s="1"/>
  <c r="J1789" i="3"/>
  <c r="X1789" i="3" s="1"/>
  <c r="J1802" i="3"/>
  <c r="X1802" i="3" s="1"/>
  <c r="J1815" i="3"/>
  <c r="X1815" i="3" s="1"/>
  <c r="J1901" i="3"/>
  <c r="X1901" i="3" s="1"/>
  <c r="J1917" i="3"/>
  <c r="X1917" i="3" s="1"/>
  <c r="J1933" i="3"/>
  <c r="X1933" i="3" s="1"/>
  <c r="J1949" i="3"/>
  <c r="X1949" i="3" s="1"/>
  <c r="J1965" i="3"/>
  <c r="X1965" i="3" s="1"/>
  <c r="J1981" i="3"/>
  <c r="X1981" i="3" s="1"/>
  <c r="J1997" i="3"/>
  <c r="X1997" i="3" s="1"/>
  <c r="J2013" i="3"/>
  <c r="X2013" i="3" s="1"/>
  <c r="J2029" i="3"/>
  <c r="X2029" i="3" s="1"/>
  <c r="J2045" i="3"/>
  <c r="X2045" i="3" s="1"/>
  <c r="J2061" i="3"/>
  <c r="X2061" i="3" s="1"/>
  <c r="J2077" i="3"/>
  <c r="X2077" i="3" s="1"/>
  <c r="J1663" i="3"/>
  <c r="X1663" i="3" s="1"/>
  <c r="J1775" i="3"/>
  <c r="X1775" i="3" s="1"/>
  <c r="J1839" i="3"/>
  <c r="X1839" i="3" s="1"/>
  <c r="J1856" i="3"/>
  <c r="X1856" i="3" s="1"/>
  <c r="J1879" i="3"/>
  <c r="X1879" i="3" s="1"/>
  <c r="J2062" i="3"/>
  <c r="X2062" i="3" s="1"/>
  <c r="J1674" i="3"/>
  <c r="X1674" i="3" s="1"/>
  <c r="J1705" i="3"/>
  <c r="X1705" i="3" s="1"/>
  <c r="J1748" i="3"/>
  <c r="X1748" i="3" s="1"/>
  <c r="J1896" i="3"/>
  <c r="X1896" i="3" s="1"/>
  <c r="J1912" i="3"/>
  <c r="X1912" i="3" s="1"/>
  <c r="J1928" i="3"/>
  <c r="X1928" i="3" s="1"/>
  <c r="J1944" i="3"/>
  <c r="X1944" i="3" s="1"/>
  <c r="J1960" i="3"/>
  <c r="X1960" i="3" s="1"/>
  <c r="J1976" i="3"/>
  <c r="X1976" i="3" s="1"/>
  <c r="J1992" i="3"/>
  <c r="X1992" i="3" s="1"/>
  <c r="J2008" i="3"/>
  <c r="X2008" i="3" s="1"/>
  <c r="J2024" i="3"/>
  <c r="X2024" i="3" s="1"/>
  <c r="J2040" i="3"/>
  <c r="X2040" i="3" s="1"/>
  <c r="J2056" i="3"/>
  <c r="X2056" i="3" s="1"/>
  <c r="J2072" i="3"/>
  <c r="X2072" i="3" s="1"/>
  <c r="J1594" i="3"/>
  <c r="X1594" i="3" s="1"/>
  <c r="J1721" i="3"/>
  <c r="X1721" i="3" s="1"/>
  <c r="J1734" i="3"/>
  <c r="X1734" i="3" s="1"/>
  <c r="J1796" i="3"/>
  <c r="X1796" i="3" s="1"/>
  <c r="J1845" i="3"/>
  <c r="X1845" i="3" s="1"/>
  <c r="J1862" i="3"/>
  <c r="X1862" i="3" s="1"/>
  <c r="J1868" i="3"/>
  <c r="X1868" i="3" s="1"/>
  <c r="J1885" i="3"/>
  <c r="X1885" i="3" s="1"/>
  <c r="J2046" i="3"/>
  <c r="X2046" i="3" s="1"/>
  <c r="J1539" i="3"/>
  <c r="X1539" i="3" s="1"/>
  <c r="J1616" i="3"/>
  <c r="X1616" i="3" s="1"/>
  <c r="J1695" i="3"/>
  <c r="X1695" i="3" s="1"/>
  <c r="J1769" i="3"/>
  <c r="X1769" i="3" s="1"/>
  <c r="J1782" i="3"/>
  <c r="X1782" i="3" s="1"/>
  <c r="J1816" i="3"/>
  <c r="X1816" i="3" s="1"/>
  <c r="J1822" i="3"/>
  <c r="X1822" i="3" s="1"/>
  <c r="J1828" i="3"/>
  <c r="X1828" i="3" s="1"/>
  <c r="J1907" i="3"/>
  <c r="X1907" i="3" s="1"/>
  <c r="J1923" i="3"/>
  <c r="X1923" i="3" s="1"/>
  <c r="J1939" i="3"/>
  <c r="X1939" i="3" s="1"/>
  <c r="J1955" i="3"/>
  <c r="X1955" i="3" s="1"/>
  <c r="J1971" i="3"/>
  <c r="X1971" i="3" s="1"/>
  <c r="J1987" i="3"/>
  <c r="X1987" i="3" s="1"/>
  <c r="J2003" i="3"/>
  <c r="X2003" i="3" s="1"/>
  <c r="J2019" i="3"/>
  <c r="X2019" i="3" s="1"/>
  <c r="J2035" i="3"/>
  <c r="X2035" i="3" s="1"/>
  <c r="J2051" i="3"/>
  <c r="X2051" i="3" s="1"/>
  <c r="J2067" i="3"/>
  <c r="X2067" i="3" s="1"/>
  <c r="J2083" i="3"/>
  <c r="X2083" i="3" s="1"/>
  <c r="J1742" i="3"/>
  <c r="X1742" i="3" s="1"/>
  <c r="J1755" i="3"/>
  <c r="X1755" i="3" s="1"/>
  <c r="J1834" i="3"/>
  <c r="X1834" i="3" s="1"/>
  <c r="J1851" i="3"/>
  <c r="X1851" i="3" s="1"/>
  <c r="J1874" i="3"/>
  <c r="X1874" i="3" s="1"/>
  <c r="J1891" i="3"/>
  <c r="X1891" i="3" s="1"/>
  <c r="J2030" i="3"/>
  <c r="X2030" i="3" s="1"/>
  <c r="J1685" i="3"/>
  <c r="X1685" i="3" s="1"/>
  <c r="J1728" i="3"/>
  <c r="X1728" i="3" s="1"/>
  <c r="J1790" i="3"/>
  <c r="X1790" i="3" s="1"/>
  <c r="J1803" i="3"/>
  <c r="X1803" i="3" s="1"/>
  <c r="J1902" i="3"/>
  <c r="X1902" i="3" s="1"/>
  <c r="J1918" i="3"/>
  <c r="X1918" i="3" s="1"/>
  <c r="J1934" i="3"/>
  <c r="X1934" i="3" s="1"/>
  <c r="J1950" i="3"/>
  <c r="X1950" i="3" s="1"/>
  <c r="J1966" i="3"/>
  <c r="X1966" i="3" s="1"/>
  <c r="J1982" i="3"/>
  <c r="X1982" i="3" s="1"/>
  <c r="J1998" i="3"/>
  <c r="X1998" i="3" s="1"/>
  <c r="J2014" i="3"/>
  <c r="X2014" i="3" s="1"/>
  <c r="J2078" i="3"/>
  <c r="X2078" i="3" s="1"/>
  <c r="J1664" i="3"/>
  <c r="X1664" i="3" s="1"/>
  <c r="J1715" i="3"/>
  <c r="X1715" i="3" s="1"/>
  <c r="J1763" i="3"/>
  <c r="X1763" i="3" s="1"/>
  <c r="J1776" i="3"/>
  <c r="X1776" i="3" s="1"/>
  <c r="J1840" i="3"/>
  <c r="X1840" i="3" s="1"/>
  <c r="J1863" i="3"/>
  <c r="X1863" i="3" s="1"/>
  <c r="J1880" i="3"/>
  <c r="X1880" i="3" s="1"/>
  <c r="J1637" i="3"/>
  <c r="X1637" i="3" s="1"/>
  <c r="J1675" i="3"/>
  <c r="X1675" i="3" s="1"/>
  <c r="J1706" i="3"/>
  <c r="X1706" i="3" s="1"/>
  <c r="J1736" i="3"/>
  <c r="X1736" i="3" s="1"/>
  <c r="J1749" i="3"/>
  <c r="X1749" i="3" s="1"/>
  <c r="J1897" i="3"/>
  <c r="X1897" i="3" s="1"/>
  <c r="J1913" i="3"/>
  <c r="X1913" i="3" s="1"/>
  <c r="J1929" i="3"/>
  <c r="X1929" i="3" s="1"/>
  <c r="J1945" i="3"/>
  <c r="X1945" i="3" s="1"/>
  <c r="J1961" i="3"/>
  <c r="X1961" i="3" s="1"/>
  <c r="J1977" i="3"/>
  <c r="X1977" i="3" s="1"/>
  <c r="J1993" i="3"/>
  <c r="X1993" i="3" s="1"/>
  <c r="J2009" i="3"/>
  <c r="X2009" i="3" s="1"/>
  <c r="J2025" i="3"/>
  <c r="X2025" i="3" s="1"/>
  <c r="J2041" i="3"/>
  <c r="X2041" i="3" s="1"/>
  <c r="J2057" i="3"/>
  <c r="X2057" i="3" s="1"/>
  <c r="J1722" i="3"/>
  <c r="X1722" i="3" s="1"/>
  <c r="J1784" i="3"/>
  <c r="X1784" i="3" s="1"/>
  <c r="J1797" i="3"/>
  <c r="X1797" i="3" s="1"/>
  <c r="J1846" i="3"/>
  <c r="X1846" i="3" s="1"/>
  <c r="J1852" i="3"/>
  <c r="X1852" i="3" s="1"/>
  <c r="J1869" i="3"/>
  <c r="X1869" i="3" s="1"/>
  <c r="J1886" i="3"/>
  <c r="X1886" i="3" s="1"/>
  <c r="J1621" i="3"/>
  <c r="X1621" i="3" s="1"/>
  <c r="J1653" i="3"/>
  <c r="X1653" i="3" s="1"/>
  <c r="J1696" i="3"/>
  <c r="X1696" i="3" s="1"/>
  <c r="J1757" i="3"/>
  <c r="X1757" i="3" s="1"/>
  <c r="J1770" i="3"/>
  <c r="X1770" i="3" s="1"/>
  <c r="J1817" i="3"/>
  <c r="X1817" i="3" s="1"/>
  <c r="J1823" i="3"/>
  <c r="X1823" i="3" s="1"/>
  <c r="J1829" i="3"/>
  <c r="X1829" i="3" s="1"/>
  <c r="J1908" i="3"/>
  <c r="X1908" i="3" s="1"/>
  <c r="J1924" i="3"/>
  <c r="X1924" i="3" s="1"/>
  <c r="J1940" i="3"/>
  <c r="X1940" i="3" s="1"/>
  <c r="J1956" i="3"/>
  <c r="X1956" i="3" s="1"/>
  <c r="J1972" i="3"/>
  <c r="X1972" i="3" s="1"/>
  <c r="J1988" i="3"/>
  <c r="X1988" i="3" s="1"/>
  <c r="J2004" i="3"/>
  <c r="X2004" i="3" s="1"/>
  <c r="J2020" i="3"/>
  <c r="X2020" i="3" s="1"/>
  <c r="J2036" i="3"/>
  <c r="X2036" i="3" s="1"/>
  <c r="J2052" i="3"/>
  <c r="X2052" i="3" s="1"/>
  <c r="J1743" i="3"/>
  <c r="X1743" i="3" s="1"/>
  <c r="J1811" i="3"/>
  <c r="X1811" i="3" s="1"/>
  <c r="J1835" i="3"/>
  <c r="X1835" i="3" s="1"/>
  <c r="J1858" i="3"/>
  <c r="X1858" i="3" s="1"/>
  <c r="J1875" i="3"/>
  <c r="X1875" i="3" s="1"/>
  <c r="J1892" i="3"/>
  <c r="X1892" i="3" s="1"/>
  <c r="J1600" i="3"/>
  <c r="X1600" i="3" s="1"/>
  <c r="J1686" i="3"/>
  <c r="X1686" i="3" s="1"/>
  <c r="J1716" i="3"/>
  <c r="X1716" i="3" s="1"/>
  <c r="J1791" i="3"/>
  <c r="X1791" i="3" s="1"/>
  <c r="J1805" i="3"/>
  <c r="X1805" i="3" s="1"/>
  <c r="J1903" i="3"/>
  <c r="X1903" i="3" s="1"/>
  <c r="J1919" i="3"/>
  <c r="X1919" i="3" s="1"/>
  <c r="J1935" i="3"/>
  <c r="X1935" i="3" s="1"/>
  <c r="J1951" i="3"/>
  <c r="X1951" i="3" s="1"/>
  <c r="J1967" i="3"/>
  <c r="X1967" i="3" s="1"/>
  <c r="J1983" i="3"/>
  <c r="X1983" i="3" s="1"/>
  <c r="J1999" i="3"/>
  <c r="X1999" i="3" s="1"/>
  <c r="J2015" i="3"/>
  <c r="X2015" i="3" s="1"/>
  <c r="J2031" i="3"/>
  <c r="X2031" i="3" s="1"/>
  <c r="J2047" i="3"/>
  <c r="X2047" i="3" s="1"/>
  <c r="J2063" i="3"/>
  <c r="X2063" i="3" s="1"/>
  <c r="J1556" i="3"/>
  <c r="X1556" i="3" s="1"/>
  <c r="J1764" i="3"/>
  <c r="X1764" i="3" s="1"/>
  <c r="J1847" i="3"/>
  <c r="X1847" i="3" s="1"/>
  <c r="J1864" i="3"/>
  <c r="X1864" i="3" s="1"/>
  <c r="J1881" i="3"/>
  <c r="X1881" i="3" s="1"/>
  <c r="J1638" i="3"/>
  <c r="X1638" i="3" s="1"/>
  <c r="J1707" i="3"/>
  <c r="X1707" i="3" s="1"/>
  <c r="J1737" i="3"/>
  <c r="X1737" i="3" s="1"/>
  <c r="J1750" i="3"/>
  <c r="X1750" i="3" s="1"/>
  <c r="J1898" i="3"/>
  <c r="X1898" i="3" s="1"/>
  <c r="J1914" i="3"/>
  <c r="X1914" i="3" s="1"/>
  <c r="J1930" i="3"/>
  <c r="X1930" i="3" s="1"/>
  <c r="J1946" i="3"/>
  <c r="X1946" i="3" s="1"/>
  <c r="J1962" i="3"/>
  <c r="X1962" i="3" s="1"/>
  <c r="J1978" i="3"/>
  <c r="X1978" i="3" s="1"/>
  <c r="J1689" i="3"/>
  <c r="X1689" i="3" s="1"/>
  <c r="J1723" i="3"/>
  <c r="X1723" i="3" s="1"/>
  <c r="J1785" i="3"/>
  <c r="X1785" i="3" s="1"/>
  <c r="J1798" i="3"/>
  <c r="X1798" i="3" s="1"/>
  <c r="J1836" i="3"/>
  <c r="X1836" i="3" s="1"/>
  <c r="J1853" i="3"/>
  <c r="X1853" i="3" s="1"/>
  <c r="J1870" i="3"/>
  <c r="X1870" i="3" s="1"/>
  <c r="J1887" i="3"/>
  <c r="X1887" i="3" s="1"/>
  <c r="J1622" i="3"/>
  <c r="X1622" i="3" s="1"/>
  <c r="J1654" i="3"/>
  <c r="X1654" i="3" s="1"/>
  <c r="J1758" i="3"/>
  <c r="X1758" i="3" s="1"/>
  <c r="J1771" i="3"/>
  <c r="X1771" i="3" s="1"/>
  <c r="J1818" i="3"/>
  <c r="X1818" i="3" s="1"/>
  <c r="J1824" i="3"/>
  <c r="X1824" i="3" s="1"/>
  <c r="J1830" i="3"/>
  <c r="X1830" i="3" s="1"/>
  <c r="J1909" i="3"/>
  <c r="X1909" i="3" s="1"/>
  <c r="J1925" i="3"/>
  <c r="X1925" i="3" s="1"/>
  <c r="J1941" i="3"/>
  <c r="X1941" i="3" s="1"/>
  <c r="J1957" i="3"/>
  <c r="X1957" i="3" s="1"/>
  <c r="J1973" i="3"/>
  <c r="X1973" i="3" s="1"/>
  <c r="J1642" i="3"/>
  <c r="X1642" i="3" s="1"/>
  <c r="J1679" i="3"/>
  <c r="X1679" i="3" s="1"/>
  <c r="J1731" i="3"/>
  <c r="X1731" i="3" s="1"/>
  <c r="J1744" i="3"/>
  <c r="X1744" i="3" s="1"/>
  <c r="J1812" i="3"/>
  <c r="X1812" i="3" s="1"/>
  <c r="J1842" i="3"/>
  <c r="X1842" i="3" s="1"/>
  <c r="J1859" i="3"/>
  <c r="X1859" i="3" s="1"/>
  <c r="J1876" i="3"/>
  <c r="X1876" i="3" s="1"/>
  <c r="J1893" i="3"/>
  <c r="X1893" i="3" s="1"/>
  <c r="J1605" i="3"/>
  <c r="X1605" i="3" s="1"/>
  <c r="J1709" i="3"/>
  <c r="X1709" i="3" s="1"/>
  <c r="J1717" i="3"/>
  <c r="X1717" i="3" s="1"/>
  <c r="J1779" i="3"/>
  <c r="X1779" i="3" s="1"/>
  <c r="J1792" i="3"/>
  <c r="X1792" i="3" s="1"/>
  <c r="J1806" i="3"/>
  <c r="X1806" i="3" s="1"/>
  <c r="J1904" i="3"/>
  <c r="X1904" i="3" s="1"/>
  <c r="J1920" i="3"/>
  <c r="X1920" i="3" s="1"/>
  <c r="J1936" i="3"/>
  <c r="X1936" i="3" s="1"/>
  <c r="J1952" i="3"/>
  <c r="X1952" i="3" s="1"/>
  <c r="J1968" i="3"/>
  <c r="X1968" i="3" s="1"/>
  <c r="J1984" i="3"/>
  <c r="X1984" i="3" s="1"/>
  <c r="J2000" i="3"/>
  <c r="X2000" i="3" s="1"/>
  <c r="J2016" i="3"/>
  <c r="X2016" i="3" s="1"/>
  <c r="J1567" i="3"/>
  <c r="X1567" i="3" s="1"/>
  <c r="J1669" i="3"/>
  <c r="X1669" i="3" s="1"/>
  <c r="J1700" i="3"/>
  <c r="X1700" i="3" s="1"/>
  <c r="J1752" i="3"/>
  <c r="X1752" i="3" s="1"/>
  <c r="J1765" i="3"/>
  <c r="X1765" i="3" s="1"/>
  <c r="J1848" i="3"/>
  <c r="X1848" i="3" s="1"/>
  <c r="J1865" i="3"/>
  <c r="X1865" i="3" s="1"/>
  <c r="J1882" i="3"/>
  <c r="X1882" i="3" s="1"/>
  <c r="J1725" i="3"/>
  <c r="X1725" i="3" s="1"/>
  <c r="J1738" i="3"/>
  <c r="X1738" i="3" s="1"/>
  <c r="J1800" i="3"/>
  <c r="X1800" i="3" s="1"/>
  <c r="J1831" i="3"/>
  <c r="X1831" i="3" s="1"/>
  <c r="J1899" i="3"/>
  <c r="X1899" i="3" s="1"/>
  <c r="J1915" i="3"/>
  <c r="X1915" i="3" s="1"/>
  <c r="J1931" i="3"/>
  <c r="X1931" i="3" s="1"/>
  <c r="J1947" i="3"/>
  <c r="X1947" i="3" s="1"/>
  <c r="J1963" i="3"/>
  <c r="X1963" i="3" s="1"/>
  <c r="J1979" i="3"/>
  <c r="X1979" i="3" s="1"/>
  <c r="J1995" i="3"/>
  <c r="X1995" i="3" s="1"/>
  <c r="J2011" i="3"/>
  <c r="X2011" i="3" s="1"/>
  <c r="J1658" i="3"/>
  <c r="X1658" i="3" s="1"/>
  <c r="J1690" i="3"/>
  <c r="X1690" i="3" s="1"/>
  <c r="J1773" i="3"/>
  <c r="X1773" i="3" s="1"/>
  <c r="J1786" i="3"/>
  <c r="X1786" i="3" s="1"/>
  <c r="J1837" i="3"/>
  <c r="X1837" i="3" s="1"/>
  <c r="J1854" i="3"/>
  <c r="X1854" i="3" s="1"/>
  <c r="J1871" i="3"/>
  <c r="X1871" i="3" s="1"/>
  <c r="J1888" i="3"/>
  <c r="X1888" i="3" s="1"/>
  <c r="J1759" i="3"/>
  <c r="X1759" i="3" s="1"/>
  <c r="J1819" i="3"/>
  <c r="X1819" i="3" s="1"/>
  <c r="J1910" i="3"/>
  <c r="X1910" i="3" s="1"/>
  <c r="J1926" i="3"/>
  <c r="X1926" i="3" s="1"/>
  <c r="J1942" i="3"/>
  <c r="X1942" i="3" s="1"/>
  <c r="J1627" i="3"/>
  <c r="X1627" i="3" s="1"/>
  <c r="J1643" i="3"/>
  <c r="X1643" i="3" s="1"/>
  <c r="J1680" i="3"/>
  <c r="X1680" i="3" s="1"/>
  <c r="J1732" i="3"/>
  <c r="X1732" i="3" s="1"/>
  <c r="J1813" i="3"/>
  <c r="X1813" i="3" s="1"/>
  <c r="J1843" i="3"/>
  <c r="X1843" i="3" s="1"/>
  <c r="J1860" i="3"/>
  <c r="X1860" i="3" s="1"/>
  <c r="J1877" i="3"/>
  <c r="X1877" i="3" s="1"/>
  <c r="J1894" i="3"/>
  <c r="X1894" i="3" s="1"/>
  <c r="J1718" i="3"/>
  <c r="X1718" i="3" s="1"/>
  <c r="J1780" i="3"/>
  <c r="X1780" i="3" s="1"/>
  <c r="J1807" i="3"/>
  <c r="X1807" i="3" s="1"/>
  <c r="J1905" i="3"/>
  <c r="X1905" i="3" s="1"/>
  <c r="J1921" i="3"/>
  <c r="X1921" i="3" s="1"/>
  <c r="J1937" i="3"/>
  <c r="X1937" i="3" s="1"/>
  <c r="J1953" i="3"/>
  <c r="X1953" i="3" s="1"/>
  <c r="J1578" i="3"/>
  <c r="X1578" i="3" s="1"/>
  <c r="J1610" i="3"/>
  <c r="X1610" i="3" s="1"/>
  <c r="J1670" i="3"/>
  <c r="X1670" i="3" s="1"/>
  <c r="J1701" i="3"/>
  <c r="X1701" i="3" s="1"/>
  <c r="J1711" i="3"/>
  <c r="X1711" i="3" s="1"/>
  <c r="J1753" i="3"/>
  <c r="X1753" i="3" s="1"/>
  <c r="J1766" i="3"/>
  <c r="X1766" i="3" s="1"/>
  <c r="J1832" i="3"/>
  <c r="X1832" i="3" s="1"/>
  <c r="J1849" i="3"/>
  <c r="X1849" i="3" s="1"/>
  <c r="J1866" i="3"/>
  <c r="X1866" i="3" s="1"/>
  <c r="J1883" i="3"/>
  <c r="X1883" i="3" s="1"/>
  <c r="J1726" i="3"/>
  <c r="X1726" i="3" s="1"/>
  <c r="J1739" i="3"/>
  <c r="X1739" i="3" s="1"/>
  <c r="J1801" i="3"/>
  <c r="X1801" i="3" s="1"/>
  <c r="J1820" i="3"/>
  <c r="X1820" i="3" s="1"/>
  <c r="J1900" i="3"/>
  <c r="X1900" i="3" s="1"/>
  <c r="J1916" i="3"/>
  <c r="X1916" i="3" s="1"/>
  <c r="J1932" i="3"/>
  <c r="X1932" i="3" s="1"/>
  <c r="J1948" i="3"/>
  <c r="X1948" i="3" s="1"/>
  <c r="J1659" i="3"/>
  <c r="X1659" i="3" s="1"/>
  <c r="J1691" i="3"/>
  <c r="X1691" i="3" s="1"/>
  <c r="J1774" i="3"/>
  <c r="X1774" i="3" s="1"/>
  <c r="J1787" i="3"/>
  <c r="X1787" i="3" s="1"/>
  <c r="J1838" i="3"/>
  <c r="X1838" i="3" s="1"/>
  <c r="J1855" i="3"/>
  <c r="X1855" i="3" s="1"/>
  <c r="J1872" i="3"/>
  <c r="X1872" i="3" s="1"/>
  <c r="J1673" i="3"/>
  <c r="X1673" i="3" s="1"/>
  <c r="J1747" i="3"/>
  <c r="X1747" i="3" s="1"/>
  <c r="J1760" i="3"/>
  <c r="X1760" i="3" s="1"/>
  <c r="J1720" i="3"/>
  <c r="X1720" i="3" s="1"/>
  <c r="J1733" i="3"/>
  <c r="X1733" i="3" s="1"/>
  <c r="J1795" i="3"/>
  <c r="X1795" i="3" s="1"/>
  <c r="J1814" i="3"/>
  <c r="X1814" i="3" s="1"/>
  <c r="J1844" i="3"/>
  <c r="X1844" i="3" s="1"/>
  <c r="J1861" i="3"/>
  <c r="X1861" i="3" s="1"/>
  <c r="J1878" i="3"/>
  <c r="X1878" i="3" s="1"/>
  <c r="J1611" i="3"/>
  <c r="X1611" i="3" s="1"/>
  <c r="J1768" i="3"/>
  <c r="X1768" i="3" s="1"/>
  <c r="J1781" i="3"/>
  <c r="X1781" i="3" s="1"/>
  <c r="J1808" i="3"/>
  <c r="X1808" i="3" s="1"/>
  <c r="J1821" i="3"/>
  <c r="X1821" i="3" s="1"/>
  <c r="J1827" i="3"/>
  <c r="X1827" i="3" s="1"/>
  <c r="J1906" i="3"/>
  <c r="X1906" i="3" s="1"/>
  <c r="J1922" i="3"/>
  <c r="X1922" i="3" s="1"/>
  <c r="K8" i="3"/>
  <c r="J8" i="3"/>
  <c r="AA2078" i="3"/>
  <c r="AA2070" i="3"/>
  <c r="AB2060" i="3"/>
  <c r="I2053" i="3"/>
  <c r="W2053" i="3" s="1"/>
  <c r="AA2042" i="3"/>
  <c r="K2032" i="3"/>
  <c r="Y2032" i="3" s="1"/>
  <c r="I2018" i="3"/>
  <c r="W2018" i="3" s="1"/>
  <c r="I2006" i="3"/>
  <c r="W2006" i="3" s="1"/>
  <c r="AA1990" i="3"/>
  <c r="AA1974" i="3"/>
  <c r="I1954" i="3"/>
  <c r="W1954" i="3" s="1"/>
  <c r="I1878" i="3"/>
  <c r="W1878" i="3" s="1"/>
  <c r="AG25" i="3" l="1" a="1"/>
  <c r="AG25" i="3" s="1"/>
  <c r="AA8" i="3"/>
  <c r="M4" i="3"/>
  <c r="M5" i="3"/>
  <c r="M6" i="3"/>
  <c r="AB8" i="3"/>
  <c r="AB6" i="3" s="1"/>
  <c r="N6" i="3"/>
  <c r="N5" i="3"/>
  <c r="N4" i="3"/>
  <c r="Y8" i="3"/>
  <c r="K5" i="3"/>
  <c r="K6" i="3"/>
  <c r="K4" i="3"/>
  <c r="X8" i="3"/>
  <c r="X4" i="3" s="1"/>
  <c r="J4" i="3"/>
  <c r="J5" i="3"/>
  <c r="J6" i="3"/>
  <c r="Z8" i="3"/>
  <c r="Z4" i="3" s="1"/>
  <c r="L6" i="3"/>
  <c r="L4" i="3"/>
  <c r="L5" i="3"/>
  <c r="W8" i="3"/>
  <c r="W6" i="3" s="1"/>
  <c r="I6" i="3"/>
  <c r="I5" i="3"/>
  <c r="I4" i="3"/>
  <c r="AA4" i="3"/>
  <c r="AA5" i="3"/>
  <c r="AA6" i="3"/>
  <c r="Y4" i="3"/>
  <c r="Y5" i="3"/>
  <c r="Y6" i="3"/>
  <c r="AB4" i="3"/>
  <c r="AB5" i="3"/>
  <c r="X5" i="3" l="1"/>
  <c r="Z5" i="3"/>
  <c r="X6" i="3"/>
  <c r="Z6" i="3"/>
  <c r="W4" i="3"/>
  <c r="W5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23BFF75-FFCF-472D-8D18-9F811BF775D1}" keepAlive="1" name="Query - 0811_173439" description="Connection to the '0811_173439' query in the workbook." type="5" refreshedVersion="7" background="1" saveData="1">
    <dbPr connection="Provider=Microsoft.Mashup.OleDb.1;Data Source=$Workbook$;Location=0811_173439;Extended Properties=&quot;&quot;" command="SELECT * FROM [0811_173439]"/>
  </connection>
  <connection id="2" xr16:uid="{4E3B1E56-6594-4DE8-97EA-89216A5AF824}" keepAlive="1" name="Query - DataLog_T717420_Aug11_4_59_37pm" description="Connection to the 'DataLog_T717420_Aug11_4_59_37pm' query in the workbook." type="5" refreshedVersion="7" background="1" saveData="1">
    <dbPr connection="Provider=Microsoft.Mashup.OleDb.1;Data Source=$Workbook$;Location=DataLog_T717420_Aug11_4_59_37pm;Extended Properties=&quot;&quot;" command="SELECT * FROM [DataLog_T717420_Aug11_4_59_37pm]"/>
  </connection>
  <connection id="3" xr16:uid="{D64F9E99-07F7-48E4-B228-32B603B9C79A}" keepAlive="1" name="Query - DDLI DME" description="Connection to the 'DDLI DME' query in the workbook." type="5" refreshedVersion="7" background="1" saveData="1">
    <dbPr connection="Provider=Microsoft.Mashup.OleDb.1;Data Source=$Workbook$;Location=&quot;DDLI DME&quot;;Extended Properties=&quot;&quot;" command="SELECT * FROM [DDLI DM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<sst xmlns="http://schemas.openxmlformats.org/spreadsheetml/2006/main" count="16278" uniqueCount="2383">
  <si>
    <t>CI</t>
  </si>
  <si>
    <t>Data</t>
  </si>
  <si>
    <t>5A2D</t>
  </si>
  <si>
    <t>Pressure downstream of throttle</t>
  </si>
  <si>
    <t>Length (bit)</t>
  </si>
  <si>
    <t>Unit</t>
  </si>
  <si>
    <t>hPa</t>
  </si>
  <si>
    <t>580D</t>
  </si>
  <si>
    <t>58DD</t>
  </si>
  <si>
    <t>58F0</t>
  </si>
  <si>
    <t>580F</t>
  </si>
  <si>
    <t>Speed</t>
  </si>
  <si>
    <t>Boost</t>
  </si>
  <si>
    <t>HPFP</t>
  </si>
  <si>
    <t>Oil Temp</t>
  </si>
  <si>
    <t>Coolant Temp</t>
  </si>
  <si>
    <t>degC</t>
  </si>
  <si>
    <t>MUL</t>
  </si>
  <si>
    <t>DIV</t>
  </si>
  <si>
    <t>ADD</t>
  </si>
  <si>
    <t>580C</t>
  </si>
  <si>
    <t>4402</t>
  </si>
  <si>
    <t>5805</t>
  </si>
  <si>
    <t>00</t>
  </si>
  <si>
    <t>5F</t>
  </si>
  <si>
    <t>69</t>
  </si>
  <si>
    <t>78</t>
  </si>
  <si>
    <t>3145</t>
  </si>
  <si>
    <t>316E</t>
  </si>
  <si>
    <t>3FDB</t>
  </si>
  <si>
    <t>60</t>
  </si>
  <si>
    <t>3FDF</t>
  </si>
  <si>
    <t>3FEA</t>
  </si>
  <si>
    <t>3FEE</t>
  </si>
  <si>
    <t>3FE3</t>
  </si>
  <si>
    <t>4010</t>
  </si>
  <si>
    <t>400D</t>
  </si>
  <si>
    <t>3FF6</t>
  </si>
  <si>
    <t>4005</t>
  </si>
  <si>
    <t>4018</t>
  </si>
  <si>
    <t>401C</t>
  </si>
  <si>
    <t>4036</t>
  </si>
  <si>
    <t>4020</t>
  </si>
  <si>
    <t>4033</t>
  </si>
  <si>
    <t>402B</t>
  </si>
  <si>
    <t>404D</t>
  </si>
  <si>
    <t>404A</t>
  </si>
  <si>
    <t>403E</t>
  </si>
  <si>
    <t>4042</t>
  </si>
  <si>
    <t>4055</t>
  </si>
  <si>
    <t>01</t>
  </si>
  <si>
    <t>02</t>
  </si>
  <si>
    <t>03</t>
  </si>
  <si>
    <t>3156</t>
  </si>
  <si>
    <t>4313</t>
  </si>
  <si>
    <t>4920</t>
  </si>
  <si>
    <t>04</t>
  </si>
  <si>
    <t>493E</t>
  </si>
  <si>
    <t>314B</t>
  </si>
  <si>
    <t>44DD</t>
  </si>
  <si>
    <t>45F7</t>
  </si>
  <si>
    <t>07</t>
  </si>
  <si>
    <t>519A</t>
  </si>
  <si>
    <t>0D</t>
  </si>
  <si>
    <t>5662</t>
  </si>
  <si>
    <t>312E</t>
  </si>
  <si>
    <t>11</t>
  </si>
  <si>
    <t>5AF5</t>
  </si>
  <si>
    <t>3109</t>
  </si>
  <si>
    <t>17</t>
  </si>
  <si>
    <t>5507</t>
  </si>
  <si>
    <t>3154</t>
  </si>
  <si>
    <t>1C</t>
  </si>
  <si>
    <t>4D72</t>
  </si>
  <si>
    <t>30E9</t>
  </si>
  <si>
    <t>20</t>
  </si>
  <si>
    <t>4702</t>
  </si>
  <si>
    <t>310B</t>
  </si>
  <si>
    <t>22</t>
  </si>
  <si>
    <t>417F</t>
  </si>
  <si>
    <t>3114</t>
  </si>
  <si>
    <t>23</t>
  </si>
  <si>
    <t>3CFF</t>
  </si>
  <si>
    <t>3133</t>
  </si>
  <si>
    <t>24</t>
  </si>
  <si>
    <t>3982</t>
  </si>
  <si>
    <t>313C</t>
  </si>
  <si>
    <t>37EA</t>
  </si>
  <si>
    <t>25</t>
  </si>
  <si>
    <t>3823</t>
  </si>
  <si>
    <t>3153</t>
  </si>
  <si>
    <t>37C0</t>
  </si>
  <si>
    <t>3142</t>
  </si>
  <si>
    <t>3709</t>
  </si>
  <si>
    <t>35DF</t>
  </si>
  <si>
    <t>3578</t>
  </si>
  <si>
    <t>3155</t>
  </si>
  <si>
    <t>3521</t>
  </si>
  <si>
    <t>315B</t>
  </si>
  <si>
    <t>340A</t>
  </si>
  <si>
    <t>3416</t>
  </si>
  <si>
    <t>33DC</t>
  </si>
  <si>
    <t>315F</t>
  </si>
  <si>
    <t>3388</t>
  </si>
  <si>
    <t>33EF</t>
  </si>
  <si>
    <t>316B</t>
  </si>
  <si>
    <t>33E4</t>
  </si>
  <si>
    <t>332D</t>
  </si>
  <si>
    <t>337D</t>
  </si>
  <si>
    <t>21</t>
  </si>
  <si>
    <t>33AB</t>
  </si>
  <si>
    <t>32C2</t>
  </si>
  <si>
    <t>3340</t>
  </si>
  <si>
    <t>32FB</t>
  </si>
  <si>
    <t>1F</t>
  </si>
  <si>
    <t>359B</t>
  </si>
  <si>
    <t>3602</t>
  </si>
  <si>
    <t>1E</t>
  </si>
  <si>
    <t>370D</t>
  </si>
  <si>
    <t>373E</t>
  </si>
  <si>
    <t>1D</t>
  </si>
  <si>
    <t>371C</t>
  </si>
  <si>
    <t>3746</t>
  </si>
  <si>
    <t>374D</t>
  </si>
  <si>
    <t>3783</t>
  </si>
  <si>
    <t>3710</t>
  </si>
  <si>
    <t>37A9</t>
  </si>
  <si>
    <t>36CC</t>
  </si>
  <si>
    <t>1B</t>
  </si>
  <si>
    <t>3787</t>
  </si>
  <si>
    <t>3777</t>
  </si>
  <si>
    <t>37FD</t>
  </si>
  <si>
    <t>36F6</t>
  </si>
  <si>
    <t>1A</t>
  </si>
  <si>
    <t>3693</t>
  </si>
  <si>
    <t>3723</t>
  </si>
  <si>
    <t>19</t>
  </si>
  <si>
    <t>3683</t>
  </si>
  <si>
    <t>3670</t>
  </si>
  <si>
    <t>3733</t>
  </si>
  <si>
    <t>377B</t>
  </si>
  <si>
    <t>36D0</t>
  </si>
  <si>
    <t>363F</t>
  </si>
  <si>
    <t>3796</t>
  </si>
  <si>
    <t>3624</t>
  </si>
  <si>
    <t>36A9</t>
  </si>
  <si>
    <t>18</t>
  </si>
  <si>
    <t>3727</t>
  </si>
  <si>
    <t>36AD</t>
  </si>
  <si>
    <t>3659</t>
  </si>
  <si>
    <t>36FD</t>
  </si>
  <si>
    <t>68</t>
  </si>
  <si>
    <t>36DB</t>
  </si>
  <si>
    <t>36D3</t>
  </si>
  <si>
    <t>37AD</t>
  </si>
  <si>
    <t>369E</t>
  </si>
  <si>
    <t>3687</t>
  </si>
  <si>
    <t>3701</t>
  </si>
  <si>
    <t>3655</t>
  </si>
  <si>
    <t>3652</t>
  </si>
  <si>
    <t>16</t>
  </si>
  <si>
    <t>37D3</t>
  </si>
  <si>
    <t>373A</t>
  </si>
  <si>
    <t>36C4</t>
  </si>
  <si>
    <t>316D</t>
  </si>
  <si>
    <t>36EA</t>
  </si>
  <si>
    <t>3764</t>
  </si>
  <si>
    <t>3751</t>
  </si>
  <si>
    <t>3169</t>
  </si>
  <si>
    <t>316A</t>
  </si>
  <si>
    <t>374A</t>
  </si>
  <si>
    <t>3166</t>
  </si>
  <si>
    <t>36F2</t>
  </si>
  <si>
    <t>3168</t>
  </si>
  <si>
    <t>15</t>
  </si>
  <si>
    <t>3164</t>
  </si>
  <si>
    <t>36B9</t>
  </si>
  <si>
    <t>37B4</t>
  </si>
  <si>
    <t>3718</t>
  </si>
  <si>
    <t>3165</t>
  </si>
  <si>
    <t>3162</t>
  </si>
  <si>
    <t>36E3</t>
  </si>
  <si>
    <t>382E</t>
  </si>
  <si>
    <t>14</t>
  </si>
  <si>
    <t>378A</t>
  </si>
  <si>
    <t>3161</t>
  </si>
  <si>
    <t>315D</t>
  </si>
  <si>
    <t>315C</t>
  </si>
  <si>
    <t>3755</t>
  </si>
  <si>
    <t>13</t>
  </si>
  <si>
    <t>3158</t>
  </si>
  <si>
    <t>3159</t>
  </si>
  <si>
    <t>315E</t>
  </si>
  <si>
    <t>3761</t>
  </si>
  <si>
    <t>368F</t>
  </si>
  <si>
    <t>36B5</t>
  </si>
  <si>
    <t>3167</t>
  </si>
  <si>
    <t>361C</t>
  </si>
  <si>
    <t>367C</t>
  </si>
  <si>
    <t>3661</t>
  </si>
  <si>
    <t>37DE</t>
  </si>
  <si>
    <t>364A</t>
  </si>
  <si>
    <t>37C8</t>
  </si>
  <si>
    <t>3160</t>
  </si>
  <si>
    <t>37B8</t>
  </si>
  <si>
    <t>372F</t>
  </si>
  <si>
    <t>3759</t>
  </si>
  <si>
    <t>36DF</t>
  </si>
  <si>
    <t>3628</t>
  </si>
  <si>
    <t>3678</t>
  </si>
  <si>
    <t>362F</t>
  </si>
  <si>
    <t>3163</t>
  </si>
  <si>
    <t>3618</t>
  </si>
  <si>
    <t>315A</t>
  </si>
  <si>
    <t>3665</t>
  </si>
  <si>
    <t>3696</t>
  </si>
  <si>
    <t>3157</t>
  </si>
  <si>
    <t>376C</t>
  </si>
  <si>
    <t>3770</t>
  </si>
  <si>
    <t>37F5</t>
  </si>
  <si>
    <t>37CF</t>
  </si>
  <si>
    <t>36E6</t>
  </si>
  <si>
    <t>366C</t>
  </si>
  <si>
    <t>35DB</t>
  </si>
  <si>
    <t>3646</t>
  </si>
  <si>
    <t>372B</t>
  </si>
  <si>
    <t>3768</t>
  </si>
  <si>
    <t>34A6</t>
  </si>
  <si>
    <t>3877</t>
  </si>
  <si>
    <t>3892</t>
  </si>
  <si>
    <t>37C4</t>
  </si>
  <si>
    <t>383A</t>
  </si>
  <si>
    <t>3849</t>
  </si>
  <si>
    <t>379A</t>
  </si>
  <si>
    <t>3792</t>
  </si>
  <si>
    <t>3151</t>
  </si>
  <si>
    <t>3152</t>
  </si>
  <si>
    <t>35D0</t>
  </si>
  <si>
    <t>35D8</t>
  </si>
  <si>
    <t>355E</t>
  </si>
  <si>
    <t>3453</t>
  </si>
  <si>
    <t>33C5</t>
  </si>
  <si>
    <t>379E</t>
  </si>
  <si>
    <t>381B</t>
  </si>
  <si>
    <t>380C</t>
  </si>
  <si>
    <t>3150</t>
  </si>
  <si>
    <t>3620</t>
  </si>
  <si>
    <t>314C</t>
  </si>
  <si>
    <t>36C0</t>
  </si>
  <si>
    <t>36A2</t>
  </si>
  <si>
    <t>314D</t>
  </si>
  <si>
    <t>3633</t>
  </si>
  <si>
    <t>36D7</t>
  </si>
  <si>
    <t>79</t>
  </si>
  <si>
    <t>36BC</t>
  </si>
  <si>
    <t>314F</t>
  </si>
  <si>
    <t>3737</t>
  </si>
  <si>
    <t>36B1</t>
  </si>
  <si>
    <t>314E</t>
  </si>
  <si>
    <t>37A1</t>
  </si>
  <si>
    <t>36EE</t>
  </si>
  <si>
    <t>7A</t>
  </si>
  <si>
    <t>61</t>
  </si>
  <si>
    <t>7B</t>
  </si>
  <si>
    <t>3720</t>
  </si>
  <si>
    <t>3147</t>
  </si>
  <si>
    <t>3954</t>
  </si>
  <si>
    <t>392E</t>
  </si>
  <si>
    <t>396B</t>
  </si>
  <si>
    <t>3923</t>
  </si>
  <si>
    <t>38B4</t>
  </si>
  <si>
    <t>34E3</t>
  </si>
  <si>
    <t>3149</t>
  </si>
  <si>
    <t>3375</t>
  </si>
  <si>
    <t>3140</t>
  </si>
  <si>
    <t>3515</t>
  </si>
  <si>
    <t>3528</t>
  </si>
  <si>
    <t>389D</t>
  </si>
  <si>
    <t>38F5</t>
  </si>
  <si>
    <t>39A0</t>
  </si>
  <si>
    <t>3A22</t>
  </si>
  <si>
    <t>3A63</t>
  </si>
  <si>
    <t>3A17</t>
  </si>
  <si>
    <t>3B0F</t>
  </si>
  <si>
    <t>3AC2</t>
  </si>
  <si>
    <t>3B16</t>
  </si>
  <si>
    <t>3A5F</t>
  </si>
  <si>
    <t>3AD2</t>
  </si>
  <si>
    <t>3A1B</t>
  </si>
  <si>
    <t>3995</t>
  </si>
  <si>
    <t>396F</t>
  </si>
  <si>
    <t>35EB</t>
  </si>
  <si>
    <t>7C</t>
  </si>
  <si>
    <t>3714</t>
  </si>
  <si>
    <t>35FA</t>
  </si>
  <si>
    <t>3456</t>
  </si>
  <si>
    <t>3113</t>
  </si>
  <si>
    <t>30CE</t>
  </si>
  <si>
    <t>38C3</t>
  </si>
  <si>
    <t>30B7</t>
  </si>
  <si>
    <t>4186</t>
  </si>
  <si>
    <t>309C</t>
  </si>
  <si>
    <t>2A</t>
  </si>
  <si>
    <t>4706</t>
  </si>
  <si>
    <t>306D</t>
  </si>
  <si>
    <t>30</t>
  </si>
  <si>
    <t>48F9</t>
  </si>
  <si>
    <t>3060</t>
  </si>
  <si>
    <t>37</t>
  </si>
  <si>
    <t>4DC6</t>
  </si>
  <si>
    <t>3083</t>
  </si>
  <si>
    <t>3D</t>
  </si>
  <si>
    <t>50C8</t>
  </si>
  <si>
    <t>3E</t>
  </si>
  <si>
    <t>53DA</t>
  </si>
  <si>
    <t>34CF</t>
  </si>
  <si>
    <t>5607</t>
  </si>
  <si>
    <t>340B</t>
  </si>
  <si>
    <t>3B</t>
  </si>
  <si>
    <t>3385</t>
  </si>
  <si>
    <t>3A</t>
  </si>
  <si>
    <t>3349</t>
  </si>
  <si>
    <t>38</t>
  </si>
  <si>
    <t>3326</t>
  </si>
  <si>
    <t>330A</t>
  </si>
  <si>
    <t>35</t>
  </si>
  <si>
    <t>32F5</t>
  </si>
  <si>
    <t>33</t>
  </si>
  <si>
    <t>32E1</t>
  </si>
  <si>
    <t>32</t>
  </si>
  <si>
    <t>32C5</t>
  </si>
  <si>
    <t>55F0</t>
  </si>
  <si>
    <t>32B7</t>
  </si>
  <si>
    <t>2F</t>
  </si>
  <si>
    <t>55CA</t>
  </si>
  <si>
    <t>3299</t>
  </si>
  <si>
    <t>2D</t>
  </si>
  <si>
    <t>55D9</t>
  </si>
  <si>
    <t>328E</t>
  </si>
  <si>
    <t>2B</t>
  </si>
  <si>
    <t>3276</t>
  </si>
  <si>
    <t>3265</t>
  </si>
  <si>
    <t>28</t>
  </si>
  <si>
    <t>3260</t>
  </si>
  <si>
    <t>27</t>
  </si>
  <si>
    <t>323E</t>
  </si>
  <si>
    <t>323C</t>
  </si>
  <si>
    <t>5513</t>
  </si>
  <si>
    <t>3223</t>
  </si>
  <si>
    <t>52B0</t>
  </si>
  <si>
    <t>3215</t>
  </si>
  <si>
    <t>4FE3</t>
  </si>
  <si>
    <t>3213</t>
  </si>
  <si>
    <t>4D35</t>
  </si>
  <si>
    <t>3211</t>
  </si>
  <si>
    <t>4B0F</t>
  </si>
  <si>
    <t>31F6</t>
  </si>
  <si>
    <t>489A</t>
  </si>
  <si>
    <t>31EA</t>
  </si>
  <si>
    <t>4612</t>
  </si>
  <si>
    <t>43E8</t>
  </si>
  <si>
    <t>31E2</t>
  </si>
  <si>
    <t>41F5</t>
  </si>
  <si>
    <t>31C0</t>
  </si>
  <si>
    <t>3C47</t>
  </si>
  <si>
    <t>3B03</t>
  </si>
  <si>
    <t>31BE</t>
  </si>
  <si>
    <t>3A6E</t>
  </si>
  <si>
    <t>319C</t>
  </si>
  <si>
    <t>3197</t>
  </si>
  <si>
    <t>3A91</t>
  </si>
  <si>
    <t>39ED</t>
  </si>
  <si>
    <t>3973</t>
  </si>
  <si>
    <t>39E5</t>
  </si>
  <si>
    <t>318F</t>
  </si>
  <si>
    <t>3192</t>
  </si>
  <si>
    <t>38E9</t>
  </si>
  <si>
    <t>318C</t>
  </si>
  <si>
    <t>317F</t>
  </si>
  <si>
    <t>3858</t>
  </si>
  <si>
    <t>317A</t>
  </si>
  <si>
    <t>37E6</t>
  </si>
  <si>
    <t>316F</t>
  </si>
  <si>
    <t>3827</t>
  </si>
  <si>
    <t>37DB</t>
  </si>
  <si>
    <t>3860</t>
  </si>
  <si>
    <t>37F1</t>
  </si>
  <si>
    <t>3177</t>
  </si>
  <si>
    <t>363B</t>
  </si>
  <si>
    <t>3615</t>
  </si>
  <si>
    <t>360D</t>
  </si>
  <si>
    <t>3674</t>
  </si>
  <si>
    <t>36A6</t>
  </si>
  <si>
    <t>7D</t>
  </si>
  <si>
    <t>3774</t>
  </si>
  <si>
    <t>7E</t>
  </si>
  <si>
    <t>314A</t>
  </si>
  <si>
    <t>62</t>
  </si>
  <si>
    <t>3148</t>
  </si>
  <si>
    <t>367F</t>
  </si>
  <si>
    <t>12</t>
  </si>
  <si>
    <t>0F</t>
  </si>
  <si>
    <t>0E</t>
  </si>
  <si>
    <t>0B</t>
  </si>
  <si>
    <t>0A</t>
  </si>
  <si>
    <t>09</t>
  </si>
  <si>
    <t>08</t>
  </si>
  <si>
    <t>06</t>
  </si>
  <si>
    <t>05</t>
  </si>
  <si>
    <t>7F</t>
  </si>
  <si>
    <t>63</t>
  </si>
  <si>
    <t>RPM</t>
  </si>
  <si>
    <t>IAT</t>
  </si>
  <si>
    <t>RPM [1/MIN]</t>
  </si>
  <si>
    <t>OIL TEMP [Â°C]</t>
  </si>
  <si>
    <t>INTAKE TEMP [Â°C]</t>
  </si>
  <si>
    <t>HPFP PRES. [BAR]</t>
  </si>
  <si>
    <t>COOLANT TEMP [Â°C]</t>
  </si>
  <si>
    <t>BOOST [BAR]</t>
  </si>
  <si>
    <t>1/min</t>
  </si>
  <si>
    <t>Hex</t>
  </si>
  <si>
    <t>Dec</t>
  </si>
  <si>
    <t>Actual</t>
  </si>
  <si>
    <t>CID</t>
  </si>
  <si>
    <t>82</t>
  </si>
  <si>
    <t>80</t>
  </si>
  <si>
    <t>Recalc</t>
  </si>
  <si>
    <t>ERR</t>
  </si>
  <si>
    <t>4185</t>
  </si>
  <si>
    <t>423C</t>
  </si>
  <si>
    <t>81</t>
  </si>
  <si>
    <t>4241</t>
  </si>
  <si>
    <t>423D</t>
  </si>
  <si>
    <t>492B</t>
  </si>
  <si>
    <t>4C17</t>
  </si>
  <si>
    <t>551A</t>
  </si>
  <si>
    <t>4E38</t>
  </si>
  <si>
    <t>4F5A</t>
  </si>
  <si>
    <t>4F15</t>
  </si>
  <si>
    <t>92</t>
  </si>
  <si>
    <t>311C</t>
  </si>
  <si>
    <t>311A</t>
  </si>
  <si>
    <t>3115</t>
  </si>
  <si>
    <t>30E0</t>
  </si>
  <si>
    <t>3111</t>
  </si>
  <si>
    <t>ARG</t>
  </si>
  <si>
    <t>ID</t>
  </si>
  <si>
    <t>RESULTNAME</t>
  </si>
  <si>
    <t>INFO</t>
  </si>
  <si>
    <t>EINHEIT</t>
  </si>
  <si>
    <t>LABEL</t>
  </si>
  <si>
    <t>L/H</t>
  </si>
  <si>
    <t>DATENTYP</t>
  </si>
  <si>
    <t>NAME</t>
  </si>
  <si>
    <t>ITANS</t>
  </si>
  <si>
    <t>0x4200</t>
  </si>
  <si>
    <t>STAT_ANSAUGLUFTTEMPERATUR_1_WERT</t>
  </si>
  <si>
    <t>Ansauglufttemperatur 1</t>
  </si>
  <si>
    <t>Grad C</t>
  </si>
  <si>
    <t>tans</t>
  </si>
  <si>
    <t>-</t>
  </si>
  <si>
    <t>unsigned char</t>
  </si>
  <si>
    <t>IPUMG</t>
  </si>
  <si>
    <t>0x4201</t>
  </si>
  <si>
    <t>STAT_UMGEBUNGSDRUCK_WERT</t>
  </si>
  <si>
    <t>Umgebungsdruck</t>
  </si>
  <si>
    <t>pu_w</t>
  </si>
  <si>
    <t>unsigned integer</t>
  </si>
  <si>
    <t>IPSAU</t>
  </si>
  <si>
    <t>0x4202</t>
  </si>
  <si>
    <t>STAT_SAUGROHRDRUCK_WERT</t>
  </si>
  <si>
    <t>Saugrohrdruck</t>
  </si>
  <si>
    <t>ps_w</t>
  </si>
  <si>
    <t>ILMKG</t>
  </si>
  <si>
    <t>0x4203</t>
  </si>
  <si>
    <t>STAT_MASSENSTROM_VOM_HFM_WERT</t>
  </si>
  <si>
    <t>Massenstrom vom HFM</t>
  </si>
  <si>
    <t>kg/h</t>
  </si>
  <si>
    <t>mshfm_w</t>
  </si>
  <si>
    <t>ITUMG</t>
  </si>
  <si>
    <t>0x4204</t>
  </si>
  <si>
    <t>STAT_UMGEBUNGSTEMPERATUR_WERT</t>
  </si>
  <si>
    <t>Umgebungstemperatur</t>
  </si>
  <si>
    <t>tumg</t>
  </si>
  <si>
    <t>IPLAD</t>
  </si>
  <si>
    <t>0x4205</t>
  </si>
  <si>
    <t>STAT_SAUGROHRDRUCK_1_LADEDRUCK_1_WERT</t>
  </si>
  <si>
    <t>Saugrohrdruck 1 Ladedruck 1</t>
  </si>
  <si>
    <t>pvd_w</t>
  </si>
  <si>
    <t>ITKUM</t>
  </si>
  <si>
    <t>0x4300</t>
  </si>
  <si>
    <t>STAT_KUEHLWASSERTEMPERATUR_WERT</t>
  </si>
  <si>
    <t>KÃ¼hlwassertemperatur</t>
  </si>
  <si>
    <t>tmot</t>
  </si>
  <si>
    <t>ITOEL</t>
  </si>
  <si>
    <t>0x4402</t>
  </si>
  <si>
    <t>STAT_OELTEMPERATUR_WERT</t>
  </si>
  <si>
    <t>Ã–ltemperatur</t>
  </si>
  <si>
    <t>toel</t>
  </si>
  <si>
    <t>IKVLS</t>
  </si>
  <si>
    <t>0x4403</t>
  </si>
  <si>
    <t>STAT_KRAFTSTOFFVERBRAUCH_SEIT_LETZTEM_SERVICE_WERT</t>
  </si>
  <si>
    <t>Kraftstoffverbrauch seit letztem Service</t>
  </si>
  <si>
    <t>ozkvbsm_ul</t>
  </si>
  <si>
    <t>unsigned long</t>
  </si>
  <si>
    <t>STAT_0x440B_WERT</t>
  </si>
  <si>
    <t>0x440B</t>
  </si>
  <si>
    <t>STAT_LAENDERFAKTOR_1_CODIERT_WERT</t>
  </si>
  <si>
    <t>LÃ¤nderfaktor 1 codiert</t>
  </si>
  <si>
    <t>ozlf1c_eep</t>
  </si>
  <si>
    <t>STAT_0x440C_WERT</t>
  </si>
  <si>
    <t>0x440C</t>
  </si>
  <si>
    <t>STAT_LAENDERFAKTOR_2_CODIERT_WERT</t>
  </si>
  <si>
    <t>LÃ¤nderfaktor 2 codiert</t>
  </si>
  <si>
    <t>ozlf2c_eep</t>
  </si>
  <si>
    <t>STAT_0x440D_WERT</t>
  </si>
  <si>
    <t>0x440D</t>
  </si>
  <si>
    <t>STAT_LAENDERFAKTOR_1_WERT</t>
  </si>
  <si>
    <t>LÃ¤nderfaktor 1</t>
  </si>
  <si>
    <t>ozlf1t</t>
  </si>
  <si>
    <t>STAT_0x440E_WERT</t>
  </si>
  <si>
    <t>0x440E</t>
  </si>
  <si>
    <t>STAT_LAENDERFAKTOR_2_WERT</t>
  </si>
  <si>
    <t>LÃ¤nderfaktor 2</t>
  </si>
  <si>
    <t>ozlf2t</t>
  </si>
  <si>
    <t>SSPEI</t>
  </si>
  <si>
    <t>0x4505</t>
  </si>
  <si>
    <t>STAT_SOLLWERT_EINLASSSPREIZUNG_WERT</t>
  </si>
  <si>
    <t>Sollwert Einlassspreizung</t>
  </si>
  <si>
    <t>Grad KW</t>
  </si>
  <si>
    <t>wnwsaeb_w</t>
  </si>
  <si>
    <t>signed integer</t>
  </si>
  <si>
    <t>IPNWE</t>
  </si>
  <si>
    <t>0x4506</t>
  </si>
  <si>
    <t>STAT_NOCKENWELLENPOSITION_EINLASS_WERT</t>
  </si>
  <si>
    <t>Nockenwellenposition Einlass</t>
  </si>
  <si>
    <t>wnwkwe_w</t>
  </si>
  <si>
    <t>IPNWA</t>
  </si>
  <si>
    <t>0x4507</t>
  </si>
  <si>
    <t>STAT_NOCKENWELLENPOSITION_AUSLASS_WERT</t>
  </si>
  <si>
    <t>Nockenwellenposition Auslass</t>
  </si>
  <si>
    <t>wnwkwa_w</t>
  </si>
  <si>
    <t>ISNWE</t>
  </si>
  <si>
    <t>0x4508</t>
  </si>
  <si>
    <t>STAT_ISTWERT_EINLASSSPREIZUNG_WERT</t>
  </si>
  <si>
    <t>Istwert Einlassspreizung</t>
  </si>
  <si>
    <t>wnwe_w</t>
  </si>
  <si>
    <t>ISNWA</t>
  </si>
  <si>
    <t>0x4509</t>
  </si>
  <si>
    <t>STAT_ISTWERT_AUSLASSSPREIZUNG_WERT</t>
  </si>
  <si>
    <t>Istwert Auslassspreizung</t>
  </si>
  <si>
    <t>wnwa_w</t>
  </si>
  <si>
    <t>STAT_0x450C_WERT</t>
  </si>
  <si>
    <t>0x450C</t>
  </si>
  <si>
    <t>STAT_ADAPTION_KURBEL_EINLASSNOCKENWELLE_ERFOLGT_WERT</t>
  </si>
  <si>
    <t>Adaption Kurbel Einlassnockenwelle erfolgt</t>
  </si>
  <si>
    <t>B_phade</t>
  </si>
  <si>
    <t>STAT_0x450D_WERT</t>
  </si>
  <si>
    <t>0x450D</t>
  </si>
  <si>
    <t>STAT_ADAPTION_KURBEL_AUSLASSNOCKENWELLE_ERFOLGT_WERT</t>
  </si>
  <si>
    <t>Adaption Kurbel Auslassnockenwelle erfolgt</t>
  </si>
  <si>
    <t>B_phada</t>
  </si>
  <si>
    <t>STAT_0x450E_WERT</t>
  </si>
  <si>
    <t>0x450E</t>
  </si>
  <si>
    <t>STAT_NULLGANGVERSCHIEBUNG_FUER_WINKELVERSATZ_DIAGNOSE_BYTE_0_WERT</t>
  </si>
  <si>
    <t>Nullpunktverschiebung in Grad KW fÃ¼r die Winkelversatz Diagnose</t>
  </si>
  <si>
    <t>deg CrS</t>
  </si>
  <si>
    <t>EpmCaS_phiDiffAvrgLim</t>
  </si>
  <si>
    <t>STAT_0x450F_WERT</t>
  </si>
  <si>
    <t>0x450F</t>
  </si>
  <si>
    <t>STAT_NULLGANGVERSCHIEBUNG_FUER_WINKELVERSATZ_DIAGNOSE_BYTE_1_WERT</t>
  </si>
  <si>
    <t>STAT_0x4510_WERT</t>
  </si>
  <si>
    <t>0x4510</t>
  </si>
  <si>
    <t>STAT_BEDINGUNG_VVT_LAGEREGLERUEBERWACHUNG_WERT</t>
  </si>
  <si>
    <t>Bedingung VVT-Lagereglerueberwachung hat bleibende Regelabweichung erkannt</t>
  </si>
  <si>
    <t>B_dvvtregelabweichung</t>
  </si>
  <si>
    <t>STAT_0x4511_WERT</t>
  </si>
  <si>
    <t>0x4511</t>
  </si>
  <si>
    <t>STAT_BEDINGUNG_VVT_LAGEREGLER_SCHWINGT_WERT</t>
  </si>
  <si>
    <t>Bedingung VVT-Lageregler schwingt</t>
  </si>
  <si>
    <t>B_dvvtschwingung</t>
  </si>
  <si>
    <t>STAT_0x4512_WERT</t>
  </si>
  <si>
    <t>0x4512</t>
  </si>
  <si>
    <t>STAT_BEDINGUNG_VVT_UEBERLASTUNG_WERT</t>
  </si>
  <si>
    <t>Bedingung VVT-Ãœberlastung</t>
  </si>
  <si>
    <t>B_vvttempovl_wrn</t>
  </si>
  <si>
    <t>STAT_0x4513_WERT</t>
  </si>
  <si>
    <t>0x4513</t>
  </si>
  <si>
    <t>STAT_BEDINGUNG_VVT_UEBERLASTUNG_DURCH_KLEMMENDEN_STELLER_WERT</t>
  </si>
  <si>
    <t>Bedingung VVT-Ãœberlastung (klemmender Steller)</t>
  </si>
  <si>
    <t>B_vvttempovl</t>
  </si>
  <si>
    <t>STAT_0x4514_WERT</t>
  </si>
  <si>
    <t>0x4514</t>
  </si>
  <si>
    <t>STAT_BEDINGUNG_VVT_ADAPTION_MOEGLICH_WERT</t>
  </si>
  <si>
    <t>Bedingung VVT-Adaption mÃ¶glich</t>
  </si>
  <si>
    <t>B_enadpvvt</t>
  </si>
  <si>
    <t>STAT_0x4515_WERT</t>
  </si>
  <si>
    <t>0x4515</t>
  </si>
  <si>
    <t>STAT_ANFORDERUNG_VVT_ANSCHLAGLERNEN_INTERN_WERT</t>
  </si>
  <si>
    <t>Anforderung VVT-Anschlaglernen (intern)</t>
  </si>
  <si>
    <t>vvtlrnaf</t>
  </si>
  <si>
    <t>STAT_0x4516_WERT</t>
  </si>
  <si>
    <t>0x4516</t>
  </si>
  <si>
    <t>STAT_STATUS_VVT_ANSCHLAGLERNEN_INTERN_WERT</t>
  </si>
  <si>
    <t>Status VVT-Anschlaglernen (intern)</t>
  </si>
  <si>
    <t>vvtlrnst</t>
  </si>
  <si>
    <t>STAT_0x4517_WERT</t>
  </si>
  <si>
    <t>0x4517</t>
  </si>
  <si>
    <t>STAT_ADAPTIERTE_FLANKENPOSITION_ERSTE_AUSLASSNOCKENWELLE_WERT</t>
  </si>
  <si>
    <t>Array mit adaptierten Flankenpositionen der ersten AuslaÃŸnockenwelle</t>
  </si>
  <si>
    <t>EpmCaS_phiAdapRefPosO1_mp</t>
  </si>
  <si>
    <t>STAT_0x4518_WERT</t>
  </si>
  <si>
    <t>0x4518</t>
  </si>
  <si>
    <t>STAT_0x4519_WERT</t>
  </si>
  <si>
    <t>0x4519</t>
  </si>
  <si>
    <t>STAT_0x451A_WERT</t>
  </si>
  <si>
    <t>0x451A</t>
  </si>
  <si>
    <t>STAT_0x451B_WERT</t>
  </si>
  <si>
    <t>0x451B</t>
  </si>
  <si>
    <t>STAT_0x451C_WERT</t>
  </si>
  <si>
    <t>0x451C</t>
  </si>
  <si>
    <t>STAT_0x451D_WERT</t>
  </si>
  <si>
    <t>0x451D</t>
  </si>
  <si>
    <t>STAT_VERSTELLZEIT_VVT_BEI_TESTERANSTEUERUNG_WERT</t>
  </si>
  <si>
    <t xml:space="preserve">Verstellzeit VVT bei Testeransteuerung </t>
  </si>
  <si>
    <t>vvtdtperf_w</t>
  </si>
  <si>
    <t>STAT_0x451E_WERT</t>
  </si>
  <si>
    <t>0x451E</t>
  </si>
  <si>
    <t>STAT_SUMMENSTROM_VVT_BEI_TESTERANSTEUERUNG_WERT</t>
  </si>
  <si>
    <t xml:space="preserve">Summenstrom VVT bei Testeransteuerung </t>
  </si>
  <si>
    <t>A</t>
  </si>
  <si>
    <t>ivvtsumperf_w</t>
  </si>
  <si>
    <t>STAT_0x4520_WERT</t>
  </si>
  <si>
    <t>0x4520</t>
  </si>
  <si>
    <t>STAT_GEMITTELTER_VERDREHWINKEL_DER_NOCKENWELLE_BYTE_0_WERT</t>
  </si>
  <si>
    <t>Gemittelter Verdrehwinkel der Nockenwelle</t>
  </si>
  <si>
    <t>EpmCaS_phiCaSOfsAvg</t>
  </si>
  <si>
    <t>signed long</t>
  </si>
  <si>
    <t>STAT_0x4521_WERT</t>
  </si>
  <si>
    <t>0x4521</t>
  </si>
  <si>
    <t>STAT_GEMITTELTER_VERDREHWINKEL_DER_NOCKENWELLE_BYTE_1_WERT</t>
  </si>
  <si>
    <t>STAT_0x4523_WERT</t>
  </si>
  <si>
    <t>0x4523</t>
  </si>
  <si>
    <t>STAT_ARRAY_ADAPTIERTE_FLANKENPOSITIONEN_DER_ERSTEN_EINLASSNOCKENWELLE_BYTE_1_WERT</t>
  </si>
  <si>
    <t>Array mit adaptierten Flankenpositionen der ersten Einlassnockenwelle</t>
  </si>
  <si>
    <t>EpmCaS_phiAdapRefPosI1_mp</t>
  </si>
  <si>
    <t>STAT_0x4524_WERT</t>
  </si>
  <si>
    <t>0x4524</t>
  </si>
  <si>
    <t>STAT_ARRAY_ADAPTIERTE_FLANKENPOSITIONEN_DER_ERSTEN_EINLASSNOCKENWELLE_BYTE_2_WERT</t>
  </si>
  <si>
    <t>STAT_0x4525_WERT</t>
  </si>
  <si>
    <t>0x4525</t>
  </si>
  <si>
    <t>STAT_ARRAY_ADAPTIERTE_FLANKENPOSITIONEN_DER_ERSTEN_EINLASSNOCKENWELLE_BYTE_3_WERT</t>
  </si>
  <si>
    <t>STAT_0x4526_WERT</t>
  </si>
  <si>
    <t>0x4526</t>
  </si>
  <si>
    <t>STAT_ARRAY_ADAPTIERTE_FLANKENPOSITIONEN_DER_ERSTEN_EINLASSNOCKENWELLE_BYTE_4_WERT</t>
  </si>
  <si>
    <t>STAT_0x4527_WERT</t>
  </si>
  <si>
    <t>0x4527</t>
  </si>
  <si>
    <t>STAT_ARRAY_ADAPTIERTE_FLANKENPOSITIONEN_DER_ERSTEN_EINLASSNOCKENWELLE_BYTE_5_WERT</t>
  </si>
  <si>
    <t>IWDKL</t>
  </si>
  <si>
    <t>0x4600</t>
  </si>
  <si>
    <t>STAT_AKTUELLER_DROSSELKLAPPENWINKEL_WERT</t>
  </si>
  <si>
    <t>aktueller Drosselklappenwinkel</t>
  </si>
  <si>
    <t>%DK</t>
  </si>
  <si>
    <t>wdkba_w</t>
  </si>
  <si>
    <t>SWDKL</t>
  </si>
  <si>
    <t>0x4601</t>
  </si>
  <si>
    <t>STAT_DROSSELKLAPPE_SOLLWERT_WERT</t>
  </si>
  <si>
    <t>Drosselklappe Sollwert</t>
  </si>
  <si>
    <t>%</t>
  </si>
  <si>
    <t>wdks_w</t>
  </si>
  <si>
    <t>SUGEB</t>
  </si>
  <si>
    <t>0x4602</t>
  </si>
  <si>
    <t>STAT_GENERATOR_SOLLSPANNUNG_UEBER_BSD_WERT</t>
  </si>
  <si>
    <t>Generator Sollspannung Ã¼ber BSD</t>
  </si>
  <si>
    <t>V</t>
  </si>
  <si>
    <t>ugen</t>
  </si>
  <si>
    <t>ITGEE</t>
  </si>
  <si>
    <t>0x4603</t>
  </si>
  <si>
    <t>STAT_CHIPTEMPERATUR_GENERATOR_1_WERT</t>
  </si>
  <si>
    <t>Chiptemperatur Generator 1</t>
  </si>
  <si>
    <t>tchip</t>
  </si>
  <si>
    <t>IIGEN</t>
  </si>
  <si>
    <t>0x4604</t>
  </si>
  <si>
    <t>STAT_GENERATOR_STROM_WERT</t>
  </si>
  <si>
    <t>Generator Strom</t>
  </si>
  <si>
    <t>st_i_gen</t>
  </si>
  <si>
    <t>VGENE</t>
  </si>
  <si>
    <t>0x4605</t>
  </si>
  <si>
    <t>STAT_CHIPVERSION_GENERATOR_1_WERT</t>
  </si>
  <si>
    <t>Chipversion Generator 1</t>
  </si>
  <si>
    <t>bsdgencv</t>
  </si>
  <si>
    <t>VGENR</t>
  </si>
  <si>
    <t>0x4606</t>
  </si>
  <si>
    <t>STAT_REGLERVERSION_GENERATOR_1_WERT</t>
  </si>
  <si>
    <t>Reglerversion Generator 1</t>
  </si>
  <si>
    <t>bsdgenregv</t>
  </si>
  <si>
    <t>VGENH</t>
  </si>
  <si>
    <t>0x4607</t>
  </si>
  <si>
    <t>STAT_HERSTELLERCODE_GENERATOR_1_WERT</t>
  </si>
  <si>
    <t>Herstellercode Generator 1</t>
  </si>
  <si>
    <t>genmanufak</t>
  </si>
  <si>
    <t>VGTYP</t>
  </si>
  <si>
    <t>0x4608</t>
  </si>
  <si>
    <t>STAT_KENNUNG_GENERATORT_P_GENERATOR_1_WERT</t>
  </si>
  <si>
    <t>Kennung Generatortyp Generator 1</t>
  </si>
  <si>
    <t>gentypkenn</t>
  </si>
  <si>
    <t>IUK87</t>
  </si>
  <si>
    <t>0x4609</t>
  </si>
  <si>
    <t>STAT_KLEMME_87_SPANNUNGSVERSORGUNG_DME_WERT</t>
  </si>
  <si>
    <t>Kl.87 Spannung  Versorgung DME</t>
  </si>
  <si>
    <t>ub</t>
  </si>
  <si>
    <t>IUBAT</t>
  </si>
  <si>
    <t>0x460A</t>
  </si>
  <si>
    <t>STAT_BATTERIESPANNUNG_AKTUELL_WERT</t>
  </si>
  <si>
    <t>Batteriespannung aktuell</t>
  </si>
  <si>
    <t>ubt</t>
  </si>
  <si>
    <t>IUIBS</t>
  </si>
  <si>
    <t>0x460B</t>
  </si>
  <si>
    <t>STAT_BATTERIESPANNUNG_VON_IBS_GEMESSEN_WERT</t>
  </si>
  <si>
    <t>Batteriespannung von IBS gemessen</t>
  </si>
  <si>
    <t>ubatt_w</t>
  </si>
  <si>
    <t>IUADW</t>
  </si>
  <si>
    <t>0x460C</t>
  </si>
  <si>
    <t>STAT_BATTERIESPANNUNG_VOM_AD_WANDLER_DME_WERT</t>
  </si>
  <si>
    <t>Batteriespannung vom AD-Wandler DME</t>
  </si>
  <si>
    <t>wub_w</t>
  </si>
  <si>
    <t>STAT_0x460D_WERT</t>
  </si>
  <si>
    <t>0x460D</t>
  </si>
  <si>
    <t>STAT_KORREKTURWERT_ABSCHALTUNG_WERT</t>
  </si>
  <si>
    <t>Korrekturwert Abschaltung</t>
  </si>
  <si>
    <t>abschkor_w</t>
  </si>
  <si>
    <t>STAT_0x460E_WERT</t>
  </si>
  <si>
    <t>0x460E</t>
  </si>
  <si>
    <t>STAT_ABSTAND_ZUR_STARTFAEHIGKEITSGRENZE_WERT</t>
  </si>
  <si>
    <t>Abstand zur StartfÃ¤higkeitsgrenze</t>
  </si>
  <si>
    <t>dsoc_w</t>
  </si>
  <si>
    <t>ILBAT</t>
  </si>
  <si>
    <t>0x460F</t>
  </si>
  <si>
    <t>STAT_BATTERIELAST_WERT</t>
  </si>
  <si>
    <t>Batterielast</t>
  </si>
  <si>
    <t>dfmonitor</t>
  </si>
  <si>
    <t>STELU</t>
  </si>
  <si>
    <t>0x4611</t>
  </si>
  <si>
    <t>STAT_SOLLWERT_E_LUEFTER_ALS_PWM_WERT</t>
  </si>
  <si>
    <t>Sollwert E-LÃ¼fter als PWM Wert</t>
  </si>
  <si>
    <t>taml</t>
  </si>
  <si>
    <t>IIEGE</t>
  </si>
  <si>
    <t>0x4612</t>
  </si>
  <si>
    <t>STAT_ERREGERSTROM_GENERATOR_1_WERT</t>
  </si>
  <si>
    <t>Erregerstrom Generator 1</t>
  </si>
  <si>
    <t>ierr</t>
  </si>
  <si>
    <t>STAT_0x4613_WERT</t>
  </si>
  <si>
    <t>0x4613</t>
  </si>
  <si>
    <t>STAT_VOM_GENERATOR_EMPFANGENE_SOLLSPANNUNG_WERT</t>
  </si>
  <si>
    <t>Empfangene Sollspannung Generator 1</t>
  </si>
  <si>
    <t>ufgen</t>
  </si>
  <si>
    <t>IGENA</t>
  </si>
  <si>
    <t>0x4614</t>
  </si>
  <si>
    <t>STAT_AUSLASTUNGSGRAD_GENERATOR_1_WERT</t>
  </si>
  <si>
    <t>Auslastungsgrad Generator 1</t>
  </si>
  <si>
    <t>dfsiggen</t>
  </si>
  <si>
    <t>STAT_0x4615_WERT</t>
  </si>
  <si>
    <t>0x4615</t>
  </si>
  <si>
    <t>STAT_KOPIE_BEGRENZTER_ERREGERSTROM_GENERATOR_1_WERT</t>
  </si>
  <si>
    <t>Kopie begrenzter Erregerstrom Generator 1</t>
  </si>
  <si>
    <t>ierrfgrenz</t>
  </si>
  <si>
    <t>STAT_0x4616_WERT</t>
  </si>
  <si>
    <t>0x4616</t>
  </si>
  <si>
    <t>STAT_KOPIE_GENERATOR_1_LR_VORGABE_AUF_BUS_GELEGT_WERT</t>
  </si>
  <si>
    <t>Kopie Generator 1 LR Vorgabe auf Bus gelegt</t>
  </si>
  <si>
    <t>s</t>
  </si>
  <si>
    <t>tlrfgen</t>
  </si>
  <si>
    <t>MGENG</t>
  </si>
  <si>
    <t>0x4617</t>
  </si>
  <si>
    <t>STAT_GEFILTERTES_GENERATORMOMENT_ABSOLUT_AUSGANG_WERT</t>
  </si>
  <si>
    <t>gefiltertes Generatormoment absolut Ausgang</t>
  </si>
  <si>
    <t>mdgenvf_w</t>
  </si>
  <si>
    <t>STAT_0x4618_WERT</t>
  </si>
  <si>
    <t>0x4618</t>
  </si>
  <si>
    <t>STAT_DREHZAHLSCHWELLE_FUER_LR_FUNKTION_GENERATOR_1_AKTIV_WERT</t>
  </si>
  <si>
    <t>Drehzahlschwelle fÃ¼r LR-Funktion Generator 1 aktiv</t>
  </si>
  <si>
    <t>B_lrfoff</t>
  </si>
  <si>
    <t>STAT_0x4619_WERT</t>
  </si>
  <si>
    <t>0x4619</t>
  </si>
  <si>
    <t>STAT_BEDINGUNG_BSD_II_PROTOKOLL_WERT</t>
  </si>
  <si>
    <t>Bedingung BSD II Protokoll</t>
  </si>
  <si>
    <t>B_bsdprot2</t>
  </si>
  <si>
    <t>IUNGE</t>
  </si>
  <si>
    <t>0x461A</t>
  </si>
  <si>
    <t>STAT_NOMINALE_GENERATORSPANNUNG_WERT</t>
  </si>
  <si>
    <t>Nominale Generatorspannung</t>
  </si>
  <si>
    <t>uregnom</t>
  </si>
  <si>
    <t>STAT_0x4620_WERT</t>
  </si>
  <si>
    <t>0x4620</t>
  </si>
  <si>
    <t>STAT_SPANNUNG_DRUCKSENSOR_AC_WERT</t>
  </si>
  <si>
    <t>Spannung Drucksensor AC</t>
  </si>
  <si>
    <t>udsac_w</t>
  </si>
  <si>
    <t>STAT_0x4680_WERT</t>
  </si>
  <si>
    <t>0x4680</t>
  </si>
  <si>
    <t>STAT_LEERLAUFDREHZAHL_GELERNT_WERT</t>
  </si>
  <si>
    <t>Leerlaufdrehzahl gelernt</t>
  </si>
  <si>
    <t>B_nggelernt</t>
  </si>
  <si>
    <t>STAT_0x4681_WERT</t>
  </si>
  <si>
    <t>0x4681</t>
  </si>
  <si>
    <t>STAT_GETRIEBE_IST_BEREIT_DIE_NEUTRALPOSITION_ANZULERNEN_WERT</t>
  </si>
  <si>
    <t>Getriebe ist bereit die Neutralposition anzulernen</t>
  </si>
  <si>
    <t>B_ngimlf</t>
  </si>
  <si>
    <t>ISBV1</t>
  </si>
  <si>
    <t>0x4700</t>
  </si>
  <si>
    <t>STAT_LAMBDASONDE_BETRIEBSBEREIT_VOR_KAT_BANK1_WERT</t>
  </si>
  <si>
    <t>Status Lambdasonde betriebsbereit vor Katalysator Bank 1</t>
  </si>
  <si>
    <t>B_sbbvk</t>
  </si>
  <si>
    <t>IUSO1</t>
  </si>
  <si>
    <t>0x4702</t>
  </si>
  <si>
    <t>STAT_SPANNUNG_LAMBDASONDE_VOR_KAT_BANK1_WERT</t>
  </si>
  <si>
    <t>Spannung Lambdasonde vor Katalysator Bank 1 mit Offsetkorrektur</t>
  </si>
  <si>
    <t>ua10mo_w</t>
  </si>
  <si>
    <t>SINT1</t>
  </si>
  <si>
    <t>0x4704</t>
  </si>
  <si>
    <t>STAT_LAMBDA_SOLLWERT_BANK1_WERT</t>
  </si>
  <si>
    <t>Lambda Sollwert Bank1</t>
  </si>
  <si>
    <t>lamsbg_w</t>
  </si>
  <si>
    <t>ISKUB</t>
  </si>
  <si>
    <t>0x4800</t>
  </si>
  <si>
    <t>STAT_KUPPLUNGSSCHALTER_STATUS_WERT</t>
  </si>
  <si>
    <t>Kupplungsschalter Status</t>
  </si>
  <si>
    <t>B_kuppl</t>
  </si>
  <si>
    <t>ISKUV</t>
  </si>
  <si>
    <t>0x4801</t>
  </si>
  <si>
    <t>STAT_KUPPLUNGSSCHALTER_VORHANDEN_WERT</t>
  </si>
  <si>
    <t>Kupplungsschalter vorhanden</t>
  </si>
  <si>
    <t>S_kupp</t>
  </si>
  <si>
    <t>ISSPO</t>
  </si>
  <si>
    <t>0x4802</t>
  </si>
  <si>
    <t>STAT_SPORTTASTER_AKTIV_WERT</t>
  </si>
  <si>
    <t>Sporttaster aktiv</t>
  </si>
  <si>
    <t>B_pedsport</t>
  </si>
  <si>
    <t>ISKLI</t>
  </si>
  <si>
    <t>0x4803</t>
  </si>
  <si>
    <t>STAT_STATUS_KLIMA_EIN_WERT</t>
  </si>
  <si>
    <t>Status Klima ein</t>
  </si>
  <si>
    <t>B_koe</t>
  </si>
  <si>
    <t>ISSRC</t>
  </si>
  <si>
    <t>0x4805</t>
  </si>
  <si>
    <t>STAT_STARTRELAIS_UEBER_CAN_AKTIV_WERT</t>
  </si>
  <si>
    <t>Startrelais Ã¼ber CAN aktiv</t>
  </si>
  <si>
    <t>S_ckl50</t>
  </si>
  <si>
    <t>STAT_0x4806_WERT</t>
  </si>
  <si>
    <t>0x4806</t>
  </si>
  <si>
    <t>STAT_STEUERGERAETE_INNENTEMPERATUR_WERT</t>
  </si>
  <si>
    <t>SteuergerÃ¤te-Innentemperatur</t>
  </si>
  <si>
    <t>tsg</t>
  </si>
  <si>
    <t>INMOT</t>
  </si>
  <si>
    <t>0x4807</t>
  </si>
  <si>
    <t>STAT_MOTOR_DREHZAHL_WERT</t>
  </si>
  <si>
    <t>Motor Drehzahl</t>
  </si>
  <si>
    <t>nmot_w</t>
  </si>
  <si>
    <t>SNLLD</t>
  </si>
  <si>
    <t>0x4808</t>
  </si>
  <si>
    <t>STAT_LEERLAUF_SOLLDREHZAHL_WERT</t>
  </si>
  <si>
    <t>Leerlauf Solldrehzahl</t>
  </si>
  <si>
    <t>nsol_w</t>
  </si>
  <si>
    <t>ISLLA</t>
  </si>
  <si>
    <t>0x4809</t>
  </si>
  <si>
    <t>STAT_STATUS_LL_WERT</t>
  </si>
  <si>
    <t>Status LL</t>
  </si>
  <si>
    <t>B_llr</t>
  </si>
  <si>
    <t>ISKME</t>
  </si>
  <si>
    <t>0x480A</t>
  </si>
  <si>
    <t>STAT_KILOMETERSTAND_AUFLOESUNG_1_KM_WERT</t>
  </si>
  <si>
    <t>Kilometerstand AuflÃ¶sung 1 km</t>
  </si>
  <si>
    <t>kmstand_l</t>
  </si>
  <si>
    <t>IFPWG</t>
  </si>
  <si>
    <t>0x480B</t>
  </si>
  <si>
    <t>STAT_PEDALWERT_FAHRERWUNSCH_IN_PROZENT_WERT</t>
  </si>
  <si>
    <t>Pedalwert Fahrerwunsch in %</t>
  </si>
  <si>
    <t>%PED</t>
  </si>
  <si>
    <t>wped_w</t>
  </si>
  <si>
    <t>STAT_0x4880_WERT</t>
  </si>
  <si>
    <t>0x4880</t>
  </si>
  <si>
    <t>STAT_MAX_FEHLERPFAD_INNERHALB_DES_LEERLAUFS_WERT</t>
  </si>
  <si>
    <t>MAX-Fehlerpfad innerhalb des Leerlaufs</t>
  </si>
  <si>
    <t>etkhlmx</t>
  </si>
  <si>
    <t>STAT_0x4881_WERT</t>
  </si>
  <si>
    <t>0x4881</t>
  </si>
  <si>
    <t>STAT_MAX_FEHLERPFAD_AUSSERHALB_DES_LEERLAUFS_WERT</t>
  </si>
  <si>
    <t>MAX-Fehlerpfad ausserhalb des Leerlaufs</t>
  </si>
  <si>
    <t>etkhtmx</t>
  </si>
  <si>
    <t>STAT_0x5800_WERT</t>
  </si>
  <si>
    <t>0x5800</t>
  </si>
  <si>
    <t>STAT_ZEIT_NACH_START_WERT</t>
  </si>
  <si>
    <t>ZeitzÃ¤hler ab Startende (16bit)</t>
  </si>
  <si>
    <t>tnse_w</t>
  </si>
  <si>
    <t>STAT_0x5801_WERT</t>
  </si>
  <si>
    <t>0x5801</t>
  </si>
  <si>
    <t>pu</t>
  </si>
  <si>
    <t>ICLR1</t>
  </si>
  <si>
    <t>0x5802</t>
  </si>
  <si>
    <t>STAT_ZUSTAND_LAMBDAREGELUNG_BANK_1_WERT</t>
  </si>
  <si>
    <t>CARB FREEZE FRAME Byte; Zustand Lambdaregelung Bank 1</t>
  </si>
  <si>
    <t>flglrs</t>
  </si>
  <si>
    <t>SLAST</t>
  </si>
  <si>
    <t>0x5804</t>
  </si>
  <si>
    <t>STAT_BERECHNETER_LASTWERT_WERT</t>
  </si>
  <si>
    <t>relative Luftmasse (calc. load value) nach SAE J1979</t>
  </si>
  <si>
    <t>rml</t>
  </si>
  <si>
    <t>STAT_0x5805_WERT</t>
  </si>
  <si>
    <t>0x5805</t>
  </si>
  <si>
    <t>STAT_KUEHLMITTELTEMPERATUR_WERT</t>
  </si>
  <si>
    <t>Motortemperatur, linearisiert und umgerechnet</t>
  </si>
  <si>
    <t>tmotlin</t>
  </si>
  <si>
    <t>ILIN1</t>
  </si>
  <si>
    <t>0x5806</t>
  </si>
  <si>
    <t>STAT_LAMBDA_INTEGRATOR_GRUPPE_1_WERT</t>
  </si>
  <si>
    <t>Lambda-Regler-Ausgang (Word)</t>
  </si>
  <si>
    <t>fr_w</t>
  </si>
  <si>
    <t>ILAM1</t>
  </si>
  <si>
    <t>0x5807</t>
  </si>
  <si>
    <t>STAT_LAMBDA_ADAPTION_SUMME_MUL_UND_ADD_GRUPPE_1_WERT</t>
  </si>
  <si>
    <t>Faktor aus Lambdaregelungsadaption fÃ¼r Bank 1</t>
  </si>
  <si>
    <t>frann_w</t>
  </si>
  <si>
    <t>IPSA2</t>
  </si>
  <si>
    <t>0x580B</t>
  </si>
  <si>
    <t>Saugrohr-Absolutdruck (Word)</t>
  </si>
  <si>
    <t>INAUF</t>
  </si>
  <si>
    <t>0x580C</t>
  </si>
  <si>
    <t>STAT_DREHZAHL_WERT</t>
  </si>
  <si>
    <t>Motordrehzahl</t>
  </si>
  <si>
    <t>nmot</t>
  </si>
  <si>
    <t>IVKM2</t>
  </si>
  <si>
    <t>0x580D</t>
  </si>
  <si>
    <t>STAT_GESCHWINDIGKEIT_WERT</t>
  </si>
  <si>
    <t>Geschwindigkeit</t>
  </si>
  <si>
    <t>km/h</t>
  </si>
  <si>
    <t>vfzg</t>
  </si>
  <si>
    <t>IZZY1</t>
  </si>
  <si>
    <t>0x580E</t>
  </si>
  <si>
    <t>STAT_ZUENDZEITPUNKT_ZYLINDER_1_WERT</t>
  </si>
  <si>
    <t>ZÃ¼ndwinkel-Ausgabe Array</t>
  </si>
  <si>
    <t>zwzyl1</t>
  </si>
  <si>
    <t>signed char</t>
  </si>
  <si>
    <t>ITANL</t>
  </si>
  <si>
    <t>0x580F</t>
  </si>
  <si>
    <t>STAT_ANSAUGLUFTTEMPERATUR_WERT</t>
  </si>
  <si>
    <t>Ansaugluft-Temperatur</t>
  </si>
  <si>
    <t>ILMGS</t>
  </si>
  <si>
    <t>0x5810</t>
  </si>
  <si>
    <t>STAT_LUFTDURCHSATZ_OBD_WERT</t>
  </si>
  <si>
    <t>STAT_0x5812_WERT</t>
  </si>
  <si>
    <t>0x5812</t>
  </si>
  <si>
    <t>STAT_LUFTMASSE_GEMESSEN_WERT</t>
  </si>
  <si>
    <t>Massenstrom HFM 16-Bit GrÃ¶ÃŸe</t>
  </si>
  <si>
    <t>ILREL</t>
  </si>
  <si>
    <t>0x5813</t>
  </si>
  <si>
    <t>STAT_RELATIVE_LAST_WERT</t>
  </si>
  <si>
    <t>Relative Last</t>
  </si>
  <si>
    <t>rl</t>
  </si>
  <si>
    <t>STAT_0x5814_WERT</t>
  </si>
  <si>
    <t>0x5814</t>
  </si>
  <si>
    <t>STAT_FAHRPEDALWERT_WERT</t>
  </si>
  <si>
    <t>normierter Fahrpedalwinkel</t>
  </si>
  <si>
    <t>wped</t>
  </si>
  <si>
    <t>STAT_0x5815_WERT</t>
  </si>
  <si>
    <t>0x5815</t>
  </si>
  <si>
    <t>STAT_BATTERIESPANNUNG_WERT</t>
  </si>
  <si>
    <t>Batteriespannung</t>
  </si>
  <si>
    <t>STAT_0x5816_WERT</t>
  </si>
  <si>
    <t>0x5816</t>
  </si>
  <si>
    <t>STAT_LAMBDA_SETPOINT_WERT</t>
  </si>
  <si>
    <t>Lambda-Sollwert bezogen auf Einbauort Lambda-Sensor</t>
  </si>
  <si>
    <t>lamsons_w</t>
  </si>
  <si>
    <t>STAT_0x5817_WERT</t>
  </si>
  <si>
    <t>0x5817</t>
  </si>
  <si>
    <t>ILMMG</t>
  </si>
  <si>
    <t>0x5818</t>
  </si>
  <si>
    <t>STAT_LUFTMASSE_GERECHNET_WERT</t>
  </si>
  <si>
    <t>LuftmassenfluÃŸ</t>
  </si>
  <si>
    <t>ml</t>
  </si>
  <si>
    <t>STAT_0x5819_WERT</t>
  </si>
  <si>
    <t>0x5819</t>
  </si>
  <si>
    <t>STAT_DREHZAHL_OBD_B_TE_WERT</t>
  </si>
  <si>
    <t>Motordrehzahl [1/min]</t>
  </si>
  <si>
    <t>rpm</t>
  </si>
  <si>
    <t>Epm_nEng</t>
  </si>
  <si>
    <t>STAT_0x581A_WERT</t>
  </si>
  <si>
    <t>0x581A</t>
  </si>
  <si>
    <t>STAT_NOCKENWELLE_EINLASS_WERT</t>
  </si>
  <si>
    <t>Winkel Einlassventil oeffnet bezogen auf LWOT</t>
  </si>
  <si>
    <t>STAT_0x581B_WERT</t>
  </si>
  <si>
    <t>0x581B</t>
  </si>
  <si>
    <t>STAT_NOCKENWELLE_EINLASS_SOLLWERT_WERT</t>
  </si>
  <si>
    <t>Sollwinkel Nockenwelle Einlass Ã¶ffnet</t>
  </si>
  <si>
    <t>wnwse_w</t>
  </si>
  <si>
    <t>STAT_0x581C_WERT</t>
  </si>
  <si>
    <t>0x581C</t>
  </si>
  <si>
    <t>STAT_NOCKENWELLE_AUSLASS_WERT</t>
  </si>
  <si>
    <t>Winkel Auslassventil schlieÃŸt bezogen auf LWOT</t>
  </si>
  <si>
    <t>STAT_0x581D_WERT</t>
  </si>
  <si>
    <t>0x581D</t>
  </si>
  <si>
    <t>STAT_NOCKENWELLE_AUSLASS_SOLLWERT_WERT</t>
  </si>
  <si>
    <t>Sollwinkel Nockenwelle Auslass schlieÃŸt</t>
  </si>
  <si>
    <t>wnwsa_w</t>
  </si>
  <si>
    <t>STAT_0x581E_WERT</t>
  </si>
  <si>
    <t>0x581E</t>
  </si>
  <si>
    <t>Ansauglufttemperatur, linearisiert und umgerechnet</t>
  </si>
  <si>
    <t>tanslin</t>
  </si>
  <si>
    <t>STAT_0x581F_WERT</t>
  </si>
  <si>
    <t>0x581F</t>
  </si>
  <si>
    <t>STAT_MOTORTEMPERATUR_WERT</t>
  </si>
  <si>
    <t>STAT_0x5821_WERT</t>
  </si>
  <si>
    <t>0x5821</t>
  </si>
  <si>
    <t>SteuergerÃ¤tetemperatur</t>
  </si>
  <si>
    <t>STAT_0x5822_WERT</t>
  </si>
  <si>
    <t>0x5822</t>
  </si>
  <si>
    <t>STAT_MOTOROELTEMPERATUR_WERT</t>
  </si>
  <si>
    <t>IZMOS</t>
  </si>
  <si>
    <t>0x5823</t>
  </si>
  <si>
    <t>STAT_ZEIT_MOTOR_STEHT_WERT</t>
  </si>
  <si>
    <t>Abstellzeit</t>
  </si>
  <si>
    <t>tabst_w</t>
  </si>
  <si>
    <t>IDKS1</t>
  </si>
  <si>
    <t>0x5826</t>
  </si>
  <si>
    <t>STAT_DROSSELKLAPPE_SENSOR_1_WERT</t>
  </si>
  <si>
    <t>Drosselklappenwinkel aus Poti 1</t>
  </si>
  <si>
    <t>wdk1</t>
  </si>
  <si>
    <t>STAT_0x5827_WERT</t>
  </si>
  <si>
    <t>0x5827</t>
  </si>
  <si>
    <t>STAT_TASTVERHAELTNIS_LAMBDASONDENHEIZUNG_VOR_KAT_BANK_1_WERT</t>
  </si>
  <si>
    <t>TastverhÃ¤ltnis fÃ¼r Lambdasondenheizung</t>
  </si>
  <si>
    <t>tahrlsu_w</t>
  </si>
  <si>
    <t>STAT_0x5829_WERT</t>
  </si>
  <si>
    <t>0x5829</t>
  </si>
  <si>
    <t>STAT_LAMBDASONDENHEIZUNG_HINTER_KAT_BANK_1_WERT</t>
  </si>
  <si>
    <t>normierte Heizleistung der Lambdasonde hinter Kat</t>
  </si>
  <si>
    <t>phlsnh</t>
  </si>
  <si>
    <t>IDRCA</t>
  </si>
  <si>
    <t>0x582B</t>
  </si>
  <si>
    <t>STAT_DREHMOMENTEINGRIFF_UEBER_CAN_WERT</t>
  </si>
  <si>
    <t>Drehmomentaufnahme des Wandlers Ã¼ber CAN</t>
  </si>
  <si>
    <t>mdwancan_w</t>
  </si>
  <si>
    <t>STAT_0x582C_WERT</t>
  </si>
  <si>
    <t>0x582C</t>
  </si>
  <si>
    <t>STAT_LAMBDASONDENISTWERT_WERT</t>
  </si>
  <si>
    <t>Lambdasondenistwert</t>
  </si>
  <si>
    <t>lamzak_w</t>
  </si>
  <si>
    <t>STAT_0x582D_WERT</t>
  </si>
  <si>
    <t>0x582D</t>
  </si>
  <si>
    <t>STAT_KORREKTURWERT_DER_LSU_SPANNUNG_VOR_KAT_WERT</t>
  </si>
  <si>
    <t>Korrekturwert der LSU-Spannung vor Kat</t>
  </si>
  <si>
    <t>kusvk_w</t>
  </si>
  <si>
    <t>STAT_0x5830_WERT</t>
  </si>
  <si>
    <t>0x5830</t>
  </si>
  <si>
    <t>STAT_DYNAMIKWERT_DER_LSU_WERT</t>
  </si>
  <si>
    <t>Dynamikwert der LSU</t>
  </si>
  <si>
    <t>dynlsu_w</t>
  </si>
  <si>
    <t>IMOST</t>
  </si>
  <si>
    <t>0x5832</t>
  </si>
  <si>
    <t>STAT_MOTOR_STATUS_WERT</t>
  </si>
  <si>
    <t>Zustand Motor-Koordinator</t>
  </si>
  <si>
    <t>CoEng_st</t>
  </si>
  <si>
    <t>STAT_0x5834_WERT</t>
  </si>
  <si>
    <t>0x5834</t>
  </si>
  <si>
    <t>Umgebungsdruck von Sensor</t>
  </si>
  <si>
    <t>pur_w</t>
  </si>
  <si>
    <t>STAT_0x5835_WERT</t>
  </si>
  <si>
    <t>0x5835</t>
  </si>
  <si>
    <t>Kennung Generator Hersteller</t>
  </si>
  <si>
    <t>INGRD</t>
  </si>
  <si>
    <t>0x5836</t>
  </si>
  <si>
    <t>STAT_DREHZAHLGRADIENT_WERT</t>
  </si>
  <si>
    <t>gefilterter Drehzahlgradient</t>
  </si>
  <si>
    <t>1/min/s</t>
  </si>
  <si>
    <t>ngfil</t>
  </si>
  <si>
    <t>STAT_0x5837_WERT</t>
  </si>
  <si>
    <t>0x5837</t>
  </si>
  <si>
    <t>STAT_SOLLDRUCK_HOCHDRUCKSYSTEM_WERT</t>
  </si>
  <si>
    <t>Solldruck Hochdrucksystem</t>
  </si>
  <si>
    <t>MPa</t>
  </si>
  <si>
    <t>prsoll_w</t>
  </si>
  <si>
    <t>STAT_0x5838_WERT</t>
  </si>
  <si>
    <t>0x5838</t>
  </si>
  <si>
    <t>STAT_RELATIVES_MOMENT_FUER_AUSSETZERKENNUNG_WERT</t>
  </si>
  <si>
    <t>Relatives Moment fÃ¼r Aussetzererkennung</t>
  </si>
  <si>
    <t>midmd</t>
  </si>
  <si>
    <t>ISDKN</t>
  </si>
  <si>
    <t>0x5839</t>
  </si>
  <si>
    <t>Bedingung Sicherheitskraftstoffabschaltung (SKA)</t>
  </si>
  <si>
    <t>B_dkpu_byte</t>
  </si>
  <si>
    <t>STAT_0x583A_WERT</t>
  </si>
  <si>
    <t>0x583A</t>
  </si>
  <si>
    <t>STAT_ANSAUGLUFTTEMPERATUR_BEIM_START_WERT</t>
  </si>
  <si>
    <t>Ansaugluft-Temperatur bei Start</t>
  </si>
  <si>
    <t>tansst</t>
  </si>
  <si>
    <t>IKTFS</t>
  </si>
  <si>
    <t>0x583B</t>
  </si>
  <si>
    <t>STAT_KRAFTSTOFFTANK_FUELLSTAND_WERT</t>
  </si>
  <si>
    <t>Kraftstofftank FÃ¼llstand</t>
  </si>
  <si>
    <t>L</t>
  </si>
  <si>
    <t>fstt</t>
  </si>
  <si>
    <t>STAT_0x583C_WERT</t>
  </si>
  <si>
    <t>0x583C</t>
  </si>
  <si>
    <t>STAT_SPANNUNG_KLEMME_87_WERT</t>
  </si>
  <si>
    <t>Batteriespannung; vom AD-Wandler erfasster Wert</t>
  </si>
  <si>
    <t>wub</t>
  </si>
  <si>
    <t>STAT_0x583D_WERT</t>
  </si>
  <si>
    <t>0x583D</t>
  </si>
  <si>
    <t>STAT_BETRIEBSSTUNDENZAEHLER_WERT</t>
  </si>
  <si>
    <t>BetriebsstundenzÃ¤hler</t>
  </si>
  <si>
    <t>min</t>
  </si>
  <si>
    <t>top_w</t>
  </si>
  <si>
    <t>STAT_0x583E_WERT</t>
  </si>
  <si>
    <t>0x583E</t>
  </si>
  <si>
    <t>STAT_SOLLWERT_DK_WINKEL_IN_NLP_STELLUNG_BEZOGEN_AUF_UMA_WERT</t>
  </si>
  <si>
    <t>Sollwert DK-Winkel, bezogen auf unteren Anschlag</t>
  </si>
  <si>
    <t>wdknlpr_w</t>
  </si>
  <si>
    <t>STAT_0x583F_WERT</t>
  </si>
  <si>
    <t>0x583F</t>
  </si>
  <si>
    <t>wdks</t>
  </si>
  <si>
    <t>STAT_0x5840_WERT</t>
  </si>
  <si>
    <t>0x5840</t>
  </si>
  <si>
    <t>STAT_DK_WINKEL_DER_NOTLUFTPOSITION_WERT</t>
  </si>
  <si>
    <t>DK-Winkel der Notluftposition</t>
  </si>
  <si>
    <t>wdknlp_w</t>
  </si>
  <si>
    <t>RTSGR</t>
  </si>
  <si>
    <t>0x5841</t>
  </si>
  <si>
    <t>STAT_SG_INNENTEMPERATUR_ROHWERT_WERT</t>
  </si>
  <si>
    <t>Wert Temperatur SteuergerÃ¤t</t>
  </si>
  <si>
    <t>wtsg</t>
  </si>
  <si>
    <t>STAT_0x5842_WERT</t>
  </si>
  <si>
    <t>0x5842</t>
  </si>
  <si>
    <t>STAT_KENNUNG_GENERATORTYP_WERT</t>
  </si>
  <si>
    <t>Kennung Generatortyp</t>
  </si>
  <si>
    <t>STAT_0x5843_WERT</t>
  </si>
  <si>
    <t>0x5843</t>
  </si>
  <si>
    <t>STAT_BEDINGUNG_STARTANFORDERUNG_WERT</t>
  </si>
  <si>
    <t>Bedingung Startanforderung</t>
  </si>
  <si>
    <t>B_staanf_byte</t>
  </si>
  <si>
    <t>STAT_0x5844_WERT</t>
  </si>
  <si>
    <t>0x5844</t>
  </si>
  <si>
    <t>STAT_0x5845_WERT</t>
  </si>
  <si>
    <t>0x5845</t>
  </si>
  <si>
    <t>STAT_SPANNUNG_LAMBDASONDE_VOR_KAT_BANK_1_WERT</t>
  </si>
  <si>
    <t>Sondenspannung vor Kat einer Breitbandlambdasonde (ADC-Wert)</t>
  </si>
  <si>
    <t>uulsuv_w</t>
  </si>
  <si>
    <t>STAT_0x5846_WERT</t>
  </si>
  <si>
    <t>0x5846</t>
  </si>
  <si>
    <t>STAT_SPANNUNG_PEDALWERTGEBER_1_WERT</t>
  </si>
  <si>
    <t>Spannung PWG-Poti 1 (Word)</t>
  </si>
  <si>
    <t>upwg1_w</t>
  </si>
  <si>
    <t>STAT_0x5847_WERT</t>
  </si>
  <si>
    <t>0x5847</t>
  </si>
  <si>
    <t>STAT_SPANNUNG_PEDALWERTGEBER_2_WERT</t>
  </si>
  <si>
    <t>Spannung PWG-Poti 2 (Word)</t>
  </si>
  <si>
    <t>upwg2_w</t>
  </si>
  <si>
    <t>STAT_0x5849_WERT</t>
  </si>
  <si>
    <t>0x5849</t>
  </si>
  <si>
    <t>STAT_SPANNUNG_LAMBDASONDE_HINTER_KAT_BANK_1_WERT</t>
  </si>
  <si>
    <t>ADC-Spannung Lambdasonde hinter Katalysator (Word)</t>
  </si>
  <si>
    <t>ushk_w</t>
  </si>
  <si>
    <t>STAT_0x584C_WERT</t>
  </si>
  <si>
    <t>0x584C</t>
  </si>
  <si>
    <t>STAT_SPANNUNG_DROSSELKLAPPE_POTENTIOMETER_2_WERT</t>
  </si>
  <si>
    <t>Spannung DK-Poti 2</t>
  </si>
  <si>
    <t>udkp2_w</t>
  </si>
  <si>
    <t>SQTEK</t>
  </si>
  <si>
    <t>0x584D</t>
  </si>
  <si>
    <t>STAT_KORRIGIERTER_SOLLWERT_DURCHFLUSS_TANKENTLUEFTUNG_WERT</t>
  </si>
  <si>
    <t>Massenstrom TankentlÃ¼ftung in das Saugrohr</t>
  </si>
  <si>
    <t>mste_w</t>
  </si>
  <si>
    <t>STAT_0x584E_WERT</t>
  </si>
  <si>
    <t>0x584E</t>
  </si>
  <si>
    <t>STAT_SPANNUNG_DROSSELKLAPPE_POTENTIOMETER_1_WERT</t>
  </si>
  <si>
    <t>Spannung DK-Poti 1</t>
  </si>
  <si>
    <t>udkp1_w</t>
  </si>
  <si>
    <t>STAT_0x584F_WERT</t>
  </si>
  <si>
    <t>0x584F</t>
  </si>
  <si>
    <t>STAT_UMWELTBEDINGUNG_BNS_FEHLER_WERT</t>
  </si>
  <si>
    <t>Umweltbedingung BNS-Fehler</t>
  </si>
  <si>
    <t>statbnserr</t>
  </si>
  <si>
    <t>STAT_0x5850_WERT</t>
  </si>
  <si>
    <t>0x5850</t>
  </si>
  <si>
    <t>STAT_SPANNUNG_MOTORTEMPERATUR_WERT</t>
  </si>
  <si>
    <t>Signalspannung des KÃ¼hlmitteltemperatursensor</t>
  </si>
  <si>
    <t>utcw_w</t>
  </si>
  <si>
    <t>STAT_0x5855_WERT</t>
  </si>
  <si>
    <t>0x5855</t>
  </si>
  <si>
    <t>STAT_MITTELWERT_BANK_1_WERT</t>
  </si>
  <si>
    <t>schneller Mittelwert des Lambdaregelfaktors (Word)</t>
  </si>
  <si>
    <t>frm_w</t>
  </si>
  <si>
    <t>STAT_0x5857_WERT</t>
  </si>
  <si>
    <t>0x5857</t>
  </si>
  <si>
    <t>STAT_0x5858_WERT</t>
  </si>
  <si>
    <t>0x5858</t>
  </si>
  <si>
    <t>STAT_DROSSELKLAPPENWINKEL_BEZOGEN_AUF_UNTEREN_ANSCHLAG_WERT</t>
  </si>
  <si>
    <t>Drosselklappenwinkel bezogen auf unteren Anschlag</t>
  </si>
  <si>
    <t>wdkba</t>
  </si>
  <si>
    <t>STAT_0x5859_WERT</t>
  </si>
  <si>
    <t>0x5859</t>
  </si>
  <si>
    <t>STAT_DMTL_STROM_REFERENZLECK_WERT</t>
  </si>
  <si>
    <t>Pumpenstrom Referenzleck</t>
  </si>
  <si>
    <t>mA</t>
  </si>
  <si>
    <t>iptrefr_w</t>
  </si>
  <si>
    <t>STAT_0x585A_WERT</t>
  </si>
  <si>
    <t>0x585A</t>
  </si>
  <si>
    <t>STAT_DMTL_STROM_GROBLECK_WERT</t>
  </si>
  <si>
    <t>min. Pumpenstrom bei Grobleckmessung</t>
  </si>
  <si>
    <t>iptglmn_w</t>
  </si>
  <si>
    <t>STAT_0x585B_WERT</t>
  </si>
  <si>
    <t>0x585B</t>
  </si>
  <si>
    <t>STAT_DMTL_STROM_DIAGNOSEENDE_WERT</t>
  </si>
  <si>
    <t>Pumpenstrom am Ende der Feinstleckmessung</t>
  </si>
  <si>
    <t>iptkl_w</t>
  </si>
  <si>
    <t>IRLN1</t>
  </si>
  <si>
    <t>0x585C</t>
  </si>
  <si>
    <t>STAT_INNENWIDERSTAND_NERNZELLE_LAMBDASONDE_HINTER_KAT_WERT</t>
  </si>
  <si>
    <t>Istwert (word) Innenwiderstand Ri-Nernstzelle der Lambdasonde hinter KAT</t>
  </si>
  <si>
    <t>Ohm</t>
  </si>
  <si>
    <t>rinh_w</t>
  </si>
  <si>
    <t>IRUN1</t>
  </si>
  <si>
    <t>0x585E</t>
  </si>
  <si>
    <t>STAT_LOW_BYTE_INNENWIDERSTAND_NERNZELLE_LS_HINTER_KAT_WERT</t>
  </si>
  <si>
    <t>IRLV1</t>
  </si>
  <si>
    <t>0x5860</t>
  </si>
  <si>
    <t>STAT_INNENWIDERSTAND_NERNZELLE_DER_LSU_WERT</t>
  </si>
  <si>
    <t>Innenwiderstand der Nernstzelle der LSU</t>
  </si>
  <si>
    <t>rinlsu_w</t>
  </si>
  <si>
    <t>STAT_0x5862_WERT</t>
  </si>
  <si>
    <t>0x5862</t>
  </si>
  <si>
    <t>STAT_OELDRUCK_SOLLWERT_WERT</t>
  </si>
  <si>
    <t>Ã–ldruck Sollwert</t>
  </si>
  <si>
    <t>kPa</t>
  </si>
  <si>
    <t>poels_w</t>
  </si>
  <si>
    <t>IRUV1</t>
  </si>
  <si>
    <t>0x5863</t>
  </si>
  <si>
    <t>STAT_LOW_BYTE_INNENWIDERSTAND_DER_NERNSTZELLE_DER_LSU_WERT</t>
  </si>
  <si>
    <t>STAT_0x5867_WERT</t>
  </si>
  <si>
    <t>0x5867</t>
  </si>
  <si>
    <t>STAT_KILOMETERSTAND_WERT</t>
  </si>
  <si>
    <t>Fahrstrecke des Fahrzeugs als Information Ã¼ber CAN</t>
  </si>
  <si>
    <t>km</t>
  </si>
  <si>
    <t>kmstand</t>
  </si>
  <si>
    <t>ISSR1</t>
  </si>
  <si>
    <t>0x5868</t>
  </si>
  <si>
    <t>STAT_STATUS_STANDVERBRAUCHER_REGISTRIERT_TEIL_1_WERT</t>
  </si>
  <si>
    <t xml:space="preserve">Status Standverbraucher registriert Teil </t>
  </si>
  <si>
    <t>statsvreg1</t>
  </si>
  <si>
    <t>ISSR2</t>
  </si>
  <si>
    <t>0x5869</t>
  </si>
  <si>
    <t>STAT_STATUS_STANDVERBRAUCHER_REGISTRIERT_TEIL_2_WERT</t>
  </si>
  <si>
    <t>Status Standverbraucher registriert Teil 2</t>
  </si>
  <si>
    <t>statsvreg2</t>
  </si>
  <si>
    <t>STAT_0x586A_WERT</t>
  </si>
  <si>
    <t>0x586A</t>
  </si>
  <si>
    <t>aktuelle Batteriespannung</t>
  </si>
  <si>
    <t>IZR82</t>
  </si>
  <si>
    <t>0x586B</t>
  </si>
  <si>
    <t>STAT_ZEIT_MIT_RUHESTROM_80_BIS_200_MA_WERT</t>
  </si>
  <si>
    <t>Zeit, indem der Ruhestrom bei 80..200mA liegt</t>
  </si>
  <si>
    <t>t2hstshort</t>
  </si>
  <si>
    <t>IZR21</t>
  </si>
  <si>
    <t>0x586C</t>
  </si>
  <si>
    <t>STAT_ZEIT_MIT_RUHESTROM_200_BIS_1000_MA_WERT</t>
  </si>
  <si>
    <t>Zeit, indem der Ruhestrom bei 200..1000mA liegt</t>
  </si>
  <si>
    <t>t3hstshort</t>
  </si>
  <si>
    <t>IZRG1</t>
  </si>
  <si>
    <t>0x586E</t>
  </si>
  <si>
    <t>STAT_ZEIT_MIT_RUHESTROM_GROESSER_1000_MA_WERT</t>
  </si>
  <si>
    <t>Zeit, indem der Ruhestrom grÃ¶ÃŸer als 1000mA liegt</t>
  </si>
  <si>
    <t>t4hstshort</t>
  </si>
  <si>
    <t>STAT_0x586F_WERT</t>
  </si>
  <si>
    <t>0x586F</t>
  </si>
  <si>
    <t>STAT_OELDRUCK_ISTWERT_WERT</t>
  </si>
  <si>
    <t>Ã–ldruck</t>
  </si>
  <si>
    <t>poel_w</t>
  </si>
  <si>
    <t>STAT_0x5870_WERT</t>
  </si>
  <si>
    <t>0x5870</t>
  </si>
  <si>
    <t>STAT_SPANNUNG_DME_UMGEBUNGSDRUCK_WERT</t>
  </si>
  <si>
    <t>Spannung Umgebungsdrucksensor (word 10-Bit von ADC)</t>
  </si>
  <si>
    <t>udsu_w</t>
  </si>
  <si>
    <t>STAT_0x5872_WERT</t>
  </si>
  <si>
    <t>0x5872</t>
  </si>
  <si>
    <t>STAT_0x5874_WERT</t>
  </si>
  <si>
    <t>0x5874</t>
  </si>
  <si>
    <t>STAT_SPANNUNG_STROMMESSUNG_DMTL_WERT</t>
  </si>
  <si>
    <t>ADC-Spannung Pumpenstrom Tankdiagnose</t>
  </si>
  <si>
    <t>urptes_w</t>
  </si>
  <si>
    <t>STAT_0x5875_WERT</t>
  </si>
  <si>
    <t>0x5875</t>
  </si>
  <si>
    <t>STAT_SOLLWERT_MOTORMOMENT_WERT</t>
  </si>
  <si>
    <t>Indiziertes Soll-Motormoment MSR</t>
  </si>
  <si>
    <t>mimsr_w</t>
  </si>
  <si>
    <t>STAT_0x5876_WERT</t>
  </si>
  <si>
    <t>0x5876</t>
  </si>
  <si>
    <t>STAT_UNGEFILTERTER_HOCHDRUCK_ ROHWERT_WERT</t>
  </si>
  <si>
    <t>Ungefilterter Hochdruck Rohwert (relativ Druck)</t>
  </si>
  <si>
    <t>prrohr_w</t>
  </si>
  <si>
    <t>ILRR1</t>
  </si>
  <si>
    <t>0x5878</t>
  </si>
  <si>
    <t>STAT_LAMBDAVERSCHIEBUNG_RUECKFUEHRREGLER_1_WERT</t>
  </si>
  <si>
    <t>I-Anteil der stetigen LRSHK Variante kontinuierlich</t>
  </si>
  <si>
    <t>dlahi_w</t>
  </si>
  <si>
    <t>STAT_0x587A_WERT</t>
  </si>
  <si>
    <t>0x587A</t>
  </si>
  <si>
    <t>STAT_STATUS_FGR_WERT</t>
  </si>
  <si>
    <t>Status FGR</t>
  </si>
  <si>
    <t>zstfgr</t>
  </si>
  <si>
    <t>STAT_0x587C_WERT</t>
  </si>
  <si>
    <t>0x587C</t>
  </si>
  <si>
    <t>STAT_PERIODENDAUER_DES_NULLGANGSENSORSIGNALS_WERT</t>
  </si>
  <si>
    <t>Periodendauer des Nullgangsensorsignals</t>
  </si>
  <si>
    <t>ms</t>
  </si>
  <si>
    <t>GbxNPos_tiPwmPer</t>
  </si>
  <si>
    <t>STAT_0x587D_WERT</t>
  </si>
  <si>
    <t>0x587D</t>
  </si>
  <si>
    <t>STAT_STATUS_NULLGANGSENSOR_WERT</t>
  </si>
  <si>
    <t>Status Nullgangsensor</t>
  </si>
  <si>
    <t>stngang</t>
  </si>
  <si>
    <t>IELTV</t>
  </si>
  <si>
    <t>0x587F</t>
  </si>
  <si>
    <t>STAT_TASTVERHAELTNIS_E_LUEFTER_WERT</t>
  </si>
  <si>
    <t>TastverhÃ¤ltnis E-LÃ¼fter</t>
  </si>
  <si>
    <t>SBEGA</t>
  </si>
  <si>
    <t>0x5881</t>
  </si>
  <si>
    <t>STAT_BERECHNETER_GANG_WERT</t>
  </si>
  <si>
    <t>Ist-Gang</t>
  </si>
  <si>
    <t>gangi</t>
  </si>
  <si>
    <t>ITMOS</t>
  </si>
  <si>
    <t>0x5882</t>
  </si>
  <si>
    <t>STAT_MOTORTEMPERATUR_BEIM_START_WERT</t>
  </si>
  <si>
    <t>Motorstarttemperatur</t>
  </si>
  <si>
    <t>tmst</t>
  </si>
  <si>
    <t>STAT_0x5883_WERT</t>
  </si>
  <si>
    <t>0x5883</t>
  </si>
  <si>
    <t>STAT_SPANNUNG_KLOPFWERTE_ZYLINDER_1_WERT</t>
  </si>
  <si>
    <t>Spannung Klopfwerte Zylinder 1</t>
  </si>
  <si>
    <t>rkr_w</t>
  </si>
  <si>
    <t>STAT_0x5884_WERT</t>
  </si>
  <si>
    <t>0x5884</t>
  </si>
  <si>
    <t>STAT_RUECKGELESENER_ERREGERGRENZSTROM_GENERATOR_1_WERT</t>
  </si>
  <si>
    <t>STAT_0x5885_WERT</t>
  </si>
  <si>
    <t>0x5885</t>
  </si>
  <si>
    <t>STAT_SPANNUNG_KLOPFWERT_ZYLINDER_3_WERT</t>
  </si>
  <si>
    <t>Spannung Klopfwerte Zylinder 3</t>
  </si>
  <si>
    <t>0x5887</t>
  </si>
  <si>
    <t>STAT_0x5888_WERT</t>
  </si>
  <si>
    <t>0x5888</t>
  </si>
  <si>
    <t>STAT_SPANNUNG_KLOPFWERT_ZYLINDER_4_WERT</t>
  </si>
  <si>
    <t>Spannung Klopfwerte Zylinder 4</t>
  </si>
  <si>
    <t>ILAG1</t>
  </si>
  <si>
    <t>0x5889</t>
  </si>
  <si>
    <t>STAT_LAMBDA_ISTWERT_GRUPPE_1_WERT</t>
  </si>
  <si>
    <t>Lambda-Istwert</t>
  </si>
  <si>
    <t>lamsoni_w</t>
  </si>
  <si>
    <t>IZSSE</t>
  </si>
  <si>
    <t>0x588B</t>
  </si>
  <si>
    <t>STAT_ZEIT_SEIT_STARTENDE_WERT</t>
  </si>
  <si>
    <t>Zeit nach Startende</t>
  </si>
  <si>
    <t>tnst_w</t>
  </si>
  <si>
    <t>ITKV1</t>
  </si>
  <si>
    <t>0x588C</t>
  </si>
  <si>
    <t>STAT_KERAMIKTEMPERATUR_DER_LSU_WERT</t>
  </si>
  <si>
    <t>Keramiktemperatur der LSU</t>
  </si>
  <si>
    <t>tkerlsu_w</t>
  </si>
  <si>
    <t>IZDML</t>
  </si>
  <si>
    <t>0x588D</t>
  </si>
  <si>
    <t>STAT_AKTUELLE_ZEIT_DMTL_LECKMESSUNG_WERT</t>
  </si>
  <si>
    <t>aktuelle Zeit Leckmessung</t>
  </si>
  <si>
    <t>tdmlka_w</t>
  </si>
  <si>
    <t>IIDMP</t>
  </si>
  <si>
    <t>0x588E</t>
  </si>
  <si>
    <t>STAT_PUMPENSTROM_BEI_DMTL_PUMPENPRUEFUNG_WERT</t>
  </si>
  <si>
    <t>Pumpenstrom Tankdiagnose</t>
  </si>
  <si>
    <t>iptes_w</t>
  </si>
  <si>
    <t>IMOKU</t>
  </si>
  <si>
    <t>0x5891</t>
  </si>
  <si>
    <t>STAT_MOMENTANFORDERUNG_AN_DER_KUPPLUNG_WERT</t>
  </si>
  <si>
    <t>Kupplungsmotormoment Istwert</t>
  </si>
  <si>
    <t>Nm</t>
  </si>
  <si>
    <t>mkist_w</t>
  </si>
  <si>
    <t>IPBUS</t>
  </si>
  <si>
    <t>0x5892</t>
  </si>
  <si>
    <t>STAT_BREMSUNTERDRUCK_WERT</t>
  </si>
  <si>
    <t>Differenz zwischen Umgebungsdruck und BremskraftverstÃ¤rkerDruck von Drucksensor</t>
  </si>
  <si>
    <t>dpbkvur_w</t>
  </si>
  <si>
    <t>IDMGW</t>
  </si>
  <si>
    <t>0x5893</t>
  </si>
  <si>
    <t>STAT_DREHMOMENTABFALL_SCHNELL_BEI_GANGWECHSEL_WERT</t>
  </si>
  <si>
    <t>Indiziertes Soll-Motormoment GS fÃ¼r schnellen Eingriff</t>
  </si>
  <si>
    <t>migs_w</t>
  </si>
  <si>
    <t>STAT_0x5894_WERT</t>
  </si>
  <si>
    <t>0x5894</t>
  </si>
  <si>
    <t>STAT_SPANNUNG_KLOPFWERT_ZYLINDER_2_WERT</t>
  </si>
  <si>
    <t>Spannung Klopfwerte Zylinder 2</t>
  </si>
  <si>
    <t>STAT_0x5896_WERT</t>
  </si>
  <si>
    <t>0x5896</t>
  </si>
  <si>
    <t>STAT_ABGASTEMPERATUR_HINTER_KAT_BANK_1_WERT</t>
  </si>
  <si>
    <t>Abgastemperatur hinter Hauptkat aus Modell</t>
  </si>
  <si>
    <t>tanhkm_w</t>
  </si>
  <si>
    <t>SUGEN</t>
  </si>
  <si>
    <t>0x5898</t>
  </si>
  <si>
    <t>STAT_GENERATOR_SOLLSPANNUNG_WERT</t>
  </si>
  <si>
    <t>phys. Wert Generatorsollspannung (Volt) fÃ¼r Komponententreiber Generator</t>
  </si>
  <si>
    <t>STAT_0x5899_WERT</t>
  </si>
  <si>
    <t>0x5899</t>
  </si>
  <si>
    <t>STAT_BEDINGUNG_ ANFORDERUNG_MOTORRELAIS_EINSCHALTEN_WERT</t>
  </si>
  <si>
    <t>Bedingung Anforderung Motorrelais einschalten</t>
  </si>
  <si>
    <t>B_amtr_byte</t>
  </si>
  <si>
    <t>STAT_0x589A_WERT</t>
  </si>
  <si>
    <t>0x589A</t>
  </si>
  <si>
    <t>STAT_TASTVERHAELTNIS_NULLGANGSENSOR_WERT</t>
  </si>
  <si>
    <t>TastverhÃ¤ltnis Nullgangsensor</t>
  </si>
  <si>
    <t>tngang_w</t>
  </si>
  <si>
    <t>STAT_0x589B_WERT</t>
  </si>
  <si>
    <t>0x589B</t>
  </si>
  <si>
    <t>STAT_BEDINGUNG_UNZULAESSIGER_HOHER_MOTORSTROM_WERT</t>
  </si>
  <si>
    <t>Bedingung unzulÃ¤ssig hoher Motorstrom bei Kurzschluss erkannt</t>
  </si>
  <si>
    <t>B_ivvtkse_byte</t>
  </si>
  <si>
    <t>STAT_0x589C_WERT</t>
  </si>
  <si>
    <t>0x589C</t>
  </si>
  <si>
    <t>STAT_BEDINGUNG_FREIGABE_VVT_ENDSTUFE_WERT</t>
  </si>
  <si>
    <t>Bedingung Freigabe VVT-Endstufe</t>
  </si>
  <si>
    <t>B_vvten_byte</t>
  </si>
  <si>
    <t>STAT_0x589E_WERT</t>
  </si>
  <si>
    <t>0x589E</t>
  </si>
  <si>
    <t>STAT_SOLLWERT_EXZENTERWINKEL_VVT_WERT</t>
  </si>
  <si>
    <t>Sollwert Exzenterwinkel VVT</t>
  </si>
  <si>
    <t>Grad</t>
  </si>
  <si>
    <t>exwinks_w</t>
  </si>
  <si>
    <t>STAT_0x589F_WERT</t>
  </si>
  <si>
    <t>0x589F</t>
  </si>
  <si>
    <t>STAT_BATTERIETEMPERATUR_WERT</t>
  </si>
  <si>
    <t>Batterietemperatur</t>
  </si>
  <si>
    <t>tbatt</t>
  </si>
  <si>
    <t>STAT_0x58A1_WERT</t>
  </si>
  <si>
    <t>0x58A1</t>
  </si>
  <si>
    <t>Umweltbedingung Kilometerstand fÃ¼r Fehlerspeichereintrag</t>
  </si>
  <si>
    <t>kmstfsp_w</t>
  </si>
  <si>
    <t>STAT_0x58A2_WERT</t>
  </si>
  <si>
    <t>0x58A2</t>
  </si>
  <si>
    <t>STAT_ISTWERT_EXZENTERWINKEL_VVT_WERT</t>
  </si>
  <si>
    <t>Istwert Exzenterwinkel VVT</t>
  </si>
  <si>
    <t>exwnki_w</t>
  </si>
  <si>
    <t>STAT_0x58A3_WERT</t>
  </si>
  <si>
    <t>0x58A3</t>
  </si>
  <si>
    <t>STAT_REL_EXZENTERWINKEL_AM_OBEREN_MECH_ANSCHLAG_WERT</t>
  </si>
  <si>
    <t>rel. Exzenterwinkel am oberen mech. Anschlag</t>
  </si>
  <si>
    <t>exwnkoar_w</t>
  </si>
  <si>
    <t>STAT_0x58A4_WERT</t>
  </si>
  <si>
    <t>0x58A4</t>
  </si>
  <si>
    <t>STAT_STATUS_GENERATOR_WERT</t>
  </si>
  <si>
    <t>Status Generator</t>
  </si>
  <si>
    <t>st_gen</t>
  </si>
  <si>
    <t>STAT_0x58A5_WERT</t>
  </si>
  <si>
    <t>0x58A5</t>
  </si>
  <si>
    <t>STAT_ERECHNETES_DF_SIGNAL_GENERATOR_1_WERT</t>
  </si>
  <si>
    <t>Vom Generator empfangenes Lastsignal</t>
  </si>
  <si>
    <t>dffgen</t>
  </si>
  <si>
    <t>STAT_0x58A6_WERT</t>
  </si>
  <si>
    <t>0x58A6</t>
  </si>
  <si>
    <t>STAT_REL_EXZENTERWINKEL_WERT</t>
  </si>
  <si>
    <t>rel. Exzenterwinkel</t>
  </si>
  <si>
    <t>exwnkr_w</t>
  </si>
  <si>
    <t>STAT_0x58A7_WERT</t>
  </si>
  <si>
    <t>0x58A7</t>
  </si>
  <si>
    <t>STAT_ABSTELLZEIT_IN_MINUTEN_WERT</t>
  </si>
  <si>
    <t>Abstellzeit aus relativem MinutenzÃ¤hler bis Motorstart</t>
  </si>
  <si>
    <t>tabsmn_w</t>
  </si>
  <si>
    <t>STAT_0x58A8_WERT</t>
  </si>
  <si>
    <t>0x58A8</t>
  </si>
  <si>
    <t>STAT_REL_EXZENTERWINKEL_AM_UNTERER_MECH_ANSCHLAG_WERT</t>
  </si>
  <si>
    <t>rel. Exzenterwinkel am unterer mech. Anschlag</t>
  </si>
  <si>
    <t>exwnkuar_w</t>
  </si>
  <si>
    <t>STAT_0x58A9_WERT</t>
  </si>
  <si>
    <t>0x58A9</t>
  </si>
  <si>
    <t>STAT_VVT_VERSTELLBEREICH_AUS_URLERNVORGANG_WERT</t>
  </si>
  <si>
    <t>VVT Verstellbereich aus Urlernvorgang</t>
  </si>
  <si>
    <t>exwnkvb_ur_w</t>
  </si>
  <si>
    <t>STAT_0x58AA_WERT</t>
  </si>
  <si>
    <t>0x58AA</t>
  </si>
  <si>
    <t>STAT_VERSTELLBEREICH_DES_EXZENTERWINKELS_WERT</t>
  </si>
  <si>
    <t>Verstellbereich des Exzenterwinkels</t>
  </si>
  <si>
    <t>exwnkvb_w</t>
  </si>
  <si>
    <t>STAT_0x58AB_WERT</t>
  </si>
  <si>
    <t>0x58AB</t>
  </si>
  <si>
    <t>STAT_DLR_FUER_DV_E_SUMME_DER_PID_ANTEILE_WERT</t>
  </si>
  <si>
    <t>DLR fÃ¼r DV-E: Summe der PID-Anteile</t>
  </si>
  <si>
    <t>dlrspid_w</t>
  </si>
  <si>
    <t>STAT_0x58AD_WERT</t>
  </si>
  <si>
    <t>0x58AD</t>
  </si>
  <si>
    <t>STAT_SAUERSTOFFSPEICHERVERMOEGEN_KAT_WERT</t>
  </si>
  <si>
    <t>SauerstoffspeichervermÃ¶gen Kat</t>
  </si>
  <si>
    <t>mg</t>
  </si>
  <si>
    <t>oscdktt_w</t>
  </si>
  <si>
    <t>STAT_0x58AE_WERT</t>
  </si>
  <si>
    <t>0x58AE</t>
  </si>
  <si>
    <t>STAT_PERIODENDAUER_LUFTMASSE_WERT</t>
  </si>
  <si>
    <t>Peridendauer fÃ¼r Massenstrom aus HFM</t>
  </si>
  <si>
    <t>us</t>
  </si>
  <si>
    <t>tpmshfm_w</t>
  </si>
  <si>
    <t>IKRAN</t>
  </si>
  <si>
    <t>0x58AF</t>
  </si>
  <si>
    <t>STAT_KRAFTSTOFF_ANFORDERUNG_AN_PUMPE_WERT</t>
  </si>
  <si>
    <t>EKP-Sollvolumenstrom</t>
  </si>
  <si>
    <t>l</t>
  </si>
  <si>
    <t>vssekp</t>
  </si>
  <si>
    <t>IDKAD</t>
  </si>
  <si>
    <t>0x58B0</t>
  </si>
  <si>
    <t>STAT_DK_ADAPTIONSSCHRITT_WERT</t>
  </si>
  <si>
    <t>ZÃ¤hler fÃ¼r Lerndauer eines Lernsteps</t>
  </si>
  <si>
    <t>lrnstep_c</t>
  </si>
  <si>
    <t>IZFZ1</t>
  </si>
  <si>
    <t>0x58B1</t>
  </si>
  <si>
    <t>STAT_BRENNDAUER_DES_ZUENDFUNKENS_ZYLINDER_1_WERT</t>
  </si>
  <si>
    <t>Diagnose Zuendung: Brenndauer des Zuendfunkens - Zylinder 1</t>
  </si>
  <si>
    <t>dztbd_w</t>
  </si>
  <si>
    <t>IZFZ3</t>
  </si>
  <si>
    <t>0x58B2</t>
  </si>
  <si>
    <t>STAT_BRENNDAUER_DES_ZUENDFUNKENS_ZYLINDER_3_WERT</t>
  </si>
  <si>
    <t>Diagnose Zuendung: Brenndauer des Zuendfunkens - Zylinder 3</t>
  </si>
  <si>
    <t>IZFZ4</t>
  </si>
  <si>
    <t>0x58B3</t>
  </si>
  <si>
    <t>STAT_BRENNDAUER_DES_ZUENDFUNKENS_ZYLINDER_4_WERT</t>
  </si>
  <si>
    <t>Diagnose Zuendung: Brenndauer des Zuendfunkens - Zylinder 4</t>
  </si>
  <si>
    <t>IZFZ2</t>
  </si>
  <si>
    <t>0x58B4</t>
  </si>
  <si>
    <t>STAT_BRENNDAUER_DES_ZUENDFUNKENS_ZYLINDER_2_WERT</t>
  </si>
  <si>
    <t>Diagnose Zuendung: Brenndauer des Zuendfunkens - Zylinder 2</t>
  </si>
  <si>
    <t>IPBRE</t>
  </si>
  <si>
    <t>0x58B7</t>
  </si>
  <si>
    <t>STAT_BREMSDRUCK_WERT</t>
  </si>
  <si>
    <t>aktueller Bremsdruck</t>
  </si>
  <si>
    <t>pbrems</t>
  </si>
  <si>
    <t>STAT_0x58B8_WERT</t>
  </si>
  <si>
    <t>0x58B8</t>
  </si>
  <si>
    <t>STAT_DREHZAHL_UEBERWACHUNG_WERT</t>
  </si>
  <si>
    <t>Motordrehzahl in der FunktionsÃ¼berwachung</t>
  </si>
  <si>
    <t>MoF_nEng</t>
  </si>
  <si>
    <t>STAT_0x58B9_WERT</t>
  </si>
  <si>
    <t>0x58B9</t>
  </si>
  <si>
    <t>STAT_PLAUSIBILISIERTE_FAHRPEDALSPANNUNG_UEBERWACHUNG_WERT</t>
  </si>
  <si>
    <t>plausibilisierte Fahrpedalspannung in der FunktionsÃ¼berwachung</t>
  </si>
  <si>
    <t>MoF_uAPP</t>
  </si>
  <si>
    <t>STAT_0x58BA_WERT</t>
  </si>
  <si>
    <t>0x58BA</t>
  </si>
  <si>
    <t>STAT_EINGESPRITZTE_KRAFTSTOFFMASSE_WERT</t>
  </si>
  <si>
    <t>Bank mittel eingespritzte effektive relative Krafftstoffmasse (inkl. Reduzierstufe)</t>
  </si>
  <si>
    <t>rkmeeff_w</t>
  </si>
  <si>
    <t>STAT_0x58BB_WERT</t>
  </si>
  <si>
    <t>0x58BB</t>
  </si>
  <si>
    <t>STAT_STROM_FUER_VVT_MOTOR_WERT</t>
  </si>
  <si>
    <t>Strom fÃ¼r VVT-Motor</t>
  </si>
  <si>
    <t>ivvtm_w</t>
  </si>
  <si>
    <t>STAT_0x58BC_WERT</t>
  </si>
  <si>
    <t>0x58BC</t>
  </si>
  <si>
    <t>STAT_LUFTMASSE_UEBERWACHUNG_WERT</t>
  </si>
  <si>
    <t>relative LuftfÃ¼llung in der FunktionsÃ¼berwachung</t>
  </si>
  <si>
    <t>rl_um</t>
  </si>
  <si>
    <t>STAT_0x58BD_WERT</t>
  </si>
  <si>
    <t>0x58BD</t>
  </si>
  <si>
    <t>STAT_STATUS_FEHLER_UEBERLAST_VVT1_WERT</t>
  </si>
  <si>
    <t>Status Fehler Ãœberlast VVT1</t>
  </si>
  <si>
    <t>stdvovrld</t>
  </si>
  <si>
    <t>STAT_0x58BE_WERT</t>
  </si>
  <si>
    <t>0x58BE</t>
  </si>
  <si>
    <t>STAT_DV_E_ADAPTION_STATUS_PRUEFBEDINGUNGEN_WERT</t>
  </si>
  <si>
    <t xml:space="preserve">DV-E-Adaption: Status PrÃ¼fbedingungen </t>
  </si>
  <si>
    <t>dveadchst</t>
  </si>
  <si>
    <t>STAT_0x58C0_WERT</t>
  </si>
  <si>
    <t>0x58C0</t>
  </si>
  <si>
    <t>STAT_VVT_ENDSTUFENTEMPERATUR_AUS_MODELL_WERT</t>
  </si>
  <si>
    <t>VVT-Endstufentemperatur aus Modell</t>
  </si>
  <si>
    <t>tvvtes_w</t>
  </si>
  <si>
    <t>STAT_0x58C8_WERT</t>
  </si>
  <si>
    <t>0x58C8</t>
  </si>
  <si>
    <t>STAT_I_ANTEIL_MOMENTDIFFERENZ_UEBERWACHUNG_UND_MODELL_WERT</t>
  </si>
  <si>
    <t>geforderte DrehmomentÃ¤nderung von der LLR (I-Anteil)</t>
  </si>
  <si>
    <t>dmllri_w</t>
  </si>
  <si>
    <t>STAT_0x58C9_WERT</t>
  </si>
  <si>
    <t>0x58C9</t>
  </si>
  <si>
    <t>STAT_ANSTEUERUNGSMODUS_FUER_DEN_VVT_MOTOR_WERT</t>
  </si>
  <si>
    <t>Ansteuerungsmodus fÃ¼r den VVT Motor</t>
  </si>
  <si>
    <t>vvtmode</t>
  </si>
  <si>
    <t>STAT_0x58CA_WERT</t>
  </si>
  <si>
    <t>0x58CA</t>
  </si>
  <si>
    <t>STAT_PD_ANTEIL_LANGSAM_LEERLAUFREGELUNG_WERT</t>
  </si>
  <si>
    <t>geforderte MD-Ã„nderung von der LLR (PD-ZÃ¼ndungsanteil)</t>
  </si>
  <si>
    <t>dmllrz_w</t>
  </si>
  <si>
    <t>STAT_0x58CB_WERT</t>
  </si>
  <si>
    <t>0x58CB</t>
  </si>
  <si>
    <t>STAT_AUFSUMMIERTE_THERMISCHE_BELASTUNG_VVT_WERT</t>
  </si>
  <si>
    <t>Aufsummierte thermische Belastung VVT</t>
  </si>
  <si>
    <t>dvvttempovl</t>
  </si>
  <si>
    <t>STAT_0x58CC_WERT</t>
  </si>
  <si>
    <t>0x58CC</t>
  </si>
  <si>
    <t>STAT_TASTVERHAELTNIS_ZUR_ANSTEUERUNG_DES_VVT_STELLMOTORS_WERT</t>
  </si>
  <si>
    <t>TastverhÃ¤ltnis zur Ansteuerung des VVT-Stellmotors</t>
  </si>
  <si>
    <t>tvvvtm_w</t>
  </si>
  <si>
    <t>STAT_0x58CD_WERT</t>
  </si>
  <si>
    <t>0x58CD</t>
  </si>
  <si>
    <t>STAT_SPANNUNG_HINTER_MOTORRELAIS_WERT</t>
  </si>
  <si>
    <t>Spannung hinter Motorrelais</t>
  </si>
  <si>
    <t>umtr</t>
  </si>
  <si>
    <t>STAT_0x58CE_WERT</t>
  </si>
  <si>
    <t>0x58CE</t>
  </si>
  <si>
    <t>STAT_CARRIERBYTESCHALTERSTATI_WERT</t>
  </si>
  <si>
    <t>Carrierbyte Schalterstati</t>
  </si>
  <si>
    <t>funst_w</t>
  </si>
  <si>
    <t>SMOMO</t>
  </si>
  <si>
    <t>0x58CF</t>
  </si>
  <si>
    <t>STAT_MOMENTENANFORDERUNG_GETRIEBE_UEBERWACHUNG_WERT</t>
  </si>
  <si>
    <t>Momentenanforderung vom Getriebe in der FunktionsÃ¼berwachung</t>
  </si>
  <si>
    <t>MoF_trqClthTra16</t>
  </si>
  <si>
    <t>IMOMO</t>
  </si>
  <si>
    <t>0x58D0</t>
  </si>
  <si>
    <t>STAT_MOTORMOMENT_ISTWERT_UEBERWACHUNG_WERT</t>
  </si>
  <si>
    <t>Berechnetes Ist-Moment in der FunktionsÃ¼berwachung</t>
  </si>
  <si>
    <t>MoF_rTrqInrAct</t>
  </si>
  <si>
    <t>STAT_0x58D1_WERT</t>
  </si>
  <si>
    <t>0x58D1</t>
  </si>
  <si>
    <t>STAT_MASSENSTROM_ABGAS_WERT</t>
  </si>
  <si>
    <t>Massenstrom Abgas ohne Kraftstoffanteil vor Hauptkatalysator</t>
  </si>
  <si>
    <t>msaovhk_w</t>
  </si>
  <si>
    <t>STAT_0x58D4_WERT</t>
  </si>
  <si>
    <t>0x58D4</t>
  </si>
  <si>
    <t>STAT_STARTBEDINGUNG_KRAFTSCHLUSS_ERFUELLT_WERT</t>
  </si>
  <si>
    <t>Startbedingung Kraftschluss erfÃ¼llt</t>
  </si>
  <si>
    <t>B_kupp1_byte</t>
  </si>
  <si>
    <t>STAT_0x58D5_WERT</t>
  </si>
  <si>
    <t>0x58D5</t>
  </si>
  <si>
    <t>STAT_ANSAUGLUFTTEMPERATUR_IM_LADERSTRANG_WERT</t>
  </si>
  <si>
    <t>physikalischer Temperaturwert, bei Wandung der elk. Sensorspannung wffa1_w ergibt</t>
  </si>
  <si>
    <t>tfa1lin</t>
  </si>
  <si>
    <t>STAT_0x58D7_WERT</t>
  </si>
  <si>
    <t>0x58D7</t>
  </si>
  <si>
    <t>STAT_SPANNUNG_DES_ANSAUGLUFTTEMPERATURSENSORS_WERT</t>
  </si>
  <si>
    <t>Spannung des Ansauglufttemperatursensors im Laderstrang</t>
  </si>
  <si>
    <t>wtfa1_w</t>
  </si>
  <si>
    <t>STAT_0x58D8_WERT</t>
  </si>
  <si>
    <t>0x58D8</t>
  </si>
  <si>
    <t>STAT_DIFFERENZ_DK_WINKEL_SOLLWERT_UND_ISTWERT_WERT</t>
  </si>
  <si>
    <t>Differenz-DK-Winkel Sollwert - Istwert</t>
  </si>
  <si>
    <t>dwdkdlr_w</t>
  </si>
  <si>
    <t>STAT_0x58D9_WERT</t>
  </si>
  <si>
    <t>0x58D9</t>
  </si>
  <si>
    <t>STAT_SCHRITTZAEHLER_DK_RUECKSTELLFEDER_PRUEFUNG_WERT</t>
  </si>
  <si>
    <t>SchrittzÃ¤hler DK-RÃ¼ckstellfeder-PrÃ¼fung</t>
  </si>
  <si>
    <t>fprstep_c</t>
  </si>
  <si>
    <t>STAT_0x58DA_WERT</t>
  </si>
  <si>
    <t>0x58DA</t>
  </si>
  <si>
    <t>STAT_KOORDINIERTES_MOMENT_FUER_FUELLUNG_WERT</t>
  </si>
  <si>
    <t>koordiniertes Moment fÃ¼r FÃ¼llung</t>
  </si>
  <si>
    <t>milsol_w</t>
  </si>
  <si>
    <t>STAT_0x58DB_WERT</t>
  </si>
  <si>
    <t>0x58DB</t>
  </si>
  <si>
    <t>STAT_FEHLERZAEHLER_ABGASREL_AUSSETZER_UEBER_ALLE_ZYLINDER_WERT</t>
  </si>
  <si>
    <t>FehlerzÃ¤hler abgasrelevante Aussetzer Ã¼ber alle Zylinder</t>
  </si>
  <si>
    <t>fzabgs_w</t>
  </si>
  <si>
    <t>STAT_0x58DC_WERT</t>
  </si>
  <si>
    <t>0x58DC</t>
  </si>
  <si>
    <t>STAT_INTERVALLZAEHLER_FUER_ABGASRELEVANTE_AUSSETZER_WERT</t>
  </si>
  <si>
    <t>IntervallzÃ¤hler fÃ¼r abgasrelevante Aussetzer</t>
  </si>
  <si>
    <t>ivzabg_w</t>
  </si>
  <si>
    <t>STAT_0x58DD_WERT</t>
  </si>
  <si>
    <t>0x58DD</t>
  </si>
  <si>
    <t>STAT_DRUCK_VOR_DROSSELKLAPPE_WERT</t>
  </si>
  <si>
    <t>Druck vor Drosselklappe Rohwert</t>
  </si>
  <si>
    <t>pvdr_w</t>
  </si>
  <si>
    <t>STAT_0x58DE_WERT</t>
  </si>
  <si>
    <t>0x58DE</t>
  </si>
  <si>
    <t>STAT_SPANNUNG_FUER_DRUCKSENSOR_VOR_DROSSELKLAPPE_WERT</t>
  </si>
  <si>
    <t>Spannung fÃ¼r Drucksensor vor Drosselklappe</t>
  </si>
  <si>
    <t>udsvd_w</t>
  </si>
  <si>
    <t>STAT_0x58E0_WERT</t>
  </si>
  <si>
    <t>0x58E0</t>
  </si>
  <si>
    <t>STAT_ABGLEICH_DROSSELKLAPPENMODELL_FAKTOR_WERT</t>
  </si>
  <si>
    <t>Abgleich DK-Modell (Faktor)</t>
  </si>
  <si>
    <t>eisydkfkaf</t>
  </si>
  <si>
    <t>STAT_0x58E1_WERT</t>
  </si>
  <si>
    <t>0x58E1</t>
  </si>
  <si>
    <t>STAT_ABGLEICH_DROSSELKLAPPENMODELL_OFFSET_WERT</t>
  </si>
  <si>
    <t>Abgleich DK-Modell (Offset)</t>
  </si>
  <si>
    <t>eisydkkoff</t>
  </si>
  <si>
    <t>STAT_0x58E2_WERT</t>
  </si>
  <si>
    <t>0x58E2</t>
  </si>
  <si>
    <t>STAT_ABGLEICH_EINLASSVENTILMODELL_FAKTOR_WERT</t>
  </si>
  <si>
    <t>Abgleich EV-Modell (Faktor)</t>
  </si>
  <si>
    <t>eisyevfkaf</t>
  </si>
  <si>
    <t>STAT_0x58E3_WERT</t>
  </si>
  <si>
    <t>0x58E3</t>
  </si>
  <si>
    <t>STAT_ABGLEICH_EINLASSVENTILMODELL_OFFSET_WERT</t>
  </si>
  <si>
    <t>Abgleich EV-Modell (Offset)</t>
  </si>
  <si>
    <t>eisyevkoff</t>
  </si>
  <si>
    <t>STAT_0x58E4_WERT</t>
  </si>
  <si>
    <t>0x58E4</t>
  </si>
  <si>
    <t>STAT_BETRIEBSART_ISTWERT_WERT</t>
  </si>
  <si>
    <t>Ist-Betriebsart</t>
  </si>
  <si>
    <t>opmodi</t>
  </si>
  <si>
    <t>STAT_0x58E5_WERT</t>
  </si>
  <si>
    <t>0x58E5</t>
  </si>
  <si>
    <t>STAT_GEFILTERTE_FUNKENBENNDAUER_ZYLINDER_1_WERT</t>
  </si>
  <si>
    <t>Gefilterte Funkenbrenndauer Zylinder 1</t>
  </si>
  <si>
    <t>dztbd_fil</t>
  </si>
  <si>
    <t>STAT_0x58E6_WERT</t>
  </si>
  <si>
    <t>0x58E6</t>
  </si>
  <si>
    <t>STAT_GEFILTERTE_FUNKENBENNDAUER_ZYLINDER_3_WERT</t>
  </si>
  <si>
    <t>Gefilterte Funkenbrenndauer Zylinder 3</t>
  </si>
  <si>
    <t>STAT_0x58E7_WERT</t>
  </si>
  <si>
    <t>0x58E7</t>
  </si>
  <si>
    <t>STAT_GEFILTERTE_FUNKENBENNDAUER_ZYLINDER_4_WERT</t>
  </si>
  <si>
    <t>Gefilterte Funkenbrenndauer Zylinder 4</t>
  </si>
  <si>
    <t>STAT_0x58E8_WERT</t>
  </si>
  <si>
    <t>0x58E8</t>
  </si>
  <si>
    <t>STAT_GEFILTERTE_FUNKENBENNDAUER__ZYLINDER_2_WERT</t>
  </si>
  <si>
    <t>Gefilterte Funkenbrenndauer Zylinder 2</t>
  </si>
  <si>
    <t>STAT_0x58EF_WERT</t>
  </si>
  <si>
    <t>0x58EF</t>
  </si>
  <si>
    <t>STAT_GEMITTELTER_RAILDRUCK_WERT</t>
  </si>
  <si>
    <t>Gefilterter Raildruck-Istwert (Absolutdruck)</t>
  </si>
  <si>
    <t>prist_w</t>
  </si>
  <si>
    <t>STAT_0x58F0_WERT</t>
  </si>
  <si>
    <t>0x58F0</t>
  </si>
  <si>
    <t>STAT_RAILDRUCK_WERT</t>
  </si>
  <si>
    <t>ungefilterter Raildruck Istwert (abs.)</t>
  </si>
  <si>
    <t>prroh_w</t>
  </si>
  <si>
    <t>STAT_0x58F2_WERT</t>
  </si>
  <si>
    <t>0x58F2</t>
  </si>
  <si>
    <t>STAT_PWM_SIGNAL_DES_MENGENSTEUERVENTILS_WERT</t>
  </si>
  <si>
    <t>PWM signal for the VCV</t>
  </si>
  <si>
    <t>PWM_VCV</t>
  </si>
  <si>
    <t>STAT_0x58F3_WERT</t>
  </si>
  <si>
    <t>0x58F3</t>
  </si>
  <si>
    <t>STAT_KRAFTSTOFFDRUCK_VOR_MENGENSTEUERVENTIL_WERT</t>
  </si>
  <si>
    <t>Ungefilterter Niederdruck Rohwert</t>
  </si>
  <si>
    <t>pistndr_w</t>
  </si>
  <si>
    <t>STAT_0x58F5_WERT</t>
  </si>
  <si>
    <t>0x58F5</t>
  </si>
  <si>
    <t>STAT_EINGANGSSIGNAL_RUECKFUEHRREGLER_1_WERT</t>
  </si>
  <si>
    <t>Spannung Diagnose-Port VVT-Ansteuerung (3V ADC)</t>
  </si>
  <si>
    <t>uvvtdia3V</t>
  </si>
  <si>
    <t>STAT_0x58F6_WERT</t>
  </si>
  <si>
    <t>0x58F6</t>
  </si>
  <si>
    <t>STAT_EINGANGSSIGNAL_RUECKFUEHRREGLER_2_WERT</t>
  </si>
  <si>
    <t>Sollspannung des VVT Lagereglers</t>
  </si>
  <si>
    <t>uvvtlrs_w</t>
  </si>
  <si>
    <t>STAT_0x58F7_WERT</t>
  </si>
  <si>
    <t>0x58F7</t>
  </si>
  <si>
    <t>STAT_STATUSBYTE_STROMMESSUNG_PLAUSIBEL_WERT</t>
  </si>
  <si>
    <t>Statusbyte Strommessung plausibel</t>
  </si>
  <si>
    <t>vvtipl</t>
  </si>
  <si>
    <t>STAT_0x58FA_WERT</t>
  </si>
  <si>
    <t>0x58FA</t>
  </si>
  <si>
    <t>STAT_BELADUNGSGRAD_AKTIVKOHLEFILTER_TEV_FUNKTIONSTEST_WERT</t>
  </si>
  <si>
    <t>gefilterter Faktor TankentlÃ¼ftungs-Adaption</t>
  </si>
  <si>
    <t>fteadf</t>
  </si>
  <si>
    <t>STAT_0x58FC_WERT</t>
  </si>
  <si>
    <t>0x58FC</t>
  </si>
  <si>
    <t>STAT_FERTIGUNGS_WERKSTATT_TRANSPORTMODUS_WERT</t>
  </si>
  <si>
    <t>Fertigungs-Werkstatt-,Transportmodus</t>
  </si>
  <si>
    <t>fetrawemod</t>
  </si>
  <si>
    <t>STAT_0x58FE_WERT</t>
  </si>
  <si>
    <t>0x58FE</t>
  </si>
  <si>
    <t>STAT_FEHLERCODE_SWT_FREISCHALTCODE_WERT</t>
  </si>
  <si>
    <t>Fehlercode SWT-Freischaltcode</t>
  </si>
  <si>
    <t>SiaT_Res_St</t>
  </si>
  <si>
    <t>STAT_0x5A02_WERT</t>
  </si>
  <si>
    <t>0x5A02</t>
  </si>
  <si>
    <t>STAT_LECKAGEDIAGNOSE_FUER_TURBOLADER_WIRD_DURCHGEFUEHRT_WERT</t>
  </si>
  <si>
    <t>Leckagediagnose fÃ¼r Turbolader wird durchgefÃ¼hrt</t>
  </si>
  <si>
    <t>B_atlberlek</t>
  </si>
  <si>
    <t>IUPW1</t>
  </si>
  <si>
    <t>0x5A04</t>
  </si>
  <si>
    <t>Spannung Pedalwertgeber 1</t>
  </si>
  <si>
    <t>IUPW2</t>
  </si>
  <si>
    <t>0x5A05</t>
  </si>
  <si>
    <t>Spannung Pedalwertgeber 2</t>
  </si>
  <si>
    <t>IUDK1</t>
  </si>
  <si>
    <t>0x5A06</t>
  </si>
  <si>
    <t>Spannung Drosselklappe Potentiometer 1</t>
  </si>
  <si>
    <t>IUDK2</t>
  </si>
  <si>
    <t>0x5A07</t>
  </si>
  <si>
    <t>Spannung Drosselklappe Potentiometer 2</t>
  </si>
  <si>
    <t>IUANS</t>
  </si>
  <si>
    <t>0x5A08</t>
  </si>
  <si>
    <t>STAT_SPANNUNG_ANSAUGLUFTTEMPERATUR_WERT</t>
  </si>
  <si>
    <t>Spannung Ansauglufttemperatur</t>
  </si>
  <si>
    <t>IUKUM</t>
  </si>
  <si>
    <t>0x5A09</t>
  </si>
  <si>
    <t>Spannung Motortemperatur</t>
  </si>
  <si>
    <t>IUUMG</t>
  </si>
  <si>
    <t>0x5A0B</t>
  </si>
  <si>
    <t>Spannung DME Umgebungsdruck</t>
  </si>
  <si>
    <t>IUSGI</t>
  </si>
  <si>
    <t>0x5A0E</t>
  </si>
  <si>
    <t>STAT_SPANNUNG_SG_INNENTEMPERATUR_WERT</t>
  </si>
  <si>
    <t>Spannung SG-Innentemperatur</t>
  </si>
  <si>
    <t>IUSV1</t>
  </si>
  <si>
    <t>0x5A11</t>
  </si>
  <si>
    <t>Spannung Lambdasonde vor Katalysator Bank 1</t>
  </si>
  <si>
    <t>IUSN1</t>
  </si>
  <si>
    <t>0x5A13</t>
  </si>
  <si>
    <t>Spannung Lambdasonde hinter Katalysator Bank 1</t>
  </si>
  <si>
    <t>IUDMT</t>
  </si>
  <si>
    <t>0x5A17</t>
  </si>
  <si>
    <t>Spannung Strommessung DMTL</t>
  </si>
  <si>
    <t>uptes_w</t>
  </si>
  <si>
    <t>STAT_0x5A1B_WERT</t>
  </si>
  <si>
    <t>0x5A1B</t>
  </si>
  <si>
    <t>STAT_ELEKTRISCHE_KRAFTSTOFFPUMPE_WERT</t>
  </si>
  <si>
    <t xml:space="preserve">Elektrische Kraftstoffpumpe </t>
  </si>
  <si>
    <t>B_ekp</t>
  </si>
  <si>
    <t>IUBUS</t>
  </si>
  <si>
    <t>0x5A1D</t>
  </si>
  <si>
    <t>STAT_SPANNUNG_BREMSENUNTERDRUCK_WERT</t>
  </si>
  <si>
    <t>Spannung Bremsenunterdruck</t>
  </si>
  <si>
    <t>udsbkv_w</t>
  </si>
  <si>
    <t>STAT_0x5A1E_WERT</t>
  </si>
  <si>
    <t>0x5A1E</t>
  </si>
  <si>
    <t>STAT_DIFF_ZW_UMGEBUNGS_UND_BREMSKRAFTVERSTAERKERDRUCK_WERT</t>
  </si>
  <si>
    <t>Differenz zwischen Umgebungsdruck und BremskraftverstÃ¤rker-Druck von Drucksensor (Rohwert)</t>
  </si>
  <si>
    <t>STAT_0x5A20_WERT</t>
  </si>
  <si>
    <t>0x5A20</t>
  </si>
  <si>
    <t>STAT_PERIODENDAUER_MASSENSTROM_HFM_WERT</t>
  </si>
  <si>
    <t>Periodendauer Massenstrom HFM</t>
  </si>
  <si>
    <t>ITKUA</t>
  </si>
  <si>
    <t>0x5A21</t>
  </si>
  <si>
    <t>STAT_KUEHLMITTELTEMPERATUR_KUEHLERAUSGANG_WERT</t>
  </si>
  <si>
    <t>KÃ¼hlmitteltemperatur KÃ¼hlerausgang</t>
  </si>
  <si>
    <t>tmotlinf</t>
  </si>
  <si>
    <t>STAT_0x5A23_WERT</t>
  </si>
  <si>
    <t>0x5A23</t>
  </si>
  <si>
    <t>STAT_0x5A24_WERT</t>
  </si>
  <si>
    <t>0x5A24</t>
  </si>
  <si>
    <t>STAT_0x5A25_WERT</t>
  </si>
  <si>
    <t>0x5A25</t>
  </si>
  <si>
    <t>Ã–ldruck Istwert</t>
  </si>
  <si>
    <t>RFPWG</t>
  </si>
  <si>
    <t>0x5A29</t>
  </si>
  <si>
    <t>Fahrpedalwert</t>
  </si>
  <si>
    <t>STAT_0x5A2B_WERT</t>
  </si>
  <si>
    <t>0x5A2B</t>
  </si>
  <si>
    <t>STAT_TEMPERATUR_VOR_DROSSELKLAPPE_WERT</t>
  </si>
  <si>
    <t>Temperatur vor Drosselklappe</t>
  </si>
  <si>
    <t>tfa1linf</t>
  </si>
  <si>
    <t>STAT_0x5A2D_WERT</t>
  </si>
  <si>
    <t>0x5A2D</t>
  </si>
  <si>
    <t>STAT_DRUCK_NACH_DROSSELKLAPPE_WERT</t>
  </si>
  <si>
    <t>Druck nach Drosselklappe</t>
  </si>
  <si>
    <t>psrg_w</t>
  </si>
  <si>
    <t>STAT_0x5A2E_WERT</t>
  </si>
  <si>
    <t>0x5A2E</t>
  </si>
  <si>
    <t>STAT_KRAFTSTOFFNIEDERDRUCKSENSOR_WERT</t>
  </si>
  <si>
    <t>Kraftstoffniederdrucksensor</t>
  </si>
  <si>
    <t>STAT_0x5A2F_WERT</t>
  </si>
  <si>
    <t>0x5A2F</t>
  </si>
  <si>
    <t>Raildruck</t>
  </si>
  <si>
    <t>ILUZ1</t>
  </si>
  <si>
    <t>0x5A30</t>
  </si>
  <si>
    <t>STAT_LAUFUNRUHE_ZYLINDER_1_WERT</t>
  </si>
  <si>
    <t>Laufunruhe Zylinder 1</t>
  </si>
  <si>
    <t>(Umdr./sec)^2</t>
  </si>
  <si>
    <t>lutskzyl_w</t>
  </si>
  <si>
    <t>ILUZ4</t>
  </si>
  <si>
    <t>0x5A32</t>
  </si>
  <si>
    <t>STAT_LAUFUNRUHE_ZYLINDER_4_WERT</t>
  </si>
  <si>
    <t>Laufunruhe Zylinder 4 (4-Zylinder)</t>
  </si>
  <si>
    <t>ILUZ3</t>
  </si>
  <si>
    <t>0x5A34</t>
  </si>
  <si>
    <t>STAT_LAUFUNRUHE_ZYLINDER_3_WERT</t>
  </si>
  <si>
    <t>Laufunruhe Zylinder 3 (4-Zylinder)</t>
  </si>
  <si>
    <t>ILUZ2</t>
  </si>
  <si>
    <t>0x5A35</t>
  </si>
  <si>
    <t>STAT_LAUFUNRUHE_ZYLINDER_2_WERT</t>
  </si>
  <si>
    <t>Laufunruhe Zylinder 2 (4-Zylinder)</t>
  </si>
  <si>
    <t>ISKLO</t>
  </si>
  <si>
    <t>0x5A36</t>
  </si>
  <si>
    <t>STAT_STATUS_KLOPFEN_WERT</t>
  </si>
  <si>
    <t>Status Klopfen</t>
  </si>
  <si>
    <t>B_kl</t>
  </si>
  <si>
    <t>IUKZ1</t>
  </si>
  <si>
    <t>0x5A37</t>
  </si>
  <si>
    <t>rkrnv6_w</t>
  </si>
  <si>
    <t>IUKZ4</t>
  </si>
  <si>
    <t>0x5A39</t>
  </si>
  <si>
    <t>STAT_SPANNUNG_KLOPFWERTE_ZYLINDER_4_WERT</t>
  </si>
  <si>
    <t>Spannung Klopfwerte Zylinder 4 (4-Zylinder)</t>
  </si>
  <si>
    <t>IUKZ3</t>
  </si>
  <si>
    <t>0x5A3B</t>
  </si>
  <si>
    <t>STAT_SPANNUNG_KLOPFWERTE_ZYLINDER_3_WERT</t>
  </si>
  <si>
    <t>Spannung Klopfwerte Zylinder 3 (4-Zylinder)</t>
  </si>
  <si>
    <t>IUKZ2</t>
  </si>
  <si>
    <t>0x5A3C</t>
  </si>
  <si>
    <t>STAT_SPANNUNG_KLOPFWERTE_ZYLINDER_2_WERT</t>
  </si>
  <si>
    <t>Spannung Klopfwerte Zylinder 2 (4-Zylinder)</t>
  </si>
  <si>
    <t>IZWZ1</t>
  </si>
  <si>
    <t>0x5A49</t>
  </si>
  <si>
    <t>STAT_ZUENDWINKEL_ZYLINDER_1_WERT</t>
  </si>
  <si>
    <t>ZÃ¼ndwinkel Zylinder 1</t>
  </si>
  <si>
    <t>zwoutzyl_w</t>
  </si>
  <si>
    <t>ILASB</t>
  </si>
  <si>
    <t>0x5A4B</t>
  </si>
  <si>
    <t>Berechneter Lastwert</t>
  </si>
  <si>
    <t>ILAB1</t>
  </si>
  <si>
    <t>0x5A50</t>
  </si>
  <si>
    <t>STAT_LAMBDAWERT_VOR_KAT_BANK_1_WERT</t>
  </si>
  <si>
    <t>Lambdawert vor Katalysator Bank 1</t>
  </si>
  <si>
    <t>IRNK1</t>
  </si>
  <si>
    <t>0x5A52</t>
  </si>
  <si>
    <t>STAT_STATUS_LS_HINTER_KAT_BANK_1_WERT</t>
  </si>
  <si>
    <t>Status LS hinter Katalysator Bank 1</t>
  </si>
  <si>
    <t>B_sbbhk</t>
  </si>
  <si>
    <t>ISHN1</t>
  </si>
  <si>
    <t>0x5A54</t>
  </si>
  <si>
    <t>STAT_STATUS_LS_HEIZUNG_HINTER_KAT_BANK_1_WERT</t>
  </si>
  <si>
    <t>Status LS Heizung hinter Katalysator Bank 1</t>
  </si>
  <si>
    <t>B_hsha</t>
  </si>
  <si>
    <t>ISHV1</t>
  </si>
  <si>
    <t>0x5A56</t>
  </si>
  <si>
    <t>STAT_STATUS_LS_HEIZUNG_VOR_KAT_BANK_1_WERT</t>
  </si>
  <si>
    <t>Status LS Heizung vor Katalysator Bank 1</t>
  </si>
  <si>
    <t>B_hstlsua</t>
  </si>
  <si>
    <t>IAHV1</t>
  </si>
  <si>
    <t>0x5A58</t>
  </si>
  <si>
    <t>STAT_LAMBDASONDENHEIZUNG_PWM_VOR_KAT_BANK_1_WERT</t>
  </si>
  <si>
    <t>Lambdasondenheizung PWM vor Katalysator Bank 1</t>
  </si>
  <si>
    <t>IAHN1</t>
  </si>
  <si>
    <t>0x5A59</t>
  </si>
  <si>
    <t>STAT_LAMBDASONDENHEIZUNG_PWM_HINTER_KAT_BANK_1_WERT</t>
  </si>
  <si>
    <t>Lambdasondenheizung PWM hinter Katalysator Bank 1</t>
  </si>
  <si>
    <t>ISBLS</t>
  </si>
  <si>
    <t>0x5A60</t>
  </si>
  <si>
    <t>STAT_BREMSLICHTSCHALTER_EIN_WERT</t>
  </si>
  <si>
    <t>Bremslichtschalter Ein</t>
  </si>
  <si>
    <t>B_bl</t>
  </si>
  <si>
    <t>ISBLT</t>
  </si>
  <si>
    <t>0x5A61</t>
  </si>
  <si>
    <t>STAT_BREMSLICHTTESTSCHALTER_EIN_WERT</t>
  </si>
  <si>
    <t>Bremslichttestschalter Ein</t>
  </si>
  <si>
    <t>B_br</t>
  </si>
  <si>
    <t>ISDMP</t>
  </si>
  <si>
    <t>0x5A66</t>
  </si>
  <si>
    <t>STAT_DMTL_PUMPE_EIN_WERT</t>
  </si>
  <si>
    <t>DMTL Pumpe Ein</t>
  </si>
  <si>
    <t>B_admtpm</t>
  </si>
  <si>
    <t>ISDMV</t>
  </si>
  <si>
    <t>0x5A67</t>
  </si>
  <si>
    <t>STAT_DMTL_VENTIL_EIN_WERT</t>
  </si>
  <si>
    <t>DMTL Ventil Ein</t>
  </si>
  <si>
    <t>B_admtmv</t>
  </si>
  <si>
    <t>ISDMH</t>
  </si>
  <si>
    <t>0x5A68</t>
  </si>
  <si>
    <t>STAT_DMTL_HEIZUNG_EIN_WERT</t>
  </si>
  <si>
    <t>DMTL Heizung Ein</t>
  </si>
  <si>
    <t>B_hdmtlp</t>
  </si>
  <si>
    <t>ISMIL</t>
  </si>
  <si>
    <t>0x5A69</t>
  </si>
  <si>
    <t>STAT_MIL_LAMPE_EIN_WERT</t>
  </si>
  <si>
    <t>MIL Lampe Ein</t>
  </si>
  <si>
    <t>B_mil</t>
  </si>
  <si>
    <t>STAT_0x5A6A_WERT</t>
  </si>
  <si>
    <t>0x5A6A</t>
  </si>
  <si>
    <t>STAT_LAMPE_FGR_EIN_WERT</t>
  </si>
  <si>
    <t>Lampe FGR Ein</t>
  </si>
  <si>
    <t>B_fgr</t>
  </si>
  <si>
    <t>ISCEL</t>
  </si>
  <si>
    <t>0x5A6B</t>
  </si>
  <si>
    <t>STAT_LAMPE_CHECK_ENGINE_EIN_WERT</t>
  </si>
  <si>
    <t>Lampe Check Engine Ein</t>
  </si>
  <si>
    <t>B_epcl</t>
  </si>
  <si>
    <t>STAT_0x5A6C_WERT</t>
  </si>
  <si>
    <t>0x5A6C</t>
  </si>
  <si>
    <t>STAT_VERBRAUCHSKORREKTURFAKTOR_WERT</t>
  </si>
  <si>
    <t>Verbrauchskorrekturfaktor</t>
  </si>
  <si>
    <t>kva_korr</t>
  </si>
  <si>
    <t>STAT_0x5A73_WERT</t>
  </si>
  <si>
    <t>0x5A73</t>
  </si>
  <si>
    <t>STAT_KURBELGEHAEUSEENTLUEFTUNGSHEIZUNG_WERT</t>
  </si>
  <si>
    <t>KurbelgehÃ¤useentlÃ¼ftungsheizung</t>
  </si>
  <si>
    <t>B_oelah</t>
  </si>
  <si>
    <t>IAKFT</t>
  </si>
  <si>
    <t>0x5A74</t>
  </si>
  <si>
    <t>STAT_BEHEIZTER_THERMOSTAT_PWM_WERT</t>
  </si>
  <si>
    <t>Beheizter Thermostat PWM</t>
  </si>
  <si>
    <t>tkwpwm</t>
  </si>
  <si>
    <t>IATEV</t>
  </si>
  <si>
    <t>0x5A77</t>
  </si>
  <si>
    <t>STAT_TANKENTLUEFTUNGSVENTIL_TEV_PWM_WERT</t>
  </si>
  <si>
    <t>TankentlÃ¼ftungsventil TEV PWM</t>
  </si>
  <si>
    <t>tateout_w</t>
  </si>
  <si>
    <t>IAVEP</t>
  </si>
  <si>
    <t>0x5A7A</t>
  </si>
  <si>
    <t>STAT_EINLASS_VANOS_PWM_WERT</t>
  </si>
  <si>
    <t>VANOS PWM Wert Einlass</t>
  </si>
  <si>
    <t>tanwree_w</t>
  </si>
  <si>
    <t>IAVAP</t>
  </si>
  <si>
    <t>0x5A7B</t>
  </si>
  <si>
    <t>STAT_AUSLASS_VANOS_PWM_WERT</t>
  </si>
  <si>
    <t>VANOS PWM Wert Auslass</t>
  </si>
  <si>
    <t>tanwraa_w</t>
  </si>
  <si>
    <t>IINT1</t>
  </si>
  <si>
    <t>0x5A81</t>
  </si>
  <si>
    <t>STAT_INTEGRATOR_BANK_1_WERT</t>
  </si>
  <si>
    <t>Integrator Bank 1</t>
  </si>
  <si>
    <t>IMUL1</t>
  </si>
  <si>
    <t>0x5A85</t>
  </si>
  <si>
    <t>STAT_MULTIPLIKATIVE_GEMISCHADAPTION_BANK_1_WERT</t>
  </si>
  <si>
    <t>GegenwÃ¤rtige multiplikative Gemischadaption Bank 1 aus neuronalem Netz</t>
  </si>
  <si>
    <t>fra_w</t>
  </si>
  <si>
    <t>STAT_0x5A87_WERT</t>
  </si>
  <si>
    <t>0x5A87</t>
  </si>
  <si>
    <t>STAT_ADAPTIONSWERT_TRIMMREGELUNG_BANK_1_WERT</t>
  </si>
  <si>
    <t>Adaptionswert Trimregelung Bank 1</t>
  </si>
  <si>
    <t>dlatrmo_w</t>
  </si>
  <si>
    <t>STAT_0x5A91_WERT</t>
  </si>
  <si>
    <t>0x5A91</t>
  </si>
  <si>
    <t>STAT_KATALYSATORDIAGNOSEWERT_BANK1_WERT</t>
  </si>
  <si>
    <t>Katalysatordiagnosewert Bank1</t>
  </si>
  <si>
    <t>avkatf</t>
  </si>
  <si>
    <t>STAT_0x5A93_WERT</t>
  </si>
  <si>
    <t>0x5A93</t>
  </si>
  <si>
    <t>STAT_FEHLERZAEHLER_FUER_NULLGANG_LERNEN_WERT</t>
  </si>
  <si>
    <t>FehlerzÃ¤hler fÃ¼r Lernen Nullgang</t>
  </si>
  <si>
    <t>GbxNPos_ctDefPlausDia</t>
  </si>
  <si>
    <t>SANWA</t>
  </si>
  <si>
    <t>0x5A94</t>
  </si>
  <si>
    <t>Nockenwelle Auslass Sollwert</t>
  </si>
  <si>
    <t>wnwsswa_w</t>
  </si>
  <si>
    <t>IANWA</t>
  </si>
  <si>
    <t>0x5A95</t>
  </si>
  <si>
    <t>STAT_ADAPTIONSWERT_NOCKENWELLE_AUSLASS_WERT</t>
  </si>
  <si>
    <t>Adaptionswert Nockenwelle Auslass</t>
  </si>
  <si>
    <t>IANWE</t>
  </si>
  <si>
    <t>0x5A96</t>
  </si>
  <si>
    <t>STAT_ADAPTIONSWERT_NOCKENWELLE_EINLASS_WERT</t>
  </si>
  <si>
    <t>Adaptionswert Nockenwelle Einlass</t>
  </si>
  <si>
    <t>STAT_0x5A97_WERT</t>
  </si>
  <si>
    <t>0x5A97</t>
  </si>
  <si>
    <t>STAT_BEDINGUNG_EVANOS_IM_ANSCHLAG_BEIM_LETZTEN_ABSTELLEN_WERT</t>
  </si>
  <si>
    <t>Bedingung EVANOS im Anschlag beim letzten Abstellen</t>
  </si>
  <si>
    <t>B_vseansch</t>
  </si>
  <si>
    <t>IAKWF</t>
  </si>
  <si>
    <t>0x5A99</t>
  </si>
  <si>
    <t>STAT_KURBELWELLEN_ADAPTION_BEENDET_WERT</t>
  </si>
  <si>
    <t>Kurbelwellen Adaption beendet</t>
  </si>
  <si>
    <t>fofstat</t>
  </si>
  <si>
    <t>STAT_0x5A9D_WERT</t>
  </si>
  <si>
    <t>0x5A9D</t>
  </si>
  <si>
    <t>STAT_MULTIPLIKATIVE_GEMISCHKORREKTUR_DER_GEMISCHADAPTION_WERT</t>
  </si>
  <si>
    <t>multiplikative Gemischkorrektur der Gemischadaption</t>
  </si>
  <si>
    <t>frai_w</t>
  </si>
  <si>
    <t>STAT_0x5A9F_WERT</t>
  </si>
  <si>
    <t>0x5A9F</t>
  </si>
  <si>
    <t>STAT_LANGZEITADAPTION_WERT</t>
  </si>
  <si>
    <t>Langzeitadaption</t>
  </si>
  <si>
    <t>frannlza_w</t>
  </si>
  <si>
    <t>IDTEV</t>
  </si>
  <si>
    <t>0x5AA2</t>
  </si>
  <si>
    <t>STAT_STATUS_DIAGNOSE_DMTL_WERT</t>
  </si>
  <si>
    <t>Status Diagnose DMTL</t>
  </si>
  <si>
    <t>stpdmtla</t>
  </si>
  <si>
    <t>IDLSS</t>
  </si>
  <si>
    <t>0x5AA4</t>
  </si>
  <si>
    <t>STAT_STATUS_DIAGNOSE_LEERLAUFDREHZAHLVERSTELLUNG_WERT</t>
  </si>
  <si>
    <t>Status Diagnose Leerlaufdrehzahlverstellung</t>
  </si>
  <si>
    <t>llsstat</t>
  </si>
  <si>
    <t>STAT_0x5AAA_WERT</t>
  </si>
  <si>
    <t>0x5AAA</t>
  </si>
  <si>
    <t>STAT_TASTVERHAELTNIS_OELDRUCK_REGELVENTIL_WERT</t>
  </si>
  <si>
    <t>TastverhÃ¤ltnis Ã–ldruck-Regelventil</t>
  </si>
  <si>
    <t>tvpoel_w</t>
  </si>
  <si>
    <t>STAT_0x5AAB_WERT</t>
  </si>
  <si>
    <t>0x5AAB</t>
  </si>
  <si>
    <t>STAT_WASTEGATE_1_PWM_WERT</t>
  </si>
  <si>
    <t>Wastegate 1 PWM</t>
  </si>
  <si>
    <t>tvldste_w</t>
  </si>
  <si>
    <t>STAT_0x5AB0_WERT</t>
  </si>
  <si>
    <t>0x5AB0</t>
  </si>
  <si>
    <t>STAT_SOLLLADEDRUCK_WERT</t>
  </si>
  <si>
    <t>Sollladedruck</t>
  </si>
  <si>
    <t>psolldr_w</t>
  </si>
  <si>
    <t>IVKMH</t>
  </si>
  <si>
    <t>0x5AB1</t>
  </si>
  <si>
    <t>vfzg_w</t>
  </si>
  <si>
    <t>STAT_0x5AB3_WERT</t>
  </si>
  <si>
    <t>0x5AB3</t>
  </si>
  <si>
    <t>STAT_FAHRSTRECKE_MIT_MIL_AN_WERT</t>
  </si>
  <si>
    <t>Fahrstrecke mit MIL an</t>
  </si>
  <si>
    <t>DSMDur_ctPID21h</t>
  </si>
  <si>
    <t>IZBST</t>
  </si>
  <si>
    <t>0x5AB4</t>
  </si>
  <si>
    <t>top_l</t>
  </si>
  <si>
    <t>RTANS</t>
  </si>
  <si>
    <t>0x5AB6</t>
  </si>
  <si>
    <t>STAT_ROHWERT_ANSAUGLUFTTEMPERATUR_1_WERT</t>
  </si>
  <si>
    <t>Rohwert Ansauglufttemperatur 1</t>
  </si>
  <si>
    <t>RTKWA</t>
  </si>
  <si>
    <t>0x5AB7</t>
  </si>
  <si>
    <t>STAT_ROHWERT_KUEHLWASSERTEMPERATUR_WERT</t>
  </si>
  <si>
    <t>Rohwert KÃ¼hlwassertemperatur</t>
  </si>
  <si>
    <t>IUSAU</t>
  </si>
  <si>
    <t>0x5AB8</t>
  </si>
  <si>
    <t>STAT_SPANNUNG_SAUGROHRDRUCK_WERT</t>
  </si>
  <si>
    <t>Spannung Saugrohrdruck</t>
  </si>
  <si>
    <t>udss_w</t>
  </si>
  <si>
    <t>IMLUF</t>
  </si>
  <si>
    <t>0x5ABC</t>
  </si>
  <si>
    <t>STAT_LUFTMASSE_WERT</t>
  </si>
  <si>
    <t>Luftmasse</t>
  </si>
  <si>
    <t>ml_w</t>
  </si>
  <si>
    <t>IASRE</t>
  </si>
  <si>
    <t>0x5ABD</t>
  </si>
  <si>
    <t>STAT_STARTERRELAIS_AKTIV_WERT</t>
  </si>
  <si>
    <t>Starterrelais aktiv</t>
  </si>
  <si>
    <t>B_sta</t>
  </si>
  <si>
    <t>STAT_0x5ABE_WERT</t>
  </si>
  <si>
    <t>0x5ABE</t>
  </si>
  <si>
    <t>STAT_I_REGLER_MENGENREGELUNG_KRAFTSTOFFSYSTEM_WERT</t>
  </si>
  <si>
    <t>I-Regler Mengenregelung Kraftstoffsystem</t>
  </si>
  <si>
    <t>FUEL_MASS_REQ_I_CTL_H_RES</t>
  </si>
  <si>
    <t>STAT_0x5ABF_WERT</t>
  </si>
  <si>
    <t>0x5ABF</t>
  </si>
  <si>
    <t>STAT_VERBRAUCH_OHNE_REGLER_WERT</t>
  </si>
  <si>
    <t>Verbrauch ohne Regler</t>
  </si>
  <si>
    <t>l/h</t>
  </si>
  <si>
    <t>VFF_MFF_SP_FUP_CTL</t>
  </si>
  <si>
    <t>STAT_0x5AC0_WERT</t>
  </si>
  <si>
    <t>0x5AC0</t>
  </si>
  <si>
    <t>STAT_VERBRAUCH_MIT_REGLER_WERT</t>
  </si>
  <si>
    <t>Verbrauch mit Regler</t>
  </si>
  <si>
    <t>VFF_VCV</t>
  </si>
  <si>
    <t>STAT_0x5AC2_WERT</t>
  </si>
  <si>
    <t>0x5AC2</t>
  </si>
  <si>
    <t>STAT_RESET_ADRESSE_WERT</t>
  </si>
  <si>
    <t>Reset Adresse</t>
  </si>
  <si>
    <t>Reset_Env.adLoc</t>
  </si>
  <si>
    <t>STAT_0x5AC4_WERT</t>
  </si>
  <si>
    <t>0x5AC4</t>
  </si>
  <si>
    <t>STAT_RAILDRUCK_KRAFTSTOFFS_STEM_SOLLWERT_WERT</t>
  </si>
  <si>
    <t>Raildruck Kraftstoffsystem Sollwert</t>
  </si>
  <si>
    <t>STAT_0x5AC5_WERT</t>
  </si>
  <si>
    <t>0x5AC5</t>
  </si>
  <si>
    <t>STAT_TASTVERHAELTNIS_MENGENSTEUERVENTIL_WERT</t>
  </si>
  <si>
    <t>TastverhÃ¤ltnis Mengensteuerventil</t>
  </si>
  <si>
    <t>STAT_0x5AC6_WERT</t>
  </si>
  <si>
    <t>0x5AC6</t>
  </si>
  <si>
    <t>STAT_MODUS_KRAFTSTOFFSYSTEM_WERT</t>
  </si>
  <si>
    <t>Modus Kraftstoffsystem (Druck-, Mengen- oder Maximumregelung)</t>
  </si>
  <si>
    <t>0-n</t>
  </si>
  <si>
    <t>STATE_PWM_VCV</t>
  </si>
  <si>
    <t>ba_vcv_state_text</t>
  </si>
  <si>
    <t>STAT_0x5AD5_WERT</t>
  </si>
  <si>
    <t>0x5AD5</t>
  </si>
  <si>
    <t>STAT_KRAFTSTOFFTEMPERATUR_WERT</t>
  </si>
  <si>
    <t>Kraftstofftemperatur</t>
  </si>
  <si>
    <t>tkrst</t>
  </si>
  <si>
    <t>STAT_0x5AD6_WERT</t>
  </si>
  <si>
    <t>0x5AD6</t>
  </si>
  <si>
    <t>STAT_SCHUBABSCHALTUNG_WERT</t>
  </si>
  <si>
    <t>Schubabschaltung</t>
  </si>
  <si>
    <t>B_sa</t>
  </si>
  <si>
    <t>STAT_0x5AE2_WERT</t>
  </si>
  <si>
    <t>0x5AE2</t>
  </si>
  <si>
    <t>STAT_RESETART_DES_LETZTEN_RESETS_WERT</t>
  </si>
  <si>
    <t>Resetart des letzten Resets</t>
  </si>
  <si>
    <t>Reset_Env.xGrp</t>
  </si>
  <si>
    <t>Reset_GrpID</t>
  </si>
  <si>
    <t>STAT_0x5AE3_WERT</t>
  </si>
  <si>
    <t>0x5AE3</t>
  </si>
  <si>
    <t>STAT_HINTERGRUNDINFORMATION_ZUM_LETZTEN_GUELTIGEN_RESET_WERT</t>
  </si>
  <si>
    <t>Hintergrundinformationen zum letzten gÃ¼ltigen Reset</t>
  </si>
  <si>
    <t>Reset_Env.xId</t>
  </si>
  <si>
    <t>Reset_ID</t>
  </si>
  <si>
    <t>STAT_0x5AE4_WERT</t>
  </si>
  <si>
    <t>0x5AE4</t>
  </si>
  <si>
    <t>STAT_ZUSAETZLICHE_RESETINFORMATIONEN_ZUR_RESETURSACHE_WERT</t>
  </si>
  <si>
    <t>ZusÃ¤tzliche Resetinformationen zur Resetursache</t>
  </si>
  <si>
    <t>Reset_Env.xUserValue</t>
  </si>
  <si>
    <t>STAT_0x5B06_WERT</t>
  </si>
  <si>
    <t>0x5B06</t>
  </si>
  <si>
    <t>STAT_ADDITIVE_KOMPONENTE_DER_VCV_ADAPTION_WERT</t>
  </si>
  <si>
    <t>Additive component of second variant of VCV flow adaptation</t>
  </si>
  <si>
    <t>CUR_VCV_BAS_AD_VAR_2_ADD</t>
  </si>
  <si>
    <t>STAT_0x5B07_WERT</t>
  </si>
  <si>
    <t>0x5B07</t>
  </si>
  <si>
    <t>STAT_MULTIPLIKATIVE_KOMPONENTE_DER_VCV_ADAPTION_WERT</t>
  </si>
  <si>
    <t>Multiplicative component of second variant of VCV flow adaptation</t>
  </si>
  <si>
    <t>FAC_CUR_VCV_BAS_AD_VAR_2</t>
  </si>
  <si>
    <t>STAT_0x5B08_WERT</t>
  </si>
  <si>
    <t>0x5B08</t>
  </si>
  <si>
    <t>STAT_ADDAPTIERTE_MINIMALER_VOLUMENKRAFTSTOFFFLUSS_WERT</t>
  </si>
  <si>
    <t>Adapted minimum volume fuel flow through the VCV</t>
  </si>
  <si>
    <t>VFF_VCV_MIN</t>
  </si>
  <si>
    <t>STAT_0x5B09_WERT</t>
  </si>
  <si>
    <t>0x5B09</t>
  </si>
  <si>
    <t>STAT_ADDAPTIERTER_VCV_STROM_WERT</t>
  </si>
  <si>
    <t>Adapted current of VCV in pressure control mode</t>
  </si>
  <si>
    <t>CUR_VCV_MIN_AD</t>
  </si>
  <si>
    <t>STAT_0x5B0A_WERT</t>
  </si>
  <si>
    <t>0x5B0A</t>
  </si>
  <si>
    <t>STAT_AUSGANG_DES_VCV_STROMREGLERS_WERT</t>
  </si>
  <si>
    <t>Output of VCV current controller</t>
  </si>
  <si>
    <t>FAC_CUR_VCV_CTL</t>
  </si>
  <si>
    <t>STAT_0x5B10_WERT</t>
  </si>
  <si>
    <t>0x5B10</t>
  </si>
  <si>
    <t>STAT_SUPERKLOPFEN_WERT</t>
  </si>
  <si>
    <t>Superklopfen</t>
  </si>
  <si>
    <t>iskn1r1_w</t>
  </si>
  <si>
    <t>STAT_0x5B11_WERT</t>
  </si>
  <si>
    <t>0x5B11</t>
  </si>
  <si>
    <t>iskn1r2_w</t>
  </si>
  <si>
    <t>STAT_0x5B12_WERT</t>
  </si>
  <si>
    <t>0x5B12</t>
  </si>
  <si>
    <t>iskn1r3_w</t>
  </si>
  <si>
    <t>STAT_0x5B13_WERT</t>
  </si>
  <si>
    <t>0x5B13</t>
  </si>
  <si>
    <t>iskn2r1_w</t>
  </si>
  <si>
    <t>STAT_0x5B14_WERT</t>
  </si>
  <si>
    <t>0x5B14</t>
  </si>
  <si>
    <t>iskn2r2_w</t>
  </si>
  <si>
    <t>STAT_0x5B15_WERT</t>
  </si>
  <si>
    <t>0x5B15</t>
  </si>
  <si>
    <t>iskn2r3_w</t>
  </si>
  <si>
    <t>STAT_0x5B20_WERT</t>
  </si>
  <si>
    <t>0x5B20</t>
  </si>
  <si>
    <t>iskn3r1_w</t>
  </si>
  <si>
    <t>STAT_0x5B21_WERT</t>
  </si>
  <si>
    <t>0x5B21</t>
  </si>
  <si>
    <t>iskn3r2_w</t>
  </si>
  <si>
    <t>STAT_0x5B22_WERT</t>
  </si>
  <si>
    <t>0x5B22</t>
  </si>
  <si>
    <t>iskn3r3_w</t>
  </si>
  <si>
    <t>STAT_0x5B23_WERT</t>
  </si>
  <si>
    <t>0x5B23</t>
  </si>
  <si>
    <t>STAT_ZAEHLER_AUSSETZERERKENNUNG_ZYLINDER_1_WERT</t>
  </si>
  <si>
    <t>ZÃ¤hler Aussetzerkennung Zylinder 1</t>
  </si>
  <si>
    <t>fzabgzyl_w</t>
  </si>
  <si>
    <t>STAT_0x5B25_WERT</t>
  </si>
  <si>
    <t>0x5B25</t>
  </si>
  <si>
    <t>STAT_ZAEHLER_AUSSETZERERKENNUNG_ZYLINDER_4_WERT</t>
  </si>
  <si>
    <t>ZÃ¤hler Aussetzerkennung Zylinder 4  (4-Zylinder)</t>
  </si>
  <si>
    <t>STAT_0x5B31_WERT</t>
  </si>
  <si>
    <t>0x5B31</t>
  </si>
  <si>
    <t>STAT_ZAEHLER_AUSSETZERERKENNUNG_ZYLINDER_3_WERT</t>
  </si>
  <si>
    <t>ZÃ¤hler Aussetzerkennung Zylinder 3  (4-Zylinder)</t>
  </si>
  <si>
    <t>STAT_0x5B32_WERT</t>
  </si>
  <si>
    <t>0x5B32</t>
  </si>
  <si>
    <t>STAT_ZAEHLER_AUSSETZERERKENNUNG_ZYLINDER_2_WERT</t>
  </si>
  <si>
    <t>ZÃ¤hler Aussetzerkennung Zylinder 2  (4-Zylinder)</t>
  </si>
  <si>
    <t>STAT_0x5B33_WERT</t>
  </si>
  <si>
    <t>0x5B33</t>
  </si>
  <si>
    <t>STAT_DELTA_MOTORDREHMOMENT_WERT</t>
  </si>
  <si>
    <t>Delta-Motordrehmoment aus Verlustmoment-Adaption</t>
  </si>
  <si>
    <t>dmvad_w</t>
  </si>
  <si>
    <t>STAT_0x5B34_WERT</t>
  </si>
  <si>
    <t>0x5B34</t>
  </si>
  <si>
    <t>STAT_DELTA_MOTORDREHMOMENT_B_FS_B_KO_WERT</t>
  </si>
  <si>
    <t>Delta-Motordrehmoment aus Verlustmoment-Adaption (B_fs=1 &amp; B_ko=1)</t>
  </si>
  <si>
    <t>dmvadfk_w</t>
  </si>
  <si>
    <t>STAT_0x5B35_WERT</t>
  </si>
  <si>
    <t>0x5B35</t>
  </si>
  <si>
    <t>STAT_DELTA_MOTORDREHMOMENT_B_FS_WERT</t>
  </si>
  <si>
    <t>Delta-Motordrehmoment aus Verlustmoment-Adaption (B_fs=1)</t>
  </si>
  <si>
    <t>dmvadfs_w</t>
  </si>
  <si>
    <t>STAT_0x5B36_WERT</t>
  </si>
  <si>
    <t>0x5B36</t>
  </si>
  <si>
    <t>STAT_DELTA_MOTORDREHMOMENT_B_KO_WERT</t>
  </si>
  <si>
    <t>Delta-Motordrehmoment aus Verlustmoment-Adaption (B_ko=1)</t>
  </si>
  <si>
    <t>dmvadko_w</t>
  </si>
  <si>
    <t>STAT_0x5B37_WERT</t>
  </si>
  <si>
    <t>0x5B37</t>
  </si>
  <si>
    <t>STAT_DELTA_MOTORDREHMOMENT_B_LL_WERT</t>
  </si>
  <si>
    <t>Delta-Motordrehmoment aus Verlustmoment-Adaption (B_ll=1)</t>
  </si>
  <si>
    <t>dmvadll_w</t>
  </si>
  <si>
    <t>STAT_0x5B38_WERT</t>
  </si>
  <si>
    <t>0x5B38</t>
  </si>
  <si>
    <t>STAT_DELTA_MOTORDREHMOMENT_STANDABKOPPLUNG_WERT</t>
  </si>
  <si>
    <t>Delta-Motordrehmoment aus Verlustmoment-Adaption (Standabkopplung)</t>
  </si>
  <si>
    <t>dmvadnic_w</t>
  </si>
  <si>
    <t>STAT_0x5B39_WERT</t>
  </si>
  <si>
    <t>0x5B39</t>
  </si>
  <si>
    <t>STAT_DELTA_MOTORDREHMOMENT_STANDABKOPPLUNG_UND_KLIMA_WERT</t>
  </si>
  <si>
    <t>Delta-Motordrehmoment aus Verlustmoment-Adaption (Standabkopplung und Klimakompressor)</t>
  </si>
  <si>
    <t>dmvadnicko_w</t>
  </si>
  <si>
    <t>STAT_0x5B3A_WERT</t>
  </si>
  <si>
    <t>0x5B3A</t>
  </si>
  <si>
    <t>STAT_ATL_ADAPTIONEN_BYTE_0_WERT</t>
  </si>
  <si>
    <t>ATL Adaptionen</t>
  </si>
  <si>
    <t>fatlaxnkw_w</t>
  </si>
  <si>
    <t>STAT_0x5B3B_WERT</t>
  </si>
  <si>
    <t>0x5B3B</t>
  </si>
  <si>
    <t>STAT_ATL_ADAPTIONEN_BYTE_1_WERT</t>
  </si>
  <si>
    <t>STAT_0x5B3C_WERT</t>
  </si>
  <si>
    <t>0x5B3C</t>
  </si>
  <si>
    <t>STAT_ATL_ADAPTIONEN_BYTE_2_WERT</t>
  </si>
  <si>
    <t>STAT_0x5B3D_WERT</t>
  </si>
  <si>
    <t>0x5B3D</t>
  </si>
  <si>
    <t>STAT_ATL_ADAPTIONEN_BYTE_3_WERT</t>
  </si>
  <si>
    <t>STAT_0x5B3E_WERT</t>
  </si>
  <si>
    <t>0x5B3E</t>
  </si>
  <si>
    <t>STAT_ATL_ADAPTIONEN_BYTE_4_WERT</t>
  </si>
  <si>
    <t>STAT_0x5B3F_WERT</t>
  </si>
  <si>
    <t>0x5B3F</t>
  </si>
  <si>
    <t>STAT_ATL_ADAPTIONEN_BYTE_5_WERT</t>
  </si>
  <si>
    <t>0x5F76_WERT</t>
  </si>
  <si>
    <t>0x5F76</t>
  </si>
  <si>
    <t>STAT_ABSCHALTMUSTER_LESEN_WERT</t>
  </si>
  <si>
    <t>Funkenbrenndauer-Diagnose: Abschaltmuster lesen</t>
  </si>
  <si>
    <t>abmdzbd</t>
  </si>
  <si>
    <t>0x58FF</t>
  </si>
  <si>
    <t>Umweltbedingung unbekannt</t>
  </si>
  <si>
    <t>English</t>
  </si>
  <si>
    <t>FRACTION</t>
  </si>
  <si>
    <t>Bytelength</t>
  </si>
  <si>
    <t>Oil temperature</t>
  </si>
  <si>
    <t>Ambient pressure</t>
  </si>
  <si>
    <t>Atmospheric pressure</t>
  </si>
  <si>
    <t>Intake manifold pressure</t>
  </si>
  <si>
    <t>Mass flow</t>
  </si>
  <si>
    <t>Ambient temperature</t>
  </si>
  <si>
    <t>Intake 1 Boost Pressure 1</t>
  </si>
  <si>
    <t>Coolant temperature</t>
  </si>
  <si>
    <t>Fuel consumption since last service</t>
  </si>
  <si>
    <t>Country factor ?</t>
  </si>
  <si>
    <t>Camshart position intake</t>
  </si>
  <si>
    <t>Camshaft position exhaust</t>
  </si>
  <si>
    <t>Setpoint inlet spread</t>
  </si>
  <si>
    <t>Actual value inlet spread</t>
  </si>
  <si>
    <t>Actual value exhaust spread</t>
  </si>
  <si>
    <t>Throttle angle</t>
  </si>
  <si>
    <t>Throttle valve setpoint</t>
  </si>
  <si>
    <t>Generator PCB temperature 1</t>
  </si>
  <si>
    <t>Generator current</t>
  </si>
  <si>
    <t>Actual battery tension</t>
  </si>
  <si>
    <t>Battery tension sent by IBS</t>
  </si>
  <si>
    <t>DME ADC battery tension</t>
  </si>
  <si>
    <t>Learned idle speed</t>
  </si>
  <si>
    <t>Clutch switch status</t>
  </si>
  <si>
    <t>Clutch switch available</t>
  </si>
  <si>
    <t>Sport button active</t>
  </si>
  <si>
    <t>Air con on status</t>
  </si>
  <si>
    <t>ECU internal temperature</t>
  </si>
  <si>
    <t>Idle speed setpoint</t>
  </si>
  <si>
    <t>Odometer within 1km</t>
  </si>
  <si>
    <t>Throttle pedal position</t>
  </si>
  <si>
    <t>Engine temperature, linearised and corrected</t>
  </si>
  <si>
    <t>Absolut intake pressure</t>
  </si>
  <si>
    <t>Engine RPM</t>
  </si>
  <si>
    <t>Intake air temperature</t>
  </si>
  <si>
    <t>Intake air temperature 1</t>
  </si>
  <si>
    <t>Battery tension</t>
  </si>
  <si>
    <t>Intake air temperature, linearised and corrected</t>
  </si>
  <si>
    <t>High pressure system setpoint</t>
  </si>
  <si>
    <t>Intake air temperature at start</t>
  </si>
  <si>
    <t>Fuel level</t>
  </si>
  <si>
    <t>Oil pressure setpoint</t>
  </si>
  <si>
    <t>Oil pressure</t>
  </si>
  <si>
    <t>Calculated gear value</t>
  </si>
  <si>
    <t>Engine temperature at start</t>
  </si>
  <si>
    <t>Exhaust temperature, post cat</t>
  </si>
  <si>
    <t>Battery temperature</t>
  </si>
  <si>
    <t>Actual brake pressure</t>
  </si>
  <si>
    <t>Torque request from the gearbox in the function monitoring</t>
  </si>
  <si>
    <t>Calculated instant torque in the function monitoring</t>
  </si>
  <si>
    <t>Unfiltered instant rail pressure (absolute)</t>
  </si>
  <si>
    <t>Filtered instant rail pressure (absolute)</t>
  </si>
  <si>
    <t>Unfiltered low pressure raw value</t>
  </si>
  <si>
    <t>Radiator coolant outlet temperature</t>
  </si>
  <si>
    <t>Throttle setpoint</t>
  </si>
  <si>
    <t>Oil pressure instant value</t>
  </si>
  <si>
    <t>Pre-throttle valve temperature</t>
  </si>
  <si>
    <t>Pressure at/near throttle valve</t>
  </si>
  <si>
    <t>Rail pressure</t>
  </si>
  <si>
    <t>Target boost pressure</t>
  </si>
  <si>
    <t>Fuel rail pressure setpoint</t>
  </si>
  <si>
    <t>Fuel temperature</t>
  </si>
  <si>
    <t>Value</t>
  </si>
  <si>
    <t>038A</t>
  </si>
  <si>
    <t>58</t>
  </si>
  <si>
    <t>66</t>
  </si>
  <si>
    <t>BB</t>
  </si>
  <si>
    <t>02FF</t>
  </si>
  <si>
    <t>55</t>
  </si>
  <si>
    <t>70</t>
  </si>
  <si>
    <t>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</si>
</sst>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 tint="-0.1499984740745262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quotePrefix="1" applyNumberFormat="1"/>
    <xf numFmtId="0" fontId="0" fillId="0" borderId="0" xfId="0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0" borderId="0" xfId="0" quotePrefix="1"/>
    <xf numFmtId="0" fontId="1" fillId="0" borderId="0" xfId="0" quotePrefix="1" applyFont="1"/>
    <xf numFmtId="11" fontId="0" fillId="0" borderId="0" xfId="0" quotePrefix="1" applyNumberFormat="1"/>
    <xf numFmtId="0" fontId="0" fillId="3" borderId="0" xfId="0" applyNumberFormat="1" applyFill="1"/>
    <xf numFmtId="0" fontId="2" fillId="0" borderId="0" xfId="0" applyNumberFormat="1" applyFont="1"/>
    <xf numFmtId="0" fontId="2" fillId="0" borderId="0" xfId="0" applyFont="1"/>
    <xf numFmtId="0" fontId="0" fillId="4" borderId="0" xfId="0" applyNumberFormat="1" applyFill="1"/>
    <xf numFmtId="0" fontId="0" fillId="4" borderId="0" xfId="0" applyFill="1"/>
  </cellXfs>
  <cellStyles count="1">
    <cellStyle name="Normal" xfId="0" builtinId="0"/>
  </cellStyles>
  <dxfs count="4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fill>
        <patternFill>
          <bgColor theme="5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3.9454923587902369E-2"/>
                  <c:y val="-0.3112768641933524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LID4096"/>
                </a:p>
              </c:txPr>
            </c:trendlineLbl>
          </c:trendline>
          <c:xVal>
            <c:numRef>
              <c:f>'0811_173439'!$N$8:$N$2083</c:f>
              <c:numCache>
                <c:formatCode>General</c:formatCode>
                <c:ptCount val="2076"/>
                <c:pt idx="0">
                  <c:v>-0.03</c:v>
                </c:pt>
                <c:pt idx="1">
                  <c:v>-0.03</c:v>
                </c:pt>
                <c:pt idx="2">
                  <c:v>-0.03</c:v>
                </c:pt>
                <c:pt idx="3">
                  <c:v>-0.02</c:v>
                </c:pt>
                <c:pt idx="4">
                  <c:v>-0.03</c:v>
                </c:pt>
                <c:pt idx="5">
                  <c:v>-0.03</c:v>
                </c:pt>
                <c:pt idx="6">
                  <c:v>-0.03</c:v>
                </c:pt>
                <c:pt idx="7">
                  <c:v>-0.02</c:v>
                </c:pt>
                <c:pt idx="8">
                  <c:v>-0.02</c:v>
                </c:pt>
                <c:pt idx="9">
                  <c:v>-0.03</c:v>
                </c:pt>
                <c:pt idx="10">
                  <c:v>-0.03</c:v>
                </c:pt>
                <c:pt idx="11">
                  <c:v>-0.03</c:v>
                </c:pt>
                <c:pt idx="12">
                  <c:v>-0.03</c:v>
                </c:pt>
                <c:pt idx="13">
                  <c:v>-0.03</c:v>
                </c:pt>
                <c:pt idx="14">
                  <c:v>-0.03</c:v>
                </c:pt>
                <c:pt idx="15">
                  <c:v>-0.03</c:v>
                </c:pt>
                <c:pt idx="16">
                  <c:v>-0.02</c:v>
                </c:pt>
                <c:pt idx="17">
                  <c:v>-0.02</c:v>
                </c:pt>
                <c:pt idx="18">
                  <c:v>-0.03</c:v>
                </c:pt>
                <c:pt idx="19">
                  <c:v>-0.02</c:v>
                </c:pt>
                <c:pt idx="20">
                  <c:v>-0.03</c:v>
                </c:pt>
                <c:pt idx="21">
                  <c:v>-0.03</c:v>
                </c:pt>
                <c:pt idx="22">
                  <c:v>-0.03</c:v>
                </c:pt>
                <c:pt idx="23">
                  <c:v>-0.03</c:v>
                </c:pt>
                <c:pt idx="24">
                  <c:v>-0.03</c:v>
                </c:pt>
                <c:pt idx="25">
                  <c:v>-0.03</c:v>
                </c:pt>
                <c:pt idx="26">
                  <c:v>-0.03</c:v>
                </c:pt>
                <c:pt idx="27">
                  <c:v>-0.02</c:v>
                </c:pt>
                <c:pt idx="28">
                  <c:v>-0.03</c:v>
                </c:pt>
                <c:pt idx="29">
                  <c:v>-0.03</c:v>
                </c:pt>
                <c:pt idx="30">
                  <c:v>-0.03</c:v>
                </c:pt>
                <c:pt idx="31">
                  <c:v>-0.03</c:v>
                </c:pt>
                <c:pt idx="32">
                  <c:v>-0.03</c:v>
                </c:pt>
                <c:pt idx="33">
                  <c:v>-0.03</c:v>
                </c:pt>
                <c:pt idx="34">
                  <c:v>-0.03</c:v>
                </c:pt>
                <c:pt idx="35">
                  <c:v>-0.03</c:v>
                </c:pt>
                <c:pt idx="36">
                  <c:v>-0.03</c:v>
                </c:pt>
                <c:pt idx="37">
                  <c:v>-0.03</c:v>
                </c:pt>
                <c:pt idx="38">
                  <c:v>-0.03</c:v>
                </c:pt>
                <c:pt idx="39">
                  <c:v>-0.03</c:v>
                </c:pt>
                <c:pt idx="40">
                  <c:v>-0.03</c:v>
                </c:pt>
                <c:pt idx="41">
                  <c:v>-0.03</c:v>
                </c:pt>
                <c:pt idx="42">
                  <c:v>-0.03</c:v>
                </c:pt>
                <c:pt idx="43">
                  <c:v>-0.02</c:v>
                </c:pt>
                <c:pt idx="44">
                  <c:v>-0.03</c:v>
                </c:pt>
                <c:pt idx="45">
                  <c:v>-0.03</c:v>
                </c:pt>
                <c:pt idx="46">
                  <c:v>-0.03</c:v>
                </c:pt>
                <c:pt idx="47">
                  <c:v>-0.03</c:v>
                </c:pt>
                <c:pt idx="48">
                  <c:v>-0.03</c:v>
                </c:pt>
                <c:pt idx="49">
                  <c:v>-0.03</c:v>
                </c:pt>
                <c:pt idx="50">
                  <c:v>-0.03</c:v>
                </c:pt>
                <c:pt idx="51">
                  <c:v>-0.02</c:v>
                </c:pt>
                <c:pt idx="52">
                  <c:v>-0.02</c:v>
                </c:pt>
                <c:pt idx="53">
                  <c:v>-0.03</c:v>
                </c:pt>
                <c:pt idx="54">
                  <c:v>-0.03</c:v>
                </c:pt>
                <c:pt idx="55">
                  <c:v>-0.03</c:v>
                </c:pt>
                <c:pt idx="56">
                  <c:v>-0.02</c:v>
                </c:pt>
                <c:pt idx="57">
                  <c:v>-0.02</c:v>
                </c:pt>
                <c:pt idx="58">
                  <c:v>-0.02</c:v>
                </c:pt>
                <c:pt idx="59">
                  <c:v>-0.03</c:v>
                </c:pt>
                <c:pt idx="60">
                  <c:v>-0.02</c:v>
                </c:pt>
                <c:pt idx="61">
                  <c:v>-0.03</c:v>
                </c:pt>
                <c:pt idx="62">
                  <c:v>-0.02</c:v>
                </c:pt>
                <c:pt idx="63">
                  <c:v>-0.02</c:v>
                </c:pt>
                <c:pt idx="64">
                  <c:v>-0.03</c:v>
                </c:pt>
                <c:pt idx="65">
                  <c:v>-0.03</c:v>
                </c:pt>
                <c:pt idx="66">
                  <c:v>-0.03</c:v>
                </c:pt>
                <c:pt idx="67">
                  <c:v>-0.03</c:v>
                </c:pt>
                <c:pt idx="68">
                  <c:v>-0.03</c:v>
                </c:pt>
                <c:pt idx="69">
                  <c:v>-0.02</c:v>
                </c:pt>
                <c:pt idx="70">
                  <c:v>-0.03</c:v>
                </c:pt>
                <c:pt idx="71">
                  <c:v>-0.03</c:v>
                </c:pt>
                <c:pt idx="72">
                  <c:v>-0.03</c:v>
                </c:pt>
                <c:pt idx="73">
                  <c:v>-0.03</c:v>
                </c:pt>
                <c:pt idx="74">
                  <c:v>-0.03</c:v>
                </c:pt>
                <c:pt idx="75">
                  <c:v>-0.03</c:v>
                </c:pt>
                <c:pt idx="76">
                  <c:v>-0.03</c:v>
                </c:pt>
                <c:pt idx="77">
                  <c:v>-0.03</c:v>
                </c:pt>
                <c:pt idx="78">
                  <c:v>-0.02</c:v>
                </c:pt>
                <c:pt idx="79">
                  <c:v>-0.03</c:v>
                </c:pt>
                <c:pt idx="80">
                  <c:v>-0.03</c:v>
                </c:pt>
                <c:pt idx="81">
                  <c:v>-0.03</c:v>
                </c:pt>
                <c:pt idx="82">
                  <c:v>-0.03</c:v>
                </c:pt>
                <c:pt idx="83">
                  <c:v>-0.03</c:v>
                </c:pt>
                <c:pt idx="84">
                  <c:v>-0.03</c:v>
                </c:pt>
                <c:pt idx="85">
                  <c:v>-0.02</c:v>
                </c:pt>
                <c:pt idx="86">
                  <c:v>-0.03</c:v>
                </c:pt>
                <c:pt idx="87">
                  <c:v>-0.03</c:v>
                </c:pt>
                <c:pt idx="88">
                  <c:v>-0.03</c:v>
                </c:pt>
                <c:pt idx="89">
                  <c:v>-0.03</c:v>
                </c:pt>
                <c:pt idx="90">
                  <c:v>-0.03</c:v>
                </c:pt>
                <c:pt idx="91">
                  <c:v>-0.02</c:v>
                </c:pt>
                <c:pt idx="92">
                  <c:v>-0.03</c:v>
                </c:pt>
                <c:pt idx="93">
                  <c:v>-0.02</c:v>
                </c:pt>
                <c:pt idx="94">
                  <c:v>-0.03</c:v>
                </c:pt>
                <c:pt idx="95">
                  <c:v>-0.02</c:v>
                </c:pt>
                <c:pt idx="96">
                  <c:v>-0.03</c:v>
                </c:pt>
                <c:pt idx="97">
                  <c:v>-0.03</c:v>
                </c:pt>
                <c:pt idx="98">
                  <c:v>-0.02</c:v>
                </c:pt>
                <c:pt idx="99">
                  <c:v>-0.03</c:v>
                </c:pt>
                <c:pt idx="100">
                  <c:v>-0.02</c:v>
                </c:pt>
                <c:pt idx="101">
                  <c:v>-0.03</c:v>
                </c:pt>
                <c:pt idx="102">
                  <c:v>-0.03</c:v>
                </c:pt>
                <c:pt idx="103">
                  <c:v>-0.02</c:v>
                </c:pt>
                <c:pt idx="104">
                  <c:v>-0.03</c:v>
                </c:pt>
                <c:pt idx="105">
                  <c:v>-0.03</c:v>
                </c:pt>
                <c:pt idx="106">
                  <c:v>-0.03</c:v>
                </c:pt>
                <c:pt idx="107">
                  <c:v>-0.03</c:v>
                </c:pt>
                <c:pt idx="108">
                  <c:v>-0.03</c:v>
                </c:pt>
                <c:pt idx="109">
                  <c:v>-0.03</c:v>
                </c:pt>
                <c:pt idx="110">
                  <c:v>-0.03</c:v>
                </c:pt>
                <c:pt idx="111">
                  <c:v>-0.03</c:v>
                </c:pt>
                <c:pt idx="112">
                  <c:v>-0.02</c:v>
                </c:pt>
                <c:pt idx="113">
                  <c:v>-0.02</c:v>
                </c:pt>
                <c:pt idx="114">
                  <c:v>-0.02</c:v>
                </c:pt>
                <c:pt idx="115">
                  <c:v>-0.02</c:v>
                </c:pt>
                <c:pt idx="116">
                  <c:v>-0.02</c:v>
                </c:pt>
                <c:pt idx="117">
                  <c:v>-0.03</c:v>
                </c:pt>
                <c:pt idx="118">
                  <c:v>-0.02</c:v>
                </c:pt>
                <c:pt idx="119">
                  <c:v>-0.02</c:v>
                </c:pt>
                <c:pt idx="120">
                  <c:v>-0.02</c:v>
                </c:pt>
                <c:pt idx="121">
                  <c:v>-0.02</c:v>
                </c:pt>
                <c:pt idx="122">
                  <c:v>-0.03</c:v>
                </c:pt>
                <c:pt idx="123">
                  <c:v>-0.03</c:v>
                </c:pt>
                <c:pt idx="124">
                  <c:v>-0.03</c:v>
                </c:pt>
                <c:pt idx="125">
                  <c:v>-0.03</c:v>
                </c:pt>
                <c:pt idx="126">
                  <c:v>-0.03</c:v>
                </c:pt>
                <c:pt idx="127">
                  <c:v>-0.03</c:v>
                </c:pt>
                <c:pt idx="128">
                  <c:v>-0.03</c:v>
                </c:pt>
                <c:pt idx="129">
                  <c:v>-0.03</c:v>
                </c:pt>
                <c:pt idx="130">
                  <c:v>-0.03</c:v>
                </c:pt>
                <c:pt idx="131">
                  <c:v>-0.02</c:v>
                </c:pt>
                <c:pt idx="132">
                  <c:v>-0.02</c:v>
                </c:pt>
                <c:pt idx="133">
                  <c:v>-0.03</c:v>
                </c:pt>
                <c:pt idx="134">
                  <c:v>-0.03</c:v>
                </c:pt>
                <c:pt idx="135">
                  <c:v>-0.03</c:v>
                </c:pt>
                <c:pt idx="136">
                  <c:v>-0.03</c:v>
                </c:pt>
                <c:pt idx="137">
                  <c:v>-0.03</c:v>
                </c:pt>
                <c:pt idx="138">
                  <c:v>-0.03</c:v>
                </c:pt>
                <c:pt idx="139">
                  <c:v>-0.03</c:v>
                </c:pt>
                <c:pt idx="140">
                  <c:v>-0.03</c:v>
                </c:pt>
                <c:pt idx="141">
                  <c:v>-0.03</c:v>
                </c:pt>
                <c:pt idx="142">
                  <c:v>-0.03</c:v>
                </c:pt>
                <c:pt idx="143">
                  <c:v>-0.03</c:v>
                </c:pt>
                <c:pt idx="144">
                  <c:v>-0.03</c:v>
                </c:pt>
                <c:pt idx="145">
                  <c:v>-0.03</c:v>
                </c:pt>
                <c:pt idx="146">
                  <c:v>-0.03</c:v>
                </c:pt>
                <c:pt idx="147">
                  <c:v>-0.02</c:v>
                </c:pt>
                <c:pt idx="148">
                  <c:v>-0.03</c:v>
                </c:pt>
                <c:pt idx="149">
                  <c:v>-0.03</c:v>
                </c:pt>
                <c:pt idx="150">
                  <c:v>-0.02</c:v>
                </c:pt>
                <c:pt idx="151">
                  <c:v>-0.03</c:v>
                </c:pt>
                <c:pt idx="152">
                  <c:v>-0.02</c:v>
                </c:pt>
                <c:pt idx="153">
                  <c:v>-0.02</c:v>
                </c:pt>
                <c:pt idx="154">
                  <c:v>-0.03</c:v>
                </c:pt>
                <c:pt idx="155">
                  <c:v>-0.03</c:v>
                </c:pt>
                <c:pt idx="156">
                  <c:v>-0.03</c:v>
                </c:pt>
                <c:pt idx="157">
                  <c:v>-0.03</c:v>
                </c:pt>
                <c:pt idx="158">
                  <c:v>-0.03</c:v>
                </c:pt>
                <c:pt idx="159">
                  <c:v>-0.02</c:v>
                </c:pt>
                <c:pt idx="160">
                  <c:v>-0.03</c:v>
                </c:pt>
                <c:pt idx="161">
                  <c:v>-0.03</c:v>
                </c:pt>
                <c:pt idx="162">
                  <c:v>-0.03</c:v>
                </c:pt>
                <c:pt idx="163">
                  <c:v>-0.03</c:v>
                </c:pt>
                <c:pt idx="164">
                  <c:v>-0.02</c:v>
                </c:pt>
                <c:pt idx="165">
                  <c:v>-0.03</c:v>
                </c:pt>
                <c:pt idx="166">
                  <c:v>-0.03</c:v>
                </c:pt>
                <c:pt idx="167">
                  <c:v>-0.03</c:v>
                </c:pt>
                <c:pt idx="168">
                  <c:v>-0.03</c:v>
                </c:pt>
                <c:pt idx="169">
                  <c:v>-0.03</c:v>
                </c:pt>
                <c:pt idx="170">
                  <c:v>-0.03</c:v>
                </c:pt>
                <c:pt idx="171">
                  <c:v>-0.02</c:v>
                </c:pt>
                <c:pt idx="172">
                  <c:v>-0.02</c:v>
                </c:pt>
                <c:pt idx="173">
                  <c:v>-0.03</c:v>
                </c:pt>
                <c:pt idx="174">
                  <c:v>-0.02</c:v>
                </c:pt>
                <c:pt idx="175">
                  <c:v>-0.03</c:v>
                </c:pt>
                <c:pt idx="176">
                  <c:v>-0.02</c:v>
                </c:pt>
                <c:pt idx="177">
                  <c:v>-0.03</c:v>
                </c:pt>
                <c:pt idx="178">
                  <c:v>-0.02</c:v>
                </c:pt>
                <c:pt idx="179">
                  <c:v>-0.03</c:v>
                </c:pt>
                <c:pt idx="180">
                  <c:v>-0.03</c:v>
                </c:pt>
                <c:pt idx="181">
                  <c:v>-0.03</c:v>
                </c:pt>
                <c:pt idx="182">
                  <c:v>-0.02</c:v>
                </c:pt>
                <c:pt idx="183">
                  <c:v>-0.03</c:v>
                </c:pt>
                <c:pt idx="184">
                  <c:v>-0.03</c:v>
                </c:pt>
                <c:pt idx="185">
                  <c:v>-0.03</c:v>
                </c:pt>
                <c:pt idx="186">
                  <c:v>-0.03</c:v>
                </c:pt>
                <c:pt idx="187">
                  <c:v>-0.03</c:v>
                </c:pt>
                <c:pt idx="188">
                  <c:v>-0.03</c:v>
                </c:pt>
                <c:pt idx="189">
                  <c:v>-0.03</c:v>
                </c:pt>
                <c:pt idx="190">
                  <c:v>-0.03</c:v>
                </c:pt>
                <c:pt idx="191">
                  <c:v>-0.02</c:v>
                </c:pt>
                <c:pt idx="192">
                  <c:v>-0.03</c:v>
                </c:pt>
                <c:pt idx="193">
                  <c:v>-0.03</c:v>
                </c:pt>
                <c:pt idx="194">
                  <c:v>-0.03</c:v>
                </c:pt>
                <c:pt idx="195">
                  <c:v>-0.03</c:v>
                </c:pt>
                <c:pt idx="196">
                  <c:v>-0.02</c:v>
                </c:pt>
                <c:pt idx="197">
                  <c:v>-0.03</c:v>
                </c:pt>
                <c:pt idx="198">
                  <c:v>-0.03</c:v>
                </c:pt>
                <c:pt idx="199">
                  <c:v>-0.03</c:v>
                </c:pt>
                <c:pt idx="200">
                  <c:v>-0.02</c:v>
                </c:pt>
                <c:pt idx="201">
                  <c:v>-0.03</c:v>
                </c:pt>
                <c:pt idx="202">
                  <c:v>-0.03</c:v>
                </c:pt>
                <c:pt idx="203">
                  <c:v>-0.03</c:v>
                </c:pt>
                <c:pt idx="204">
                  <c:v>-0.03</c:v>
                </c:pt>
                <c:pt idx="205">
                  <c:v>-0.03</c:v>
                </c:pt>
                <c:pt idx="206">
                  <c:v>-0.02</c:v>
                </c:pt>
                <c:pt idx="207">
                  <c:v>-0.03</c:v>
                </c:pt>
                <c:pt idx="208">
                  <c:v>-0.02</c:v>
                </c:pt>
                <c:pt idx="209">
                  <c:v>-0.03</c:v>
                </c:pt>
                <c:pt idx="210">
                  <c:v>-0.03</c:v>
                </c:pt>
                <c:pt idx="211">
                  <c:v>-0.03</c:v>
                </c:pt>
                <c:pt idx="212">
                  <c:v>-0.03</c:v>
                </c:pt>
                <c:pt idx="213">
                  <c:v>-0.03</c:v>
                </c:pt>
                <c:pt idx="214">
                  <c:v>-0.03</c:v>
                </c:pt>
                <c:pt idx="215">
                  <c:v>-0.02</c:v>
                </c:pt>
                <c:pt idx="216">
                  <c:v>-0.02</c:v>
                </c:pt>
                <c:pt idx="217">
                  <c:v>-0.02</c:v>
                </c:pt>
                <c:pt idx="218">
                  <c:v>-0.03</c:v>
                </c:pt>
                <c:pt idx="219">
                  <c:v>-0.02</c:v>
                </c:pt>
                <c:pt idx="220">
                  <c:v>-0.02</c:v>
                </c:pt>
                <c:pt idx="221">
                  <c:v>-0.03</c:v>
                </c:pt>
                <c:pt idx="222">
                  <c:v>-0.02</c:v>
                </c:pt>
                <c:pt idx="223">
                  <c:v>-0.02</c:v>
                </c:pt>
                <c:pt idx="224">
                  <c:v>-0.03</c:v>
                </c:pt>
                <c:pt idx="225">
                  <c:v>-0.03</c:v>
                </c:pt>
                <c:pt idx="226">
                  <c:v>-0.02</c:v>
                </c:pt>
                <c:pt idx="227">
                  <c:v>-0.03</c:v>
                </c:pt>
                <c:pt idx="228">
                  <c:v>-0.02</c:v>
                </c:pt>
                <c:pt idx="229">
                  <c:v>-0.03</c:v>
                </c:pt>
                <c:pt idx="230">
                  <c:v>-0.03</c:v>
                </c:pt>
                <c:pt idx="231">
                  <c:v>-0.02</c:v>
                </c:pt>
                <c:pt idx="232">
                  <c:v>-0.03</c:v>
                </c:pt>
                <c:pt idx="233">
                  <c:v>-0.03</c:v>
                </c:pt>
                <c:pt idx="234">
                  <c:v>-0.03</c:v>
                </c:pt>
                <c:pt idx="235">
                  <c:v>-0.03</c:v>
                </c:pt>
                <c:pt idx="236">
                  <c:v>-0.03</c:v>
                </c:pt>
                <c:pt idx="237">
                  <c:v>-0.02</c:v>
                </c:pt>
                <c:pt idx="238">
                  <c:v>-0.03</c:v>
                </c:pt>
                <c:pt idx="239">
                  <c:v>-0.03</c:v>
                </c:pt>
                <c:pt idx="240">
                  <c:v>-0.03</c:v>
                </c:pt>
                <c:pt idx="241">
                  <c:v>-0.02</c:v>
                </c:pt>
                <c:pt idx="242">
                  <c:v>-0.03</c:v>
                </c:pt>
                <c:pt idx="243">
                  <c:v>-0.03</c:v>
                </c:pt>
                <c:pt idx="244">
                  <c:v>-0.02</c:v>
                </c:pt>
                <c:pt idx="245">
                  <c:v>-0.03</c:v>
                </c:pt>
                <c:pt idx="246">
                  <c:v>-0.03</c:v>
                </c:pt>
                <c:pt idx="247">
                  <c:v>-0.03</c:v>
                </c:pt>
                <c:pt idx="248">
                  <c:v>-0.02</c:v>
                </c:pt>
                <c:pt idx="249">
                  <c:v>-0.03</c:v>
                </c:pt>
                <c:pt idx="250">
                  <c:v>-0.03</c:v>
                </c:pt>
                <c:pt idx="251">
                  <c:v>-0.03</c:v>
                </c:pt>
                <c:pt idx="252">
                  <c:v>-0.03</c:v>
                </c:pt>
                <c:pt idx="253">
                  <c:v>-0.03</c:v>
                </c:pt>
                <c:pt idx="254">
                  <c:v>-0.03</c:v>
                </c:pt>
                <c:pt idx="255">
                  <c:v>-0.03</c:v>
                </c:pt>
                <c:pt idx="256">
                  <c:v>-0.03</c:v>
                </c:pt>
                <c:pt idx="257">
                  <c:v>-0.03</c:v>
                </c:pt>
                <c:pt idx="258">
                  <c:v>-0.03</c:v>
                </c:pt>
                <c:pt idx="259">
                  <c:v>-0.03</c:v>
                </c:pt>
                <c:pt idx="260">
                  <c:v>-0.03</c:v>
                </c:pt>
                <c:pt idx="261">
                  <c:v>-0.03</c:v>
                </c:pt>
                <c:pt idx="262">
                  <c:v>-0.03</c:v>
                </c:pt>
                <c:pt idx="263">
                  <c:v>-0.03</c:v>
                </c:pt>
                <c:pt idx="264">
                  <c:v>-0.03</c:v>
                </c:pt>
                <c:pt idx="265">
                  <c:v>-0.03</c:v>
                </c:pt>
                <c:pt idx="266">
                  <c:v>-0.03</c:v>
                </c:pt>
                <c:pt idx="267">
                  <c:v>-0.03</c:v>
                </c:pt>
                <c:pt idx="268">
                  <c:v>-0.03</c:v>
                </c:pt>
                <c:pt idx="269">
                  <c:v>-0.03</c:v>
                </c:pt>
                <c:pt idx="270">
                  <c:v>-0.03</c:v>
                </c:pt>
                <c:pt idx="271">
                  <c:v>-0.03</c:v>
                </c:pt>
                <c:pt idx="272">
                  <c:v>-0.03</c:v>
                </c:pt>
                <c:pt idx="273">
                  <c:v>-0.03</c:v>
                </c:pt>
                <c:pt idx="274">
                  <c:v>-0.03</c:v>
                </c:pt>
                <c:pt idx="275">
                  <c:v>-0.03</c:v>
                </c:pt>
                <c:pt idx="276">
                  <c:v>-0.03</c:v>
                </c:pt>
                <c:pt idx="277">
                  <c:v>-0.03</c:v>
                </c:pt>
                <c:pt idx="278">
                  <c:v>-0.03</c:v>
                </c:pt>
                <c:pt idx="279">
                  <c:v>-0.03</c:v>
                </c:pt>
                <c:pt idx="280">
                  <c:v>-0.03</c:v>
                </c:pt>
                <c:pt idx="281">
                  <c:v>-0.03</c:v>
                </c:pt>
                <c:pt idx="282">
                  <c:v>-0.02</c:v>
                </c:pt>
                <c:pt idx="283">
                  <c:v>-0.02</c:v>
                </c:pt>
                <c:pt idx="284">
                  <c:v>-0.02</c:v>
                </c:pt>
                <c:pt idx="285">
                  <c:v>-0.02</c:v>
                </c:pt>
                <c:pt idx="286">
                  <c:v>-0.02</c:v>
                </c:pt>
                <c:pt idx="287">
                  <c:v>-0.02</c:v>
                </c:pt>
                <c:pt idx="288">
                  <c:v>-0.02</c:v>
                </c:pt>
                <c:pt idx="289">
                  <c:v>-0.02</c:v>
                </c:pt>
                <c:pt idx="290">
                  <c:v>-0.02</c:v>
                </c:pt>
                <c:pt idx="291">
                  <c:v>-0.02</c:v>
                </c:pt>
                <c:pt idx="292">
                  <c:v>-0.02</c:v>
                </c:pt>
                <c:pt idx="293">
                  <c:v>-0.02</c:v>
                </c:pt>
                <c:pt idx="294">
                  <c:v>-0.02</c:v>
                </c:pt>
                <c:pt idx="295">
                  <c:v>-0.02</c:v>
                </c:pt>
                <c:pt idx="296">
                  <c:v>-0.02</c:v>
                </c:pt>
                <c:pt idx="297">
                  <c:v>-0.02</c:v>
                </c:pt>
                <c:pt idx="298">
                  <c:v>-0.02</c:v>
                </c:pt>
                <c:pt idx="299">
                  <c:v>-0.02</c:v>
                </c:pt>
                <c:pt idx="300">
                  <c:v>-0.02</c:v>
                </c:pt>
                <c:pt idx="301">
                  <c:v>-0.02</c:v>
                </c:pt>
                <c:pt idx="302">
                  <c:v>-0.02</c:v>
                </c:pt>
                <c:pt idx="303">
                  <c:v>-0.02</c:v>
                </c:pt>
                <c:pt idx="304">
                  <c:v>-0.02</c:v>
                </c:pt>
                <c:pt idx="305">
                  <c:v>-0.02</c:v>
                </c:pt>
                <c:pt idx="306">
                  <c:v>-0.02</c:v>
                </c:pt>
                <c:pt idx="307">
                  <c:v>-0.02</c:v>
                </c:pt>
                <c:pt idx="308">
                  <c:v>-0.02</c:v>
                </c:pt>
                <c:pt idx="309">
                  <c:v>-0.02</c:v>
                </c:pt>
                <c:pt idx="310">
                  <c:v>-0.02</c:v>
                </c:pt>
                <c:pt idx="311">
                  <c:v>-0.02</c:v>
                </c:pt>
                <c:pt idx="312">
                  <c:v>-0.02</c:v>
                </c:pt>
                <c:pt idx="313">
                  <c:v>-0.02</c:v>
                </c:pt>
                <c:pt idx="314">
                  <c:v>-0.02</c:v>
                </c:pt>
                <c:pt idx="315">
                  <c:v>-0.02</c:v>
                </c:pt>
                <c:pt idx="316">
                  <c:v>-0.02</c:v>
                </c:pt>
                <c:pt idx="317">
                  <c:v>-0.02</c:v>
                </c:pt>
                <c:pt idx="318">
                  <c:v>-0.02</c:v>
                </c:pt>
                <c:pt idx="319">
                  <c:v>-0.02</c:v>
                </c:pt>
                <c:pt idx="320">
                  <c:v>-0.02</c:v>
                </c:pt>
                <c:pt idx="321">
                  <c:v>-0.02</c:v>
                </c:pt>
                <c:pt idx="322">
                  <c:v>-0.02</c:v>
                </c:pt>
                <c:pt idx="323">
                  <c:v>-0.02</c:v>
                </c:pt>
                <c:pt idx="324">
                  <c:v>-0.02</c:v>
                </c:pt>
                <c:pt idx="325">
                  <c:v>-0.02</c:v>
                </c:pt>
                <c:pt idx="326">
                  <c:v>-0.02</c:v>
                </c:pt>
                <c:pt idx="327">
                  <c:v>-0.02</c:v>
                </c:pt>
                <c:pt idx="328">
                  <c:v>-0.02</c:v>
                </c:pt>
                <c:pt idx="329">
                  <c:v>-0.02</c:v>
                </c:pt>
                <c:pt idx="330">
                  <c:v>-0.02</c:v>
                </c:pt>
                <c:pt idx="331">
                  <c:v>-0.02</c:v>
                </c:pt>
                <c:pt idx="332">
                  <c:v>-0.02</c:v>
                </c:pt>
                <c:pt idx="333">
                  <c:v>-0.02</c:v>
                </c:pt>
                <c:pt idx="334">
                  <c:v>-0.02</c:v>
                </c:pt>
                <c:pt idx="335">
                  <c:v>-0.02</c:v>
                </c:pt>
                <c:pt idx="336">
                  <c:v>-0.02</c:v>
                </c:pt>
                <c:pt idx="337">
                  <c:v>-0.02</c:v>
                </c:pt>
                <c:pt idx="338">
                  <c:v>-0.02</c:v>
                </c:pt>
                <c:pt idx="339">
                  <c:v>-0.02</c:v>
                </c:pt>
                <c:pt idx="340">
                  <c:v>-0.02</c:v>
                </c:pt>
                <c:pt idx="341">
                  <c:v>-0.02</c:v>
                </c:pt>
                <c:pt idx="342">
                  <c:v>-0.02</c:v>
                </c:pt>
                <c:pt idx="343">
                  <c:v>-0.02</c:v>
                </c:pt>
                <c:pt idx="344">
                  <c:v>-0.02</c:v>
                </c:pt>
                <c:pt idx="345">
                  <c:v>-0.02</c:v>
                </c:pt>
                <c:pt idx="346">
                  <c:v>-0.02</c:v>
                </c:pt>
                <c:pt idx="347">
                  <c:v>-0.02</c:v>
                </c:pt>
                <c:pt idx="348">
                  <c:v>-0.02</c:v>
                </c:pt>
                <c:pt idx="349">
                  <c:v>-0.02</c:v>
                </c:pt>
                <c:pt idx="350">
                  <c:v>-0.02</c:v>
                </c:pt>
                <c:pt idx="351">
                  <c:v>-0.02</c:v>
                </c:pt>
                <c:pt idx="352">
                  <c:v>-0.02</c:v>
                </c:pt>
                <c:pt idx="353">
                  <c:v>-0.02</c:v>
                </c:pt>
                <c:pt idx="354">
                  <c:v>-0.02</c:v>
                </c:pt>
                <c:pt idx="355">
                  <c:v>-0.02</c:v>
                </c:pt>
                <c:pt idx="356">
                  <c:v>-0.02</c:v>
                </c:pt>
                <c:pt idx="357">
                  <c:v>-0.02</c:v>
                </c:pt>
                <c:pt idx="358">
                  <c:v>-0.02</c:v>
                </c:pt>
                <c:pt idx="359">
                  <c:v>-0.02</c:v>
                </c:pt>
                <c:pt idx="360">
                  <c:v>-0.02</c:v>
                </c:pt>
                <c:pt idx="361">
                  <c:v>-0.02</c:v>
                </c:pt>
                <c:pt idx="362">
                  <c:v>-0.02</c:v>
                </c:pt>
                <c:pt idx="363">
                  <c:v>-0.02</c:v>
                </c:pt>
                <c:pt idx="364">
                  <c:v>-0.02</c:v>
                </c:pt>
                <c:pt idx="365">
                  <c:v>-0.02</c:v>
                </c:pt>
                <c:pt idx="366">
                  <c:v>-0.02</c:v>
                </c:pt>
                <c:pt idx="367">
                  <c:v>-0.02</c:v>
                </c:pt>
                <c:pt idx="368">
                  <c:v>-0.02</c:v>
                </c:pt>
                <c:pt idx="369">
                  <c:v>-0.02</c:v>
                </c:pt>
                <c:pt idx="370">
                  <c:v>-0.02</c:v>
                </c:pt>
                <c:pt idx="371">
                  <c:v>-0.02</c:v>
                </c:pt>
                <c:pt idx="372">
                  <c:v>-0.02</c:v>
                </c:pt>
                <c:pt idx="373">
                  <c:v>-0.02</c:v>
                </c:pt>
                <c:pt idx="374">
                  <c:v>-0.02</c:v>
                </c:pt>
                <c:pt idx="375">
                  <c:v>-0.03</c:v>
                </c:pt>
                <c:pt idx="376">
                  <c:v>-0.02</c:v>
                </c:pt>
                <c:pt idx="377">
                  <c:v>-0.02</c:v>
                </c:pt>
                <c:pt idx="378">
                  <c:v>-0.02</c:v>
                </c:pt>
                <c:pt idx="379">
                  <c:v>-0.02</c:v>
                </c:pt>
                <c:pt idx="380">
                  <c:v>-0.02</c:v>
                </c:pt>
                <c:pt idx="381">
                  <c:v>-0.02</c:v>
                </c:pt>
                <c:pt idx="382">
                  <c:v>-0.03</c:v>
                </c:pt>
                <c:pt idx="383">
                  <c:v>-0.03</c:v>
                </c:pt>
                <c:pt idx="384">
                  <c:v>-0.02</c:v>
                </c:pt>
                <c:pt idx="385">
                  <c:v>-0.02</c:v>
                </c:pt>
                <c:pt idx="386">
                  <c:v>-0.03</c:v>
                </c:pt>
                <c:pt idx="387">
                  <c:v>-0.02</c:v>
                </c:pt>
                <c:pt idx="388">
                  <c:v>-0.03</c:v>
                </c:pt>
                <c:pt idx="389">
                  <c:v>-0.03</c:v>
                </c:pt>
                <c:pt idx="390">
                  <c:v>-0.02</c:v>
                </c:pt>
                <c:pt idx="391">
                  <c:v>-0.02</c:v>
                </c:pt>
                <c:pt idx="392">
                  <c:v>-0.03</c:v>
                </c:pt>
                <c:pt idx="393">
                  <c:v>-0.03</c:v>
                </c:pt>
                <c:pt idx="394">
                  <c:v>-0.03</c:v>
                </c:pt>
                <c:pt idx="395">
                  <c:v>-0.03</c:v>
                </c:pt>
                <c:pt idx="396">
                  <c:v>-0.03</c:v>
                </c:pt>
                <c:pt idx="397">
                  <c:v>-0.03</c:v>
                </c:pt>
                <c:pt idx="398">
                  <c:v>-0.03</c:v>
                </c:pt>
                <c:pt idx="399">
                  <c:v>-0.03</c:v>
                </c:pt>
                <c:pt idx="400">
                  <c:v>-0.03</c:v>
                </c:pt>
                <c:pt idx="401">
                  <c:v>-0.03</c:v>
                </c:pt>
                <c:pt idx="402">
                  <c:v>-0.03</c:v>
                </c:pt>
                <c:pt idx="403">
                  <c:v>-0.03</c:v>
                </c:pt>
                <c:pt idx="404">
                  <c:v>-0.03</c:v>
                </c:pt>
                <c:pt idx="405">
                  <c:v>-0.03</c:v>
                </c:pt>
                <c:pt idx="406">
                  <c:v>-0.03</c:v>
                </c:pt>
                <c:pt idx="407">
                  <c:v>-0.03</c:v>
                </c:pt>
                <c:pt idx="408">
                  <c:v>-0.03</c:v>
                </c:pt>
                <c:pt idx="409">
                  <c:v>-0.03</c:v>
                </c:pt>
                <c:pt idx="410">
                  <c:v>-0.03</c:v>
                </c:pt>
                <c:pt idx="411">
                  <c:v>-0.03</c:v>
                </c:pt>
                <c:pt idx="412">
                  <c:v>-0.03</c:v>
                </c:pt>
                <c:pt idx="413">
                  <c:v>-0.03</c:v>
                </c:pt>
                <c:pt idx="414">
                  <c:v>-0.03</c:v>
                </c:pt>
                <c:pt idx="415">
                  <c:v>-0.03</c:v>
                </c:pt>
                <c:pt idx="416">
                  <c:v>-0.03</c:v>
                </c:pt>
                <c:pt idx="417">
                  <c:v>-0.03</c:v>
                </c:pt>
                <c:pt idx="418">
                  <c:v>-0.03</c:v>
                </c:pt>
                <c:pt idx="419">
                  <c:v>-0.03</c:v>
                </c:pt>
                <c:pt idx="420">
                  <c:v>-0.03</c:v>
                </c:pt>
                <c:pt idx="421">
                  <c:v>-0.03</c:v>
                </c:pt>
                <c:pt idx="422">
                  <c:v>-0.03</c:v>
                </c:pt>
                <c:pt idx="423">
                  <c:v>-0.03</c:v>
                </c:pt>
                <c:pt idx="424">
                  <c:v>-0.03</c:v>
                </c:pt>
                <c:pt idx="425">
                  <c:v>-0.03</c:v>
                </c:pt>
                <c:pt idx="426">
                  <c:v>-0.03</c:v>
                </c:pt>
                <c:pt idx="427">
                  <c:v>-0.03</c:v>
                </c:pt>
                <c:pt idx="428">
                  <c:v>-0.03</c:v>
                </c:pt>
                <c:pt idx="429">
                  <c:v>-0.03</c:v>
                </c:pt>
                <c:pt idx="430">
                  <c:v>-0.02</c:v>
                </c:pt>
                <c:pt idx="431">
                  <c:v>-0.03</c:v>
                </c:pt>
                <c:pt idx="432">
                  <c:v>-0.03</c:v>
                </c:pt>
                <c:pt idx="433">
                  <c:v>-0.03</c:v>
                </c:pt>
                <c:pt idx="434">
                  <c:v>-0.03</c:v>
                </c:pt>
                <c:pt idx="435">
                  <c:v>-0.03</c:v>
                </c:pt>
                <c:pt idx="436">
                  <c:v>-0.03</c:v>
                </c:pt>
                <c:pt idx="437">
                  <c:v>-0.03</c:v>
                </c:pt>
                <c:pt idx="438">
                  <c:v>-0.03</c:v>
                </c:pt>
                <c:pt idx="439">
                  <c:v>-0.03</c:v>
                </c:pt>
                <c:pt idx="440">
                  <c:v>-0.03</c:v>
                </c:pt>
                <c:pt idx="441">
                  <c:v>-0.03</c:v>
                </c:pt>
                <c:pt idx="442">
                  <c:v>-0.03</c:v>
                </c:pt>
                <c:pt idx="443">
                  <c:v>-0.03</c:v>
                </c:pt>
                <c:pt idx="444">
                  <c:v>-0.03</c:v>
                </c:pt>
                <c:pt idx="445">
                  <c:v>-0.03</c:v>
                </c:pt>
                <c:pt idx="446">
                  <c:v>-0.03</c:v>
                </c:pt>
                <c:pt idx="447">
                  <c:v>-0.03</c:v>
                </c:pt>
                <c:pt idx="448">
                  <c:v>-0.03</c:v>
                </c:pt>
                <c:pt idx="449">
                  <c:v>-0.03</c:v>
                </c:pt>
                <c:pt idx="450">
                  <c:v>-0.03</c:v>
                </c:pt>
                <c:pt idx="451">
                  <c:v>-0.03</c:v>
                </c:pt>
                <c:pt idx="452">
                  <c:v>-0.03</c:v>
                </c:pt>
                <c:pt idx="453">
                  <c:v>-0.02</c:v>
                </c:pt>
                <c:pt idx="454">
                  <c:v>-0.03</c:v>
                </c:pt>
                <c:pt idx="455">
                  <c:v>-0.03</c:v>
                </c:pt>
                <c:pt idx="456">
                  <c:v>-0.03</c:v>
                </c:pt>
                <c:pt idx="457">
                  <c:v>-0.02</c:v>
                </c:pt>
                <c:pt idx="458">
                  <c:v>-0.03</c:v>
                </c:pt>
                <c:pt idx="459">
                  <c:v>-0.03</c:v>
                </c:pt>
                <c:pt idx="460">
                  <c:v>-0.03</c:v>
                </c:pt>
                <c:pt idx="461">
                  <c:v>-0.03</c:v>
                </c:pt>
                <c:pt idx="462">
                  <c:v>-0.03</c:v>
                </c:pt>
                <c:pt idx="463">
                  <c:v>-0.03</c:v>
                </c:pt>
                <c:pt idx="464">
                  <c:v>-0.03</c:v>
                </c:pt>
                <c:pt idx="465">
                  <c:v>-0.03</c:v>
                </c:pt>
                <c:pt idx="466">
                  <c:v>-0.03</c:v>
                </c:pt>
                <c:pt idx="467">
                  <c:v>-0.03</c:v>
                </c:pt>
                <c:pt idx="468">
                  <c:v>-0.03</c:v>
                </c:pt>
                <c:pt idx="469">
                  <c:v>-0.03</c:v>
                </c:pt>
                <c:pt idx="470">
                  <c:v>-0.03</c:v>
                </c:pt>
                <c:pt idx="471">
                  <c:v>-0.03</c:v>
                </c:pt>
                <c:pt idx="472">
                  <c:v>-0.03</c:v>
                </c:pt>
                <c:pt idx="473">
                  <c:v>-0.03</c:v>
                </c:pt>
                <c:pt idx="474">
                  <c:v>-0.03</c:v>
                </c:pt>
                <c:pt idx="475">
                  <c:v>-0.03</c:v>
                </c:pt>
                <c:pt idx="476">
                  <c:v>-0.03</c:v>
                </c:pt>
                <c:pt idx="477">
                  <c:v>-0.03</c:v>
                </c:pt>
                <c:pt idx="478">
                  <c:v>-0.03</c:v>
                </c:pt>
                <c:pt idx="479">
                  <c:v>-0.03</c:v>
                </c:pt>
                <c:pt idx="480">
                  <c:v>-0.03</c:v>
                </c:pt>
                <c:pt idx="481">
                  <c:v>-0.03</c:v>
                </c:pt>
                <c:pt idx="482">
                  <c:v>-0.03</c:v>
                </c:pt>
                <c:pt idx="483">
                  <c:v>-0.03</c:v>
                </c:pt>
                <c:pt idx="484">
                  <c:v>-0.03</c:v>
                </c:pt>
                <c:pt idx="485">
                  <c:v>-0.03</c:v>
                </c:pt>
                <c:pt idx="486">
                  <c:v>-0.03</c:v>
                </c:pt>
                <c:pt idx="487">
                  <c:v>-0.03</c:v>
                </c:pt>
                <c:pt idx="488">
                  <c:v>-0.03</c:v>
                </c:pt>
                <c:pt idx="489">
                  <c:v>-0.03</c:v>
                </c:pt>
                <c:pt idx="490">
                  <c:v>-0.03</c:v>
                </c:pt>
                <c:pt idx="491">
                  <c:v>-0.03</c:v>
                </c:pt>
                <c:pt idx="492">
                  <c:v>-0.03</c:v>
                </c:pt>
                <c:pt idx="493">
                  <c:v>-0.03</c:v>
                </c:pt>
                <c:pt idx="494">
                  <c:v>-0.03</c:v>
                </c:pt>
                <c:pt idx="495">
                  <c:v>-0.03</c:v>
                </c:pt>
                <c:pt idx="496">
                  <c:v>-0.03</c:v>
                </c:pt>
                <c:pt idx="497">
                  <c:v>-0.03</c:v>
                </c:pt>
                <c:pt idx="498">
                  <c:v>-0.03</c:v>
                </c:pt>
                <c:pt idx="499">
                  <c:v>-0.03</c:v>
                </c:pt>
                <c:pt idx="500">
                  <c:v>-0.03</c:v>
                </c:pt>
                <c:pt idx="501">
                  <c:v>-0.03</c:v>
                </c:pt>
                <c:pt idx="502">
                  <c:v>-0.03</c:v>
                </c:pt>
                <c:pt idx="503">
                  <c:v>-0.03</c:v>
                </c:pt>
                <c:pt idx="504">
                  <c:v>-0.03</c:v>
                </c:pt>
                <c:pt idx="505">
                  <c:v>-0.03</c:v>
                </c:pt>
                <c:pt idx="506">
                  <c:v>-0.03</c:v>
                </c:pt>
                <c:pt idx="507">
                  <c:v>-0.03</c:v>
                </c:pt>
                <c:pt idx="508">
                  <c:v>-0.03</c:v>
                </c:pt>
                <c:pt idx="509">
                  <c:v>-0.03</c:v>
                </c:pt>
                <c:pt idx="510">
                  <c:v>-0.03</c:v>
                </c:pt>
                <c:pt idx="511">
                  <c:v>-0.03</c:v>
                </c:pt>
                <c:pt idx="512">
                  <c:v>-0.03</c:v>
                </c:pt>
                <c:pt idx="513">
                  <c:v>-0.03</c:v>
                </c:pt>
                <c:pt idx="514">
                  <c:v>-0.03</c:v>
                </c:pt>
                <c:pt idx="515">
                  <c:v>-0.03</c:v>
                </c:pt>
                <c:pt idx="516">
                  <c:v>-0.03</c:v>
                </c:pt>
                <c:pt idx="517">
                  <c:v>-0.03</c:v>
                </c:pt>
                <c:pt idx="518">
                  <c:v>-0.03</c:v>
                </c:pt>
                <c:pt idx="519">
                  <c:v>-0.03</c:v>
                </c:pt>
                <c:pt idx="520">
                  <c:v>-0.03</c:v>
                </c:pt>
                <c:pt idx="521">
                  <c:v>-0.03</c:v>
                </c:pt>
                <c:pt idx="522">
                  <c:v>-0.03</c:v>
                </c:pt>
                <c:pt idx="523">
                  <c:v>-0.03</c:v>
                </c:pt>
                <c:pt idx="524">
                  <c:v>-0.03</c:v>
                </c:pt>
                <c:pt idx="525">
                  <c:v>-0.03</c:v>
                </c:pt>
                <c:pt idx="526">
                  <c:v>-0.03</c:v>
                </c:pt>
                <c:pt idx="527">
                  <c:v>-0.03</c:v>
                </c:pt>
                <c:pt idx="528">
                  <c:v>-0.03</c:v>
                </c:pt>
                <c:pt idx="529">
                  <c:v>-0.03</c:v>
                </c:pt>
                <c:pt idx="530">
                  <c:v>-0.03</c:v>
                </c:pt>
                <c:pt idx="531">
                  <c:v>-0.03</c:v>
                </c:pt>
                <c:pt idx="532">
                  <c:v>-0.03</c:v>
                </c:pt>
                <c:pt idx="533">
                  <c:v>-0.03</c:v>
                </c:pt>
                <c:pt idx="534">
                  <c:v>-0.03</c:v>
                </c:pt>
                <c:pt idx="535">
                  <c:v>-0.03</c:v>
                </c:pt>
                <c:pt idx="536">
                  <c:v>-0.03</c:v>
                </c:pt>
                <c:pt idx="537">
                  <c:v>-0.03</c:v>
                </c:pt>
                <c:pt idx="538">
                  <c:v>-0.03</c:v>
                </c:pt>
                <c:pt idx="539">
                  <c:v>-0.03</c:v>
                </c:pt>
                <c:pt idx="540">
                  <c:v>-0.03</c:v>
                </c:pt>
                <c:pt idx="541">
                  <c:v>-0.03</c:v>
                </c:pt>
                <c:pt idx="542">
                  <c:v>-0.03</c:v>
                </c:pt>
                <c:pt idx="543">
                  <c:v>-0.03</c:v>
                </c:pt>
                <c:pt idx="544">
                  <c:v>-0.03</c:v>
                </c:pt>
                <c:pt idx="545">
                  <c:v>-0.03</c:v>
                </c:pt>
                <c:pt idx="546">
                  <c:v>-0.03</c:v>
                </c:pt>
                <c:pt idx="547">
                  <c:v>-0.03</c:v>
                </c:pt>
                <c:pt idx="548">
                  <c:v>-0.03</c:v>
                </c:pt>
                <c:pt idx="549">
                  <c:v>-0.03</c:v>
                </c:pt>
                <c:pt idx="550">
                  <c:v>-0.03</c:v>
                </c:pt>
                <c:pt idx="551">
                  <c:v>-0.03</c:v>
                </c:pt>
                <c:pt idx="552">
                  <c:v>-0.03</c:v>
                </c:pt>
                <c:pt idx="553">
                  <c:v>-0.03</c:v>
                </c:pt>
                <c:pt idx="554">
                  <c:v>-0.03</c:v>
                </c:pt>
                <c:pt idx="555">
                  <c:v>-0.03</c:v>
                </c:pt>
                <c:pt idx="556">
                  <c:v>-0.03</c:v>
                </c:pt>
                <c:pt idx="557">
                  <c:v>-0.03</c:v>
                </c:pt>
                <c:pt idx="558">
                  <c:v>-0.03</c:v>
                </c:pt>
                <c:pt idx="559">
                  <c:v>-0.03</c:v>
                </c:pt>
                <c:pt idx="560">
                  <c:v>-0.03</c:v>
                </c:pt>
                <c:pt idx="561">
                  <c:v>-0.03</c:v>
                </c:pt>
                <c:pt idx="562">
                  <c:v>-0.03</c:v>
                </c:pt>
                <c:pt idx="563">
                  <c:v>-0.03</c:v>
                </c:pt>
                <c:pt idx="564">
                  <c:v>-0.03</c:v>
                </c:pt>
                <c:pt idx="565">
                  <c:v>-0.03</c:v>
                </c:pt>
                <c:pt idx="566">
                  <c:v>-0.03</c:v>
                </c:pt>
                <c:pt idx="567">
                  <c:v>-0.03</c:v>
                </c:pt>
                <c:pt idx="568">
                  <c:v>-0.03</c:v>
                </c:pt>
                <c:pt idx="569">
                  <c:v>-0.03</c:v>
                </c:pt>
                <c:pt idx="570">
                  <c:v>-0.03</c:v>
                </c:pt>
                <c:pt idx="571">
                  <c:v>-0.03</c:v>
                </c:pt>
                <c:pt idx="572">
                  <c:v>-0.03</c:v>
                </c:pt>
                <c:pt idx="573">
                  <c:v>-0.03</c:v>
                </c:pt>
                <c:pt idx="574">
                  <c:v>-0.03</c:v>
                </c:pt>
                <c:pt idx="575">
                  <c:v>-0.03</c:v>
                </c:pt>
                <c:pt idx="576">
                  <c:v>-0.03</c:v>
                </c:pt>
                <c:pt idx="577">
                  <c:v>-0.03</c:v>
                </c:pt>
                <c:pt idx="578">
                  <c:v>-0.03</c:v>
                </c:pt>
                <c:pt idx="579">
                  <c:v>-0.03</c:v>
                </c:pt>
                <c:pt idx="580">
                  <c:v>-0.03</c:v>
                </c:pt>
                <c:pt idx="581">
                  <c:v>-0.03</c:v>
                </c:pt>
                <c:pt idx="582">
                  <c:v>-0.03</c:v>
                </c:pt>
                <c:pt idx="583">
                  <c:v>-0.03</c:v>
                </c:pt>
                <c:pt idx="584">
                  <c:v>-0.03</c:v>
                </c:pt>
                <c:pt idx="585">
                  <c:v>-0.03</c:v>
                </c:pt>
                <c:pt idx="586">
                  <c:v>-0.03</c:v>
                </c:pt>
                <c:pt idx="587">
                  <c:v>-0.03</c:v>
                </c:pt>
                <c:pt idx="588">
                  <c:v>-0.03</c:v>
                </c:pt>
                <c:pt idx="589">
                  <c:v>-0.03</c:v>
                </c:pt>
                <c:pt idx="590">
                  <c:v>-0.03</c:v>
                </c:pt>
                <c:pt idx="591">
                  <c:v>-0.03</c:v>
                </c:pt>
                <c:pt idx="592">
                  <c:v>-0.03</c:v>
                </c:pt>
                <c:pt idx="593">
                  <c:v>-0.03</c:v>
                </c:pt>
                <c:pt idx="594">
                  <c:v>-0.03</c:v>
                </c:pt>
                <c:pt idx="595">
                  <c:v>-0.03</c:v>
                </c:pt>
                <c:pt idx="596">
                  <c:v>-0.03</c:v>
                </c:pt>
                <c:pt idx="597">
                  <c:v>-0.03</c:v>
                </c:pt>
                <c:pt idx="598">
                  <c:v>-0.03</c:v>
                </c:pt>
                <c:pt idx="599">
                  <c:v>-0.03</c:v>
                </c:pt>
                <c:pt idx="600">
                  <c:v>-0.03</c:v>
                </c:pt>
                <c:pt idx="601">
                  <c:v>-0.03</c:v>
                </c:pt>
                <c:pt idx="602">
                  <c:v>-0.03</c:v>
                </c:pt>
                <c:pt idx="603">
                  <c:v>-0.03</c:v>
                </c:pt>
                <c:pt idx="604">
                  <c:v>-0.03</c:v>
                </c:pt>
                <c:pt idx="605">
                  <c:v>-0.03</c:v>
                </c:pt>
                <c:pt idx="606">
                  <c:v>-0.03</c:v>
                </c:pt>
                <c:pt idx="607">
                  <c:v>-0.03</c:v>
                </c:pt>
                <c:pt idx="608">
                  <c:v>-0.03</c:v>
                </c:pt>
                <c:pt idx="609">
                  <c:v>-0.03</c:v>
                </c:pt>
                <c:pt idx="610">
                  <c:v>-0.03</c:v>
                </c:pt>
                <c:pt idx="611">
                  <c:v>-0.03</c:v>
                </c:pt>
                <c:pt idx="612">
                  <c:v>-0.03</c:v>
                </c:pt>
                <c:pt idx="613">
                  <c:v>-0.03</c:v>
                </c:pt>
                <c:pt idx="614">
                  <c:v>-0.03</c:v>
                </c:pt>
                <c:pt idx="615">
                  <c:v>-0.03</c:v>
                </c:pt>
                <c:pt idx="616">
                  <c:v>-0.03</c:v>
                </c:pt>
                <c:pt idx="617">
                  <c:v>-0.03</c:v>
                </c:pt>
                <c:pt idx="618">
                  <c:v>-0.03</c:v>
                </c:pt>
                <c:pt idx="619">
                  <c:v>-0.03</c:v>
                </c:pt>
                <c:pt idx="620">
                  <c:v>-0.03</c:v>
                </c:pt>
                <c:pt idx="621">
                  <c:v>-0.03</c:v>
                </c:pt>
                <c:pt idx="622">
                  <c:v>-0.03</c:v>
                </c:pt>
                <c:pt idx="623">
                  <c:v>-0.03</c:v>
                </c:pt>
                <c:pt idx="624">
                  <c:v>-0.03</c:v>
                </c:pt>
                <c:pt idx="625">
                  <c:v>-0.03</c:v>
                </c:pt>
                <c:pt idx="626">
                  <c:v>-0.03</c:v>
                </c:pt>
                <c:pt idx="627">
                  <c:v>-0.03</c:v>
                </c:pt>
                <c:pt idx="628">
                  <c:v>-0.03</c:v>
                </c:pt>
                <c:pt idx="629">
                  <c:v>-0.03</c:v>
                </c:pt>
                <c:pt idx="630">
                  <c:v>-0.03</c:v>
                </c:pt>
                <c:pt idx="631">
                  <c:v>-0.03</c:v>
                </c:pt>
                <c:pt idx="632">
                  <c:v>-0.03</c:v>
                </c:pt>
                <c:pt idx="633">
                  <c:v>-0.03</c:v>
                </c:pt>
                <c:pt idx="634">
                  <c:v>-0.03</c:v>
                </c:pt>
                <c:pt idx="635">
                  <c:v>-0.03</c:v>
                </c:pt>
                <c:pt idx="636">
                  <c:v>-0.03</c:v>
                </c:pt>
                <c:pt idx="637">
                  <c:v>-0.03</c:v>
                </c:pt>
                <c:pt idx="638">
                  <c:v>-0.03</c:v>
                </c:pt>
                <c:pt idx="639">
                  <c:v>-0.03</c:v>
                </c:pt>
                <c:pt idx="640">
                  <c:v>-0.03</c:v>
                </c:pt>
                <c:pt idx="641">
                  <c:v>-0.03</c:v>
                </c:pt>
                <c:pt idx="642">
                  <c:v>-0.03</c:v>
                </c:pt>
                <c:pt idx="643">
                  <c:v>-0.03</c:v>
                </c:pt>
                <c:pt idx="644">
                  <c:v>-0.03</c:v>
                </c:pt>
                <c:pt idx="645">
                  <c:v>-0.03</c:v>
                </c:pt>
                <c:pt idx="646">
                  <c:v>-0.03</c:v>
                </c:pt>
                <c:pt idx="647">
                  <c:v>-0.03</c:v>
                </c:pt>
                <c:pt idx="648">
                  <c:v>-0.03</c:v>
                </c:pt>
                <c:pt idx="649">
                  <c:v>-0.03</c:v>
                </c:pt>
                <c:pt idx="650">
                  <c:v>-0.03</c:v>
                </c:pt>
                <c:pt idx="651">
                  <c:v>-0.03</c:v>
                </c:pt>
                <c:pt idx="652">
                  <c:v>-0.03</c:v>
                </c:pt>
                <c:pt idx="653">
                  <c:v>-0.03</c:v>
                </c:pt>
                <c:pt idx="654">
                  <c:v>-0.03</c:v>
                </c:pt>
                <c:pt idx="655">
                  <c:v>-0.03</c:v>
                </c:pt>
                <c:pt idx="656">
                  <c:v>-0.03</c:v>
                </c:pt>
                <c:pt idx="657">
                  <c:v>-0.03</c:v>
                </c:pt>
                <c:pt idx="658">
                  <c:v>-0.03</c:v>
                </c:pt>
                <c:pt idx="659">
                  <c:v>-0.03</c:v>
                </c:pt>
                <c:pt idx="660">
                  <c:v>-0.03</c:v>
                </c:pt>
                <c:pt idx="661">
                  <c:v>-0.03</c:v>
                </c:pt>
                <c:pt idx="662">
                  <c:v>-0.03</c:v>
                </c:pt>
                <c:pt idx="663">
                  <c:v>-0.03</c:v>
                </c:pt>
                <c:pt idx="664">
                  <c:v>-0.03</c:v>
                </c:pt>
                <c:pt idx="665">
                  <c:v>-0.03</c:v>
                </c:pt>
                <c:pt idx="666">
                  <c:v>-0.03</c:v>
                </c:pt>
                <c:pt idx="667">
                  <c:v>-0.03</c:v>
                </c:pt>
                <c:pt idx="668">
                  <c:v>-0.03</c:v>
                </c:pt>
                <c:pt idx="669">
                  <c:v>-0.03</c:v>
                </c:pt>
                <c:pt idx="670">
                  <c:v>-0.03</c:v>
                </c:pt>
                <c:pt idx="671">
                  <c:v>-0.03</c:v>
                </c:pt>
                <c:pt idx="672">
                  <c:v>-0.03</c:v>
                </c:pt>
                <c:pt idx="673">
                  <c:v>-0.03</c:v>
                </c:pt>
                <c:pt idx="674">
                  <c:v>-0.03</c:v>
                </c:pt>
                <c:pt idx="675">
                  <c:v>-0.03</c:v>
                </c:pt>
                <c:pt idx="676">
                  <c:v>-0.03</c:v>
                </c:pt>
                <c:pt idx="677">
                  <c:v>-0.03</c:v>
                </c:pt>
                <c:pt idx="678">
                  <c:v>-0.03</c:v>
                </c:pt>
                <c:pt idx="679">
                  <c:v>-0.03</c:v>
                </c:pt>
                <c:pt idx="680">
                  <c:v>-0.03</c:v>
                </c:pt>
                <c:pt idx="681">
                  <c:v>-0.03</c:v>
                </c:pt>
                <c:pt idx="682">
                  <c:v>-0.03</c:v>
                </c:pt>
                <c:pt idx="683">
                  <c:v>-0.03</c:v>
                </c:pt>
                <c:pt idx="684">
                  <c:v>-0.03</c:v>
                </c:pt>
                <c:pt idx="685">
                  <c:v>-0.03</c:v>
                </c:pt>
                <c:pt idx="686">
                  <c:v>-0.03</c:v>
                </c:pt>
                <c:pt idx="687">
                  <c:v>-0.03</c:v>
                </c:pt>
                <c:pt idx="688">
                  <c:v>-0.03</c:v>
                </c:pt>
                <c:pt idx="689">
                  <c:v>-0.03</c:v>
                </c:pt>
                <c:pt idx="690">
                  <c:v>-0.03</c:v>
                </c:pt>
                <c:pt idx="691">
                  <c:v>-0.03</c:v>
                </c:pt>
                <c:pt idx="692">
                  <c:v>-0.03</c:v>
                </c:pt>
                <c:pt idx="693">
                  <c:v>-0.03</c:v>
                </c:pt>
                <c:pt idx="694">
                  <c:v>-0.03</c:v>
                </c:pt>
                <c:pt idx="695">
                  <c:v>-0.03</c:v>
                </c:pt>
                <c:pt idx="696">
                  <c:v>-0.03</c:v>
                </c:pt>
                <c:pt idx="697">
                  <c:v>-0.03</c:v>
                </c:pt>
                <c:pt idx="698">
                  <c:v>-0.03</c:v>
                </c:pt>
                <c:pt idx="699">
                  <c:v>-0.03</c:v>
                </c:pt>
                <c:pt idx="700">
                  <c:v>-0.03</c:v>
                </c:pt>
                <c:pt idx="701">
                  <c:v>-0.03</c:v>
                </c:pt>
                <c:pt idx="702">
                  <c:v>-0.03</c:v>
                </c:pt>
                <c:pt idx="703">
                  <c:v>-0.03</c:v>
                </c:pt>
                <c:pt idx="704">
                  <c:v>-0.03</c:v>
                </c:pt>
                <c:pt idx="705">
                  <c:v>-0.03</c:v>
                </c:pt>
                <c:pt idx="706">
                  <c:v>-0.03</c:v>
                </c:pt>
                <c:pt idx="707">
                  <c:v>-0.03</c:v>
                </c:pt>
                <c:pt idx="708">
                  <c:v>-0.03</c:v>
                </c:pt>
                <c:pt idx="709">
                  <c:v>-0.03</c:v>
                </c:pt>
                <c:pt idx="710">
                  <c:v>-0.03</c:v>
                </c:pt>
                <c:pt idx="711">
                  <c:v>-0.03</c:v>
                </c:pt>
                <c:pt idx="712">
                  <c:v>-0.03</c:v>
                </c:pt>
                <c:pt idx="713">
                  <c:v>-0.03</c:v>
                </c:pt>
                <c:pt idx="714">
                  <c:v>-0.03</c:v>
                </c:pt>
                <c:pt idx="715">
                  <c:v>-0.03</c:v>
                </c:pt>
                <c:pt idx="716">
                  <c:v>-0.03</c:v>
                </c:pt>
                <c:pt idx="717">
                  <c:v>-0.03</c:v>
                </c:pt>
                <c:pt idx="718">
                  <c:v>-0.03</c:v>
                </c:pt>
                <c:pt idx="719">
                  <c:v>-0.03</c:v>
                </c:pt>
                <c:pt idx="720">
                  <c:v>-0.03</c:v>
                </c:pt>
                <c:pt idx="721">
                  <c:v>-0.03</c:v>
                </c:pt>
                <c:pt idx="722">
                  <c:v>-0.03</c:v>
                </c:pt>
                <c:pt idx="723">
                  <c:v>-0.03</c:v>
                </c:pt>
                <c:pt idx="724">
                  <c:v>-0.03</c:v>
                </c:pt>
                <c:pt idx="725">
                  <c:v>-0.03</c:v>
                </c:pt>
                <c:pt idx="726">
                  <c:v>-0.03</c:v>
                </c:pt>
                <c:pt idx="727">
                  <c:v>-0.03</c:v>
                </c:pt>
                <c:pt idx="728">
                  <c:v>-0.03</c:v>
                </c:pt>
                <c:pt idx="729">
                  <c:v>-0.03</c:v>
                </c:pt>
                <c:pt idx="730">
                  <c:v>-0.03</c:v>
                </c:pt>
                <c:pt idx="731">
                  <c:v>-0.03</c:v>
                </c:pt>
                <c:pt idx="732">
                  <c:v>-0.03</c:v>
                </c:pt>
                <c:pt idx="733">
                  <c:v>-0.03</c:v>
                </c:pt>
                <c:pt idx="734">
                  <c:v>-0.03</c:v>
                </c:pt>
                <c:pt idx="735">
                  <c:v>-0.03</c:v>
                </c:pt>
                <c:pt idx="736">
                  <c:v>-0.03</c:v>
                </c:pt>
                <c:pt idx="737">
                  <c:v>-0.03</c:v>
                </c:pt>
                <c:pt idx="738">
                  <c:v>-0.03</c:v>
                </c:pt>
                <c:pt idx="739">
                  <c:v>-0.03</c:v>
                </c:pt>
                <c:pt idx="740">
                  <c:v>-0.03</c:v>
                </c:pt>
                <c:pt idx="741">
                  <c:v>-0.03</c:v>
                </c:pt>
                <c:pt idx="742">
                  <c:v>-0.03</c:v>
                </c:pt>
                <c:pt idx="743">
                  <c:v>-0.03</c:v>
                </c:pt>
                <c:pt idx="744">
                  <c:v>-0.03</c:v>
                </c:pt>
                <c:pt idx="745">
                  <c:v>-0.03</c:v>
                </c:pt>
                <c:pt idx="746">
                  <c:v>-0.03</c:v>
                </c:pt>
                <c:pt idx="747">
                  <c:v>-0.03</c:v>
                </c:pt>
                <c:pt idx="748">
                  <c:v>-0.03</c:v>
                </c:pt>
                <c:pt idx="749">
                  <c:v>-0.03</c:v>
                </c:pt>
                <c:pt idx="750">
                  <c:v>-0.03</c:v>
                </c:pt>
                <c:pt idx="751">
                  <c:v>-0.03</c:v>
                </c:pt>
                <c:pt idx="752">
                  <c:v>-0.03</c:v>
                </c:pt>
                <c:pt idx="753">
                  <c:v>-0.03</c:v>
                </c:pt>
                <c:pt idx="754">
                  <c:v>-0.03</c:v>
                </c:pt>
                <c:pt idx="755">
                  <c:v>-0.03</c:v>
                </c:pt>
                <c:pt idx="756">
                  <c:v>-0.03</c:v>
                </c:pt>
                <c:pt idx="757">
                  <c:v>-0.03</c:v>
                </c:pt>
                <c:pt idx="758">
                  <c:v>-0.03</c:v>
                </c:pt>
                <c:pt idx="759">
                  <c:v>-0.03</c:v>
                </c:pt>
                <c:pt idx="760">
                  <c:v>-0.03</c:v>
                </c:pt>
                <c:pt idx="761">
                  <c:v>-0.03</c:v>
                </c:pt>
                <c:pt idx="762">
                  <c:v>-0.03</c:v>
                </c:pt>
                <c:pt idx="763">
                  <c:v>-0.03</c:v>
                </c:pt>
                <c:pt idx="764">
                  <c:v>-0.03</c:v>
                </c:pt>
                <c:pt idx="765">
                  <c:v>-0.03</c:v>
                </c:pt>
                <c:pt idx="766">
                  <c:v>-0.03</c:v>
                </c:pt>
                <c:pt idx="767">
                  <c:v>-0.03</c:v>
                </c:pt>
                <c:pt idx="768">
                  <c:v>-0.03</c:v>
                </c:pt>
                <c:pt idx="769">
                  <c:v>-0.03</c:v>
                </c:pt>
                <c:pt idx="770">
                  <c:v>-0.03</c:v>
                </c:pt>
                <c:pt idx="771">
                  <c:v>-0.03</c:v>
                </c:pt>
                <c:pt idx="772">
                  <c:v>-0.03</c:v>
                </c:pt>
                <c:pt idx="773">
                  <c:v>-0.03</c:v>
                </c:pt>
                <c:pt idx="774">
                  <c:v>-0.03</c:v>
                </c:pt>
                <c:pt idx="775">
                  <c:v>-0.03</c:v>
                </c:pt>
                <c:pt idx="776">
                  <c:v>-0.03</c:v>
                </c:pt>
                <c:pt idx="777">
                  <c:v>-0.03</c:v>
                </c:pt>
                <c:pt idx="778">
                  <c:v>-0.03</c:v>
                </c:pt>
                <c:pt idx="779">
                  <c:v>-0.03</c:v>
                </c:pt>
                <c:pt idx="780">
                  <c:v>-0.03</c:v>
                </c:pt>
                <c:pt idx="781">
                  <c:v>-0.03</c:v>
                </c:pt>
                <c:pt idx="782">
                  <c:v>-0.03</c:v>
                </c:pt>
                <c:pt idx="783">
                  <c:v>-0.03</c:v>
                </c:pt>
                <c:pt idx="784">
                  <c:v>-0.03</c:v>
                </c:pt>
                <c:pt idx="785">
                  <c:v>-0.03</c:v>
                </c:pt>
                <c:pt idx="786">
                  <c:v>-0.03</c:v>
                </c:pt>
                <c:pt idx="787">
                  <c:v>-0.03</c:v>
                </c:pt>
                <c:pt idx="788">
                  <c:v>-0.03</c:v>
                </c:pt>
                <c:pt idx="789">
                  <c:v>-0.03</c:v>
                </c:pt>
                <c:pt idx="790">
                  <c:v>-0.03</c:v>
                </c:pt>
                <c:pt idx="791">
                  <c:v>-0.03</c:v>
                </c:pt>
                <c:pt idx="792">
                  <c:v>-0.03</c:v>
                </c:pt>
                <c:pt idx="793">
                  <c:v>-0.03</c:v>
                </c:pt>
                <c:pt idx="794">
                  <c:v>-0.03</c:v>
                </c:pt>
                <c:pt idx="795">
                  <c:v>-0.03</c:v>
                </c:pt>
                <c:pt idx="796">
                  <c:v>-0.03</c:v>
                </c:pt>
                <c:pt idx="797">
                  <c:v>-0.03</c:v>
                </c:pt>
                <c:pt idx="798">
                  <c:v>-0.03</c:v>
                </c:pt>
                <c:pt idx="799">
                  <c:v>-0.03</c:v>
                </c:pt>
                <c:pt idx="800">
                  <c:v>-0.03</c:v>
                </c:pt>
                <c:pt idx="801">
                  <c:v>-0.03</c:v>
                </c:pt>
                <c:pt idx="802">
                  <c:v>-0.03</c:v>
                </c:pt>
                <c:pt idx="803">
                  <c:v>-0.03</c:v>
                </c:pt>
                <c:pt idx="804">
                  <c:v>-0.03</c:v>
                </c:pt>
                <c:pt idx="805">
                  <c:v>-0.03</c:v>
                </c:pt>
                <c:pt idx="806">
                  <c:v>-0.03</c:v>
                </c:pt>
                <c:pt idx="807">
                  <c:v>-0.03</c:v>
                </c:pt>
                <c:pt idx="808">
                  <c:v>-0.03</c:v>
                </c:pt>
                <c:pt idx="809">
                  <c:v>-0.03</c:v>
                </c:pt>
                <c:pt idx="810">
                  <c:v>-0.03</c:v>
                </c:pt>
                <c:pt idx="811">
                  <c:v>-0.03</c:v>
                </c:pt>
                <c:pt idx="812">
                  <c:v>-0.03</c:v>
                </c:pt>
                <c:pt idx="813">
                  <c:v>-0.03</c:v>
                </c:pt>
                <c:pt idx="814">
                  <c:v>-0.03</c:v>
                </c:pt>
                <c:pt idx="815">
                  <c:v>-0.03</c:v>
                </c:pt>
                <c:pt idx="816">
                  <c:v>-0.03</c:v>
                </c:pt>
                <c:pt idx="817">
                  <c:v>-0.03</c:v>
                </c:pt>
                <c:pt idx="818">
                  <c:v>-0.03</c:v>
                </c:pt>
                <c:pt idx="819">
                  <c:v>-0.03</c:v>
                </c:pt>
                <c:pt idx="820">
                  <c:v>-0.03</c:v>
                </c:pt>
                <c:pt idx="821">
                  <c:v>-0.03</c:v>
                </c:pt>
                <c:pt idx="822">
                  <c:v>-0.03</c:v>
                </c:pt>
                <c:pt idx="823">
                  <c:v>-0.03</c:v>
                </c:pt>
                <c:pt idx="824">
                  <c:v>-0.03</c:v>
                </c:pt>
                <c:pt idx="825">
                  <c:v>-0.03</c:v>
                </c:pt>
                <c:pt idx="826">
                  <c:v>-0.03</c:v>
                </c:pt>
                <c:pt idx="827">
                  <c:v>-0.03</c:v>
                </c:pt>
                <c:pt idx="828">
                  <c:v>-0.03</c:v>
                </c:pt>
                <c:pt idx="829">
                  <c:v>-0.03</c:v>
                </c:pt>
                <c:pt idx="830">
                  <c:v>-0.03</c:v>
                </c:pt>
                <c:pt idx="831">
                  <c:v>-0.03</c:v>
                </c:pt>
                <c:pt idx="832">
                  <c:v>-0.03</c:v>
                </c:pt>
                <c:pt idx="833">
                  <c:v>-0.03</c:v>
                </c:pt>
                <c:pt idx="834">
                  <c:v>-0.03</c:v>
                </c:pt>
                <c:pt idx="835">
                  <c:v>-0.03</c:v>
                </c:pt>
                <c:pt idx="836">
                  <c:v>-0.03</c:v>
                </c:pt>
                <c:pt idx="837">
                  <c:v>-0.03</c:v>
                </c:pt>
                <c:pt idx="838">
                  <c:v>-0.03</c:v>
                </c:pt>
                <c:pt idx="839">
                  <c:v>-0.03</c:v>
                </c:pt>
                <c:pt idx="840">
                  <c:v>-0.03</c:v>
                </c:pt>
                <c:pt idx="841">
                  <c:v>-0.03</c:v>
                </c:pt>
                <c:pt idx="842">
                  <c:v>-0.03</c:v>
                </c:pt>
                <c:pt idx="843">
                  <c:v>-0.03</c:v>
                </c:pt>
                <c:pt idx="844">
                  <c:v>-0.03</c:v>
                </c:pt>
                <c:pt idx="845">
                  <c:v>-0.03</c:v>
                </c:pt>
                <c:pt idx="846">
                  <c:v>-0.03</c:v>
                </c:pt>
                <c:pt idx="847">
                  <c:v>-0.03</c:v>
                </c:pt>
                <c:pt idx="848">
                  <c:v>-0.03</c:v>
                </c:pt>
                <c:pt idx="849">
                  <c:v>-0.03</c:v>
                </c:pt>
                <c:pt idx="850">
                  <c:v>-0.03</c:v>
                </c:pt>
                <c:pt idx="851">
                  <c:v>-0.03</c:v>
                </c:pt>
                <c:pt idx="852">
                  <c:v>-0.03</c:v>
                </c:pt>
                <c:pt idx="853">
                  <c:v>-0.03</c:v>
                </c:pt>
                <c:pt idx="854">
                  <c:v>-0.03</c:v>
                </c:pt>
                <c:pt idx="855">
                  <c:v>-0.03</c:v>
                </c:pt>
                <c:pt idx="856">
                  <c:v>-0.03</c:v>
                </c:pt>
                <c:pt idx="857">
                  <c:v>-0.03</c:v>
                </c:pt>
                <c:pt idx="858">
                  <c:v>-0.03</c:v>
                </c:pt>
                <c:pt idx="859">
                  <c:v>-0.03</c:v>
                </c:pt>
                <c:pt idx="860">
                  <c:v>-0.03</c:v>
                </c:pt>
                <c:pt idx="861">
                  <c:v>-0.03</c:v>
                </c:pt>
                <c:pt idx="862">
                  <c:v>-0.03</c:v>
                </c:pt>
                <c:pt idx="863">
                  <c:v>-0.03</c:v>
                </c:pt>
                <c:pt idx="864">
                  <c:v>-0.03</c:v>
                </c:pt>
                <c:pt idx="865">
                  <c:v>-0.03</c:v>
                </c:pt>
                <c:pt idx="866">
                  <c:v>-0.03</c:v>
                </c:pt>
                <c:pt idx="867">
                  <c:v>-0.03</c:v>
                </c:pt>
                <c:pt idx="868">
                  <c:v>-0.03</c:v>
                </c:pt>
                <c:pt idx="869">
                  <c:v>-0.03</c:v>
                </c:pt>
                <c:pt idx="870">
                  <c:v>-0.03</c:v>
                </c:pt>
                <c:pt idx="871">
                  <c:v>-0.03</c:v>
                </c:pt>
                <c:pt idx="872">
                  <c:v>-0.03</c:v>
                </c:pt>
                <c:pt idx="873">
                  <c:v>-0.03</c:v>
                </c:pt>
                <c:pt idx="874">
                  <c:v>-0.03</c:v>
                </c:pt>
                <c:pt idx="875">
                  <c:v>-0.03</c:v>
                </c:pt>
                <c:pt idx="876">
                  <c:v>-0.03</c:v>
                </c:pt>
                <c:pt idx="877">
                  <c:v>-0.03</c:v>
                </c:pt>
                <c:pt idx="878">
                  <c:v>-0.03</c:v>
                </c:pt>
                <c:pt idx="879">
                  <c:v>-0.03</c:v>
                </c:pt>
                <c:pt idx="880">
                  <c:v>-0.03</c:v>
                </c:pt>
                <c:pt idx="881">
                  <c:v>-0.03</c:v>
                </c:pt>
                <c:pt idx="882">
                  <c:v>-0.03</c:v>
                </c:pt>
                <c:pt idx="883">
                  <c:v>-0.03</c:v>
                </c:pt>
                <c:pt idx="884">
                  <c:v>-0.03</c:v>
                </c:pt>
                <c:pt idx="885">
                  <c:v>-0.03</c:v>
                </c:pt>
                <c:pt idx="886">
                  <c:v>-0.03</c:v>
                </c:pt>
                <c:pt idx="887">
                  <c:v>-0.03</c:v>
                </c:pt>
                <c:pt idx="888">
                  <c:v>-0.03</c:v>
                </c:pt>
                <c:pt idx="889">
                  <c:v>-0.03</c:v>
                </c:pt>
                <c:pt idx="890">
                  <c:v>-0.03</c:v>
                </c:pt>
                <c:pt idx="891">
                  <c:v>-0.03</c:v>
                </c:pt>
                <c:pt idx="892">
                  <c:v>-0.03</c:v>
                </c:pt>
                <c:pt idx="893">
                  <c:v>-0.03</c:v>
                </c:pt>
                <c:pt idx="894">
                  <c:v>-0.03</c:v>
                </c:pt>
                <c:pt idx="895">
                  <c:v>-0.03</c:v>
                </c:pt>
                <c:pt idx="896">
                  <c:v>-0.03</c:v>
                </c:pt>
                <c:pt idx="897">
                  <c:v>-0.03</c:v>
                </c:pt>
                <c:pt idx="898">
                  <c:v>-0.03</c:v>
                </c:pt>
                <c:pt idx="899">
                  <c:v>-0.03</c:v>
                </c:pt>
                <c:pt idx="900">
                  <c:v>-0.03</c:v>
                </c:pt>
                <c:pt idx="901">
                  <c:v>-0.03</c:v>
                </c:pt>
                <c:pt idx="902">
                  <c:v>-0.03</c:v>
                </c:pt>
                <c:pt idx="903">
                  <c:v>-0.03</c:v>
                </c:pt>
                <c:pt idx="904">
                  <c:v>-0.03</c:v>
                </c:pt>
                <c:pt idx="905">
                  <c:v>-0.03</c:v>
                </c:pt>
                <c:pt idx="906">
                  <c:v>-0.03</c:v>
                </c:pt>
                <c:pt idx="907">
                  <c:v>-0.03</c:v>
                </c:pt>
                <c:pt idx="908">
                  <c:v>-0.03</c:v>
                </c:pt>
                <c:pt idx="909">
                  <c:v>-0.03</c:v>
                </c:pt>
                <c:pt idx="910">
                  <c:v>-0.03</c:v>
                </c:pt>
                <c:pt idx="911">
                  <c:v>-0.03</c:v>
                </c:pt>
                <c:pt idx="912">
                  <c:v>-0.03</c:v>
                </c:pt>
                <c:pt idx="913">
                  <c:v>-0.03</c:v>
                </c:pt>
                <c:pt idx="914">
                  <c:v>-0.03</c:v>
                </c:pt>
                <c:pt idx="915">
                  <c:v>-0.03</c:v>
                </c:pt>
                <c:pt idx="916">
                  <c:v>-0.03</c:v>
                </c:pt>
                <c:pt idx="917">
                  <c:v>-0.03</c:v>
                </c:pt>
                <c:pt idx="918">
                  <c:v>-0.03</c:v>
                </c:pt>
                <c:pt idx="919">
                  <c:v>-0.03</c:v>
                </c:pt>
                <c:pt idx="920">
                  <c:v>-0.03</c:v>
                </c:pt>
                <c:pt idx="921">
                  <c:v>-0.03</c:v>
                </c:pt>
                <c:pt idx="922">
                  <c:v>-0.03</c:v>
                </c:pt>
                <c:pt idx="923">
                  <c:v>-0.03</c:v>
                </c:pt>
                <c:pt idx="924">
                  <c:v>-0.03</c:v>
                </c:pt>
                <c:pt idx="925">
                  <c:v>-0.03</c:v>
                </c:pt>
                <c:pt idx="926">
                  <c:v>-0.03</c:v>
                </c:pt>
                <c:pt idx="927">
                  <c:v>-0.03</c:v>
                </c:pt>
                <c:pt idx="928">
                  <c:v>-0.03</c:v>
                </c:pt>
                <c:pt idx="929">
                  <c:v>-0.03</c:v>
                </c:pt>
                <c:pt idx="930">
                  <c:v>-0.03</c:v>
                </c:pt>
                <c:pt idx="931">
                  <c:v>-0.03</c:v>
                </c:pt>
                <c:pt idx="932">
                  <c:v>-0.03</c:v>
                </c:pt>
                <c:pt idx="933">
                  <c:v>-0.03</c:v>
                </c:pt>
                <c:pt idx="934">
                  <c:v>-0.03</c:v>
                </c:pt>
                <c:pt idx="935">
                  <c:v>-0.03</c:v>
                </c:pt>
                <c:pt idx="936">
                  <c:v>-0.03</c:v>
                </c:pt>
                <c:pt idx="937">
                  <c:v>-0.03</c:v>
                </c:pt>
                <c:pt idx="938">
                  <c:v>-0.03</c:v>
                </c:pt>
                <c:pt idx="939">
                  <c:v>-0.03</c:v>
                </c:pt>
                <c:pt idx="940">
                  <c:v>-0.03</c:v>
                </c:pt>
                <c:pt idx="941">
                  <c:v>-0.03</c:v>
                </c:pt>
                <c:pt idx="942">
                  <c:v>-0.03</c:v>
                </c:pt>
                <c:pt idx="943">
                  <c:v>-0.03</c:v>
                </c:pt>
                <c:pt idx="944">
                  <c:v>-0.03</c:v>
                </c:pt>
                <c:pt idx="945">
                  <c:v>-0.03</c:v>
                </c:pt>
                <c:pt idx="946">
                  <c:v>-0.03</c:v>
                </c:pt>
                <c:pt idx="947">
                  <c:v>-0.03</c:v>
                </c:pt>
                <c:pt idx="948">
                  <c:v>-0.03</c:v>
                </c:pt>
                <c:pt idx="949">
                  <c:v>-0.03</c:v>
                </c:pt>
                <c:pt idx="950">
                  <c:v>-0.03</c:v>
                </c:pt>
                <c:pt idx="951">
                  <c:v>-0.03</c:v>
                </c:pt>
                <c:pt idx="952">
                  <c:v>-0.03</c:v>
                </c:pt>
                <c:pt idx="953">
                  <c:v>-0.03</c:v>
                </c:pt>
                <c:pt idx="954">
                  <c:v>-0.03</c:v>
                </c:pt>
                <c:pt idx="955">
                  <c:v>-0.03</c:v>
                </c:pt>
                <c:pt idx="956">
                  <c:v>-0.03</c:v>
                </c:pt>
                <c:pt idx="957">
                  <c:v>-0.03</c:v>
                </c:pt>
                <c:pt idx="958">
                  <c:v>-0.03</c:v>
                </c:pt>
                <c:pt idx="959">
                  <c:v>-0.03</c:v>
                </c:pt>
                <c:pt idx="960">
                  <c:v>-0.03</c:v>
                </c:pt>
                <c:pt idx="961">
                  <c:v>-0.03</c:v>
                </c:pt>
                <c:pt idx="962">
                  <c:v>-0.03</c:v>
                </c:pt>
                <c:pt idx="963">
                  <c:v>-0.03</c:v>
                </c:pt>
                <c:pt idx="964">
                  <c:v>-0.03</c:v>
                </c:pt>
                <c:pt idx="965">
                  <c:v>-0.03</c:v>
                </c:pt>
                <c:pt idx="966">
                  <c:v>-0.03</c:v>
                </c:pt>
                <c:pt idx="967">
                  <c:v>-0.03</c:v>
                </c:pt>
                <c:pt idx="968">
                  <c:v>-0.03</c:v>
                </c:pt>
                <c:pt idx="969">
                  <c:v>-0.03</c:v>
                </c:pt>
                <c:pt idx="970">
                  <c:v>-0.03</c:v>
                </c:pt>
                <c:pt idx="971">
                  <c:v>-0.03</c:v>
                </c:pt>
                <c:pt idx="972">
                  <c:v>-0.03</c:v>
                </c:pt>
                <c:pt idx="973">
                  <c:v>-0.03</c:v>
                </c:pt>
                <c:pt idx="974">
                  <c:v>-0.03</c:v>
                </c:pt>
                <c:pt idx="975">
                  <c:v>-0.03</c:v>
                </c:pt>
                <c:pt idx="976">
                  <c:v>-0.03</c:v>
                </c:pt>
                <c:pt idx="977">
                  <c:v>-0.03</c:v>
                </c:pt>
                <c:pt idx="978">
                  <c:v>-0.03</c:v>
                </c:pt>
                <c:pt idx="979">
                  <c:v>-0.03</c:v>
                </c:pt>
                <c:pt idx="980">
                  <c:v>-0.03</c:v>
                </c:pt>
                <c:pt idx="981">
                  <c:v>-0.03</c:v>
                </c:pt>
                <c:pt idx="982">
                  <c:v>-0.03</c:v>
                </c:pt>
                <c:pt idx="983">
                  <c:v>-0.03</c:v>
                </c:pt>
                <c:pt idx="984">
                  <c:v>-0.03</c:v>
                </c:pt>
                <c:pt idx="985">
                  <c:v>-0.03</c:v>
                </c:pt>
                <c:pt idx="986">
                  <c:v>-0.03</c:v>
                </c:pt>
                <c:pt idx="987">
                  <c:v>-0.03</c:v>
                </c:pt>
                <c:pt idx="988">
                  <c:v>-0.03</c:v>
                </c:pt>
                <c:pt idx="989">
                  <c:v>-0.03</c:v>
                </c:pt>
                <c:pt idx="990">
                  <c:v>-0.03</c:v>
                </c:pt>
                <c:pt idx="991">
                  <c:v>-0.03</c:v>
                </c:pt>
                <c:pt idx="992">
                  <c:v>-0.03</c:v>
                </c:pt>
                <c:pt idx="993">
                  <c:v>-0.03</c:v>
                </c:pt>
                <c:pt idx="994">
                  <c:v>-0.03</c:v>
                </c:pt>
                <c:pt idx="995">
                  <c:v>-0.03</c:v>
                </c:pt>
                <c:pt idx="996">
                  <c:v>-0.03</c:v>
                </c:pt>
                <c:pt idx="997">
                  <c:v>-0.03</c:v>
                </c:pt>
                <c:pt idx="998">
                  <c:v>-0.03</c:v>
                </c:pt>
                <c:pt idx="999">
                  <c:v>-0.03</c:v>
                </c:pt>
                <c:pt idx="1000">
                  <c:v>-0.03</c:v>
                </c:pt>
                <c:pt idx="1001">
                  <c:v>-0.03</c:v>
                </c:pt>
                <c:pt idx="1002">
                  <c:v>-0.03</c:v>
                </c:pt>
                <c:pt idx="1003">
                  <c:v>-0.03</c:v>
                </c:pt>
                <c:pt idx="1004">
                  <c:v>-0.03</c:v>
                </c:pt>
                <c:pt idx="1005">
                  <c:v>-0.03</c:v>
                </c:pt>
                <c:pt idx="1006">
                  <c:v>-0.03</c:v>
                </c:pt>
                <c:pt idx="1007">
                  <c:v>-0.03</c:v>
                </c:pt>
                <c:pt idx="1008">
                  <c:v>-0.03</c:v>
                </c:pt>
                <c:pt idx="1009">
                  <c:v>-0.03</c:v>
                </c:pt>
                <c:pt idx="1010">
                  <c:v>-0.03</c:v>
                </c:pt>
                <c:pt idx="1011">
                  <c:v>-0.03</c:v>
                </c:pt>
                <c:pt idx="1012">
                  <c:v>-0.03</c:v>
                </c:pt>
                <c:pt idx="1013">
                  <c:v>-0.03</c:v>
                </c:pt>
                <c:pt idx="1014">
                  <c:v>-0.03</c:v>
                </c:pt>
                <c:pt idx="1015">
                  <c:v>-0.03</c:v>
                </c:pt>
                <c:pt idx="1016">
                  <c:v>-0.03</c:v>
                </c:pt>
                <c:pt idx="1017">
                  <c:v>-0.03</c:v>
                </c:pt>
                <c:pt idx="1018">
                  <c:v>-0.03</c:v>
                </c:pt>
                <c:pt idx="1019">
                  <c:v>-0.03</c:v>
                </c:pt>
                <c:pt idx="1020">
                  <c:v>-0.03</c:v>
                </c:pt>
                <c:pt idx="1021">
                  <c:v>-0.03</c:v>
                </c:pt>
                <c:pt idx="1022">
                  <c:v>-0.03</c:v>
                </c:pt>
                <c:pt idx="1023">
                  <c:v>-0.03</c:v>
                </c:pt>
                <c:pt idx="1024">
                  <c:v>-0.03</c:v>
                </c:pt>
                <c:pt idx="1025">
                  <c:v>-0.03</c:v>
                </c:pt>
                <c:pt idx="1026">
                  <c:v>-0.03</c:v>
                </c:pt>
                <c:pt idx="1027">
                  <c:v>-0.03</c:v>
                </c:pt>
                <c:pt idx="1028">
                  <c:v>-0.03</c:v>
                </c:pt>
                <c:pt idx="1029">
                  <c:v>-0.03</c:v>
                </c:pt>
                <c:pt idx="1030">
                  <c:v>-0.03</c:v>
                </c:pt>
                <c:pt idx="1031">
                  <c:v>-0.03</c:v>
                </c:pt>
                <c:pt idx="1032">
                  <c:v>-0.03</c:v>
                </c:pt>
                <c:pt idx="1033">
                  <c:v>-0.03</c:v>
                </c:pt>
                <c:pt idx="1034">
                  <c:v>-0.03</c:v>
                </c:pt>
                <c:pt idx="1035">
                  <c:v>-0.03</c:v>
                </c:pt>
                <c:pt idx="1036">
                  <c:v>-0.03</c:v>
                </c:pt>
                <c:pt idx="1037">
                  <c:v>-0.03</c:v>
                </c:pt>
                <c:pt idx="1038">
                  <c:v>-0.03</c:v>
                </c:pt>
                <c:pt idx="1039">
                  <c:v>-0.03</c:v>
                </c:pt>
                <c:pt idx="1040">
                  <c:v>-0.03</c:v>
                </c:pt>
                <c:pt idx="1041">
                  <c:v>-0.03</c:v>
                </c:pt>
                <c:pt idx="1042">
                  <c:v>-0.03</c:v>
                </c:pt>
                <c:pt idx="1043">
                  <c:v>-0.03</c:v>
                </c:pt>
                <c:pt idx="1044">
                  <c:v>-0.03</c:v>
                </c:pt>
                <c:pt idx="1045">
                  <c:v>-0.03</c:v>
                </c:pt>
                <c:pt idx="1046">
                  <c:v>-0.03</c:v>
                </c:pt>
                <c:pt idx="1047">
                  <c:v>-0.03</c:v>
                </c:pt>
                <c:pt idx="1048">
                  <c:v>-0.03</c:v>
                </c:pt>
                <c:pt idx="1049">
                  <c:v>-0.03</c:v>
                </c:pt>
                <c:pt idx="1050">
                  <c:v>-0.03</c:v>
                </c:pt>
                <c:pt idx="1051">
                  <c:v>-0.03</c:v>
                </c:pt>
                <c:pt idx="1052">
                  <c:v>-0.03</c:v>
                </c:pt>
                <c:pt idx="1053">
                  <c:v>-0.03</c:v>
                </c:pt>
                <c:pt idx="1054">
                  <c:v>-0.03</c:v>
                </c:pt>
                <c:pt idx="1055">
                  <c:v>-0.03</c:v>
                </c:pt>
                <c:pt idx="1056">
                  <c:v>-0.03</c:v>
                </c:pt>
                <c:pt idx="1057">
                  <c:v>-0.03</c:v>
                </c:pt>
                <c:pt idx="1058">
                  <c:v>-0.03</c:v>
                </c:pt>
                <c:pt idx="1059">
                  <c:v>-0.03</c:v>
                </c:pt>
                <c:pt idx="1060">
                  <c:v>-0.03</c:v>
                </c:pt>
                <c:pt idx="1061">
                  <c:v>-0.03</c:v>
                </c:pt>
                <c:pt idx="1062">
                  <c:v>-0.03</c:v>
                </c:pt>
                <c:pt idx="1063">
                  <c:v>-0.03</c:v>
                </c:pt>
                <c:pt idx="1064">
                  <c:v>-0.03</c:v>
                </c:pt>
                <c:pt idx="1065">
                  <c:v>-0.03</c:v>
                </c:pt>
                <c:pt idx="1066">
                  <c:v>-0.03</c:v>
                </c:pt>
                <c:pt idx="1067">
                  <c:v>-0.03</c:v>
                </c:pt>
                <c:pt idx="1068">
                  <c:v>-0.03</c:v>
                </c:pt>
                <c:pt idx="1069">
                  <c:v>-0.03</c:v>
                </c:pt>
                <c:pt idx="1070">
                  <c:v>-0.03</c:v>
                </c:pt>
                <c:pt idx="1071">
                  <c:v>-0.03</c:v>
                </c:pt>
                <c:pt idx="1072">
                  <c:v>-0.03</c:v>
                </c:pt>
                <c:pt idx="1073">
                  <c:v>-0.03</c:v>
                </c:pt>
                <c:pt idx="1074">
                  <c:v>-0.03</c:v>
                </c:pt>
                <c:pt idx="1075">
                  <c:v>-0.03</c:v>
                </c:pt>
                <c:pt idx="1076">
                  <c:v>-0.03</c:v>
                </c:pt>
                <c:pt idx="1077">
                  <c:v>-0.03</c:v>
                </c:pt>
                <c:pt idx="1078">
                  <c:v>-0.03</c:v>
                </c:pt>
                <c:pt idx="1079">
                  <c:v>-0.03</c:v>
                </c:pt>
                <c:pt idx="1080">
                  <c:v>-0.03</c:v>
                </c:pt>
                <c:pt idx="1081">
                  <c:v>-0.03</c:v>
                </c:pt>
                <c:pt idx="1082">
                  <c:v>-0.03</c:v>
                </c:pt>
                <c:pt idx="1083">
                  <c:v>-0.03</c:v>
                </c:pt>
                <c:pt idx="1084">
                  <c:v>-0.03</c:v>
                </c:pt>
                <c:pt idx="1085">
                  <c:v>-0.03</c:v>
                </c:pt>
                <c:pt idx="1086">
                  <c:v>-0.03</c:v>
                </c:pt>
                <c:pt idx="1087">
                  <c:v>-0.03</c:v>
                </c:pt>
                <c:pt idx="1088">
                  <c:v>-0.03</c:v>
                </c:pt>
                <c:pt idx="1089">
                  <c:v>-0.03</c:v>
                </c:pt>
                <c:pt idx="1090">
                  <c:v>-0.03</c:v>
                </c:pt>
                <c:pt idx="1091">
                  <c:v>-0.03</c:v>
                </c:pt>
                <c:pt idx="1092">
                  <c:v>-0.03</c:v>
                </c:pt>
                <c:pt idx="1093">
                  <c:v>-0.03</c:v>
                </c:pt>
                <c:pt idx="1094">
                  <c:v>-0.03</c:v>
                </c:pt>
                <c:pt idx="1095">
                  <c:v>-0.03</c:v>
                </c:pt>
                <c:pt idx="1096">
                  <c:v>-0.03</c:v>
                </c:pt>
                <c:pt idx="1097">
                  <c:v>-0.03</c:v>
                </c:pt>
                <c:pt idx="1098">
                  <c:v>-0.03</c:v>
                </c:pt>
                <c:pt idx="1099">
                  <c:v>-0.03</c:v>
                </c:pt>
                <c:pt idx="1100">
                  <c:v>-0.03</c:v>
                </c:pt>
                <c:pt idx="1101">
                  <c:v>-0.03</c:v>
                </c:pt>
                <c:pt idx="1102">
                  <c:v>-0.03</c:v>
                </c:pt>
                <c:pt idx="1103">
                  <c:v>-0.03</c:v>
                </c:pt>
                <c:pt idx="1104">
                  <c:v>-0.03</c:v>
                </c:pt>
                <c:pt idx="1105">
                  <c:v>-0.03</c:v>
                </c:pt>
                <c:pt idx="1106">
                  <c:v>-0.03</c:v>
                </c:pt>
                <c:pt idx="1107">
                  <c:v>-0.03</c:v>
                </c:pt>
                <c:pt idx="1108">
                  <c:v>-0.03</c:v>
                </c:pt>
                <c:pt idx="1109">
                  <c:v>-0.03</c:v>
                </c:pt>
                <c:pt idx="1110">
                  <c:v>-0.03</c:v>
                </c:pt>
                <c:pt idx="1111">
                  <c:v>-0.03</c:v>
                </c:pt>
                <c:pt idx="1112">
                  <c:v>-0.03</c:v>
                </c:pt>
                <c:pt idx="1113">
                  <c:v>-0.03</c:v>
                </c:pt>
                <c:pt idx="1114">
                  <c:v>-0.03</c:v>
                </c:pt>
                <c:pt idx="1115">
                  <c:v>-0.03</c:v>
                </c:pt>
                <c:pt idx="1116">
                  <c:v>-0.03</c:v>
                </c:pt>
                <c:pt idx="1117">
                  <c:v>-0.03</c:v>
                </c:pt>
                <c:pt idx="1118">
                  <c:v>-0.03</c:v>
                </c:pt>
                <c:pt idx="1119">
                  <c:v>-0.03</c:v>
                </c:pt>
                <c:pt idx="1120">
                  <c:v>-0.03</c:v>
                </c:pt>
                <c:pt idx="1121">
                  <c:v>-0.03</c:v>
                </c:pt>
                <c:pt idx="1122">
                  <c:v>-0.03</c:v>
                </c:pt>
                <c:pt idx="1123">
                  <c:v>-0.03</c:v>
                </c:pt>
                <c:pt idx="1124">
                  <c:v>-0.03</c:v>
                </c:pt>
                <c:pt idx="1125">
                  <c:v>-0.03</c:v>
                </c:pt>
                <c:pt idx="1126">
                  <c:v>-0.03</c:v>
                </c:pt>
                <c:pt idx="1127">
                  <c:v>-0.03</c:v>
                </c:pt>
                <c:pt idx="1128">
                  <c:v>-0.03</c:v>
                </c:pt>
                <c:pt idx="1129">
                  <c:v>-0.03</c:v>
                </c:pt>
                <c:pt idx="1130">
                  <c:v>-0.03</c:v>
                </c:pt>
                <c:pt idx="1131">
                  <c:v>-0.03</c:v>
                </c:pt>
                <c:pt idx="1132">
                  <c:v>-0.03</c:v>
                </c:pt>
                <c:pt idx="1133">
                  <c:v>-0.03</c:v>
                </c:pt>
                <c:pt idx="1134">
                  <c:v>-0.03</c:v>
                </c:pt>
                <c:pt idx="1135">
                  <c:v>-0.03</c:v>
                </c:pt>
                <c:pt idx="1136">
                  <c:v>-0.03</c:v>
                </c:pt>
                <c:pt idx="1137">
                  <c:v>-0.03</c:v>
                </c:pt>
                <c:pt idx="1138">
                  <c:v>-0.03</c:v>
                </c:pt>
                <c:pt idx="1139">
                  <c:v>-0.03</c:v>
                </c:pt>
                <c:pt idx="1140">
                  <c:v>-0.03</c:v>
                </c:pt>
                <c:pt idx="1141">
                  <c:v>-0.03</c:v>
                </c:pt>
                <c:pt idx="1142">
                  <c:v>-0.03</c:v>
                </c:pt>
                <c:pt idx="1143">
                  <c:v>-0.03</c:v>
                </c:pt>
                <c:pt idx="1144">
                  <c:v>-0.03</c:v>
                </c:pt>
                <c:pt idx="1145">
                  <c:v>-0.03</c:v>
                </c:pt>
                <c:pt idx="1146">
                  <c:v>-0.03</c:v>
                </c:pt>
                <c:pt idx="1147">
                  <c:v>-0.03</c:v>
                </c:pt>
                <c:pt idx="1148">
                  <c:v>-0.03</c:v>
                </c:pt>
                <c:pt idx="1149">
                  <c:v>-0.03</c:v>
                </c:pt>
                <c:pt idx="1150">
                  <c:v>-0.03</c:v>
                </c:pt>
                <c:pt idx="1151">
                  <c:v>-0.03</c:v>
                </c:pt>
                <c:pt idx="1152">
                  <c:v>-0.03</c:v>
                </c:pt>
                <c:pt idx="1153">
                  <c:v>-0.03</c:v>
                </c:pt>
                <c:pt idx="1154">
                  <c:v>-0.03</c:v>
                </c:pt>
                <c:pt idx="1155">
                  <c:v>-0.03</c:v>
                </c:pt>
                <c:pt idx="1156">
                  <c:v>-0.03</c:v>
                </c:pt>
                <c:pt idx="1157">
                  <c:v>-0.03</c:v>
                </c:pt>
                <c:pt idx="1158">
                  <c:v>-0.03</c:v>
                </c:pt>
                <c:pt idx="1159">
                  <c:v>-0.03</c:v>
                </c:pt>
                <c:pt idx="1160">
                  <c:v>-0.03</c:v>
                </c:pt>
                <c:pt idx="1161">
                  <c:v>-0.03</c:v>
                </c:pt>
                <c:pt idx="1162">
                  <c:v>-0.03</c:v>
                </c:pt>
                <c:pt idx="1163">
                  <c:v>-0.03</c:v>
                </c:pt>
                <c:pt idx="1164">
                  <c:v>-0.03</c:v>
                </c:pt>
                <c:pt idx="1165">
                  <c:v>-0.03</c:v>
                </c:pt>
                <c:pt idx="1166">
                  <c:v>-0.03</c:v>
                </c:pt>
                <c:pt idx="1167">
                  <c:v>-0.03</c:v>
                </c:pt>
                <c:pt idx="1168">
                  <c:v>-0.03</c:v>
                </c:pt>
                <c:pt idx="1169">
                  <c:v>-0.03</c:v>
                </c:pt>
                <c:pt idx="1170">
                  <c:v>-0.03</c:v>
                </c:pt>
                <c:pt idx="1171">
                  <c:v>-0.03</c:v>
                </c:pt>
                <c:pt idx="1172">
                  <c:v>-0.03</c:v>
                </c:pt>
                <c:pt idx="1173">
                  <c:v>-0.03</c:v>
                </c:pt>
                <c:pt idx="1174">
                  <c:v>-0.03</c:v>
                </c:pt>
                <c:pt idx="1175">
                  <c:v>-0.03</c:v>
                </c:pt>
                <c:pt idx="1176">
                  <c:v>-0.03</c:v>
                </c:pt>
                <c:pt idx="1177">
                  <c:v>-0.03</c:v>
                </c:pt>
                <c:pt idx="1178">
                  <c:v>-0.03</c:v>
                </c:pt>
                <c:pt idx="1179">
                  <c:v>-0.03</c:v>
                </c:pt>
                <c:pt idx="1180">
                  <c:v>-0.03</c:v>
                </c:pt>
                <c:pt idx="1181">
                  <c:v>-0.03</c:v>
                </c:pt>
                <c:pt idx="1182">
                  <c:v>-0.03</c:v>
                </c:pt>
                <c:pt idx="1183">
                  <c:v>-0.03</c:v>
                </c:pt>
                <c:pt idx="1184">
                  <c:v>-0.03</c:v>
                </c:pt>
                <c:pt idx="1185">
                  <c:v>-0.03</c:v>
                </c:pt>
                <c:pt idx="1186">
                  <c:v>-0.03</c:v>
                </c:pt>
                <c:pt idx="1187">
                  <c:v>-0.03</c:v>
                </c:pt>
                <c:pt idx="1188">
                  <c:v>-0.03</c:v>
                </c:pt>
                <c:pt idx="1189">
                  <c:v>-0.03</c:v>
                </c:pt>
                <c:pt idx="1190">
                  <c:v>-0.03</c:v>
                </c:pt>
                <c:pt idx="1191">
                  <c:v>-0.03</c:v>
                </c:pt>
                <c:pt idx="1192">
                  <c:v>-0.03</c:v>
                </c:pt>
                <c:pt idx="1193">
                  <c:v>-0.03</c:v>
                </c:pt>
                <c:pt idx="1194">
                  <c:v>-0.03</c:v>
                </c:pt>
                <c:pt idx="1195">
                  <c:v>-0.03</c:v>
                </c:pt>
                <c:pt idx="1196">
                  <c:v>-0.03</c:v>
                </c:pt>
                <c:pt idx="1197">
                  <c:v>-0.03</c:v>
                </c:pt>
                <c:pt idx="1198">
                  <c:v>-0.03</c:v>
                </c:pt>
                <c:pt idx="1199">
                  <c:v>-0.03</c:v>
                </c:pt>
                <c:pt idx="1200">
                  <c:v>-0.03</c:v>
                </c:pt>
                <c:pt idx="1201">
                  <c:v>-0.03</c:v>
                </c:pt>
                <c:pt idx="1202">
                  <c:v>-0.03</c:v>
                </c:pt>
                <c:pt idx="1203">
                  <c:v>-0.03</c:v>
                </c:pt>
                <c:pt idx="1204">
                  <c:v>-0.03</c:v>
                </c:pt>
                <c:pt idx="1205">
                  <c:v>-0.03</c:v>
                </c:pt>
                <c:pt idx="1206">
                  <c:v>-0.03</c:v>
                </c:pt>
                <c:pt idx="1207">
                  <c:v>-0.03</c:v>
                </c:pt>
                <c:pt idx="1208">
                  <c:v>-0.03</c:v>
                </c:pt>
                <c:pt idx="1209">
                  <c:v>-0.03</c:v>
                </c:pt>
                <c:pt idx="1210">
                  <c:v>-0.03</c:v>
                </c:pt>
                <c:pt idx="1211">
                  <c:v>-0.03</c:v>
                </c:pt>
                <c:pt idx="1212">
                  <c:v>-0.03</c:v>
                </c:pt>
                <c:pt idx="1213">
                  <c:v>-0.03</c:v>
                </c:pt>
                <c:pt idx="1214">
                  <c:v>-0.03</c:v>
                </c:pt>
                <c:pt idx="1215">
                  <c:v>-0.03</c:v>
                </c:pt>
                <c:pt idx="1216">
                  <c:v>-0.03</c:v>
                </c:pt>
                <c:pt idx="1217">
                  <c:v>-0.03</c:v>
                </c:pt>
                <c:pt idx="1218">
                  <c:v>-0.03</c:v>
                </c:pt>
                <c:pt idx="1219">
                  <c:v>-0.03</c:v>
                </c:pt>
                <c:pt idx="1220">
                  <c:v>-0.03</c:v>
                </c:pt>
                <c:pt idx="1221">
                  <c:v>-0.03</c:v>
                </c:pt>
                <c:pt idx="1222">
                  <c:v>-0.03</c:v>
                </c:pt>
                <c:pt idx="1223">
                  <c:v>-0.03</c:v>
                </c:pt>
                <c:pt idx="1224">
                  <c:v>-0.03</c:v>
                </c:pt>
                <c:pt idx="1225">
                  <c:v>-0.03</c:v>
                </c:pt>
                <c:pt idx="1226">
                  <c:v>-0.03</c:v>
                </c:pt>
                <c:pt idx="1227">
                  <c:v>-0.03</c:v>
                </c:pt>
                <c:pt idx="1228">
                  <c:v>-0.03</c:v>
                </c:pt>
                <c:pt idx="1229">
                  <c:v>-0.03</c:v>
                </c:pt>
                <c:pt idx="1230">
                  <c:v>-0.03</c:v>
                </c:pt>
                <c:pt idx="1231">
                  <c:v>-0.03</c:v>
                </c:pt>
                <c:pt idx="1232">
                  <c:v>-0.03</c:v>
                </c:pt>
                <c:pt idx="1233">
                  <c:v>-0.03</c:v>
                </c:pt>
                <c:pt idx="1234">
                  <c:v>-0.03</c:v>
                </c:pt>
                <c:pt idx="1235">
                  <c:v>-0.03</c:v>
                </c:pt>
                <c:pt idx="1236">
                  <c:v>-0.03</c:v>
                </c:pt>
                <c:pt idx="1237">
                  <c:v>-0.03</c:v>
                </c:pt>
                <c:pt idx="1238">
                  <c:v>-0.03</c:v>
                </c:pt>
                <c:pt idx="1239">
                  <c:v>-0.03</c:v>
                </c:pt>
                <c:pt idx="1240">
                  <c:v>-0.03</c:v>
                </c:pt>
                <c:pt idx="1241">
                  <c:v>-0.03</c:v>
                </c:pt>
                <c:pt idx="1242">
                  <c:v>-0.03</c:v>
                </c:pt>
                <c:pt idx="1243">
                  <c:v>-0.03</c:v>
                </c:pt>
                <c:pt idx="1244">
                  <c:v>-0.03</c:v>
                </c:pt>
                <c:pt idx="1245">
                  <c:v>-0.03</c:v>
                </c:pt>
                <c:pt idx="1246">
                  <c:v>-0.03</c:v>
                </c:pt>
                <c:pt idx="1247">
                  <c:v>-0.03</c:v>
                </c:pt>
                <c:pt idx="1248">
                  <c:v>-0.03</c:v>
                </c:pt>
                <c:pt idx="1249">
                  <c:v>-0.03</c:v>
                </c:pt>
                <c:pt idx="1250">
                  <c:v>-0.03</c:v>
                </c:pt>
                <c:pt idx="1251">
                  <c:v>-0.03</c:v>
                </c:pt>
                <c:pt idx="1252">
                  <c:v>-0.03</c:v>
                </c:pt>
                <c:pt idx="1253">
                  <c:v>-0.03</c:v>
                </c:pt>
                <c:pt idx="1254">
                  <c:v>-0.03</c:v>
                </c:pt>
                <c:pt idx="1255">
                  <c:v>-0.03</c:v>
                </c:pt>
                <c:pt idx="1256">
                  <c:v>-0.03</c:v>
                </c:pt>
                <c:pt idx="1257">
                  <c:v>-0.03</c:v>
                </c:pt>
                <c:pt idx="1258">
                  <c:v>-0.03</c:v>
                </c:pt>
                <c:pt idx="1259">
                  <c:v>-0.03</c:v>
                </c:pt>
                <c:pt idx="1260">
                  <c:v>-0.03</c:v>
                </c:pt>
                <c:pt idx="1261">
                  <c:v>-0.03</c:v>
                </c:pt>
                <c:pt idx="1262">
                  <c:v>-0.03</c:v>
                </c:pt>
                <c:pt idx="1263">
                  <c:v>-0.03</c:v>
                </c:pt>
                <c:pt idx="1264">
                  <c:v>-0.03</c:v>
                </c:pt>
                <c:pt idx="1265">
                  <c:v>-0.03</c:v>
                </c:pt>
                <c:pt idx="1266">
                  <c:v>-0.03</c:v>
                </c:pt>
                <c:pt idx="1267">
                  <c:v>-0.03</c:v>
                </c:pt>
                <c:pt idx="1268">
                  <c:v>-0.03</c:v>
                </c:pt>
                <c:pt idx="1269">
                  <c:v>-0.03</c:v>
                </c:pt>
                <c:pt idx="1270">
                  <c:v>-0.03</c:v>
                </c:pt>
                <c:pt idx="1271">
                  <c:v>-0.03</c:v>
                </c:pt>
                <c:pt idx="1272">
                  <c:v>-0.03</c:v>
                </c:pt>
                <c:pt idx="1273">
                  <c:v>-0.03</c:v>
                </c:pt>
                <c:pt idx="1274">
                  <c:v>-0.03</c:v>
                </c:pt>
                <c:pt idx="1275">
                  <c:v>-0.03</c:v>
                </c:pt>
                <c:pt idx="1276">
                  <c:v>-0.03</c:v>
                </c:pt>
                <c:pt idx="1277">
                  <c:v>-0.03</c:v>
                </c:pt>
                <c:pt idx="1278">
                  <c:v>-0.03</c:v>
                </c:pt>
                <c:pt idx="1279">
                  <c:v>-0.03</c:v>
                </c:pt>
                <c:pt idx="1280">
                  <c:v>-0.03</c:v>
                </c:pt>
                <c:pt idx="1281">
                  <c:v>-0.03</c:v>
                </c:pt>
                <c:pt idx="1282">
                  <c:v>-0.03</c:v>
                </c:pt>
                <c:pt idx="1283">
                  <c:v>-0.03</c:v>
                </c:pt>
                <c:pt idx="1284">
                  <c:v>-0.03</c:v>
                </c:pt>
                <c:pt idx="1285">
                  <c:v>-0.03</c:v>
                </c:pt>
                <c:pt idx="1286">
                  <c:v>-0.03</c:v>
                </c:pt>
                <c:pt idx="1287">
                  <c:v>-0.03</c:v>
                </c:pt>
                <c:pt idx="1288">
                  <c:v>-0.03</c:v>
                </c:pt>
                <c:pt idx="1289">
                  <c:v>-0.03</c:v>
                </c:pt>
                <c:pt idx="1290">
                  <c:v>-0.03</c:v>
                </c:pt>
                <c:pt idx="1291">
                  <c:v>-0.03</c:v>
                </c:pt>
                <c:pt idx="1292">
                  <c:v>-0.03</c:v>
                </c:pt>
                <c:pt idx="1293">
                  <c:v>-0.03</c:v>
                </c:pt>
                <c:pt idx="1294">
                  <c:v>-0.03</c:v>
                </c:pt>
                <c:pt idx="1295">
                  <c:v>-0.03</c:v>
                </c:pt>
                <c:pt idx="1296">
                  <c:v>-0.03</c:v>
                </c:pt>
                <c:pt idx="1297">
                  <c:v>-0.03</c:v>
                </c:pt>
                <c:pt idx="1298">
                  <c:v>-0.03</c:v>
                </c:pt>
                <c:pt idx="1299">
                  <c:v>-0.03</c:v>
                </c:pt>
                <c:pt idx="1300">
                  <c:v>-0.03</c:v>
                </c:pt>
                <c:pt idx="1301">
                  <c:v>-0.03</c:v>
                </c:pt>
                <c:pt idx="1302">
                  <c:v>-0.03</c:v>
                </c:pt>
                <c:pt idx="1303">
                  <c:v>-0.03</c:v>
                </c:pt>
                <c:pt idx="1304">
                  <c:v>-0.03</c:v>
                </c:pt>
                <c:pt idx="1305">
                  <c:v>-0.03</c:v>
                </c:pt>
                <c:pt idx="1306">
                  <c:v>-0.03</c:v>
                </c:pt>
                <c:pt idx="1307">
                  <c:v>-0.03</c:v>
                </c:pt>
                <c:pt idx="1308">
                  <c:v>-0.03</c:v>
                </c:pt>
                <c:pt idx="1309">
                  <c:v>-0.03</c:v>
                </c:pt>
                <c:pt idx="1310">
                  <c:v>-0.03</c:v>
                </c:pt>
                <c:pt idx="1311">
                  <c:v>-0.03</c:v>
                </c:pt>
                <c:pt idx="1312">
                  <c:v>-0.03</c:v>
                </c:pt>
                <c:pt idx="1313">
                  <c:v>-0.03</c:v>
                </c:pt>
                <c:pt idx="1314">
                  <c:v>-0.03</c:v>
                </c:pt>
                <c:pt idx="1315">
                  <c:v>-0.03</c:v>
                </c:pt>
                <c:pt idx="1316">
                  <c:v>-0.03</c:v>
                </c:pt>
                <c:pt idx="1317">
                  <c:v>-0.03</c:v>
                </c:pt>
                <c:pt idx="1318">
                  <c:v>-0.03</c:v>
                </c:pt>
                <c:pt idx="1319">
                  <c:v>-0.03</c:v>
                </c:pt>
                <c:pt idx="1320">
                  <c:v>-0.03</c:v>
                </c:pt>
                <c:pt idx="1321">
                  <c:v>-0.03</c:v>
                </c:pt>
                <c:pt idx="1322">
                  <c:v>-0.03</c:v>
                </c:pt>
                <c:pt idx="1323">
                  <c:v>-0.03</c:v>
                </c:pt>
                <c:pt idx="1324">
                  <c:v>-0.03</c:v>
                </c:pt>
                <c:pt idx="1325">
                  <c:v>-0.03</c:v>
                </c:pt>
                <c:pt idx="1326">
                  <c:v>-0.03</c:v>
                </c:pt>
                <c:pt idx="1327">
                  <c:v>-0.03</c:v>
                </c:pt>
                <c:pt idx="1328">
                  <c:v>-0.03</c:v>
                </c:pt>
                <c:pt idx="1329">
                  <c:v>-0.03</c:v>
                </c:pt>
                <c:pt idx="1330">
                  <c:v>-0.03</c:v>
                </c:pt>
                <c:pt idx="1331">
                  <c:v>-0.03</c:v>
                </c:pt>
                <c:pt idx="1332">
                  <c:v>-0.03</c:v>
                </c:pt>
                <c:pt idx="1333">
                  <c:v>-0.03</c:v>
                </c:pt>
                <c:pt idx="1334">
                  <c:v>-0.03</c:v>
                </c:pt>
                <c:pt idx="1335">
                  <c:v>-0.03</c:v>
                </c:pt>
                <c:pt idx="1336">
                  <c:v>-0.03</c:v>
                </c:pt>
                <c:pt idx="1337">
                  <c:v>-0.03</c:v>
                </c:pt>
                <c:pt idx="1338">
                  <c:v>-0.03</c:v>
                </c:pt>
                <c:pt idx="1339">
                  <c:v>-0.03</c:v>
                </c:pt>
                <c:pt idx="1340">
                  <c:v>-0.03</c:v>
                </c:pt>
                <c:pt idx="1341">
                  <c:v>-0.03</c:v>
                </c:pt>
                <c:pt idx="1342">
                  <c:v>-0.03</c:v>
                </c:pt>
                <c:pt idx="1343">
                  <c:v>-0.03</c:v>
                </c:pt>
                <c:pt idx="1344">
                  <c:v>-0.03</c:v>
                </c:pt>
                <c:pt idx="1345">
                  <c:v>-0.03</c:v>
                </c:pt>
                <c:pt idx="1346">
                  <c:v>-0.03</c:v>
                </c:pt>
                <c:pt idx="1347">
                  <c:v>-0.03</c:v>
                </c:pt>
                <c:pt idx="1348">
                  <c:v>-0.03</c:v>
                </c:pt>
                <c:pt idx="1349">
                  <c:v>-0.03</c:v>
                </c:pt>
                <c:pt idx="1350">
                  <c:v>-0.02</c:v>
                </c:pt>
                <c:pt idx="1351">
                  <c:v>-0.03</c:v>
                </c:pt>
                <c:pt idx="1352">
                  <c:v>-0.02</c:v>
                </c:pt>
                <c:pt idx="1353">
                  <c:v>-0.02</c:v>
                </c:pt>
                <c:pt idx="1354">
                  <c:v>-0.02</c:v>
                </c:pt>
                <c:pt idx="1355">
                  <c:v>-0.02</c:v>
                </c:pt>
                <c:pt idx="1356">
                  <c:v>-0.02</c:v>
                </c:pt>
                <c:pt idx="1357">
                  <c:v>-0.02</c:v>
                </c:pt>
                <c:pt idx="1358">
                  <c:v>-0.02</c:v>
                </c:pt>
                <c:pt idx="1359">
                  <c:v>-0.02</c:v>
                </c:pt>
                <c:pt idx="1360">
                  <c:v>-0.02</c:v>
                </c:pt>
                <c:pt idx="1361">
                  <c:v>-0.02</c:v>
                </c:pt>
                <c:pt idx="1362">
                  <c:v>-0.02</c:v>
                </c:pt>
                <c:pt idx="1363">
                  <c:v>-0.02</c:v>
                </c:pt>
                <c:pt idx="1364">
                  <c:v>-0.02</c:v>
                </c:pt>
                <c:pt idx="1365">
                  <c:v>-0.02</c:v>
                </c:pt>
                <c:pt idx="1366">
                  <c:v>-0.02</c:v>
                </c:pt>
                <c:pt idx="1367">
                  <c:v>-0.02</c:v>
                </c:pt>
                <c:pt idx="1368">
                  <c:v>-0.02</c:v>
                </c:pt>
                <c:pt idx="1369">
                  <c:v>-0.02</c:v>
                </c:pt>
                <c:pt idx="1370">
                  <c:v>-0.02</c:v>
                </c:pt>
                <c:pt idx="1371">
                  <c:v>-0.02</c:v>
                </c:pt>
                <c:pt idx="1372">
                  <c:v>-0.03</c:v>
                </c:pt>
                <c:pt idx="1373">
                  <c:v>-0.03</c:v>
                </c:pt>
                <c:pt idx="1374">
                  <c:v>-0.03</c:v>
                </c:pt>
                <c:pt idx="1375">
                  <c:v>-0.03</c:v>
                </c:pt>
                <c:pt idx="1376">
                  <c:v>-0.03</c:v>
                </c:pt>
                <c:pt idx="1377">
                  <c:v>-0.03</c:v>
                </c:pt>
                <c:pt idx="1378">
                  <c:v>-0.03</c:v>
                </c:pt>
                <c:pt idx="1379">
                  <c:v>-0.03</c:v>
                </c:pt>
                <c:pt idx="1380">
                  <c:v>-0.03</c:v>
                </c:pt>
                <c:pt idx="1381">
                  <c:v>-0.03</c:v>
                </c:pt>
                <c:pt idx="1382">
                  <c:v>-0.03</c:v>
                </c:pt>
                <c:pt idx="1383">
                  <c:v>-0.03</c:v>
                </c:pt>
                <c:pt idx="1384">
                  <c:v>-0.03</c:v>
                </c:pt>
                <c:pt idx="1385">
                  <c:v>-0.03</c:v>
                </c:pt>
                <c:pt idx="1386">
                  <c:v>-0.03</c:v>
                </c:pt>
                <c:pt idx="1387">
                  <c:v>-0.03</c:v>
                </c:pt>
                <c:pt idx="1388">
                  <c:v>-0.03</c:v>
                </c:pt>
                <c:pt idx="1389">
                  <c:v>-0.03</c:v>
                </c:pt>
                <c:pt idx="1390">
                  <c:v>-0.03</c:v>
                </c:pt>
                <c:pt idx="1391">
                  <c:v>-0.03</c:v>
                </c:pt>
                <c:pt idx="1392">
                  <c:v>-0.03</c:v>
                </c:pt>
                <c:pt idx="1393">
                  <c:v>-0.03</c:v>
                </c:pt>
                <c:pt idx="1394">
                  <c:v>-0.03</c:v>
                </c:pt>
                <c:pt idx="1395">
                  <c:v>-0.04</c:v>
                </c:pt>
                <c:pt idx="1396">
                  <c:v>-0.04</c:v>
                </c:pt>
                <c:pt idx="1397">
                  <c:v>-0.04</c:v>
                </c:pt>
                <c:pt idx="1398">
                  <c:v>-0.04</c:v>
                </c:pt>
                <c:pt idx="1399">
                  <c:v>-0.05</c:v>
                </c:pt>
                <c:pt idx="1400">
                  <c:v>-0.04</c:v>
                </c:pt>
                <c:pt idx="1401">
                  <c:v>-0.02</c:v>
                </c:pt>
                <c:pt idx="1402">
                  <c:v>0.04</c:v>
                </c:pt>
                <c:pt idx="1403">
                  <c:v>0.03</c:v>
                </c:pt>
                <c:pt idx="1404">
                  <c:v>0.02</c:v>
                </c:pt>
                <c:pt idx="1405">
                  <c:v>0.01</c:v>
                </c:pt>
                <c:pt idx="1406">
                  <c:v>0.01</c:v>
                </c:pt>
                <c:pt idx="1407">
                  <c:v>0.01</c:v>
                </c:pt>
                <c:pt idx="1408">
                  <c:v>0.01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-0.01</c:v>
                </c:pt>
                <c:pt idx="1416">
                  <c:v>-0.01</c:v>
                </c:pt>
                <c:pt idx="1417">
                  <c:v>-0.01</c:v>
                </c:pt>
                <c:pt idx="1418">
                  <c:v>-0.01</c:v>
                </c:pt>
                <c:pt idx="1419">
                  <c:v>-0.01</c:v>
                </c:pt>
                <c:pt idx="1420">
                  <c:v>-0.01</c:v>
                </c:pt>
                <c:pt idx="1421">
                  <c:v>-0.01</c:v>
                </c:pt>
                <c:pt idx="1422">
                  <c:v>-0.01</c:v>
                </c:pt>
                <c:pt idx="1423">
                  <c:v>-0.01</c:v>
                </c:pt>
                <c:pt idx="1424">
                  <c:v>-0.01</c:v>
                </c:pt>
                <c:pt idx="1425">
                  <c:v>-0.01</c:v>
                </c:pt>
                <c:pt idx="1426">
                  <c:v>-0.02</c:v>
                </c:pt>
                <c:pt idx="1427">
                  <c:v>-0.02</c:v>
                </c:pt>
                <c:pt idx="1428">
                  <c:v>-0.02</c:v>
                </c:pt>
                <c:pt idx="1429">
                  <c:v>-0.02</c:v>
                </c:pt>
                <c:pt idx="1430">
                  <c:v>-0.02</c:v>
                </c:pt>
                <c:pt idx="1431">
                  <c:v>-0.02</c:v>
                </c:pt>
                <c:pt idx="1432">
                  <c:v>-0.02</c:v>
                </c:pt>
                <c:pt idx="1433">
                  <c:v>-0.02</c:v>
                </c:pt>
                <c:pt idx="1434">
                  <c:v>-0.02</c:v>
                </c:pt>
                <c:pt idx="1435">
                  <c:v>-0.02</c:v>
                </c:pt>
                <c:pt idx="1436">
                  <c:v>-0.02</c:v>
                </c:pt>
                <c:pt idx="1437">
                  <c:v>-0.02</c:v>
                </c:pt>
                <c:pt idx="1438">
                  <c:v>-0.02</c:v>
                </c:pt>
                <c:pt idx="1439">
                  <c:v>-0.02</c:v>
                </c:pt>
                <c:pt idx="1440">
                  <c:v>-0.02</c:v>
                </c:pt>
                <c:pt idx="1441">
                  <c:v>-0.02</c:v>
                </c:pt>
                <c:pt idx="1442">
                  <c:v>-0.02</c:v>
                </c:pt>
                <c:pt idx="1443">
                  <c:v>-0.02</c:v>
                </c:pt>
                <c:pt idx="1444">
                  <c:v>-0.02</c:v>
                </c:pt>
                <c:pt idx="1445">
                  <c:v>-0.02</c:v>
                </c:pt>
                <c:pt idx="1446">
                  <c:v>-0.02</c:v>
                </c:pt>
                <c:pt idx="1447">
                  <c:v>-0.02</c:v>
                </c:pt>
                <c:pt idx="1448">
                  <c:v>-0.02</c:v>
                </c:pt>
                <c:pt idx="1449">
                  <c:v>-0.02</c:v>
                </c:pt>
                <c:pt idx="1450">
                  <c:v>-0.02</c:v>
                </c:pt>
                <c:pt idx="1451">
                  <c:v>-0.02</c:v>
                </c:pt>
                <c:pt idx="1452">
                  <c:v>-0.02</c:v>
                </c:pt>
                <c:pt idx="1453">
                  <c:v>-0.02</c:v>
                </c:pt>
                <c:pt idx="1454">
                  <c:v>-0.02</c:v>
                </c:pt>
                <c:pt idx="1455">
                  <c:v>-0.02</c:v>
                </c:pt>
                <c:pt idx="1456">
                  <c:v>-0.02</c:v>
                </c:pt>
                <c:pt idx="1457">
                  <c:v>-0.02</c:v>
                </c:pt>
                <c:pt idx="1458">
                  <c:v>-0.02</c:v>
                </c:pt>
                <c:pt idx="1459">
                  <c:v>-0.02</c:v>
                </c:pt>
                <c:pt idx="1460">
                  <c:v>-0.02</c:v>
                </c:pt>
                <c:pt idx="1461">
                  <c:v>-0.02</c:v>
                </c:pt>
                <c:pt idx="1462">
                  <c:v>-0.02</c:v>
                </c:pt>
                <c:pt idx="1463">
                  <c:v>-0.02</c:v>
                </c:pt>
                <c:pt idx="1464">
                  <c:v>-0.02</c:v>
                </c:pt>
                <c:pt idx="1465">
                  <c:v>-0.02</c:v>
                </c:pt>
                <c:pt idx="1466">
                  <c:v>-0.02</c:v>
                </c:pt>
                <c:pt idx="1467">
                  <c:v>-0.02</c:v>
                </c:pt>
                <c:pt idx="1468">
                  <c:v>-0.02</c:v>
                </c:pt>
                <c:pt idx="1469">
                  <c:v>-0.02</c:v>
                </c:pt>
                <c:pt idx="1470">
                  <c:v>-0.02</c:v>
                </c:pt>
                <c:pt idx="1471">
                  <c:v>-0.02</c:v>
                </c:pt>
                <c:pt idx="1472">
                  <c:v>-0.02</c:v>
                </c:pt>
                <c:pt idx="1473">
                  <c:v>-0.02</c:v>
                </c:pt>
                <c:pt idx="1474">
                  <c:v>-0.02</c:v>
                </c:pt>
                <c:pt idx="1475">
                  <c:v>-0.02</c:v>
                </c:pt>
                <c:pt idx="1476">
                  <c:v>-0.02</c:v>
                </c:pt>
                <c:pt idx="1477">
                  <c:v>-0.02</c:v>
                </c:pt>
                <c:pt idx="1478">
                  <c:v>-0.02</c:v>
                </c:pt>
                <c:pt idx="1479">
                  <c:v>-0.02</c:v>
                </c:pt>
                <c:pt idx="1480">
                  <c:v>-0.02</c:v>
                </c:pt>
                <c:pt idx="1481">
                  <c:v>-0.02</c:v>
                </c:pt>
                <c:pt idx="1482">
                  <c:v>-0.02</c:v>
                </c:pt>
                <c:pt idx="1483">
                  <c:v>-0.02</c:v>
                </c:pt>
                <c:pt idx="1484">
                  <c:v>-0.02</c:v>
                </c:pt>
                <c:pt idx="1485">
                  <c:v>-0.02</c:v>
                </c:pt>
                <c:pt idx="1486">
                  <c:v>-0.02</c:v>
                </c:pt>
                <c:pt idx="1487">
                  <c:v>-0.02</c:v>
                </c:pt>
                <c:pt idx="1488">
                  <c:v>-0.02</c:v>
                </c:pt>
                <c:pt idx="1489">
                  <c:v>-0.02</c:v>
                </c:pt>
                <c:pt idx="1490">
                  <c:v>-0.02</c:v>
                </c:pt>
                <c:pt idx="1491">
                  <c:v>-0.02</c:v>
                </c:pt>
                <c:pt idx="1492">
                  <c:v>-0.03</c:v>
                </c:pt>
                <c:pt idx="1493">
                  <c:v>-0.02</c:v>
                </c:pt>
                <c:pt idx="1494">
                  <c:v>-0.03</c:v>
                </c:pt>
                <c:pt idx="1495">
                  <c:v>-0.03</c:v>
                </c:pt>
                <c:pt idx="1496">
                  <c:v>-0.03</c:v>
                </c:pt>
                <c:pt idx="1497">
                  <c:v>-0.03</c:v>
                </c:pt>
                <c:pt idx="1498">
                  <c:v>-0.03</c:v>
                </c:pt>
                <c:pt idx="1499">
                  <c:v>-0.03</c:v>
                </c:pt>
                <c:pt idx="1500">
                  <c:v>-0.03</c:v>
                </c:pt>
                <c:pt idx="1501">
                  <c:v>-0.03</c:v>
                </c:pt>
                <c:pt idx="1502">
                  <c:v>-0.03</c:v>
                </c:pt>
                <c:pt idx="1503">
                  <c:v>-0.03</c:v>
                </c:pt>
                <c:pt idx="1504">
                  <c:v>-0.03</c:v>
                </c:pt>
                <c:pt idx="1505">
                  <c:v>-0.03</c:v>
                </c:pt>
                <c:pt idx="1506">
                  <c:v>-0.03</c:v>
                </c:pt>
                <c:pt idx="1507">
                  <c:v>-0.03</c:v>
                </c:pt>
                <c:pt idx="1508">
                  <c:v>-0.03</c:v>
                </c:pt>
                <c:pt idx="1509">
                  <c:v>-0.03</c:v>
                </c:pt>
                <c:pt idx="1510">
                  <c:v>-0.03</c:v>
                </c:pt>
                <c:pt idx="1511">
                  <c:v>-0.03</c:v>
                </c:pt>
                <c:pt idx="1512">
                  <c:v>-0.03</c:v>
                </c:pt>
                <c:pt idx="1513">
                  <c:v>-0.03</c:v>
                </c:pt>
                <c:pt idx="1514">
                  <c:v>-0.03</c:v>
                </c:pt>
                <c:pt idx="1515">
                  <c:v>-0.03</c:v>
                </c:pt>
                <c:pt idx="1516">
                  <c:v>-0.03</c:v>
                </c:pt>
                <c:pt idx="1517">
                  <c:v>-0.03</c:v>
                </c:pt>
                <c:pt idx="1518">
                  <c:v>-0.03</c:v>
                </c:pt>
                <c:pt idx="1519">
                  <c:v>-0.03</c:v>
                </c:pt>
                <c:pt idx="1520">
                  <c:v>-0.03</c:v>
                </c:pt>
                <c:pt idx="1521">
                  <c:v>-0.03</c:v>
                </c:pt>
                <c:pt idx="1522">
                  <c:v>-0.03</c:v>
                </c:pt>
                <c:pt idx="1523">
                  <c:v>-0.03</c:v>
                </c:pt>
                <c:pt idx="1524">
                  <c:v>-0.03</c:v>
                </c:pt>
                <c:pt idx="1525">
                  <c:v>-0.03</c:v>
                </c:pt>
                <c:pt idx="1526">
                  <c:v>-0.03</c:v>
                </c:pt>
                <c:pt idx="1527">
                  <c:v>-0.03</c:v>
                </c:pt>
                <c:pt idx="1528">
                  <c:v>-0.03</c:v>
                </c:pt>
                <c:pt idx="1529">
                  <c:v>-0.03</c:v>
                </c:pt>
                <c:pt idx="1530">
                  <c:v>-0.03</c:v>
                </c:pt>
                <c:pt idx="1531">
                  <c:v>-0.03</c:v>
                </c:pt>
                <c:pt idx="1532">
                  <c:v>-0.03</c:v>
                </c:pt>
                <c:pt idx="1533">
                  <c:v>-0.03</c:v>
                </c:pt>
                <c:pt idx="1534">
                  <c:v>-0.03</c:v>
                </c:pt>
                <c:pt idx="1535">
                  <c:v>-0.03</c:v>
                </c:pt>
                <c:pt idx="1536">
                  <c:v>-0.03</c:v>
                </c:pt>
                <c:pt idx="1537">
                  <c:v>-0.03</c:v>
                </c:pt>
                <c:pt idx="1538">
                  <c:v>-0.03</c:v>
                </c:pt>
                <c:pt idx="1539">
                  <c:v>-0.03</c:v>
                </c:pt>
                <c:pt idx="1540">
                  <c:v>-0.03</c:v>
                </c:pt>
                <c:pt idx="1541">
                  <c:v>-0.03</c:v>
                </c:pt>
                <c:pt idx="1542">
                  <c:v>-0.03</c:v>
                </c:pt>
                <c:pt idx="1543">
                  <c:v>-0.03</c:v>
                </c:pt>
                <c:pt idx="1544">
                  <c:v>-0.03</c:v>
                </c:pt>
                <c:pt idx="1545">
                  <c:v>-0.03</c:v>
                </c:pt>
                <c:pt idx="1546">
                  <c:v>-0.03</c:v>
                </c:pt>
                <c:pt idx="1547">
                  <c:v>-0.03</c:v>
                </c:pt>
                <c:pt idx="1548">
                  <c:v>-0.03</c:v>
                </c:pt>
                <c:pt idx="1549">
                  <c:v>-0.03</c:v>
                </c:pt>
                <c:pt idx="1550">
                  <c:v>-0.03</c:v>
                </c:pt>
                <c:pt idx="1551">
                  <c:v>-0.03</c:v>
                </c:pt>
                <c:pt idx="1552">
                  <c:v>-0.03</c:v>
                </c:pt>
                <c:pt idx="1553">
                  <c:v>-0.03</c:v>
                </c:pt>
                <c:pt idx="1554">
                  <c:v>-0.03</c:v>
                </c:pt>
                <c:pt idx="1555">
                  <c:v>-0.03</c:v>
                </c:pt>
                <c:pt idx="1556">
                  <c:v>-0.03</c:v>
                </c:pt>
                <c:pt idx="1557">
                  <c:v>-0.03</c:v>
                </c:pt>
                <c:pt idx="1558">
                  <c:v>-0.03</c:v>
                </c:pt>
                <c:pt idx="1559">
                  <c:v>-0.03</c:v>
                </c:pt>
                <c:pt idx="1560">
                  <c:v>-0.03</c:v>
                </c:pt>
                <c:pt idx="1561">
                  <c:v>-0.03</c:v>
                </c:pt>
                <c:pt idx="1562">
                  <c:v>-0.03</c:v>
                </c:pt>
                <c:pt idx="1563">
                  <c:v>-0.03</c:v>
                </c:pt>
                <c:pt idx="1564">
                  <c:v>-0.03</c:v>
                </c:pt>
                <c:pt idx="1565">
                  <c:v>-0.03</c:v>
                </c:pt>
                <c:pt idx="1566">
                  <c:v>-0.03</c:v>
                </c:pt>
                <c:pt idx="1567">
                  <c:v>-0.03</c:v>
                </c:pt>
                <c:pt idx="1568">
                  <c:v>-0.03</c:v>
                </c:pt>
                <c:pt idx="1569">
                  <c:v>-0.03</c:v>
                </c:pt>
                <c:pt idx="1570">
                  <c:v>-0.03</c:v>
                </c:pt>
                <c:pt idx="1571">
                  <c:v>-0.03</c:v>
                </c:pt>
                <c:pt idx="1572">
                  <c:v>-0.03</c:v>
                </c:pt>
                <c:pt idx="1573">
                  <c:v>-0.03</c:v>
                </c:pt>
                <c:pt idx="1574">
                  <c:v>-0.03</c:v>
                </c:pt>
                <c:pt idx="1575">
                  <c:v>-0.03</c:v>
                </c:pt>
                <c:pt idx="1576">
                  <c:v>-0.03</c:v>
                </c:pt>
                <c:pt idx="1577">
                  <c:v>-0.03</c:v>
                </c:pt>
                <c:pt idx="1578">
                  <c:v>-0.03</c:v>
                </c:pt>
                <c:pt idx="1579">
                  <c:v>-0.03</c:v>
                </c:pt>
                <c:pt idx="1580">
                  <c:v>-0.03</c:v>
                </c:pt>
                <c:pt idx="1581">
                  <c:v>-0.03</c:v>
                </c:pt>
                <c:pt idx="1582">
                  <c:v>-0.03</c:v>
                </c:pt>
                <c:pt idx="1583">
                  <c:v>-0.03</c:v>
                </c:pt>
                <c:pt idx="1584">
                  <c:v>-0.03</c:v>
                </c:pt>
                <c:pt idx="1585">
                  <c:v>-0.03</c:v>
                </c:pt>
                <c:pt idx="1586">
                  <c:v>-0.03</c:v>
                </c:pt>
                <c:pt idx="1587">
                  <c:v>-0.03</c:v>
                </c:pt>
                <c:pt idx="1588">
                  <c:v>-0.03</c:v>
                </c:pt>
                <c:pt idx="1589">
                  <c:v>-0.03</c:v>
                </c:pt>
                <c:pt idx="1590">
                  <c:v>-0.03</c:v>
                </c:pt>
                <c:pt idx="1591">
                  <c:v>-0.03</c:v>
                </c:pt>
                <c:pt idx="1592">
                  <c:v>-0.03</c:v>
                </c:pt>
                <c:pt idx="1593">
                  <c:v>-0.03</c:v>
                </c:pt>
                <c:pt idx="1594">
                  <c:v>-0.03</c:v>
                </c:pt>
                <c:pt idx="1595">
                  <c:v>-0.03</c:v>
                </c:pt>
                <c:pt idx="1596">
                  <c:v>-0.03</c:v>
                </c:pt>
                <c:pt idx="1597">
                  <c:v>-0.03</c:v>
                </c:pt>
                <c:pt idx="1598">
                  <c:v>-0.03</c:v>
                </c:pt>
                <c:pt idx="1599">
                  <c:v>-0.03</c:v>
                </c:pt>
                <c:pt idx="1600">
                  <c:v>-0.03</c:v>
                </c:pt>
                <c:pt idx="1601">
                  <c:v>-0.03</c:v>
                </c:pt>
                <c:pt idx="1602">
                  <c:v>-0.03</c:v>
                </c:pt>
                <c:pt idx="1603">
                  <c:v>-0.03</c:v>
                </c:pt>
                <c:pt idx="1604">
                  <c:v>-0.03</c:v>
                </c:pt>
                <c:pt idx="1605">
                  <c:v>-0.03</c:v>
                </c:pt>
                <c:pt idx="1606">
                  <c:v>-0.03</c:v>
                </c:pt>
                <c:pt idx="1607">
                  <c:v>-0.03</c:v>
                </c:pt>
                <c:pt idx="1608">
                  <c:v>-0.03</c:v>
                </c:pt>
                <c:pt idx="1609">
                  <c:v>-0.03</c:v>
                </c:pt>
                <c:pt idx="1610">
                  <c:v>-0.03</c:v>
                </c:pt>
                <c:pt idx="1611">
                  <c:v>-0.03</c:v>
                </c:pt>
                <c:pt idx="1612">
                  <c:v>-0.03</c:v>
                </c:pt>
                <c:pt idx="1613">
                  <c:v>-0.03</c:v>
                </c:pt>
                <c:pt idx="1614">
                  <c:v>-0.03</c:v>
                </c:pt>
                <c:pt idx="1615">
                  <c:v>-0.03</c:v>
                </c:pt>
                <c:pt idx="1616">
                  <c:v>-0.03</c:v>
                </c:pt>
                <c:pt idx="1617">
                  <c:v>-0.03</c:v>
                </c:pt>
                <c:pt idx="1618">
                  <c:v>-0.03</c:v>
                </c:pt>
                <c:pt idx="1619">
                  <c:v>-0.03</c:v>
                </c:pt>
                <c:pt idx="1620">
                  <c:v>-0.03</c:v>
                </c:pt>
                <c:pt idx="1621">
                  <c:v>-0.03</c:v>
                </c:pt>
                <c:pt idx="1622">
                  <c:v>-0.03</c:v>
                </c:pt>
                <c:pt idx="1623">
                  <c:v>-0.03</c:v>
                </c:pt>
                <c:pt idx="1624">
                  <c:v>-0.03</c:v>
                </c:pt>
                <c:pt idx="1625">
                  <c:v>-0.03</c:v>
                </c:pt>
                <c:pt idx="1626">
                  <c:v>-0.03</c:v>
                </c:pt>
                <c:pt idx="1627">
                  <c:v>-0.03</c:v>
                </c:pt>
                <c:pt idx="1628">
                  <c:v>-0.03</c:v>
                </c:pt>
                <c:pt idx="1629">
                  <c:v>-0.03</c:v>
                </c:pt>
                <c:pt idx="1630">
                  <c:v>-0.03</c:v>
                </c:pt>
                <c:pt idx="1631">
                  <c:v>-0.03</c:v>
                </c:pt>
                <c:pt idx="1632">
                  <c:v>-0.03</c:v>
                </c:pt>
                <c:pt idx="1633">
                  <c:v>-0.03</c:v>
                </c:pt>
                <c:pt idx="1634">
                  <c:v>-0.03</c:v>
                </c:pt>
                <c:pt idx="1635">
                  <c:v>-0.03</c:v>
                </c:pt>
                <c:pt idx="1636">
                  <c:v>-0.03</c:v>
                </c:pt>
                <c:pt idx="1637">
                  <c:v>-0.03</c:v>
                </c:pt>
                <c:pt idx="1638">
                  <c:v>-0.03</c:v>
                </c:pt>
                <c:pt idx="1639">
                  <c:v>-0.03</c:v>
                </c:pt>
                <c:pt idx="1640">
                  <c:v>-0.03</c:v>
                </c:pt>
                <c:pt idx="1641">
                  <c:v>-0.03</c:v>
                </c:pt>
                <c:pt idx="1642">
                  <c:v>-0.03</c:v>
                </c:pt>
                <c:pt idx="1643">
                  <c:v>-0.03</c:v>
                </c:pt>
                <c:pt idx="1644">
                  <c:v>-0.03</c:v>
                </c:pt>
                <c:pt idx="1645">
                  <c:v>-0.03</c:v>
                </c:pt>
                <c:pt idx="1646">
                  <c:v>-0.03</c:v>
                </c:pt>
                <c:pt idx="1647">
                  <c:v>-0.03</c:v>
                </c:pt>
                <c:pt idx="1648">
                  <c:v>-0.03</c:v>
                </c:pt>
                <c:pt idx="1649">
                  <c:v>-0.03</c:v>
                </c:pt>
                <c:pt idx="1650">
                  <c:v>-0.03</c:v>
                </c:pt>
                <c:pt idx="1651">
                  <c:v>-0.03</c:v>
                </c:pt>
                <c:pt idx="1652">
                  <c:v>-0.03</c:v>
                </c:pt>
                <c:pt idx="1653">
                  <c:v>-0.03</c:v>
                </c:pt>
                <c:pt idx="1654">
                  <c:v>-0.03</c:v>
                </c:pt>
                <c:pt idx="1655">
                  <c:v>-0.03</c:v>
                </c:pt>
                <c:pt idx="1656">
                  <c:v>-0.03</c:v>
                </c:pt>
                <c:pt idx="1657">
                  <c:v>-0.03</c:v>
                </c:pt>
                <c:pt idx="1658">
                  <c:v>-0.03</c:v>
                </c:pt>
                <c:pt idx="1659">
                  <c:v>-0.03</c:v>
                </c:pt>
                <c:pt idx="1660">
                  <c:v>-0.03</c:v>
                </c:pt>
                <c:pt idx="1661">
                  <c:v>-0.03</c:v>
                </c:pt>
                <c:pt idx="1662">
                  <c:v>-0.03</c:v>
                </c:pt>
                <c:pt idx="1663">
                  <c:v>-0.03</c:v>
                </c:pt>
                <c:pt idx="1664">
                  <c:v>-0.03</c:v>
                </c:pt>
                <c:pt idx="1665">
                  <c:v>-0.03</c:v>
                </c:pt>
                <c:pt idx="1666">
                  <c:v>-0.03</c:v>
                </c:pt>
                <c:pt idx="1667">
                  <c:v>-0.03</c:v>
                </c:pt>
                <c:pt idx="1668">
                  <c:v>-0.03</c:v>
                </c:pt>
                <c:pt idx="1669">
                  <c:v>-0.03</c:v>
                </c:pt>
                <c:pt idx="1670">
                  <c:v>-0.03</c:v>
                </c:pt>
                <c:pt idx="1671">
                  <c:v>-0.03</c:v>
                </c:pt>
                <c:pt idx="1672">
                  <c:v>-0.03</c:v>
                </c:pt>
                <c:pt idx="1673">
                  <c:v>-0.03</c:v>
                </c:pt>
                <c:pt idx="1674">
                  <c:v>-0.03</c:v>
                </c:pt>
                <c:pt idx="1675">
                  <c:v>-0.03</c:v>
                </c:pt>
                <c:pt idx="1676">
                  <c:v>-0.03</c:v>
                </c:pt>
                <c:pt idx="1677">
                  <c:v>-0.03</c:v>
                </c:pt>
                <c:pt idx="1678">
                  <c:v>-0.03</c:v>
                </c:pt>
                <c:pt idx="1679">
                  <c:v>-0.03</c:v>
                </c:pt>
                <c:pt idx="1680">
                  <c:v>-0.03</c:v>
                </c:pt>
                <c:pt idx="1681">
                  <c:v>-0.03</c:v>
                </c:pt>
                <c:pt idx="1682">
                  <c:v>-0.03</c:v>
                </c:pt>
                <c:pt idx="1683">
                  <c:v>-0.03</c:v>
                </c:pt>
                <c:pt idx="1684">
                  <c:v>-0.03</c:v>
                </c:pt>
                <c:pt idx="1685">
                  <c:v>-0.03</c:v>
                </c:pt>
                <c:pt idx="1686">
                  <c:v>-0.03</c:v>
                </c:pt>
                <c:pt idx="1687">
                  <c:v>-0.03</c:v>
                </c:pt>
                <c:pt idx="1688">
                  <c:v>-0.03</c:v>
                </c:pt>
                <c:pt idx="1689">
                  <c:v>-0.03</c:v>
                </c:pt>
                <c:pt idx="1690">
                  <c:v>-0.03</c:v>
                </c:pt>
                <c:pt idx="1691">
                  <c:v>-0.03</c:v>
                </c:pt>
                <c:pt idx="1692">
                  <c:v>-0.03</c:v>
                </c:pt>
                <c:pt idx="1693">
                  <c:v>-0.03</c:v>
                </c:pt>
                <c:pt idx="1694">
                  <c:v>-0.03</c:v>
                </c:pt>
                <c:pt idx="1695">
                  <c:v>-0.03</c:v>
                </c:pt>
                <c:pt idx="1696">
                  <c:v>-0.03</c:v>
                </c:pt>
                <c:pt idx="1697">
                  <c:v>-0.03</c:v>
                </c:pt>
                <c:pt idx="1698">
                  <c:v>-0.03</c:v>
                </c:pt>
                <c:pt idx="1699">
                  <c:v>-0.03</c:v>
                </c:pt>
                <c:pt idx="1700">
                  <c:v>-0.03</c:v>
                </c:pt>
                <c:pt idx="1701">
                  <c:v>-0.03</c:v>
                </c:pt>
                <c:pt idx="1702">
                  <c:v>-0.03</c:v>
                </c:pt>
                <c:pt idx="1703">
                  <c:v>-0.03</c:v>
                </c:pt>
                <c:pt idx="1704">
                  <c:v>-0.03</c:v>
                </c:pt>
                <c:pt idx="1705">
                  <c:v>-0.03</c:v>
                </c:pt>
                <c:pt idx="1706">
                  <c:v>-0.03</c:v>
                </c:pt>
                <c:pt idx="1707">
                  <c:v>-0.03</c:v>
                </c:pt>
                <c:pt idx="1708">
                  <c:v>-0.03</c:v>
                </c:pt>
                <c:pt idx="1709">
                  <c:v>-0.03</c:v>
                </c:pt>
                <c:pt idx="1710">
                  <c:v>-0.03</c:v>
                </c:pt>
                <c:pt idx="1711">
                  <c:v>-0.03</c:v>
                </c:pt>
                <c:pt idx="1712">
                  <c:v>-0.03</c:v>
                </c:pt>
                <c:pt idx="1713">
                  <c:v>-0.03</c:v>
                </c:pt>
                <c:pt idx="1714">
                  <c:v>-0.03</c:v>
                </c:pt>
                <c:pt idx="1715">
                  <c:v>-0.03</c:v>
                </c:pt>
                <c:pt idx="1716">
                  <c:v>-0.03</c:v>
                </c:pt>
                <c:pt idx="1717">
                  <c:v>-0.03</c:v>
                </c:pt>
                <c:pt idx="1718">
                  <c:v>-0.03</c:v>
                </c:pt>
                <c:pt idx="1719">
                  <c:v>-0.03</c:v>
                </c:pt>
                <c:pt idx="1720">
                  <c:v>-0.03</c:v>
                </c:pt>
                <c:pt idx="1721">
                  <c:v>-0.03</c:v>
                </c:pt>
                <c:pt idx="1722">
                  <c:v>-0.03</c:v>
                </c:pt>
                <c:pt idx="1723">
                  <c:v>-0.03</c:v>
                </c:pt>
                <c:pt idx="1724">
                  <c:v>-0.03</c:v>
                </c:pt>
                <c:pt idx="1725">
                  <c:v>-0.03</c:v>
                </c:pt>
                <c:pt idx="1726">
                  <c:v>-0.03</c:v>
                </c:pt>
                <c:pt idx="1727">
                  <c:v>-0.03</c:v>
                </c:pt>
                <c:pt idx="1728">
                  <c:v>-0.03</c:v>
                </c:pt>
                <c:pt idx="1729">
                  <c:v>-0.03</c:v>
                </c:pt>
                <c:pt idx="1730">
                  <c:v>-0.03</c:v>
                </c:pt>
                <c:pt idx="1731">
                  <c:v>-0.03</c:v>
                </c:pt>
                <c:pt idx="1732">
                  <c:v>-0.03</c:v>
                </c:pt>
                <c:pt idx="1733">
                  <c:v>-0.03</c:v>
                </c:pt>
                <c:pt idx="1734">
                  <c:v>-0.03</c:v>
                </c:pt>
                <c:pt idx="1735">
                  <c:v>-0.03</c:v>
                </c:pt>
                <c:pt idx="1736">
                  <c:v>-0.03</c:v>
                </c:pt>
                <c:pt idx="1737">
                  <c:v>-0.03</c:v>
                </c:pt>
                <c:pt idx="1738">
                  <c:v>-0.03</c:v>
                </c:pt>
                <c:pt idx="1739">
                  <c:v>-0.03</c:v>
                </c:pt>
                <c:pt idx="1740">
                  <c:v>-0.03</c:v>
                </c:pt>
                <c:pt idx="1741">
                  <c:v>-0.03</c:v>
                </c:pt>
                <c:pt idx="1742">
                  <c:v>-0.03</c:v>
                </c:pt>
                <c:pt idx="1743">
                  <c:v>-0.03</c:v>
                </c:pt>
                <c:pt idx="1744">
                  <c:v>-0.03</c:v>
                </c:pt>
                <c:pt idx="1745">
                  <c:v>-0.03</c:v>
                </c:pt>
                <c:pt idx="1746">
                  <c:v>-0.03</c:v>
                </c:pt>
                <c:pt idx="1747">
                  <c:v>-0.03</c:v>
                </c:pt>
                <c:pt idx="1748">
                  <c:v>-0.03</c:v>
                </c:pt>
                <c:pt idx="1749">
                  <c:v>-0.03</c:v>
                </c:pt>
                <c:pt idx="1750">
                  <c:v>-0.03</c:v>
                </c:pt>
                <c:pt idx="1751">
                  <c:v>-0.03</c:v>
                </c:pt>
                <c:pt idx="1752">
                  <c:v>-0.03</c:v>
                </c:pt>
                <c:pt idx="1753">
                  <c:v>-0.03</c:v>
                </c:pt>
                <c:pt idx="1754">
                  <c:v>-0.03</c:v>
                </c:pt>
                <c:pt idx="1755">
                  <c:v>-0.03</c:v>
                </c:pt>
                <c:pt idx="1756">
                  <c:v>-0.03</c:v>
                </c:pt>
                <c:pt idx="1757">
                  <c:v>-0.03</c:v>
                </c:pt>
                <c:pt idx="1758">
                  <c:v>-0.03</c:v>
                </c:pt>
                <c:pt idx="1759">
                  <c:v>-0.03</c:v>
                </c:pt>
                <c:pt idx="1760">
                  <c:v>-0.03</c:v>
                </c:pt>
                <c:pt idx="1761">
                  <c:v>-0.03</c:v>
                </c:pt>
                <c:pt idx="1762">
                  <c:v>-0.03</c:v>
                </c:pt>
                <c:pt idx="1763">
                  <c:v>-0.03</c:v>
                </c:pt>
                <c:pt idx="1764">
                  <c:v>-0.03</c:v>
                </c:pt>
                <c:pt idx="1765">
                  <c:v>-0.03</c:v>
                </c:pt>
                <c:pt idx="1766">
                  <c:v>-0.03</c:v>
                </c:pt>
                <c:pt idx="1767">
                  <c:v>-0.03</c:v>
                </c:pt>
                <c:pt idx="1768">
                  <c:v>-0.03</c:v>
                </c:pt>
                <c:pt idx="1769">
                  <c:v>-0.03</c:v>
                </c:pt>
                <c:pt idx="1770">
                  <c:v>-0.03</c:v>
                </c:pt>
                <c:pt idx="1771">
                  <c:v>-0.03</c:v>
                </c:pt>
                <c:pt idx="1772">
                  <c:v>-0.03</c:v>
                </c:pt>
                <c:pt idx="1773">
                  <c:v>-0.03</c:v>
                </c:pt>
                <c:pt idx="1774">
                  <c:v>-0.03</c:v>
                </c:pt>
                <c:pt idx="1775">
                  <c:v>-0.03</c:v>
                </c:pt>
                <c:pt idx="1776">
                  <c:v>-0.03</c:v>
                </c:pt>
                <c:pt idx="1777">
                  <c:v>-0.03</c:v>
                </c:pt>
                <c:pt idx="1778">
                  <c:v>-0.03</c:v>
                </c:pt>
                <c:pt idx="1779">
                  <c:v>-0.03</c:v>
                </c:pt>
                <c:pt idx="1780">
                  <c:v>-0.03</c:v>
                </c:pt>
                <c:pt idx="1781">
                  <c:v>-0.03</c:v>
                </c:pt>
                <c:pt idx="1782">
                  <c:v>-0.03</c:v>
                </c:pt>
                <c:pt idx="1783">
                  <c:v>-0.03</c:v>
                </c:pt>
                <c:pt idx="1784">
                  <c:v>-0.03</c:v>
                </c:pt>
                <c:pt idx="1785">
                  <c:v>-0.03</c:v>
                </c:pt>
                <c:pt idx="1786">
                  <c:v>-0.03</c:v>
                </c:pt>
                <c:pt idx="1787">
                  <c:v>-0.03</c:v>
                </c:pt>
                <c:pt idx="1788">
                  <c:v>-0.03</c:v>
                </c:pt>
                <c:pt idx="1789">
                  <c:v>-0.03</c:v>
                </c:pt>
                <c:pt idx="1790">
                  <c:v>-0.03</c:v>
                </c:pt>
                <c:pt idx="1791">
                  <c:v>-0.03</c:v>
                </c:pt>
                <c:pt idx="1792">
                  <c:v>-0.03</c:v>
                </c:pt>
                <c:pt idx="1793">
                  <c:v>-0.03</c:v>
                </c:pt>
                <c:pt idx="1794">
                  <c:v>-0.03</c:v>
                </c:pt>
                <c:pt idx="1795">
                  <c:v>-0.03</c:v>
                </c:pt>
                <c:pt idx="1796">
                  <c:v>-0.03</c:v>
                </c:pt>
                <c:pt idx="1797">
                  <c:v>-0.03</c:v>
                </c:pt>
                <c:pt idx="1798">
                  <c:v>-0.03</c:v>
                </c:pt>
                <c:pt idx="1799">
                  <c:v>-0.03</c:v>
                </c:pt>
                <c:pt idx="1800">
                  <c:v>-0.03</c:v>
                </c:pt>
                <c:pt idx="1801">
                  <c:v>-0.03</c:v>
                </c:pt>
                <c:pt idx="1802">
                  <c:v>-0.03</c:v>
                </c:pt>
                <c:pt idx="1803">
                  <c:v>-0.03</c:v>
                </c:pt>
                <c:pt idx="1804">
                  <c:v>-0.03</c:v>
                </c:pt>
                <c:pt idx="1805">
                  <c:v>-0.03</c:v>
                </c:pt>
                <c:pt idx="1806">
                  <c:v>-0.03</c:v>
                </c:pt>
                <c:pt idx="1807">
                  <c:v>-0.03</c:v>
                </c:pt>
                <c:pt idx="1808">
                  <c:v>-0.03</c:v>
                </c:pt>
                <c:pt idx="1809">
                  <c:v>-0.03</c:v>
                </c:pt>
                <c:pt idx="1810">
                  <c:v>-0.03</c:v>
                </c:pt>
                <c:pt idx="1811">
                  <c:v>-0.03</c:v>
                </c:pt>
                <c:pt idx="1812">
                  <c:v>-0.03</c:v>
                </c:pt>
                <c:pt idx="1813">
                  <c:v>-0.03</c:v>
                </c:pt>
                <c:pt idx="1814">
                  <c:v>-0.03</c:v>
                </c:pt>
                <c:pt idx="1815">
                  <c:v>-0.03</c:v>
                </c:pt>
                <c:pt idx="1816">
                  <c:v>-0.03</c:v>
                </c:pt>
                <c:pt idx="1817">
                  <c:v>-0.03</c:v>
                </c:pt>
                <c:pt idx="1818">
                  <c:v>-0.03</c:v>
                </c:pt>
                <c:pt idx="1819">
                  <c:v>-0.03</c:v>
                </c:pt>
                <c:pt idx="1820">
                  <c:v>-0.03</c:v>
                </c:pt>
                <c:pt idx="1821">
                  <c:v>-0.03</c:v>
                </c:pt>
                <c:pt idx="1822">
                  <c:v>-0.03</c:v>
                </c:pt>
                <c:pt idx="1823">
                  <c:v>-0.03</c:v>
                </c:pt>
                <c:pt idx="1824">
                  <c:v>-0.03</c:v>
                </c:pt>
                <c:pt idx="1825">
                  <c:v>-0.03</c:v>
                </c:pt>
                <c:pt idx="1826">
                  <c:v>-0.03</c:v>
                </c:pt>
                <c:pt idx="1827">
                  <c:v>-0.03</c:v>
                </c:pt>
                <c:pt idx="1828">
                  <c:v>-0.03</c:v>
                </c:pt>
                <c:pt idx="1829">
                  <c:v>-0.03</c:v>
                </c:pt>
                <c:pt idx="1830">
                  <c:v>-0.03</c:v>
                </c:pt>
                <c:pt idx="1831">
                  <c:v>-0.03</c:v>
                </c:pt>
                <c:pt idx="1832">
                  <c:v>-0.03</c:v>
                </c:pt>
                <c:pt idx="1833">
                  <c:v>-0.03</c:v>
                </c:pt>
                <c:pt idx="1834">
                  <c:v>-0.03</c:v>
                </c:pt>
                <c:pt idx="1835">
                  <c:v>-0.03</c:v>
                </c:pt>
                <c:pt idx="1836">
                  <c:v>-0.03</c:v>
                </c:pt>
                <c:pt idx="1837">
                  <c:v>-0.03</c:v>
                </c:pt>
                <c:pt idx="1838">
                  <c:v>-0.03</c:v>
                </c:pt>
                <c:pt idx="1839">
                  <c:v>-0.03</c:v>
                </c:pt>
                <c:pt idx="1840">
                  <c:v>-0.03</c:v>
                </c:pt>
                <c:pt idx="1841">
                  <c:v>-0.03</c:v>
                </c:pt>
                <c:pt idx="1842">
                  <c:v>-0.03</c:v>
                </c:pt>
                <c:pt idx="1843">
                  <c:v>-0.03</c:v>
                </c:pt>
                <c:pt idx="1844">
                  <c:v>-0.03</c:v>
                </c:pt>
                <c:pt idx="1845">
                  <c:v>-0.03</c:v>
                </c:pt>
                <c:pt idx="1846">
                  <c:v>-0.03</c:v>
                </c:pt>
                <c:pt idx="1847">
                  <c:v>-0.03</c:v>
                </c:pt>
                <c:pt idx="1848">
                  <c:v>-0.03</c:v>
                </c:pt>
                <c:pt idx="1849">
                  <c:v>-0.03</c:v>
                </c:pt>
                <c:pt idx="1850">
                  <c:v>-0.03</c:v>
                </c:pt>
                <c:pt idx="1851">
                  <c:v>-0.03</c:v>
                </c:pt>
                <c:pt idx="1852">
                  <c:v>-0.03</c:v>
                </c:pt>
                <c:pt idx="1853">
                  <c:v>-0.03</c:v>
                </c:pt>
                <c:pt idx="1854">
                  <c:v>-0.03</c:v>
                </c:pt>
                <c:pt idx="1855">
                  <c:v>-0.03</c:v>
                </c:pt>
                <c:pt idx="1856">
                  <c:v>-0.03</c:v>
                </c:pt>
                <c:pt idx="1857">
                  <c:v>-0.03</c:v>
                </c:pt>
                <c:pt idx="1858">
                  <c:v>-0.03</c:v>
                </c:pt>
                <c:pt idx="1859">
                  <c:v>-0.03</c:v>
                </c:pt>
                <c:pt idx="1860">
                  <c:v>-0.03</c:v>
                </c:pt>
                <c:pt idx="1861">
                  <c:v>-0.03</c:v>
                </c:pt>
                <c:pt idx="1862">
                  <c:v>-0.03</c:v>
                </c:pt>
                <c:pt idx="1863">
                  <c:v>-0.03</c:v>
                </c:pt>
                <c:pt idx="1864">
                  <c:v>-0.03</c:v>
                </c:pt>
                <c:pt idx="1865">
                  <c:v>-0.03</c:v>
                </c:pt>
                <c:pt idx="1866">
                  <c:v>-0.03</c:v>
                </c:pt>
                <c:pt idx="1867">
                  <c:v>-0.03</c:v>
                </c:pt>
                <c:pt idx="1868">
                  <c:v>-0.03</c:v>
                </c:pt>
                <c:pt idx="1869">
                  <c:v>-0.03</c:v>
                </c:pt>
                <c:pt idx="1870">
                  <c:v>-0.03</c:v>
                </c:pt>
                <c:pt idx="1871">
                  <c:v>-0.03</c:v>
                </c:pt>
                <c:pt idx="1872">
                  <c:v>-0.03</c:v>
                </c:pt>
                <c:pt idx="1873">
                  <c:v>-0.03</c:v>
                </c:pt>
                <c:pt idx="1874">
                  <c:v>-0.02</c:v>
                </c:pt>
                <c:pt idx="1875">
                  <c:v>-0.02</c:v>
                </c:pt>
                <c:pt idx="1876">
                  <c:v>-0.02</c:v>
                </c:pt>
                <c:pt idx="1877">
                  <c:v>-0.03</c:v>
                </c:pt>
                <c:pt idx="1878">
                  <c:v>-0.03</c:v>
                </c:pt>
                <c:pt idx="1879">
                  <c:v>-0.03</c:v>
                </c:pt>
                <c:pt idx="1880">
                  <c:v>-0.02</c:v>
                </c:pt>
                <c:pt idx="1881">
                  <c:v>-0.03</c:v>
                </c:pt>
                <c:pt idx="1882">
                  <c:v>-0.02</c:v>
                </c:pt>
                <c:pt idx="1883">
                  <c:v>-0.02</c:v>
                </c:pt>
                <c:pt idx="1884">
                  <c:v>-0.03</c:v>
                </c:pt>
                <c:pt idx="1885">
                  <c:v>-0.03</c:v>
                </c:pt>
                <c:pt idx="1886">
                  <c:v>-0.03</c:v>
                </c:pt>
                <c:pt idx="1887">
                  <c:v>-0.03</c:v>
                </c:pt>
                <c:pt idx="1888">
                  <c:v>-0.03</c:v>
                </c:pt>
                <c:pt idx="1889">
                  <c:v>-0.03</c:v>
                </c:pt>
                <c:pt idx="1890">
                  <c:v>-0.03</c:v>
                </c:pt>
                <c:pt idx="1891">
                  <c:v>-0.03</c:v>
                </c:pt>
                <c:pt idx="1892">
                  <c:v>-0.03</c:v>
                </c:pt>
                <c:pt idx="1893">
                  <c:v>-0.03</c:v>
                </c:pt>
                <c:pt idx="1894">
                  <c:v>-0.03</c:v>
                </c:pt>
                <c:pt idx="1895">
                  <c:v>-0.03</c:v>
                </c:pt>
                <c:pt idx="1896">
                  <c:v>-0.03</c:v>
                </c:pt>
                <c:pt idx="1897">
                  <c:v>-0.02</c:v>
                </c:pt>
                <c:pt idx="1898">
                  <c:v>-0.02</c:v>
                </c:pt>
                <c:pt idx="1899">
                  <c:v>-0.03</c:v>
                </c:pt>
                <c:pt idx="1900">
                  <c:v>-0.03</c:v>
                </c:pt>
                <c:pt idx="1901">
                  <c:v>-0.02</c:v>
                </c:pt>
                <c:pt idx="1902">
                  <c:v>-0.03</c:v>
                </c:pt>
                <c:pt idx="1903">
                  <c:v>-0.02</c:v>
                </c:pt>
                <c:pt idx="1904">
                  <c:v>-0.03</c:v>
                </c:pt>
                <c:pt idx="1905">
                  <c:v>-0.03</c:v>
                </c:pt>
                <c:pt idx="1906">
                  <c:v>-0.02</c:v>
                </c:pt>
                <c:pt idx="1907">
                  <c:v>-0.03</c:v>
                </c:pt>
                <c:pt idx="1908">
                  <c:v>-0.03</c:v>
                </c:pt>
                <c:pt idx="1909">
                  <c:v>-0.03</c:v>
                </c:pt>
                <c:pt idx="1910">
                  <c:v>-0.02</c:v>
                </c:pt>
                <c:pt idx="1911">
                  <c:v>-0.03</c:v>
                </c:pt>
                <c:pt idx="1912">
                  <c:v>-0.03</c:v>
                </c:pt>
                <c:pt idx="1913">
                  <c:v>-0.02</c:v>
                </c:pt>
                <c:pt idx="1914">
                  <c:v>-0.03</c:v>
                </c:pt>
                <c:pt idx="1915">
                  <c:v>-0.03</c:v>
                </c:pt>
                <c:pt idx="1916">
                  <c:v>-0.03</c:v>
                </c:pt>
                <c:pt idx="1917">
                  <c:v>-0.03</c:v>
                </c:pt>
                <c:pt idx="1918">
                  <c:v>-0.03</c:v>
                </c:pt>
                <c:pt idx="1919">
                  <c:v>-0.03</c:v>
                </c:pt>
                <c:pt idx="1920">
                  <c:v>-0.03</c:v>
                </c:pt>
                <c:pt idx="1921">
                  <c:v>-0.02</c:v>
                </c:pt>
                <c:pt idx="1922">
                  <c:v>-0.03</c:v>
                </c:pt>
                <c:pt idx="1923">
                  <c:v>-0.03</c:v>
                </c:pt>
                <c:pt idx="1924">
                  <c:v>-0.02</c:v>
                </c:pt>
                <c:pt idx="1925">
                  <c:v>-0.03</c:v>
                </c:pt>
                <c:pt idx="1926">
                  <c:v>-0.03</c:v>
                </c:pt>
                <c:pt idx="1927">
                  <c:v>-0.03</c:v>
                </c:pt>
                <c:pt idx="1928">
                  <c:v>-0.02</c:v>
                </c:pt>
                <c:pt idx="1929">
                  <c:v>-0.03</c:v>
                </c:pt>
                <c:pt idx="1930">
                  <c:v>-0.03</c:v>
                </c:pt>
                <c:pt idx="1931">
                  <c:v>-0.03</c:v>
                </c:pt>
                <c:pt idx="1932">
                  <c:v>-0.03</c:v>
                </c:pt>
                <c:pt idx="1933">
                  <c:v>-0.03</c:v>
                </c:pt>
                <c:pt idx="1934">
                  <c:v>-0.02</c:v>
                </c:pt>
                <c:pt idx="1935">
                  <c:v>-0.02</c:v>
                </c:pt>
                <c:pt idx="1936">
                  <c:v>-0.03</c:v>
                </c:pt>
                <c:pt idx="1937">
                  <c:v>-0.03</c:v>
                </c:pt>
                <c:pt idx="1938">
                  <c:v>-0.03</c:v>
                </c:pt>
                <c:pt idx="1939">
                  <c:v>-0.03</c:v>
                </c:pt>
                <c:pt idx="1940">
                  <c:v>-0.03</c:v>
                </c:pt>
                <c:pt idx="1941">
                  <c:v>-0.03</c:v>
                </c:pt>
                <c:pt idx="1942">
                  <c:v>-0.03</c:v>
                </c:pt>
                <c:pt idx="1943">
                  <c:v>-0.03</c:v>
                </c:pt>
                <c:pt idx="1944">
                  <c:v>-0.03</c:v>
                </c:pt>
                <c:pt idx="1945">
                  <c:v>-0.03</c:v>
                </c:pt>
                <c:pt idx="1946">
                  <c:v>-0.03</c:v>
                </c:pt>
                <c:pt idx="1947">
                  <c:v>-0.03</c:v>
                </c:pt>
                <c:pt idx="1948">
                  <c:v>-0.03</c:v>
                </c:pt>
                <c:pt idx="1949">
                  <c:v>-0.02</c:v>
                </c:pt>
                <c:pt idx="1950">
                  <c:v>-0.02</c:v>
                </c:pt>
                <c:pt idx="1951">
                  <c:v>-0.03</c:v>
                </c:pt>
                <c:pt idx="1952">
                  <c:v>-0.03</c:v>
                </c:pt>
                <c:pt idx="1953">
                  <c:v>-0.03</c:v>
                </c:pt>
                <c:pt idx="1954">
                  <c:v>-0.02</c:v>
                </c:pt>
                <c:pt idx="1955">
                  <c:v>-0.02</c:v>
                </c:pt>
                <c:pt idx="1956">
                  <c:v>-0.03</c:v>
                </c:pt>
                <c:pt idx="1957">
                  <c:v>-0.03</c:v>
                </c:pt>
                <c:pt idx="1958">
                  <c:v>-0.03</c:v>
                </c:pt>
                <c:pt idx="1959">
                  <c:v>-0.03</c:v>
                </c:pt>
                <c:pt idx="1960">
                  <c:v>-0.02</c:v>
                </c:pt>
                <c:pt idx="1961">
                  <c:v>-0.02</c:v>
                </c:pt>
                <c:pt idx="1962">
                  <c:v>-0.03</c:v>
                </c:pt>
                <c:pt idx="1963">
                  <c:v>-0.03</c:v>
                </c:pt>
                <c:pt idx="1964">
                  <c:v>-0.03</c:v>
                </c:pt>
                <c:pt idx="1965">
                  <c:v>-0.03</c:v>
                </c:pt>
                <c:pt idx="1966">
                  <c:v>-0.03</c:v>
                </c:pt>
                <c:pt idx="1967">
                  <c:v>-0.03</c:v>
                </c:pt>
                <c:pt idx="1968">
                  <c:v>-0.03</c:v>
                </c:pt>
                <c:pt idx="1969">
                  <c:v>-0.02</c:v>
                </c:pt>
                <c:pt idx="1970">
                  <c:v>-0.02</c:v>
                </c:pt>
                <c:pt idx="1971">
                  <c:v>-0.03</c:v>
                </c:pt>
                <c:pt idx="1972">
                  <c:v>-0.03</c:v>
                </c:pt>
                <c:pt idx="1973">
                  <c:v>-0.03</c:v>
                </c:pt>
                <c:pt idx="1974">
                  <c:v>-0.02</c:v>
                </c:pt>
                <c:pt idx="1975">
                  <c:v>-0.02</c:v>
                </c:pt>
                <c:pt idx="1976">
                  <c:v>-0.03</c:v>
                </c:pt>
                <c:pt idx="1977">
                  <c:v>-0.03</c:v>
                </c:pt>
                <c:pt idx="1978">
                  <c:v>-0.02</c:v>
                </c:pt>
                <c:pt idx="1979">
                  <c:v>-0.02</c:v>
                </c:pt>
                <c:pt idx="1980">
                  <c:v>-0.03</c:v>
                </c:pt>
                <c:pt idx="1981">
                  <c:v>-0.03</c:v>
                </c:pt>
                <c:pt idx="1982">
                  <c:v>-0.02</c:v>
                </c:pt>
                <c:pt idx="1983">
                  <c:v>-0.03</c:v>
                </c:pt>
                <c:pt idx="1984">
                  <c:v>-0.03</c:v>
                </c:pt>
                <c:pt idx="1985">
                  <c:v>-0.03</c:v>
                </c:pt>
                <c:pt idx="1986">
                  <c:v>-0.03</c:v>
                </c:pt>
                <c:pt idx="1987">
                  <c:v>-0.03</c:v>
                </c:pt>
                <c:pt idx="1988">
                  <c:v>-0.03</c:v>
                </c:pt>
                <c:pt idx="1989">
                  <c:v>-0.03</c:v>
                </c:pt>
                <c:pt idx="1990">
                  <c:v>-0.03</c:v>
                </c:pt>
                <c:pt idx="1991">
                  <c:v>-0.03</c:v>
                </c:pt>
                <c:pt idx="1992">
                  <c:v>-0.03</c:v>
                </c:pt>
                <c:pt idx="1993">
                  <c:v>-0.02</c:v>
                </c:pt>
                <c:pt idx="1994">
                  <c:v>-0.03</c:v>
                </c:pt>
                <c:pt idx="1995">
                  <c:v>-0.03</c:v>
                </c:pt>
                <c:pt idx="1996">
                  <c:v>-0.03</c:v>
                </c:pt>
                <c:pt idx="1997">
                  <c:v>-0.03</c:v>
                </c:pt>
                <c:pt idx="1998">
                  <c:v>-0.03</c:v>
                </c:pt>
                <c:pt idx="1999">
                  <c:v>-0.03</c:v>
                </c:pt>
                <c:pt idx="2000">
                  <c:v>-0.03</c:v>
                </c:pt>
                <c:pt idx="2001">
                  <c:v>-0.03</c:v>
                </c:pt>
                <c:pt idx="2002">
                  <c:v>-0.03</c:v>
                </c:pt>
                <c:pt idx="2003">
                  <c:v>-0.03</c:v>
                </c:pt>
                <c:pt idx="2004">
                  <c:v>-0.03</c:v>
                </c:pt>
                <c:pt idx="2005">
                  <c:v>-0.03</c:v>
                </c:pt>
                <c:pt idx="2006">
                  <c:v>-0.03</c:v>
                </c:pt>
                <c:pt idx="2007">
                  <c:v>-0.03</c:v>
                </c:pt>
                <c:pt idx="2008">
                  <c:v>-0.03</c:v>
                </c:pt>
                <c:pt idx="2009">
                  <c:v>-0.03</c:v>
                </c:pt>
                <c:pt idx="2010">
                  <c:v>-0.03</c:v>
                </c:pt>
                <c:pt idx="2011">
                  <c:v>-0.03</c:v>
                </c:pt>
                <c:pt idx="2012">
                  <c:v>-0.03</c:v>
                </c:pt>
                <c:pt idx="2013">
                  <c:v>-0.03</c:v>
                </c:pt>
                <c:pt idx="2014">
                  <c:v>-0.03</c:v>
                </c:pt>
                <c:pt idx="2015">
                  <c:v>-0.03</c:v>
                </c:pt>
                <c:pt idx="2016">
                  <c:v>-0.02</c:v>
                </c:pt>
                <c:pt idx="2017">
                  <c:v>-0.03</c:v>
                </c:pt>
                <c:pt idx="2018">
                  <c:v>-0.03</c:v>
                </c:pt>
                <c:pt idx="2019">
                  <c:v>-0.03</c:v>
                </c:pt>
                <c:pt idx="2020">
                  <c:v>-0.02</c:v>
                </c:pt>
                <c:pt idx="2021">
                  <c:v>-0.03</c:v>
                </c:pt>
                <c:pt idx="2022">
                  <c:v>-0.03</c:v>
                </c:pt>
                <c:pt idx="2023">
                  <c:v>-0.02</c:v>
                </c:pt>
                <c:pt idx="2024">
                  <c:v>-0.03</c:v>
                </c:pt>
                <c:pt idx="2025">
                  <c:v>-0.02</c:v>
                </c:pt>
                <c:pt idx="2026">
                  <c:v>-0.03</c:v>
                </c:pt>
                <c:pt idx="2027">
                  <c:v>-0.02</c:v>
                </c:pt>
                <c:pt idx="2028">
                  <c:v>-0.03</c:v>
                </c:pt>
                <c:pt idx="2029">
                  <c:v>-0.03</c:v>
                </c:pt>
                <c:pt idx="2030">
                  <c:v>-0.02</c:v>
                </c:pt>
                <c:pt idx="2031">
                  <c:v>-0.03</c:v>
                </c:pt>
                <c:pt idx="2032">
                  <c:v>-0.03</c:v>
                </c:pt>
                <c:pt idx="2033">
                  <c:v>-0.02</c:v>
                </c:pt>
                <c:pt idx="2034">
                  <c:v>-0.03</c:v>
                </c:pt>
                <c:pt idx="2035">
                  <c:v>-0.03</c:v>
                </c:pt>
                <c:pt idx="2036">
                  <c:v>-0.03</c:v>
                </c:pt>
                <c:pt idx="2037">
                  <c:v>-0.03</c:v>
                </c:pt>
                <c:pt idx="2038">
                  <c:v>-0.02</c:v>
                </c:pt>
                <c:pt idx="2039">
                  <c:v>-0.02</c:v>
                </c:pt>
                <c:pt idx="2040">
                  <c:v>-0.02</c:v>
                </c:pt>
                <c:pt idx="2041">
                  <c:v>-0.03</c:v>
                </c:pt>
                <c:pt idx="2042">
                  <c:v>-0.02</c:v>
                </c:pt>
                <c:pt idx="2043">
                  <c:v>-0.03</c:v>
                </c:pt>
                <c:pt idx="2044">
                  <c:v>-0.03</c:v>
                </c:pt>
                <c:pt idx="2045">
                  <c:v>-0.03</c:v>
                </c:pt>
                <c:pt idx="2046">
                  <c:v>-0.03</c:v>
                </c:pt>
                <c:pt idx="2047">
                  <c:v>-0.02</c:v>
                </c:pt>
                <c:pt idx="2048">
                  <c:v>-0.02</c:v>
                </c:pt>
                <c:pt idx="2049">
                  <c:v>-0.03</c:v>
                </c:pt>
                <c:pt idx="2050">
                  <c:v>-0.03</c:v>
                </c:pt>
                <c:pt idx="2051">
                  <c:v>-0.03</c:v>
                </c:pt>
                <c:pt idx="2052">
                  <c:v>-0.03</c:v>
                </c:pt>
                <c:pt idx="2053">
                  <c:v>-0.03</c:v>
                </c:pt>
                <c:pt idx="2054">
                  <c:v>-0.03</c:v>
                </c:pt>
                <c:pt idx="2055">
                  <c:v>-0.03</c:v>
                </c:pt>
                <c:pt idx="2056">
                  <c:v>-0.02</c:v>
                </c:pt>
                <c:pt idx="2057">
                  <c:v>-0.03</c:v>
                </c:pt>
                <c:pt idx="2058">
                  <c:v>-0.03</c:v>
                </c:pt>
                <c:pt idx="2059">
                  <c:v>-0.02</c:v>
                </c:pt>
                <c:pt idx="2060">
                  <c:v>-0.03</c:v>
                </c:pt>
                <c:pt idx="2061">
                  <c:v>-0.03</c:v>
                </c:pt>
                <c:pt idx="2062">
                  <c:v>-0.03</c:v>
                </c:pt>
                <c:pt idx="2063">
                  <c:v>-0.03</c:v>
                </c:pt>
                <c:pt idx="2064">
                  <c:v>-0.03</c:v>
                </c:pt>
                <c:pt idx="2065">
                  <c:v>-0.02</c:v>
                </c:pt>
                <c:pt idx="2066">
                  <c:v>-0.02</c:v>
                </c:pt>
                <c:pt idx="2067">
                  <c:v>-0.03</c:v>
                </c:pt>
                <c:pt idx="2068">
                  <c:v>-0.03</c:v>
                </c:pt>
                <c:pt idx="2069">
                  <c:v>-0.03</c:v>
                </c:pt>
                <c:pt idx="2070">
                  <c:v>-0.03</c:v>
                </c:pt>
                <c:pt idx="2071">
                  <c:v>-0.03</c:v>
                </c:pt>
                <c:pt idx="2072">
                  <c:v>-0.03</c:v>
                </c:pt>
                <c:pt idx="2073">
                  <c:v>-0.03</c:v>
                </c:pt>
                <c:pt idx="2074">
                  <c:v>-0.02</c:v>
                </c:pt>
                <c:pt idx="2075">
                  <c:v>-0.03</c:v>
                </c:pt>
              </c:numCache>
            </c:numRef>
          </c:xVal>
          <c:yVal>
            <c:numRef>
              <c:f>'0811_173439'!$U$8:$U$2083</c:f>
              <c:numCache>
                <c:formatCode>General</c:formatCode>
                <c:ptCount val="2076"/>
                <c:pt idx="0">
                  <c:v>-0.03</c:v>
                </c:pt>
                <c:pt idx="1">
                  <c:v>-0.03</c:v>
                </c:pt>
                <c:pt idx="2">
                  <c:v>-0.03</c:v>
                </c:pt>
                <c:pt idx="3">
                  <c:v>-0.02</c:v>
                </c:pt>
                <c:pt idx="4">
                  <c:v>-0.03</c:v>
                </c:pt>
                <c:pt idx="5">
                  <c:v>-0.03</c:v>
                </c:pt>
                <c:pt idx="6">
                  <c:v>-0.03</c:v>
                </c:pt>
                <c:pt idx="7">
                  <c:v>-0.02</c:v>
                </c:pt>
                <c:pt idx="8">
                  <c:v>-0.02</c:v>
                </c:pt>
                <c:pt idx="9">
                  <c:v>-0.03</c:v>
                </c:pt>
                <c:pt idx="10">
                  <c:v>-0.03</c:v>
                </c:pt>
                <c:pt idx="11">
                  <c:v>-0.03</c:v>
                </c:pt>
                <c:pt idx="12">
                  <c:v>-0.03</c:v>
                </c:pt>
                <c:pt idx="13">
                  <c:v>-0.03</c:v>
                </c:pt>
                <c:pt idx="14">
                  <c:v>-0.03</c:v>
                </c:pt>
                <c:pt idx="15">
                  <c:v>-0.03</c:v>
                </c:pt>
                <c:pt idx="16">
                  <c:v>-0.02</c:v>
                </c:pt>
                <c:pt idx="17">
                  <c:v>-0.02</c:v>
                </c:pt>
                <c:pt idx="18">
                  <c:v>-0.03</c:v>
                </c:pt>
                <c:pt idx="19">
                  <c:v>-0.02</c:v>
                </c:pt>
                <c:pt idx="20">
                  <c:v>-0.03</c:v>
                </c:pt>
                <c:pt idx="21">
                  <c:v>-0.03</c:v>
                </c:pt>
                <c:pt idx="22">
                  <c:v>-0.03</c:v>
                </c:pt>
                <c:pt idx="23">
                  <c:v>-0.03</c:v>
                </c:pt>
                <c:pt idx="24">
                  <c:v>-0.03</c:v>
                </c:pt>
                <c:pt idx="25">
                  <c:v>-0.03</c:v>
                </c:pt>
                <c:pt idx="26">
                  <c:v>-0.03</c:v>
                </c:pt>
                <c:pt idx="27">
                  <c:v>-0.02</c:v>
                </c:pt>
                <c:pt idx="28">
                  <c:v>-0.03</c:v>
                </c:pt>
                <c:pt idx="29">
                  <c:v>-0.03</c:v>
                </c:pt>
                <c:pt idx="30">
                  <c:v>-0.03</c:v>
                </c:pt>
                <c:pt idx="31">
                  <c:v>-0.03</c:v>
                </c:pt>
                <c:pt idx="32">
                  <c:v>-0.03</c:v>
                </c:pt>
                <c:pt idx="33">
                  <c:v>-0.03</c:v>
                </c:pt>
                <c:pt idx="34">
                  <c:v>-0.03</c:v>
                </c:pt>
                <c:pt idx="35">
                  <c:v>-0.03</c:v>
                </c:pt>
                <c:pt idx="36">
                  <c:v>-0.03</c:v>
                </c:pt>
                <c:pt idx="37">
                  <c:v>-0.03</c:v>
                </c:pt>
                <c:pt idx="38">
                  <c:v>-0.03</c:v>
                </c:pt>
                <c:pt idx="39">
                  <c:v>-0.03</c:v>
                </c:pt>
                <c:pt idx="40">
                  <c:v>-0.03</c:v>
                </c:pt>
                <c:pt idx="41">
                  <c:v>-0.03</c:v>
                </c:pt>
                <c:pt idx="42">
                  <c:v>-0.03</c:v>
                </c:pt>
                <c:pt idx="43">
                  <c:v>-0.02</c:v>
                </c:pt>
                <c:pt idx="44">
                  <c:v>-0.03</c:v>
                </c:pt>
                <c:pt idx="45">
                  <c:v>-0.03</c:v>
                </c:pt>
                <c:pt idx="46">
                  <c:v>-0.03</c:v>
                </c:pt>
                <c:pt idx="47">
                  <c:v>-0.03</c:v>
                </c:pt>
                <c:pt idx="48">
                  <c:v>-0.03</c:v>
                </c:pt>
                <c:pt idx="49">
                  <c:v>-0.03</c:v>
                </c:pt>
                <c:pt idx="50">
                  <c:v>-0.03</c:v>
                </c:pt>
                <c:pt idx="51">
                  <c:v>-0.02</c:v>
                </c:pt>
                <c:pt idx="52">
                  <c:v>-0.02</c:v>
                </c:pt>
                <c:pt idx="53">
                  <c:v>-0.03</c:v>
                </c:pt>
                <c:pt idx="54">
                  <c:v>-0.03</c:v>
                </c:pt>
                <c:pt idx="55">
                  <c:v>-0.03</c:v>
                </c:pt>
                <c:pt idx="56">
                  <c:v>-0.02</c:v>
                </c:pt>
                <c:pt idx="57">
                  <c:v>-0.02</c:v>
                </c:pt>
                <c:pt idx="58">
                  <c:v>-0.02</c:v>
                </c:pt>
                <c:pt idx="59">
                  <c:v>-0.03</c:v>
                </c:pt>
                <c:pt idx="60">
                  <c:v>-0.02</c:v>
                </c:pt>
                <c:pt idx="61">
                  <c:v>-0.03</c:v>
                </c:pt>
                <c:pt idx="62">
                  <c:v>-0.02</c:v>
                </c:pt>
                <c:pt idx="63">
                  <c:v>-0.02</c:v>
                </c:pt>
                <c:pt idx="64">
                  <c:v>-0.03</c:v>
                </c:pt>
                <c:pt idx="65">
                  <c:v>-0.03</c:v>
                </c:pt>
                <c:pt idx="66">
                  <c:v>-0.03</c:v>
                </c:pt>
                <c:pt idx="67">
                  <c:v>-0.03</c:v>
                </c:pt>
                <c:pt idx="68">
                  <c:v>-0.03</c:v>
                </c:pt>
                <c:pt idx="69">
                  <c:v>-0.02</c:v>
                </c:pt>
                <c:pt idx="70">
                  <c:v>-0.03</c:v>
                </c:pt>
                <c:pt idx="71">
                  <c:v>-0.03</c:v>
                </c:pt>
                <c:pt idx="72">
                  <c:v>-0.03</c:v>
                </c:pt>
                <c:pt idx="73">
                  <c:v>-0.03</c:v>
                </c:pt>
                <c:pt idx="74">
                  <c:v>-0.03</c:v>
                </c:pt>
                <c:pt idx="75">
                  <c:v>-0.03</c:v>
                </c:pt>
                <c:pt idx="76">
                  <c:v>-0.03</c:v>
                </c:pt>
                <c:pt idx="77">
                  <c:v>-0.03</c:v>
                </c:pt>
                <c:pt idx="78">
                  <c:v>-0.02</c:v>
                </c:pt>
                <c:pt idx="79">
                  <c:v>-0.03</c:v>
                </c:pt>
                <c:pt idx="80">
                  <c:v>-0.03</c:v>
                </c:pt>
                <c:pt idx="81">
                  <c:v>-0.03</c:v>
                </c:pt>
                <c:pt idx="82">
                  <c:v>-0.03</c:v>
                </c:pt>
                <c:pt idx="83">
                  <c:v>-0.03</c:v>
                </c:pt>
                <c:pt idx="84">
                  <c:v>-0.03</c:v>
                </c:pt>
                <c:pt idx="85">
                  <c:v>-0.02</c:v>
                </c:pt>
                <c:pt idx="86">
                  <c:v>-0.03</c:v>
                </c:pt>
                <c:pt idx="87">
                  <c:v>-0.03</c:v>
                </c:pt>
                <c:pt idx="88">
                  <c:v>-0.03</c:v>
                </c:pt>
                <c:pt idx="89">
                  <c:v>-0.03</c:v>
                </c:pt>
                <c:pt idx="90">
                  <c:v>-0.03</c:v>
                </c:pt>
                <c:pt idx="91">
                  <c:v>-0.02</c:v>
                </c:pt>
                <c:pt idx="92">
                  <c:v>-0.03</c:v>
                </c:pt>
                <c:pt idx="93">
                  <c:v>-0.02</c:v>
                </c:pt>
                <c:pt idx="94">
                  <c:v>-0.03</c:v>
                </c:pt>
                <c:pt idx="95">
                  <c:v>-0.02</c:v>
                </c:pt>
                <c:pt idx="96">
                  <c:v>-0.03</c:v>
                </c:pt>
                <c:pt idx="97">
                  <c:v>-0.03</c:v>
                </c:pt>
                <c:pt idx="98">
                  <c:v>-0.02</c:v>
                </c:pt>
                <c:pt idx="99">
                  <c:v>-0.03</c:v>
                </c:pt>
                <c:pt idx="100">
                  <c:v>-0.02</c:v>
                </c:pt>
                <c:pt idx="101">
                  <c:v>-0.03</c:v>
                </c:pt>
                <c:pt idx="102">
                  <c:v>-0.03</c:v>
                </c:pt>
                <c:pt idx="103">
                  <c:v>-0.02</c:v>
                </c:pt>
                <c:pt idx="104">
                  <c:v>-0.03</c:v>
                </c:pt>
                <c:pt idx="105">
                  <c:v>-0.03</c:v>
                </c:pt>
                <c:pt idx="106">
                  <c:v>-0.03</c:v>
                </c:pt>
                <c:pt idx="107">
                  <c:v>-0.03</c:v>
                </c:pt>
                <c:pt idx="108">
                  <c:v>-0.03</c:v>
                </c:pt>
                <c:pt idx="109">
                  <c:v>-0.03</c:v>
                </c:pt>
                <c:pt idx="110">
                  <c:v>-0.03</c:v>
                </c:pt>
                <c:pt idx="111">
                  <c:v>-0.03</c:v>
                </c:pt>
                <c:pt idx="112">
                  <c:v>-0.02</c:v>
                </c:pt>
                <c:pt idx="113">
                  <c:v>-0.02</c:v>
                </c:pt>
                <c:pt idx="114">
                  <c:v>-0.02</c:v>
                </c:pt>
                <c:pt idx="115">
                  <c:v>-0.02</c:v>
                </c:pt>
                <c:pt idx="116">
                  <c:v>-0.02</c:v>
                </c:pt>
                <c:pt idx="117">
                  <c:v>-0.03</c:v>
                </c:pt>
                <c:pt idx="118">
                  <c:v>-0.02</c:v>
                </c:pt>
                <c:pt idx="119">
                  <c:v>-0.02</c:v>
                </c:pt>
                <c:pt idx="120">
                  <c:v>-0.02</c:v>
                </c:pt>
                <c:pt idx="121">
                  <c:v>-0.02</c:v>
                </c:pt>
                <c:pt idx="122">
                  <c:v>-0.03</c:v>
                </c:pt>
                <c:pt idx="123">
                  <c:v>-0.03</c:v>
                </c:pt>
                <c:pt idx="124">
                  <c:v>-0.03</c:v>
                </c:pt>
                <c:pt idx="125">
                  <c:v>-0.03</c:v>
                </c:pt>
                <c:pt idx="126">
                  <c:v>-0.03</c:v>
                </c:pt>
                <c:pt idx="127">
                  <c:v>-0.03</c:v>
                </c:pt>
                <c:pt idx="128">
                  <c:v>-0.03</c:v>
                </c:pt>
                <c:pt idx="129">
                  <c:v>-0.03</c:v>
                </c:pt>
                <c:pt idx="130">
                  <c:v>-0.03</c:v>
                </c:pt>
                <c:pt idx="131">
                  <c:v>-0.02</c:v>
                </c:pt>
                <c:pt idx="132">
                  <c:v>-0.02</c:v>
                </c:pt>
                <c:pt idx="133">
                  <c:v>-0.03</c:v>
                </c:pt>
                <c:pt idx="134">
                  <c:v>-0.03</c:v>
                </c:pt>
                <c:pt idx="135">
                  <c:v>-0.03</c:v>
                </c:pt>
                <c:pt idx="136">
                  <c:v>-0.03</c:v>
                </c:pt>
                <c:pt idx="137">
                  <c:v>-0.03</c:v>
                </c:pt>
                <c:pt idx="138">
                  <c:v>-0.03</c:v>
                </c:pt>
                <c:pt idx="139">
                  <c:v>-0.03</c:v>
                </c:pt>
                <c:pt idx="140">
                  <c:v>-0.03</c:v>
                </c:pt>
                <c:pt idx="141">
                  <c:v>-0.03</c:v>
                </c:pt>
                <c:pt idx="142">
                  <c:v>-0.03</c:v>
                </c:pt>
                <c:pt idx="143">
                  <c:v>-0.03</c:v>
                </c:pt>
                <c:pt idx="144">
                  <c:v>-0.03</c:v>
                </c:pt>
                <c:pt idx="145">
                  <c:v>-0.03</c:v>
                </c:pt>
                <c:pt idx="146">
                  <c:v>-0.03</c:v>
                </c:pt>
                <c:pt idx="147">
                  <c:v>-0.02</c:v>
                </c:pt>
                <c:pt idx="148">
                  <c:v>-0.03</c:v>
                </c:pt>
                <c:pt idx="149">
                  <c:v>-0.03</c:v>
                </c:pt>
                <c:pt idx="150">
                  <c:v>-0.02</c:v>
                </c:pt>
                <c:pt idx="151">
                  <c:v>-0.03</c:v>
                </c:pt>
                <c:pt idx="152">
                  <c:v>-0.02</c:v>
                </c:pt>
                <c:pt idx="153">
                  <c:v>-0.02</c:v>
                </c:pt>
                <c:pt idx="154">
                  <c:v>-0.03</c:v>
                </c:pt>
                <c:pt idx="155">
                  <c:v>-0.03</c:v>
                </c:pt>
                <c:pt idx="156">
                  <c:v>-0.03</c:v>
                </c:pt>
                <c:pt idx="157">
                  <c:v>-0.03</c:v>
                </c:pt>
                <c:pt idx="158">
                  <c:v>-0.03</c:v>
                </c:pt>
                <c:pt idx="159">
                  <c:v>-0.02</c:v>
                </c:pt>
                <c:pt idx="160">
                  <c:v>-0.03</c:v>
                </c:pt>
                <c:pt idx="161">
                  <c:v>-0.03</c:v>
                </c:pt>
                <c:pt idx="162">
                  <c:v>-0.03</c:v>
                </c:pt>
                <c:pt idx="163">
                  <c:v>-0.03</c:v>
                </c:pt>
                <c:pt idx="164">
                  <c:v>-0.02</c:v>
                </c:pt>
                <c:pt idx="165">
                  <c:v>-0.03</c:v>
                </c:pt>
                <c:pt idx="166">
                  <c:v>-0.03</c:v>
                </c:pt>
                <c:pt idx="167">
                  <c:v>-0.03</c:v>
                </c:pt>
                <c:pt idx="168">
                  <c:v>-0.03</c:v>
                </c:pt>
                <c:pt idx="169">
                  <c:v>-0.03</c:v>
                </c:pt>
                <c:pt idx="170">
                  <c:v>-0.03</c:v>
                </c:pt>
                <c:pt idx="171">
                  <c:v>-0.02</c:v>
                </c:pt>
                <c:pt idx="172">
                  <c:v>-0.02</c:v>
                </c:pt>
                <c:pt idx="173">
                  <c:v>-0.03</c:v>
                </c:pt>
                <c:pt idx="174">
                  <c:v>-0.02</c:v>
                </c:pt>
                <c:pt idx="175">
                  <c:v>-0.03</c:v>
                </c:pt>
                <c:pt idx="176">
                  <c:v>-0.02</c:v>
                </c:pt>
                <c:pt idx="177">
                  <c:v>-0.03</c:v>
                </c:pt>
                <c:pt idx="178">
                  <c:v>-0.02</c:v>
                </c:pt>
                <c:pt idx="179">
                  <c:v>-0.03</c:v>
                </c:pt>
                <c:pt idx="180">
                  <c:v>-0.03</c:v>
                </c:pt>
                <c:pt idx="181">
                  <c:v>-0.03</c:v>
                </c:pt>
                <c:pt idx="182">
                  <c:v>-0.02</c:v>
                </c:pt>
                <c:pt idx="183">
                  <c:v>-0.03</c:v>
                </c:pt>
                <c:pt idx="184">
                  <c:v>-0.03</c:v>
                </c:pt>
                <c:pt idx="185">
                  <c:v>-0.03</c:v>
                </c:pt>
                <c:pt idx="186">
                  <c:v>-0.03</c:v>
                </c:pt>
                <c:pt idx="187">
                  <c:v>-0.03</c:v>
                </c:pt>
                <c:pt idx="188">
                  <c:v>-0.03</c:v>
                </c:pt>
                <c:pt idx="189">
                  <c:v>-0.03</c:v>
                </c:pt>
                <c:pt idx="190">
                  <c:v>-0.03</c:v>
                </c:pt>
                <c:pt idx="191">
                  <c:v>-0.02</c:v>
                </c:pt>
                <c:pt idx="192">
                  <c:v>-0.03</c:v>
                </c:pt>
                <c:pt idx="193">
                  <c:v>-0.03</c:v>
                </c:pt>
                <c:pt idx="194">
                  <c:v>-0.03</c:v>
                </c:pt>
                <c:pt idx="195">
                  <c:v>-0.03</c:v>
                </c:pt>
                <c:pt idx="196">
                  <c:v>-0.02</c:v>
                </c:pt>
                <c:pt idx="197">
                  <c:v>-0.03</c:v>
                </c:pt>
                <c:pt idx="198">
                  <c:v>-0.03</c:v>
                </c:pt>
                <c:pt idx="199">
                  <c:v>-0.03</c:v>
                </c:pt>
                <c:pt idx="200">
                  <c:v>-0.02</c:v>
                </c:pt>
                <c:pt idx="201">
                  <c:v>-0.03</c:v>
                </c:pt>
                <c:pt idx="202">
                  <c:v>-0.03</c:v>
                </c:pt>
                <c:pt idx="203">
                  <c:v>-0.03</c:v>
                </c:pt>
                <c:pt idx="204">
                  <c:v>-0.03</c:v>
                </c:pt>
                <c:pt idx="205">
                  <c:v>-0.03</c:v>
                </c:pt>
                <c:pt idx="206">
                  <c:v>-0.02</c:v>
                </c:pt>
                <c:pt idx="207">
                  <c:v>-0.03</c:v>
                </c:pt>
                <c:pt idx="208">
                  <c:v>-0.02</c:v>
                </c:pt>
                <c:pt idx="209">
                  <c:v>-0.03</c:v>
                </c:pt>
                <c:pt idx="210">
                  <c:v>-0.03</c:v>
                </c:pt>
                <c:pt idx="211">
                  <c:v>-0.03</c:v>
                </c:pt>
                <c:pt idx="212">
                  <c:v>-0.03</c:v>
                </c:pt>
                <c:pt idx="213">
                  <c:v>-0.03</c:v>
                </c:pt>
                <c:pt idx="214">
                  <c:v>-0.03</c:v>
                </c:pt>
                <c:pt idx="215">
                  <c:v>-0.02</c:v>
                </c:pt>
                <c:pt idx="216">
                  <c:v>-0.02</c:v>
                </c:pt>
                <c:pt idx="217">
                  <c:v>-0.02</c:v>
                </c:pt>
                <c:pt idx="218">
                  <c:v>-0.03</c:v>
                </c:pt>
                <c:pt idx="219">
                  <c:v>-0.02</c:v>
                </c:pt>
                <c:pt idx="220">
                  <c:v>-0.02</c:v>
                </c:pt>
                <c:pt idx="221">
                  <c:v>-0.03</c:v>
                </c:pt>
                <c:pt idx="222">
                  <c:v>-0.02</c:v>
                </c:pt>
                <c:pt idx="223">
                  <c:v>-0.02</c:v>
                </c:pt>
                <c:pt idx="224">
                  <c:v>-0.03</c:v>
                </c:pt>
                <c:pt idx="225">
                  <c:v>-0.03</c:v>
                </c:pt>
                <c:pt idx="226">
                  <c:v>-0.02</c:v>
                </c:pt>
                <c:pt idx="227">
                  <c:v>-0.03</c:v>
                </c:pt>
                <c:pt idx="228">
                  <c:v>-0.02</c:v>
                </c:pt>
                <c:pt idx="229">
                  <c:v>-0.03</c:v>
                </c:pt>
                <c:pt idx="230">
                  <c:v>-0.03</c:v>
                </c:pt>
                <c:pt idx="231">
                  <c:v>-0.02</c:v>
                </c:pt>
                <c:pt idx="232">
                  <c:v>-0.03</c:v>
                </c:pt>
                <c:pt idx="233">
                  <c:v>-0.03</c:v>
                </c:pt>
                <c:pt idx="234">
                  <c:v>-0.03</c:v>
                </c:pt>
                <c:pt idx="235">
                  <c:v>-0.03</c:v>
                </c:pt>
                <c:pt idx="236">
                  <c:v>-0.03</c:v>
                </c:pt>
                <c:pt idx="237">
                  <c:v>-0.02</c:v>
                </c:pt>
                <c:pt idx="238">
                  <c:v>-0.03</c:v>
                </c:pt>
                <c:pt idx="239">
                  <c:v>-0.03</c:v>
                </c:pt>
                <c:pt idx="240">
                  <c:v>-0.03</c:v>
                </c:pt>
                <c:pt idx="241">
                  <c:v>-0.02</c:v>
                </c:pt>
                <c:pt idx="242">
                  <c:v>-0.03</c:v>
                </c:pt>
                <c:pt idx="243">
                  <c:v>-0.03</c:v>
                </c:pt>
                <c:pt idx="244">
                  <c:v>-0.02</c:v>
                </c:pt>
                <c:pt idx="245">
                  <c:v>-0.03</c:v>
                </c:pt>
                <c:pt idx="246">
                  <c:v>-0.03</c:v>
                </c:pt>
                <c:pt idx="247">
                  <c:v>-0.03</c:v>
                </c:pt>
                <c:pt idx="248">
                  <c:v>-0.02</c:v>
                </c:pt>
                <c:pt idx="249">
                  <c:v>-0.03</c:v>
                </c:pt>
                <c:pt idx="250">
                  <c:v>-0.03</c:v>
                </c:pt>
                <c:pt idx="251">
                  <c:v>-0.03</c:v>
                </c:pt>
                <c:pt idx="252">
                  <c:v>-0.03</c:v>
                </c:pt>
                <c:pt idx="253">
                  <c:v>-0.03</c:v>
                </c:pt>
                <c:pt idx="254">
                  <c:v>-0.03</c:v>
                </c:pt>
                <c:pt idx="255">
                  <c:v>-0.03</c:v>
                </c:pt>
                <c:pt idx="256">
                  <c:v>-0.03</c:v>
                </c:pt>
                <c:pt idx="257">
                  <c:v>-0.03</c:v>
                </c:pt>
                <c:pt idx="258">
                  <c:v>-0.03</c:v>
                </c:pt>
                <c:pt idx="259">
                  <c:v>-0.03</c:v>
                </c:pt>
                <c:pt idx="260">
                  <c:v>-0.03</c:v>
                </c:pt>
                <c:pt idx="261">
                  <c:v>-0.03</c:v>
                </c:pt>
                <c:pt idx="262">
                  <c:v>-0.03</c:v>
                </c:pt>
                <c:pt idx="263">
                  <c:v>-0.03</c:v>
                </c:pt>
                <c:pt idx="264">
                  <c:v>-0.03</c:v>
                </c:pt>
                <c:pt idx="265">
                  <c:v>-0.03</c:v>
                </c:pt>
                <c:pt idx="266">
                  <c:v>-0.04</c:v>
                </c:pt>
                <c:pt idx="267">
                  <c:v>-0.03</c:v>
                </c:pt>
                <c:pt idx="268">
                  <c:v>-0.03</c:v>
                </c:pt>
                <c:pt idx="269">
                  <c:v>-0.03</c:v>
                </c:pt>
                <c:pt idx="270">
                  <c:v>-0.03</c:v>
                </c:pt>
                <c:pt idx="271">
                  <c:v>-0.03</c:v>
                </c:pt>
                <c:pt idx="272">
                  <c:v>-0.03</c:v>
                </c:pt>
                <c:pt idx="273">
                  <c:v>-0.03</c:v>
                </c:pt>
                <c:pt idx="274">
                  <c:v>-0.03</c:v>
                </c:pt>
                <c:pt idx="275">
                  <c:v>-0.03</c:v>
                </c:pt>
                <c:pt idx="276">
                  <c:v>-0.03</c:v>
                </c:pt>
                <c:pt idx="277">
                  <c:v>-0.03</c:v>
                </c:pt>
                <c:pt idx="278">
                  <c:v>-0.03</c:v>
                </c:pt>
                <c:pt idx="279">
                  <c:v>-0.03</c:v>
                </c:pt>
                <c:pt idx="280">
                  <c:v>-0.03</c:v>
                </c:pt>
                <c:pt idx="281">
                  <c:v>-0.03</c:v>
                </c:pt>
                <c:pt idx="282">
                  <c:v>-0.02</c:v>
                </c:pt>
                <c:pt idx="283">
                  <c:v>-0.02</c:v>
                </c:pt>
                <c:pt idx="284">
                  <c:v>-0.02</c:v>
                </c:pt>
                <c:pt idx="285">
                  <c:v>-0.02</c:v>
                </c:pt>
                <c:pt idx="286">
                  <c:v>-0.02</c:v>
                </c:pt>
                <c:pt idx="287">
                  <c:v>-0.02</c:v>
                </c:pt>
                <c:pt idx="288">
                  <c:v>-0.02</c:v>
                </c:pt>
                <c:pt idx="289">
                  <c:v>-0.02</c:v>
                </c:pt>
                <c:pt idx="290">
                  <c:v>-0.02</c:v>
                </c:pt>
                <c:pt idx="291">
                  <c:v>-0.02</c:v>
                </c:pt>
                <c:pt idx="292">
                  <c:v>-0.02</c:v>
                </c:pt>
                <c:pt idx="293">
                  <c:v>-0.02</c:v>
                </c:pt>
                <c:pt idx="294">
                  <c:v>-0.02</c:v>
                </c:pt>
                <c:pt idx="295">
                  <c:v>-0.02</c:v>
                </c:pt>
                <c:pt idx="296">
                  <c:v>-0.02</c:v>
                </c:pt>
                <c:pt idx="297">
                  <c:v>-0.02</c:v>
                </c:pt>
                <c:pt idx="298">
                  <c:v>-0.02</c:v>
                </c:pt>
                <c:pt idx="299">
                  <c:v>-0.02</c:v>
                </c:pt>
                <c:pt idx="300">
                  <c:v>-0.02</c:v>
                </c:pt>
                <c:pt idx="301">
                  <c:v>-0.02</c:v>
                </c:pt>
                <c:pt idx="302">
                  <c:v>-0.02</c:v>
                </c:pt>
                <c:pt idx="303">
                  <c:v>-0.02</c:v>
                </c:pt>
                <c:pt idx="304">
                  <c:v>-0.02</c:v>
                </c:pt>
                <c:pt idx="305">
                  <c:v>-0.02</c:v>
                </c:pt>
                <c:pt idx="306">
                  <c:v>-0.02</c:v>
                </c:pt>
                <c:pt idx="307">
                  <c:v>-0.02</c:v>
                </c:pt>
                <c:pt idx="308">
                  <c:v>-0.02</c:v>
                </c:pt>
                <c:pt idx="309">
                  <c:v>-0.02</c:v>
                </c:pt>
                <c:pt idx="310">
                  <c:v>-0.02</c:v>
                </c:pt>
                <c:pt idx="311">
                  <c:v>-0.02</c:v>
                </c:pt>
                <c:pt idx="312">
                  <c:v>-0.02</c:v>
                </c:pt>
                <c:pt idx="313">
                  <c:v>-0.02</c:v>
                </c:pt>
                <c:pt idx="314">
                  <c:v>-0.02</c:v>
                </c:pt>
                <c:pt idx="315">
                  <c:v>-0.02</c:v>
                </c:pt>
                <c:pt idx="316">
                  <c:v>-0.02</c:v>
                </c:pt>
                <c:pt idx="317">
                  <c:v>-0.02</c:v>
                </c:pt>
                <c:pt idx="318">
                  <c:v>-0.02</c:v>
                </c:pt>
                <c:pt idx="319">
                  <c:v>-0.02</c:v>
                </c:pt>
                <c:pt idx="320">
                  <c:v>-0.02</c:v>
                </c:pt>
                <c:pt idx="321">
                  <c:v>-0.02</c:v>
                </c:pt>
                <c:pt idx="322">
                  <c:v>-0.02</c:v>
                </c:pt>
                <c:pt idx="323">
                  <c:v>-0.02</c:v>
                </c:pt>
                <c:pt idx="324">
                  <c:v>-0.02</c:v>
                </c:pt>
                <c:pt idx="325">
                  <c:v>-0.02</c:v>
                </c:pt>
                <c:pt idx="326">
                  <c:v>-0.02</c:v>
                </c:pt>
                <c:pt idx="327">
                  <c:v>-0.02</c:v>
                </c:pt>
                <c:pt idx="328">
                  <c:v>-0.02</c:v>
                </c:pt>
                <c:pt idx="329">
                  <c:v>-0.02</c:v>
                </c:pt>
                <c:pt idx="330">
                  <c:v>-0.02</c:v>
                </c:pt>
                <c:pt idx="331">
                  <c:v>-0.02</c:v>
                </c:pt>
                <c:pt idx="332">
                  <c:v>-0.02</c:v>
                </c:pt>
                <c:pt idx="333">
                  <c:v>-0.02</c:v>
                </c:pt>
                <c:pt idx="334">
                  <c:v>-0.02</c:v>
                </c:pt>
                <c:pt idx="335">
                  <c:v>-0.02</c:v>
                </c:pt>
                <c:pt idx="336">
                  <c:v>-0.02</c:v>
                </c:pt>
                <c:pt idx="337">
                  <c:v>-0.02</c:v>
                </c:pt>
                <c:pt idx="338">
                  <c:v>-0.02</c:v>
                </c:pt>
                <c:pt idx="339">
                  <c:v>-0.02</c:v>
                </c:pt>
                <c:pt idx="340">
                  <c:v>-0.02</c:v>
                </c:pt>
                <c:pt idx="341">
                  <c:v>-0.02</c:v>
                </c:pt>
                <c:pt idx="342">
                  <c:v>-0.02</c:v>
                </c:pt>
                <c:pt idx="343">
                  <c:v>-0.02</c:v>
                </c:pt>
                <c:pt idx="344">
                  <c:v>-0.02</c:v>
                </c:pt>
                <c:pt idx="345">
                  <c:v>-0.02</c:v>
                </c:pt>
                <c:pt idx="346">
                  <c:v>-0.02</c:v>
                </c:pt>
                <c:pt idx="347">
                  <c:v>-0.02</c:v>
                </c:pt>
                <c:pt idx="348">
                  <c:v>-0.02</c:v>
                </c:pt>
                <c:pt idx="349">
                  <c:v>-0.02</c:v>
                </c:pt>
                <c:pt idx="350">
                  <c:v>-0.02</c:v>
                </c:pt>
                <c:pt idx="351">
                  <c:v>-0.02</c:v>
                </c:pt>
                <c:pt idx="352">
                  <c:v>-0.02</c:v>
                </c:pt>
                <c:pt idx="353">
                  <c:v>-0.02</c:v>
                </c:pt>
                <c:pt idx="354">
                  <c:v>-0.02</c:v>
                </c:pt>
                <c:pt idx="355">
                  <c:v>-0.02</c:v>
                </c:pt>
                <c:pt idx="356">
                  <c:v>-0.02</c:v>
                </c:pt>
                <c:pt idx="357">
                  <c:v>-0.02</c:v>
                </c:pt>
                <c:pt idx="358">
                  <c:v>-0.02</c:v>
                </c:pt>
                <c:pt idx="359">
                  <c:v>-0.02</c:v>
                </c:pt>
                <c:pt idx="360">
                  <c:v>-0.02</c:v>
                </c:pt>
                <c:pt idx="361">
                  <c:v>-0.02</c:v>
                </c:pt>
                <c:pt idx="362">
                  <c:v>-0.02</c:v>
                </c:pt>
                <c:pt idx="363">
                  <c:v>-0.02</c:v>
                </c:pt>
                <c:pt idx="364">
                  <c:v>-0.02</c:v>
                </c:pt>
                <c:pt idx="365">
                  <c:v>-0.02</c:v>
                </c:pt>
                <c:pt idx="366">
                  <c:v>-0.02</c:v>
                </c:pt>
                <c:pt idx="367">
                  <c:v>-0.02</c:v>
                </c:pt>
                <c:pt idx="368">
                  <c:v>-0.02</c:v>
                </c:pt>
                <c:pt idx="369">
                  <c:v>-0.02</c:v>
                </c:pt>
                <c:pt idx="370">
                  <c:v>-0.03</c:v>
                </c:pt>
                <c:pt idx="371">
                  <c:v>-0.02</c:v>
                </c:pt>
                <c:pt idx="372">
                  <c:v>-0.02</c:v>
                </c:pt>
                <c:pt idx="373">
                  <c:v>-0.02</c:v>
                </c:pt>
                <c:pt idx="374">
                  <c:v>-0.02</c:v>
                </c:pt>
                <c:pt idx="375">
                  <c:v>-0.03</c:v>
                </c:pt>
                <c:pt idx="376">
                  <c:v>-0.03</c:v>
                </c:pt>
                <c:pt idx="377">
                  <c:v>-0.02</c:v>
                </c:pt>
                <c:pt idx="378">
                  <c:v>-0.03</c:v>
                </c:pt>
                <c:pt idx="379">
                  <c:v>-0.03</c:v>
                </c:pt>
                <c:pt idx="380">
                  <c:v>-0.03</c:v>
                </c:pt>
                <c:pt idx="381">
                  <c:v>-0.02</c:v>
                </c:pt>
                <c:pt idx="382">
                  <c:v>-0.03</c:v>
                </c:pt>
                <c:pt idx="383">
                  <c:v>-0.03</c:v>
                </c:pt>
                <c:pt idx="384">
                  <c:v>-0.02</c:v>
                </c:pt>
                <c:pt idx="385">
                  <c:v>-0.03</c:v>
                </c:pt>
                <c:pt idx="386">
                  <c:v>-0.03</c:v>
                </c:pt>
                <c:pt idx="387">
                  <c:v>-0.03</c:v>
                </c:pt>
                <c:pt idx="388">
                  <c:v>-0.03</c:v>
                </c:pt>
                <c:pt idx="389">
                  <c:v>-0.03</c:v>
                </c:pt>
                <c:pt idx="390">
                  <c:v>-0.03</c:v>
                </c:pt>
                <c:pt idx="391">
                  <c:v>-0.03</c:v>
                </c:pt>
                <c:pt idx="392">
                  <c:v>-0.03</c:v>
                </c:pt>
                <c:pt idx="393">
                  <c:v>-0.03</c:v>
                </c:pt>
                <c:pt idx="394">
                  <c:v>-0.03</c:v>
                </c:pt>
                <c:pt idx="395">
                  <c:v>-0.03</c:v>
                </c:pt>
                <c:pt idx="396">
                  <c:v>-0.03</c:v>
                </c:pt>
                <c:pt idx="397">
                  <c:v>-0.03</c:v>
                </c:pt>
                <c:pt idx="398">
                  <c:v>-0.03</c:v>
                </c:pt>
                <c:pt idx="399">
                  <c:v>-0.03</c:v>
                </c:pt>
                <c:pt idx="400">
                  <c:v>-0.03</c:v>
                </c:pt>
                <c:pt idx="401">
                  <c:v>-0.03</c:v>
                </c:pt>
                <c:pt idx="402">
                  <c:v>-0.03</c:v>
                </c:pt>
                <c:pt idx="403">
                  <c:v>-0.03</c:v>
                </c:pt>
                <c:pt idx="404">
                  <c:v>-0.03</c:v>
                </c:pt>
                <c:pt idx="405">
                  <c:v>-0.03</c:v>
                </c:pt>
                <c:pt idx="406">
                  <c:v>-0.03</c:v>
                </c:pt>
                <c:pt idx="407">
                  <c:v>-0.03</c:v>
                </c:pt>
                <c:pt idx="408">
                  <c:v>-0.03</c:v>
                </c:pt>
                <c:pt idx="409">
                  <c:v>-0.03</c:v>
                </c:pt>
                <c:pt idx="410">
                  <c:v>-0.03</c:v>
                </c:pt>
                <c:pt idx="411">
                  <c:v>-0.03</c:v>
                </c:pt>
                <c:pt idx="412">
                  <c:v>-0.03</c:v>
                </c:pt>
                <c:pt idx="413">
                  <c:v>-0.03</c:v>
                </c:pt>
                <c:pt idx="414">
                  <c:v>-0.03</c:v>
                </c:pt>
                <c:pt idx="415">
                  <c:v>-0.03</c:v>
                </c:pt>
                <c:pt idx="416">
                  <c:v>-0.03</c:v>
                </c:pt>
                <c:pt idx="417">
                  <c:v>-0.03</c:v>
                </c:pt>
                <c:pt idx="418">
                  <c:v>-0.03</c:v>
                </c:pt>
                <c:pt idx="419">
                  <c:v>-0.03</c:v>
                </c:pt>
                <c:pt idx="420">
                  <c:v>-0.03</c:v>
                </c:pt>
                <c:pt idx="421">
                  <c:v>-0.03</c:v>
                </c:pt>
                <c:pt idx="422">
                  <c:v>-0.03</c:v>
                </c:pt>
                <c:pt idx="423">
                  <c:v>-0.03</c:v>
                </c:pt>
                <c:pt idx="424">
                  <c:v>-0.03</c:v>
                </c:pt>
                <c:pt idx="425">
                  <c:v>-0.03</c:v>
                </c:pt>
                <c:pt idx="426">
                  <c:v>-0.03</c:v>
                </c:pt>
                <c:pt idx="427">
                  <c:v>-0.03</c:v>
                </c:pt>
                <c:pt idx="428">
                  <c:v>-0.03</c:v>
                </c:pt>
                <c:pt idx="429">
                  <c:v>-0.03</c:v>
                </c:pt>
                <c:pt idx="430">
                  <c:v>-0.03</c:v>
                </c:pt>
                <c:pt idx="431">
                  <c:v>-0.03</c:v>
                </c:pt>
                <c:pt idx="432">
                  <c:v>-0.03</c:v>
                </c:pt>
                <c:pt idx="433">
                  <c:v>-0.03</c:v>
                </c:pt>
                <c:pt idx="434">
                  <c:v>-0.03</c:v>
                </c:pt>
                <c:pt idx="435">
                  <c:v>-0.03</c:v>
                </c:pt>
                <c:pt idx="436">
                  <c:v>-0.03</c:v>
                </c:pt>
                <c:pt idx="437">
                  <c:v>-0.03</c:v>
                </c:pt>
                <c:pt idx="438">
                  <c:v>-0.03</c:v>
                </c:pt>
                <c:pt idx="439">
                  <c:v>-0.03</c:v>
                </c:pt>
                <c:pt idx="440">
                  <c:v>-0.03</c:v>
                </c:pt>
                <c:pt idx="441">
                  <c:v>-0.03</c:v>
                </c:pt>
                <c:pt idx="442">
                  <c:v>-0.03</c:v>
                </c:pt>
                <c:pt idx="443">
                  <c:v>-0.03</c:v>
                </c:pt>
                <c:pt idx="444">
                  <c:v>-0.03</c:v>
                </c:pt>
                <c:pt idx="445">
                  <c:v>-0.03</c:v>
                </c:pt>
                <c:pt idx="446">
                  <c:v>-0.03</c:v>
                </c:pt>
                <c:pt idx="447">
                  <c:v>-0.03</c:v>
                </c:pt>
                <c:pt idx="448">
                  <c:v>-0.03</c:v>
                </c:pt>
                <c:pt idx="449">
                  <c:v>-0.03</c:v>
                </c:pt>
                <c:pt idx="450">
                  <c:v>-0.03</c:v>
                </c:pt>
                <c:pt idx="451">
                  <c:v>-0.03</c:v>
                </c:pt>
                <c:pt idx="452">
                  <c:v>-0.03</c:v>
                </c:pt>
                <c:pt idx="453">
                  <c:v>-0.02</c:v>
                </c:pt>
                <c:pt idx="454">
                  <c:v>-0.03</c:v>
                </c:pt>
                <c:pt idx="455">
                  <c:v>-0.03</c:v>
                </c:pt>
                <c:pt idx="456">
                  <c:v>-0.03</c:v>
                </c:pt>
                <c:pt idx="457">
                  <c:v>-0.03</c:v>
                </c:pt>
                <c:pt idx="458">
                  <c:v>-0.03</c:v>
                </c:pt>
                <c:pt idx="459">
                  <c:v>-0.03</c:v>
                </c:pt>
                <c:pt idx="460">
                  <c:v>-0.03</c:v>
                </c:pt>
                <c:pt idx="461">
                  <c:v>-0.03</c:v>
                </c:pt>
                <c:pt idx="462">
                  <c:v>-0.03</c:v>
                </c:pt>
                <c:pt idx="463">
                  <c:v>-0.03</c:v>
                </c:pt>
                <c:pt idx="464">
                  <c:v>-0.03</c:v>
                </c:pt>
                <c:pt idx="465">
                  <c:v>-0.03</c:v>
                </c:pt>
                <c:pt idx="466">
                  <c:v>-0.03</c:v>
                </c:pt>
                <c:pt idx="467">
                  <c:v>-0.03</c:v>
                </c:pt>
                <c:pt idx="468">
                  <c:v>-0.03</c:v>
                </c:pt>
                <c:pt idx="469">
                  <c:v>-0.03</c:v>
                </c:pt>
                <c:pt idx="470">
                  <c:v>-0.03</c:v>
                </c:pt>
                <c:pt idx="471">
                  <c:v>-0.03</c:v>
                </c:pt>
                <c:pt idx="472">
                  <c:v>-0.03</c:v>
                </c:pt>
                <c:pt idx="473">
                  <c:v>-0.03</c:v>
                </c:pt>
                <c:pt idx="474">
                  <c:v>-0.03</c:v>
                </c:pt>
                <c:pt idx="475">
                  <c:v>-0.03</c:v>
                </c:pt>
                <c:pt idx="476">
                  <c:v>-0.03</c:v>
                </c:pt>
                <c:pt idx="477">
                  <c:v>-0.03</c:v>
                </c:pt>
                <c:pt idx="478">
                  <c:v>-0.03</c:v>
                </c:pt>
                <c:pt idx="479">
                  <c:v>-0.03</c:v>
                </c:pt>
                <c:pt idx="480">
                  <c:v>-0.03</c:v>
                </c:pt>
                <c:pt idx="481">
                  <c:v>-0.03</c:v>
                </c:pt>
                <c:pt idx="482">
                  <c:v>-0.03</c:v>
                </c:pt>
                <c:pt idx="483">
                  <c:v>-0.03</c:v>
                </c:pt>
                <c:pt idx="484">
                  <c:v>-0.03</c:v>
                </c:pt>
                <c:pt idx="485">
                  <c:v>-0.03</c:v>
                </c:pt>
                <c:pt idx="486">
                  <c:v>-0.03</c:v>
                </c:pt>
                <c:pt idx="487">
                  <c:v>-0.03</c:v>
                </c:pt>
                <c:pt idx="488">
                  <c:v>-0.03</c:v>
                </c:pt>
                <c:pt idx="489">
                  <c:v>-0.03</c:v>
                </c:pt>
                <c:pt idx="490">
                  <c:v>-0.03</c:v>
                </c:pt>
                <c:pt idx="491">
                  <c:v>-0.03</c:v>
                </c:pt>
                <c:pt idx="492">
                  <c:v>-0.03</c:v>
                </c:pt>
                <c:pt idx="493">
                  <c:v>-0.03</c:v>
                </c:pt>
                <c:pt idx="494">
                  <c:v>-0.03</c:v>
                </c:pt>
                <c:pt idx="495">
                  <c:v>-0.03</c:v>
                </c:pt>
                <c:pt idx="496">
                  <c:v>-0.03</c:v>
                </c:pt>
                <c:pt idx="497">
                  <c:v>-0.03</c:v>
                </c:pt>
                <c:pt idx="498">
                  <c:v>-0.03</c:v>
                </c:pt>
                <c:pt idx="499">
                  <c:v>-0.03</c:v>
                </c:pt>
                <c:pt idx="500">
                  <c:v>-0.03</c:v>
                </c:pt>
                <c:pt idx="501">
                  <c:v>-0.03</c:v>
                </c:pt>
                <c:pt idx="502">
                  <c:v>-0.03</c:v>
                </c:pt>
                <c:pt idx="503">
                  <c:v>-0.03</c:v>
                </c:pt>
                <c:pt idx="504">
                  <c:v>-0.03</c:v>
                </c:pt>
                <c:pt idx="505">
                  <c:v>-0.03</c:v>
                </c:pt>
                <c:pt idx="506">
                  <c:v>-0.03</c:v>
                </c:pt>
                <c:pt idx="507">
                  <c:v>-0.03</c:v>
                </c:pt>
                <c:pt idx="508">
                  <c:v>-0.03</c:v>
                </c:pt>
                <c:pt idx="509">
                  <c:v>-0.03</c:v>
                </c:pt>
                <c:pt idx="510">
                  <c:v>-0.03</c:v>
                </c:pt>
                <c:pt idx="511">
                  <c:v>-0.03</c:v>
                </c:pt>
                <c:pt idx="512">
                  <c:v>-0.03</c:v>
                </c:pt>
                <c:pt idx="513">
                  <c:v>-0.03</c:v>
                </c:pt>
                <c:pt idx="514">
                  <c:v>-0.03</c:v>
                </c:pt>
                <c:pt idx="515">
                  <c:v>-0.03</c:v>
                </c:pt>
                <c:pt idx="516">
                  <c:v>-0.03</c:v>
                </c:pt>
                <c:pt idx="517">
                  <c:v>-0.03</c:v>
                </c:pt>
                <c:pt idx="518">
                  <c:v>-0.03</c:v>
                </c:pt>
                <c:pt idx="519">
                  <c:v>-0.03</c:v>
                </c:pt>
                <c:pt idx="520">
                  <c:v>-0.03</c:v>
                </c:pt>
                <c:pt idx="521">
                  <c:v>-0.03</c:v>
                </c:pt>
                <c:pt idx="522">
                  <c:v>-0.03</c:v>
                </c:pt>
                <c:pt idx="523">
                  <c:v>-0.03</c:v>
                </c:pt>
                <c:pt idx="524">
                  <c:v>-0.03</c:v>
                </c:pt>
                <c:pt idx="525">
                  <c:v>-0.03</c:v>
                </c:pt>
                <c:pt idx="526">
                  <c:v>-0.03</c:v>
                </c:pt>
                <c:pt idx="527">
                  <c:v>-0.03</c:v>
                </c:pt>
                <c:pt idx="528">
                  <c:v>-0.03</c:v>
                </c:pt>
                <c:pt idx="529">
                  <c:v>-0.03</c:v>
                </c:pt>
                <c:pt idx="530">
                  <c:v>-0.03</c:v>
                </c:pt>
                <c:pt idx="531">
                  <c:v>-0.03</c:v>
                </c:pt>
                <c:pt idx="532">
                  <c:v>-0.03</c:v>
                </c:pt>
                <c:pt idx="533">
                  <c:v>-0.03</c:v>
                </c:pt>
                <c:pt idx="534">
                  <c:v>-0.03</c:v>
                </c:pt>
                <c:pt idx="535">
                  <c:v>-0.03</c:v>
                </c:pt>
                <c:pt idx="536">
                  <c:v>-0.03</c:v>
                </c:pt>
                <c:pt idx="537">
                  <c:v>-0.03</c:v>
                </c:pt>
                <c:pt idx="538">
                  <c:v>-0.03</c:v>
                </c:pt>
                <c:pt idx="539">
                  <c:v>-0.03</c:v>
                </c:pt>
                <c:pt idx="540">
                  <c:v>-0.03</c:v>
                </c:pt>
                <c:pt idx="541">
                  <c:v>-0.03</c:v>
                </c:pt>
                <c:pt idx="542">
                  <c:v>-0.03</c:v>
                </c:pt>
                <c:pt idx="543">
                  <c:v>-0.03</c:v>
                </c:pt>
                <c:pt idx="544">
                  <c:v>-0.03</c:v>
                </c:pt>
                <c:pt idx="545">
                  <c:v>-0.03</c:v>
                </c:pt>
                <c:pt idx="546">
                  <c:v>-0.03</c:v>
                </c:pt>
                <c:pt idx="547">
                  <c:v>-0.03</c:v>
                </c:pt>
                <c:pt idx="548">
                  <c:v>-0.03</c:v>
                </c:pt>
                <c:pt idx="549">
                  <c:v>-0.03</c:v>
                </c:pt>
                <c:pt idx="550">
                  <c:v>-0.03</c:v>
                </c:pt>
                <c:pt idx="551">
                  <c:v>-0.03</c:v>
                </c:pt>
                <c:pt idx="552">
                  <c:v>-0.03</c:v>
                </c:pt>
                <c:pt idx="553">
                  <c:v>-0.03</c:v>
                </c:pt>
                <c:pt idx="554">
                  <c:v>-0.03</c:v>
                </c:pt>
                <c:pt idx="555">
                  <c:v>-0.03</c:v>
                </c:pt>
                <c:pt idx="556">
                  <c:v>-0.03</c:v>
                </c:pt>
                <c:pt idx="557">
                  <c:v>-0.03</c:v>
                </c:pt>
                <c:pt idx="558">
                  <c:v>-0.03</c:v>
                </c:pt>
                <c:pt idx="559">
                  <c:v>-0.03</c:v>
                </c:pt>
                <c:pt idx="560">
                  <c:v>-0.03</c:v>
                </c:pt>
                <c:pt idx="561">
                  <c:v>-0.03</c:v>
                </c:pt>
                <c:pt idx="562">
                  <c:v>-0.03</c:v>
                </c:pt>
                <c:pt idx="563">
                  <c:v>-0.03</c:v>
                </c:pt>
                <c:pt idx="564">
                  <c:v>-0.03</c:v>
                </c:pt>
                <c:pt idx="565">
                  <c:v>-0.03</c:v>
                </c:pt>
                <c:pt idx="566">
                  <c:v>-0.03</c:v>
                </c:pt>
                <c:pt idx="567">
                  <c:v>-0.03</c:v>
                </c:pt>
                <c:pt idx="568">
                  <c:v>-0.03</c:v>
                </c:pt>
                <c:pt idx="569">
                  <c:v>-0.03</c:v>
                </c:pt>
                <c:pt idx="570">
                  <c:v>-0.03</c:v>
                </c:pt>
                <c:pt idx="571">
                  <c:v>-0.03</c:v>
                </c:pt>
                <c:pt idx="572">
                  <c:v>-0.03</c:v>
                </c:pt>
                <c:pt idx="573">
                  <c:v>-0.03</c:v>
                </c:pt>
                <c:pt idx="574">
                  <c:v>-0.03</c:v>
                </c:pt>
                <c:pt idx="575">
                  <c:v>-0.03</c:v>
                </c:pt>
                <c:pt idx="576">
                  <c:v>-0.03</c:v>
                </c:pt>
                <c:pt idx="577">
                  <c:v>-0.03</c:v>
                </c:pt>
                <c:pt idx="578">
                  <c:v>-0.03</c:v>
                </c:pt>
                <c:pt idx="579">
                  <c:v>-0.03</c:v>
                </c:pt>
                <c:pt idx="580">
                  <c:v>-0.03</c:v>
                </c:pt>
                <c:pt idx="581">
                  <c:v>-0.03</c:v>
                </c:pt>
                <c:pt idx="582">
                  <c:v>-0.03</c:v>
                </c:pt>
                <c:pt idx="583">
                  <c:v>-0.03</c:v>
                </c:pt>
                <c:pt idx="584">
                  <c:v>-0.03</c:v>
                </c:pt>
                <c:pt idx="585">
                  <c:v>-0.03</c:v>
                </c:pt>
                <c:pt idx="586">
                  <c:v>-0.03</c:v>
                </c:pt>
                <c:pt idx="587">
                  <c:v>-0.03</c:v>
                </c:pt>
                <c:pt idx="588">
                  <c:v>-0.03</c:v>
                </c:pt>
                <c:pt idx="589">
                  <c:v>-0.03</c:v>
                </c:pt>
                <c:pt idx="590">
                  <c:v>-0.03</c:v>
                </c:pt>
                <c:pt idx="591">
                  <c:v>-0.03</c:v>
                </c:pt>
                <c:pt idx="592">
                  <c:v>-0.03</c:v>
                </c:pt>
                <c:pt idx="593">
                  <c:v>-0.03</c:v>
                </c:pt>
                <c:pt idx="594">
                  <c:v>-0.03</c:v>
                </c:pt>
                <c:pt idx="595">
                  <c:v>-0.03</c:v>
                </c:pt>
                <c:pt idx="596">
                  <c:v>-0.03</c:v>
                </c:pt>
                <c:pt idx="597">
                  <c:v>-0.03</c:v>
                </c:pt>
                <c:pt idx="598">
                  <c:v>-0.03</c:v>
                </c:pt>
                <c:pt idx="599">
                  <c:v>-0.03</c:v>
                </c:pt>
                <c:pt idx="600">
                  <c:v>-0.03</c:v>
                </c:pt>
                <c:pt idx="601">
                  <c:v>-0.03</c:v>
                </c:pt>
                <c:pt idx="602">
                  <c:v>-0.03</c:v>
                </c:pt>
                <c:pt idx="603">
                  <c:v>-0.03</c:v>
                </c:pt>
                <c:pt idx="604">
                  <c:v>-0.03</c:v>
                </c:pt>
                <c:pt idx="605">
                  <c:v>-0.03</c:v>
                </c:pt>
                <c:pt idx="606">
                  <c:v>-0.03</c:v>
                </c:pt>
                <c:pt idx="607">
                  <c:v>-0.03</c:v>
                </c:pt>
                <c:pt idx="608">
                  <c:v>-0.03</c:v>
                </c:pt>
                <c:pt idx="609">
                  <c:v>-0.03</c:v>
                </c:pt>
                <c:pt idx="610">
                  <c:v>-0.03</c:v>
                </c:pt>
                <c:pt idx="611">
                  <c:v>-0.03</c:v>
                </c:pt>
                <c:pt idx="612">
                  <c:v>-0.03</c:v>
                </c:pt>
                <c:pt idx="613">
                  <c:v>-0.03</c:v>
                </c:pt>
                <c:pt idx="614">
                  <c:v>-0.03</c:v>
                </c:pt>
                <c:pt idx="615">
                  <c:v>-0.03</c:v>
                </c:pt>
                <c:pt idx="616">
                  <c:v>-0.03</c:v>
                </c:pt>
                <c:pt idx="617">
                  <c:v>-0.03</c:v>
                </c:pt>
                <c:pt idx="618">
                  <c:v>-0.03</c:v>
                </c:pt>
                <c:pt idx="619">
                  <c:v>-0.03</c:v>
                </c:pt>
                <c:pt idx="620">
                  <c:v>-0.03</c:v>
                </c:pt>
                <c:pt idx="621">
                  <c:v>-0.03</c:v>
                </c:pt>
                <c:pt idx="622">
                  <c:v>-0.03</c:v>
                </c:pt>
                <c:pt idx="623">
                  <c:v>-0.03</c:v>
                </c:pt>
                <c:pt idx="624">
                  <c:v>-0.03</c:v>
                </c:pt>
                <c:pt idx="625">
                  <c:v>-0.03</c:v>
                </c:pt>
                <c:pt idx="626">
                  <c:v>-0.03</c:v>
                </c:pt>
                <c:pt idx="627">
                  <c:v>-0.03</c:v>
                </c:pt>
                <c:pt idx="628">
                  <c:v>-0.03</c:v>
                </c:pt>
                <c:pt idx="629">
                  <c:v>-0.03</c:v>
                </c:pt>
                <c:pt idx="630">
                  <c:v>-0.03</c:v>
                </c:pt>
                <c:pt idx="631">
                  <c:v>-0.03</c:v>
                </c:pt>
                <c:pt idx="632">
                  <c:v>-0.03</c:v>
                </c:pt>
                <c:pt idx="633">
                  <c:v>-0.03</c:v>
                </c:pt>
                <c:pt idx="634">
                  <c:v>-0.03</c:v>
                </c:pt>
                <c:pt idx="635">
                  <c:v>-0.03</c:v>
                </c:pt>
                <c:pt idx="636">
                  <c:v>-0.03</c:v>
                </c:pt>
                <c:pt idx="637">
                  <c:v>-0.03</c:v>
                </c:pt>
                <c:pt idx="638">
                  <c:v>-0.03</c:v>
                </c:pt>
                <c:pt idx="639">
                  <c:v>-0.03</c:v>
                </c:pt>
                <c:pt idx="640">
                  <c:v>-0.03</c:v>
                </c:pt>
                <c:pt idx="641">
                  <c:v>-0.03</c:v>
                </c:pt>
                <c:pt idx="642">
                  <c:v>-0.03</c:v>
                </c:pt>
                <c:pt idx="643">
                  <c:v>-0.03</c:v>
                </c:pt>
                <c:pt idx="644">
                  <c:v>-0.03</c:v>
                </c:pt>
                <c:pt idx="645">
                  <c:v>-0.03</c:v>
                </c:pt>
                <c:pt idx="646">
                  <c:v>-0.03</c:v>
                </c:pt>
                <c:pt idx="647">
                  <c:v>-0.03</c:v>
                </c:pt>
                <c:pt idx="648">
                  <c:v>-0.03</c:v>
                </c:pt>
                <c:pt idx="649">
                  <c:v>-0.03</c:v>
                </c:pt>
                <c:pt idx="650">
                  <c:v>-0.03</c:v>
                </c:pt>
                <c:pt idx="651">
                  <c:v>-0.03</c:v>
                </c:pt>
                <c:pt idx="652">
                  <c:v>-0.03</c:v>
                </c:pt>
                <c:pt idx="653">
                  <c:v>-0.03</c:v>
                </c:pt>
                <c:pt idx="654">
                  <c:v>-0.03</c:v>
                </c:pt>
                <c:pt idx="655">
                  <c:v>-0.03</c:v>
                </c:pt>
                <c:pt idx="656">
                  <c:v>-0.03</c:v>
                </c:pt>
                <c:pt idx="657">
                  <c:v>-0.03</c:v>
                </c:pt>
                <c:pt idx="658">
                  <c:v>-0.03</c:v>
                </c:pt>
                <c:pt idx="659">
                  <c:v>-0.03</c:v>
                </c:pt>
                <c:pt idx="660">
                  <c:v>-0.03</c:v>
                </c:pt>
                <c:pt idx="661">
                  <c:v>-0.03</c:v>
                </c:pt>
                <c:pt idx="662">
                  <c:v>-0.03</c:v>
                </c:pt>
                <c:pt idx="663">
                  <c:v>-0.03</c:v>
                </c:pt>
                <c:pt idx="664">
                  <c:v>-0.03</c:v>
                </c:pt>
                <c:pt idx="665">
                  <c:v>-0.03</c:v>
                </c:pt>
                <c:pt idx="666">
                  <c:v>-0.03</c:v>
                </c:pt>
                <c:pt idx="667">
                  <c:v>-0.03</c:v>
                </c:pt>
                <c:pt idx="668">
                  <c:v>-0.03</c:v>
                </c:pt>
                <c:pt idx="669">
                  <c:v>-0.03</c:v>
                </c:pt>
                <c:pt idx="670">
                  <c:v>-0.03</c:v>
                </c:pt>
                <c:pt idx="671">
                  <c:v>-0.03</c:v>
                </c:pt>
                <c:pt idx="672">
                  <c:v>-0.03</c:v>
                </c:pt>
                <c:pt idx="673">
                  <c:v>-0.03</c:v>
                </c:pt>
                <c:pt idx="674">
                  <c:v>-0.03</c:v>
                </c:pt>
                <c:pt idx="675">
                  <c:v>-0.03</c:v>
                </c:pt>
                <c:pt idx="676">
                  <c:v>-0.03</c:v>
                </c:pt>
                <c:pt idx="677">
                  <c:v>-0.03</c:v>
                </c:pt>
                <c:pt idx="678">
                  <c:v>-0.03</c:v>
                </c:pt>
                <c:pt idx="679">
                  <c:v>-0.03</c:v>
                </c:pt>
                <c:pt idx="680">
                  <c:v>-0.03</c:v>
                </c:pt>
                <c:pt idx="681">
                  <c:v>-0.03</c:v>
                </c:pt>
                <c:pt idx="682">
                  <c:v>-0.03</c:v>
                </c:pt>
                <c:pt idx="683">
                  <c:v>-0.03</c:v>
                </c:pt>
                <c:pt idx="684">
                  <c:v>-0.03</c:v>
                </c:pt>
                <c:pt idx="685">
                  <c:v>-0.03</c:v>
                </c:pt>
                <c:pt idx="686">
                  <c:v>-0.03</c:v>
                </c:pt>
                <c:pt idx="687">
                  <c:v>-0.03</c:v>
                </c:pt>
                <c:pt idx="688">
                  <c:v>-0.03</c:v>
                </c:pt>
                <c:pt idx="689">
                  <c:v>-0.03</c:v>
                </c:pt>
                <c:pt idx="690">
                  <c:v>-0.03</c:v>
                </c:pt>
                <c:pt idx="691">
                  <c:v>-0.03</c:v>
                </c:pt>
                <c:pt idx="692">
                  <c:v>-0.03</c:v>
                </c:pt>
                <c:pt idx="693">
                  <c:v>-0.03</c:v>
                </c:pt>
                <c:pt idx="694">
                  <c:v>-0.03</c:v>
                </c:pt>
                <c:pt idx="695">
                  <c:v>-0.03</c:v>
                </c:pt>
                <c:pt idx="696">
                  <c:v>-0.03</c:v>
                </c:pt>
                <c:pt idx="697">
                  <c:v>-0.03</c:v>
                </c:pt>
                <c:pt idx="698">
                  <c:v>-0.03</c:v>
                </c:pt>
                <c:pt idx="699">
                  <c:v>-0.03</c:v>
                </c:pt>
                <c:pt idx="700">
                  <c:v>-0.03</c:v>
                </c:pt>
                <c:pt idx="701">
                  <c:v>-0.03</c:v>
                </c:pt>
                <c:pt idx="702">
                  <c:v>-0.03</c:v>
                </c:pt>
                <c:pt idx="703">
                  <c:v>-0.03</c:v>
                </c:pt>
                <c:pt idx="704">
                  <c:v>-0.03</c:v>
                </c:pt>
                <c:pt idx="705">
                  <c:v>-0.03</c:v>
                </c:pt>
                <c:pt idx="706">
                  <c:v>-0.03</c:v>
                </c:pt>
                <c:pt idx="707">
                  <c:v>-0.03</c:v>
                </c:pt>
                <c:pt idx="708">
                  <c:v>-0.03</c:v>
                </c:pt>
                <c:pt idx="709">
                  <c:v>-0.03</c:v>
                </c:pt>
                <c:pt idx="710">
                  <c:v>-0.03</c:v>
                </c:pt>
                <c:pt idx="711">
                  <c:v>-0.03</c:v>
                </c:pt>
                <c:pt idx="712">
                  <c:v>-0.03</c:v>
                </c:pt>
                <c:pt idx="713">
                  <c:v>-0.03</c:v>
                </c:pt>
                <c:pt idx="714">
                  <c:v>-0.03</c:v>
                </c:pt>
                <c:pt idx="715">
                  <c:v>-0.03</c:v>
                </c:pt>
                <c:pt idx="716">
                  <c:v>-0.03</c:v>
                </c:pt>
                <c:pt idx="717">
                  <c:v>-0.03</c:v>
                </c:pt>
                <c:pt idx="718">
                  <c:v>-0.03</c:v>
                </c:pt>
                <c:pt idx="719">
                  <c:v>-0.03</c:v>
                </c:pt>
                <c:pt idx="720">
                  <c:v>-0.03</c:v>
                </c:pt>
                <c:pt idx="721">
                  <c:v>-0.03</c:v>
                </c:pt>
                <c:pt idx="722">
                  <c:v>-0.03</c:v>
                </c:pt>
                <c:pt idx="723">
                  <c:v>-0.03</c:v>
                </c:pt>
                <c:pt idx="724">
                  <c:v>-0.03</c:v>
                </c:pt>
                <c:pt idx="725">
                  <c:v>-0.03</c:v>
                </c:pt>
                <c:pt idx="726">
                  <c:v>-0.03</c:v>
                </c:pt>
                <c:pt idx="727">
                  <c:v>-0.03</c:v>
                </c:pt>
                <c:pt idx="728">
                  <c:v>-0.03</c:v>
                </c:pt>
                <c:pt idx="729">
                  <c:v>-0.03</c:v>
                </c:pt>
                <c:pt idx="730">
                  <c:v>-0.03</c:v>
                </c:pt>
                <c:pt idx="731">
                  <c:v>-0.03</c:v>
                </c:pt>
                <c:pt idx="732">
                  <c:v>-0.03</c:v>
                </c:pt>
                <c:pt idx="733">
                  <c:v>-0.03</c:v>
                </c:pt>
                <c:pt idx="734">
                  <c:v>-0.03</c:v>
                </c:pt>
                <c:pt idx="735">
                  <c:v>-0.03</c:v>
                </c:pt>
                <c:pt idx="736">
                  <c:v>-0.03</c:v>
                </c:pt>
                <c:pt idx="737">
                  <c:v>-0.03</c:v>
                </c:pt>
                <c:pt idx="738">
                  <c:v>-0.03</c:v>
                </c:pt>
                <c:pt idx="739">
                  <c:v>-0.03</c:v>
                </c:pt>
                <c:pt idx="740">
                  <c:v>-0.03</c:v>
                </c:pt>
                <c:pt idx="741">
                  <c:v>-0.03</c:v>
                </c:pt>
                <c:pt idx="742">
                  <c:v>-0.03</c:v>
                </c:pt>
                <c:pt idx="743">
                  <c:v>-0.03</c:v>
                </c:pt>
                <c:pt idx="744">
                  <c:v>-0.03</c:v>
                </c:pt>
                <c:pt idx="745">
                  <c:v>-0.03</c:v>
                </c:pt>
                <c:pt idx="746">
                  <c:v>-0.03</c:v>
                </c:pt>
                <c:pt idx="747">
                  <c:v>-0.03</c:v>
                </c:pt>
                <c:pt idx="748">
                  <c:v>-0.03</c:v>
                </c:pt>
                <c:pt idx="749">
                  <c:v>-0.03</c:v>
                </c:pt>
                <c:pt idx="750">
                  <c:v>-0.03</c:v>
                </c:pt>
                <c:pt idx="751">
                  <c:v>-0.03</c:v>
                </c:pt>
                <c:pt idx="752">
                  <c:v>-0.03</c:v>
                </c:pt>
                <c:pt idx="753">
                  <c:v>-0.03</c:v>
                </c:pt>
                <c:pt idx="754">
                  <c:v>-0.03</c:v>
                </c:pt>
                <c:pt idx="755">
                  <c:v>-0.03</c:v>
                </c:pt>
                <c:pt idx="756">
                  <c:v>-0.03</c:v>
                </c:pt>
                <c:pt idx="757">
                  <c:v>-0.03</c:v>
                </c:pt>
                <c:pt idx="758">
                  <c:v>-0.03</c:v>
                </c:pt>
                <c:pt idx="759">
                  <c:v>-0.03</c:v>
                </c:pt>
                <c:pt idx="760">
                  <c:v>-0.03</c:v>
                </c:pt>
                <c:pt idx="761">
                  <c:v>-0.03</c:v>
                </c:pt>
                <c:pt idx="762">
                  <c:v>-0.03</c:v>
                </c:pt>
                <c:pt idx="763">
                  <c:v>-0.03</c:v>
                </c:pt>
                <c:pt idx="764">
                  <c:v>-0.03</c:v>
                </c:pt>
                <c:pt idx="765">
                  <c:v>-0.03</c:v>
                </c:pt>
                <c:pt idx="766">
                  <c:v>-0.03</c:v>
                </c:pt>
                <c:pt idx="767">
                  <c:v>-0.03</c:v>
                </c:pt>
                <c:pt idx="768">
                  <c:v>-0.03</c:v>
                </c:pt>
                <c:pt idx="769">
                  <c:v>-0.03</c:v>
                </c:pt>
                <c:pt idx="770">
                  <c:v>-0.03</c:v>
                </c:pt>
                <c:pt idx="771">
                  <c:v>-0.03</c:v>
                </c:pt>
                <c:pt idx="772">
                  <c:v>-0.03</c:v>
                </c:pt>
                <c:pt idx="773">
                  <c:v>-0.03</c:v>
                </c:pt>
                <c:pt idx="774">
                  <c:v>-0.03</c:v>
                </c:pt>
                <c:pt idx="775">
                  <c:v>-0.03</c:v>
                </c:pt>
                <c:pt idx="776">
                  <c:v>-0.03</c:v>
                </c:pt>
                <c:pt idx="777">
                  <c:v>-0.03</c:v>
                </c:pt>
                <c:pt idx="778">
                  <c:v>-0.03</c:v>
                </c:pt>
                <c:pt idx="779">
                  <c:v>-0.03</c:v>
                </c:pt>
                <c:pt idx="780">
                  <c:v>-0.03</c:v>
                </c:pt>
                <c:pt idx="781">
                  <c:v>-0.03</c:v>
                </c:pt>
                <c:pt idx="782">
                  <c:v>-0.03</c:v>
                </c:pt>
                <c:pt idx="783">
                  <c:v>-0.03</c:v>
                </c:pt>
                <c:pt idx="784">
                  <c:v>-0.03</c:v>
                </c:pt>
                <c:pt idx="785">
                  <c:v>-0.03</c:v>
                </c:pt>
                <c:pt idx="786">
                  <c:v>-0.03</c:v>
                </c:pt>
                <c:pt idx="787">
                  <c:v>-0.03</c:v>
                </c:pt>
                <c:pt idx="788">
                  <c:v>-0.03</c:v>
                </c:pt>
                <c:pt idx="789">
                  <c:v>-0.03</c:v>
                </c:pt>
                <c:pt idx="790">
                  <c:v>-0.03</c:v>
                </c:pt>
                <c:pt idx="791">
                  <c:v>-0.03</c:v>
                </c:pt>
                <c:pt idx="792">
                  <c:v>-0.03</c:v>
                </c:pt>
                <c:pt idx="793">
                  <c:v>-0.03</c:v>
                </c:pt>
                <c:pt idx="794">
                  <c:v>-0.03</c:v>
                </c:pt>
                <c:pt idx="795">
                  <c:v>-0.03</c:v>
                </c:pt>
                <c:pt idx="796">
                  <c:v>-0.03</c:v>
                </c:pt>
                <c:pt idx="797">
                  <c:v>-0.03</c:v>
                </c:pt>
                <c:pt idx="798">
                  <c:v>-0.03</c:v>
                </c:pt>
                <c:pt idx="799">
                  <c:v>-0.03</c:v>
                </c:pt>
                <c:pt idx="800">
                  <c:v>-0.03</c:v>
                </c:pt>
                <c:pt idx="801">
                  <c:v>-0.03</c:v>
                </c:pt>
                <c:pt idx="802">
                  <c:v>-0.03</c:v>
                </c:pt>
                <c:pt idx="803">
                  <c:v>-0.03</c:v>
                </c:pt>
                <c:pt idx="804">
                  <c:v>-0.03</c:v>
                </c:pt>
                <c:pt idx="805">
                  <c:v>-0.03</c:v>
                </c:pt>
                <c:pt idx="806">
                  <c:v>-0.03</c:v>
                </c:pt>
                <c:pt idx="807">
                  <c:v>-0.03</c:v>
                </c:pt>
                <c:pt idx="808">
                  <c:v>-0.03</c:v>
                </c:pt>
                <c:pt idx="809">
                  <c:v>-0.03</c:v>
                </c:pt>
                <c:pt idx="810">
                  <c:v>-0.03</c:v>
                </c:pt>
                <c:pt idx="811">
                  <c:v>-0.03</c:v>
                </c:pt>
                <c:pt idx="812">
                  <c:v>-0.03</c:v>
                </c:pt>
                <c:pt idx="813">
                  <c:v>-0.03</c:v>
                </c:pt>
                <c:pt idx="814">
                  <c:v>-0.03</c:v>
                </c:pt>
                <c:pt idx="815">
                  <c:v>-0.03</c:v>
                </c:pt>
                <c:pt idx="816">
                  <c:v>-0.03</c:v>
                </c:pt>
                <c:pt idx="817">
                  <c:v>-0.03</c:v>
                </c:pt>
                <c:pt idx="818">
                  <c:v>-0.03</c:v>
                </c:pt>
                <c:pt idx="819">
                  <c:v>-0.03</c:v>
                </c:pt>
                <c:pt idx="820">
                  <c:v>-0.03</c:v>
                </c:pt>
                <c:pt idx="821">
                  <c:v>-0.03</c:v>
                </c:pt>
                <c:pt idx="822">
                  <c:v>-0.03</c:v>
                </c:pt>
                <c:pt idx="823">
                  <c:v>-0.03</c:v>
                </c:pt>
                <c:pt idx="824">
                  <c:v>-0.03</c:v>
                </c:pt>
                <c:pt idx="825">
                  <c:v>-0.03</c:v>
                </c:pt>
                <c:pt idx="826">
                  <c:v>-0.03</c:v>
                </c:pt>
                <c:pt idx="827">
                  <c:v>-0.03</c:v>
                </c:pt>
                <c:pt idx="828">
                  <c:v>-0.03</c:v>
                </c:pt>
                <c:pt idx="829">
                  <c:v>-0.03</c:v>
                </c:pt>
                <c:pt idx="830">
                  <c:v>-0.03</c:v>
                </c:pt>
                <c:pt idx="831">
                  <c:v>-0.03</c:v>
                </c:pt>
                <c:pt idx="832">
                  <c:v>-0.03</c:v>
                </c:pt>
                <c:pt idx="833">
                  <c:v>-0.03</c:v>
                </c:pt>
                <c:pt idx="834">
                  <c:v>-0.03</c:v>
                </c:pt>
                <c:pt idx="835">
                  <c:v>-0.03</c:v>
                </c:pt>
                <c:pt idx="836">
                  <c:v>-0.03</c:v>
                </c:pt>
                <c:pt idx="837">
                  <c:v>-0.03</c:v>
                </c:pt>
                <c:pt idx="838">
                  <c:v>-0.03</c:v>
                </c:pt>
                <c:pt idx="839">
                  <c:v>-0.03</c:v>
                </c:pt>
                <c:pt idx="840">
                  <c:v>-0.03</c:v>
                </c:pt>
                <c:pt idx="841">
                  <c:v>-0.03</c:v>
                </c:pt>
                <c:pt idx="842">
                  <c:v>-0.03</c:v>
                </c:pt>
                <c:pt idx="843">
                  <c:v>-0.03</c:v>
                </c:pt>
                <c:pt idx="844">
                  <c:v>-0.03</c:v>
                </c:pt>
                <c:pt idx="845">
                  <c:v>-0.03</c:v>
                </c:pt>
                <c:pt idx="846">
                  <c:v>-0.03</c:v>
                </c:pt>
                <c:pt idx="847">
                  <c:v>-0.03</c:v>
                </c:pt>
                <c:pt idx="848">
                  <c:v>-0.03</c:v>
                </c:pt>
                <c:pt idx="849">
                  <c:v>-0.03</c:v>
                </c:pt>
                <c:pt idx="850">
                  <c:v>-0.03</c:v>
                </c:pt>
                <c:pt idx="851">
                  <c:v>-0.03</c:v>
                </c:pt>
                <c:pt idx="852">
                  <c:v>-0.03</c:v>
                </c:pt>
                <c:pt idx="853">
                  <c:v>-0.03</c:v>
                </c:pt>
                <c:pt idx="854">
                  <c:v>-0.03</c:v>
                </c:pt>
                <c:pt idx="855">
                  <c:v>-0.03</c:v>
                </c:pt>
                <c:pt idx="856">
                  <c:v>-0.03</c:v>
                </c:pt>
                <c:pt idx="857">
                  <c:v>-0.03</c:v>
                </c:pt>
                <c:pt idx="858">
                  <c:v>-0.03</c:v>
                </c:pt>
                <c:pt idx="859">
                  <c:v>-0.03</c:v>
                </c:pt>
                <c:pt idx="860">
                  <c:v>-0.03</c:v>
                </c:pt>
                <c:pt idx="861">
                  <c:v>-0.03</c:v>
                </c:pt>
                <c:pt idx="862">
                  <c:v>-0.03</c:v>
                </c:pt>
                <c:pt idx="863">
                  <c:v>-0.03</c:v>
                </c:pt>
                <c:pt idx="864">
                  <c:v>-0.03</c:v>
                </c:pt>
                <c:pt idx="865">
                  <c:v>-0.03</c:v>
                </c:pt>
                <c:pt idx="866">
                  <c:v>-0.03</c:v>
                </c:pt>
                <c:pt idx="867">
                  <c:v>-0.03</c:v>
                </c:pt>
                <c:pt idx="868">
                  <c:v>-0.03</c:v>
                </c:pt>
                <c:pt idx="869">
                  <c:v>-0.03</c:v>
                </c:pt>
                <c:pt idx="870">
                  <c:v>-0.03</c:v>
                </c:pt>
                <c:pt idx="871">
                  <c:v>-0.03</c:v>
                </c:pt>
                <c:pt idx="872">
                  <c:v>-0.03</c:v>
                </c:pt>
                <c:pt idx="873">
                  <c:v>-0.03</c:v>
                </c:pt>
                <c:pt idx="874">
                  <c:v>-0.03</c:v>
                </c:pt>
                <c:pt idx="875">
                  <c:v>-0.03</c:v>
                </c:pt>
                <c:pt idx="876">
                  <c:v>-0.03</c:v>
                </c:pt>
                <c:pt idx="877">
                  <c:v>-0.03</c:v>
                </c:pt>
                <c:pt idx="878">
                  <c:v>-0.03</c:v>
                </c:pt>
                <c:pt idx="879">
                  <c:v>-0.03</c:v>
                </c:pt>
                <c:pt idx="880">
                  <c:v>-0.03</c:v>
                </c:pt>
                <c:pt idx="881">
                  <c:v>-0.03</c:v>
                </c:pt>
                <c:pt idx="882">
                  <c:v>-0.03</c:v>
                </c:pt>
                <c:pt idx="883">
                  <c:v>-0.03</c:v>
                </c:pt>
                <c:pt idx="884">
                  <c:v>-0.03</c:v>
                </c:pt>
                <c:pt idx="885">
                  <c:v>-0.03</c:v>
                </c:pt>
                <c:pt idx="886">
                  <c:v>-0.03</c:v>
                </c:pt>
                <c:pt idx="887">
                  <c:v>-0.03</c:v>
                </c:pt>
                <c:pt idx="888">
                  <c:v>-0.03</c:v>
                </c:pt>
                <c:pt idx="889">
                  <c:v>-0.03</c:v>
                </c:pt>
                <c:pt idx="890">
                  <c:v>-0.03</c:v>
                </c:pt>
                <c:pt idx="891">
                  <c:v>-0.03</c:v>
                </c:pt>
                <c:pt idx="892">
                  <c:v>-0.03</c:v>
                </c:pt>
                <c:pt idx="893">
                  <c:v>-0.03</c:v>
                </c:pt>
                <c:pt idx="894">
                  <c:v>-0.03</c:v>
                </c:pt>
                <c:pt idx="895">
                  <c:v>-0.03</c:v>
                </c:pt>
                <c:pt idx="896">
                  <c:v>-0.03</c:v>
                </c:pt>
                <c:pt idx="897">
                  <c:v>-0.03</c:v>
                </c:pt>
                <c:pt idx="898">
                  <c:v>-0.03</c:v>
                </c:pt>
                <c:pt idx="899">
                  <c:v>-0.03</c:v>
                </c:pt>
                <c:pt idx="900">
                  <c:v>-0.03</c:v>
                </c:pt>
                <c:pt idx="901">
                  <c:v>-0.03</c:v>
                </c:pt>
                <c:pt idx="902">
                  <c:v>-0.03</c:v>
                </c:pt>
                <c:pt idx="903">
                  <c:v>-0.03</c:v>
                </c:pt>
                <c:pt idx="904">
                  <c:v>-0.03</c:v>
                </c:pt>
                <c:pt idx="905">
                  <c:v>-0.03</c:v>
                </c:pt>
                <c:pt idx="906">
                  <c:v>-0.03</c:v>
                </c:pt>
                <c:pt idx="907">
                  <c:v>-0.03</c:v>
                </c:pt>
                <c:pt idx="908">
                  <c:v>-0.03</c:v>
                </c:pt>
                <c:pt idx="909">
                  <c:v>-0.03</c:v>
                </c:pt>
                <c:pt idx="910">
                  <c:v>-0.03</c:v>
                </c:pt>
                <c:pt idx="911">
                  <c:v>-0.03</c:v>
                </c:pt>
                <c:pt idx="912">
                  <c:v>-0.03</c:v>
                </c:pt>
                <c:pt idx="913">
                  <c:v>-0.03</c:v>
                </c:pt>
                <c:pt idx="914">
                  <c:v>-0.03</c:v>
                </c:pt>
                <c:pt idx="915">
                  <c:v>-0.03</c:v>
                </c:pt>
                <c:pt idx="916">
                  <c:v>-0.03</c:v>
                </c:pt>
                <c:pt idx="917">
                  <c:v>-0.03</c:v>
                </c:pt>
                <c:pt idx="918">
                  <c:v>-0.03</c:v>
                </c:pt>
                <c:pt idx="919">
                  <c:v>-0.03</c:v>
                </c:pt>
                <c:pt idx="920">
                  <c:v>-0.03</c:v>
                </c:pt>
                <c:pt idx="921">
                  <c:v>-0.03</c:v>
                </c:pt>
                <c:pt idx="922">
                  <c:v>-0.03</c:v>
                </c:pt>
                <c:pt idx="923">
                  <c:v>-0.03</c:v>
                </c:pt>
                <c:pt idx="924">
                  <c:v>-0.03</c:v>
                </c:pt>
                <c:pt idx="925">
                  <c:v>-0.03</c:v>
                </c:pt>
                <c:pt idx="926">
                  <c:v>-0.03</c:v>
                </c:pt>
                <c:pt idx="927">
                  <c:v>-0.03</c:v>
                </c:pt>
                <c:pt idx="928">
                  <c:v>-0.03</c:v>
                </c:pt>
                <c:pt idx="929">
                  <c:v>-0.03</c:v>
                </c:pt>
                <c:pt idx="930">
                  <c:v>-0.03</c:v>
                </c:pt>
                <c:pt idx="931">
                  <c:v>-0.03</c:v>
                </c:pt>
                <c:pt idx="932">
                  <c:v>-0.03</c:v>
                </c:pt>
                <c:pt idx="933">
                  <c:v>-0.03</c:v>
                </c:pt>
                <c:pt idx="934">
                  <c:v>-0.03</c:v>
                </c:pt>
                <c:pt idx="935">
                  <c:v>-0.03</c:v>
                </c:pt>
                <c:pt idx="936">
                  <c:v>-0.03</c:v>
                </c:pt>
                <c:pt idx="937">
                  <c:v>-0.03</c:v>
                </c:pt>
                <c:pt idx="938">
                  <c:v>-0.03</c:v>
                </c:pt>
                <c:pt idx="939">
                  <c:v>-0.03</c:v>
                </c:pt>
                <c:pt idx="940">
                  <c:v>-0.03</c:v>
                </c:pt>
                <c:pt idx="941">
                  <c:v>-0.03</c:v>
                </c:pt>
                <c:pt idx="942">
                  <c:v>-0.03</c:v>
                </c:pt>
                <c:pt idx="943">
                  <c:v>-0.03</c:v>
                </c:pt>
                <c:pt idx="944">
                  <c:v>-0.03</c:v>
                </c:pt>
                <c:pt idx="945">
                  <c:v>-0.03</c:v>
                </c:pt>
                <c:pt idx="946">
                  <c:v>-0.03</c:v>
                </c:pt>
                <c:pt idx="947">
                  <c:v>-0.03</c:v>
                </c:pt>
                <c:pt idx="948">
                  <c:v>-0.03</c:v>
                </c:pt>
                <c:pt idx="949">
                  <c:v>-0.03</c:v>
                </c:pt>
                <c:pt idx="950">
                  <c:v>-0.03</c:v>
                </c:pt>
                <c:pt idx="951">
                  <c:v>-0.03</c:v>
                </c:pt>
                <c:pt idx="952">
                  <c:v>-0.03</c:v>
                </c:pt>
                <c:pt idx="953">
                  <c:v>-0.03</c:v>
                </c:pt>
                <c:pt idx="954">
                  <c:v>-0.03</c:v>
                </c:pt>
                <c:pt idx="955">
                  <c:v>-0.03</c:v>
                </c:pt>
                <c:pt idx="956">
                  <c:v>-0.03</c:v>
                </c:pt>
                <c:pt idx="957">
                  <c:v>-0.03</c:v>
                </c:pt>
                <c:pt idx="958">
                  <c:v>-0.03</c:v>
                </c:pt>
                <c:pt idx="959">
                  <c:v>-0.03</c:v>
                </c:pt>
                <c:pt idx="960">
                  <c:v>-0.03</c:v>
                </c:pt>
                <c:pt idx="961">
                  <c:v>-0.03</c:v>
                </c:pt>
                <c:pt idx="962">
                  <c:v>-0.03</c:v>
                </c:pt>
                <c:pt idx="963">
                  <c:v>-0.03</c:v>
                </c:pt>
                <c:pt idx="964">
                  <c:v>-0.03</c:v>
                </c:pt>
                <c:pt idx="965">
                  <c:v>-0.03</c:v>
                </c:pt>
                <c:pt idx="966">
                  <c:v>-0.03</c:v>
                </c:pt>
                <c:pt idx="967">
                  <c:v>-0.03</c:v>
                </c:pt>
                <c:pt idx="968">
                  <c:v>-0.03</c:v>
                </c:pt>
                <c:pt idx="969">
                  <c:v>-0.03</c:v>
                </c:pt>
                <c:pt idx="970">
                  <c:v>-0.03</c:v>
                </c:pt>
                <c:pt idx="971">
                  <c:v>-0.03</c:v>
                </c:pt>
                <c:pt idx="972">
                  <c:v>-0.03</c:v>
                </c:pt>
                <c:pt idx="973">
                  <c:v>-0.03</c:v>
                </c:pt>
                <c:pt idx="974">
                  <c:v>-0.03</c:v>
                </c:pt>
                <c:pt idx="975">
                  <c:v>-0.03</c:v>
                </c:pt>
                <c:pt idx="976">
                  <c:v>-0.03</c:v>
                </c:pt>
                <c:pt idx="977">
                  <c:v>-0.03</c:v>
                </c:pt>
                <c:pt idx="978">
                  <c:v>-0.03</c:v>
                </c:pt>
                <c:pt idx="979">
                  <c:v>-0.03</c:v>
                </c:pt>
                <c:pt idx="980">
                  <c:v>-0.03</c:v>
                </c:pt>
                <c:pt idx="981">
                  <c:v>-0.03</c:v>
                </c:pt>
                <c:pt idx="982">
                  <c:v>-0.03</c:v>
                </c:pt>
                <c:pt idx="983">
                  <c:v>-0.03</c:v>
                </c:pt>
                <c:pt idx="984">
                  <c:v>-0.03</c:v>
                </c:pt>
                <c:pt idx="985">
                  <c:v>-0.03</c:v>
                </c:pt>
                <c:pt idx="986">
                  <c:v>-0.03</c:v>
                </c:pt>
                <c:pt idx="987">
                  <c:v>-0.03</c:v>
                </c:pt>
                <c:pt idx="988">
                  <c:v>-0.03</c:v>
                </c:pt>
                <c:pt idx="989">
                  <c:v>-0.03</c:v>
                </c:pt>
                <c:pt idx="990">
                  <c:v>-0.03</c:v>
                </c:pt>
                <c:pt idx="991">
                  <c:v>-0.03</c:v>
                </c:pt>
                <c:pt idx="992">
                  <c:v>-0.03</c:v>
                </c:pt>
                <c:pt idx="993">
                  <c:v>-0.03</c:v>
                </c:pt>
                <c:pt idx="994">
                  <c:v>-0.03</c:v>
                </c:pt>
                <c:pt idx="995">
                  <c:v>-0.03</c:v>
                </c:pt>
                <c:pt idx="996">
                  <c:v>-0.03</c:v>
                </c:pt>
                <c:pt idx="997">
                  <c:v>-0.03</c:v>
                </c:pt>
                <c:pt idx="998">
                  <c:v>-0.03</c:v>
                </c:pt>
                <c:pt idx="999">
                  <c:v>-0.03</c:v>
                </c:pt>
                <c:pt idx="1000">
                  <c:v>-0.03</c:v>
                </c:pt>
                <c:pt idx="1001">
                  <c:v>-0.03</c:v>
                </c:pt>
                <c:pt idx="1002">
                  <c:v>-0.03</c:v>
                </c:pt>
                <c:pt idx="1003">
                  <c:v>-0.03</c:v>
                </c:pt>
                <c:pt idx="1004">
                  <c:v>-0.03</c:v>
                </c:pt>
                <c:pt idx="1005">
                  <c:v>-0.03</c:v>
                </c:pt>
                <c:pt idx="1006">
                  <c:v>-0.03</c:v>
                </c:pt>
                <c:pt idx="1007">
                  <c:v>-0.03</c:v>
                </c:pt>
                <c:pt idx="1008">
                  <c:v>-0.03</c:v>
                </c:pt>
                <c:pt idx="1009">
                  <c:v>-0.03</c:v>
                </c:pt>
                <c:pt idx="1010">
                  <c:v>-0.03</c:v>
                </c:pt>
                <c:pt idx="1011">
                  <c:v>-0.03</c:v>
                </c:pt>
                <c:pt idx="1012">
                  <c:v>-0.03</c:v>
                </c:pt>
                <c:pt idx="1013">
                  <c:v>-0.03</c:v>
                </c:pt>
                <c:pt idx="1014">
                  <c:v>-0.03</c:v>
                </c:pt>
                <c:pt idx="1015">
                  <c:v>-0.03</c:v>
                </c:pt>
                <c:pt idx="1016">
                  <c:v>-0.03</c:v>
                </c:pt>
                <c:pt idx="1017">
                  <c:v>-0.03</c:v>
                </c:pt>
                <c:pt idx="1018">
                  <c:v>-0.03</c:v>
                </c:pt>
                <c:pt idx="1019">
                  <c:v>-0.03</c:v>
                </c:pt>
                <c:pt idx="1020">
                  <c:v>-0.03</c:v>
                </c:pt>
                <c:pt idx="1021">
                  <c:v>-0.03</c:v>
                </c:pt>
                <c:pt idx="1022">
                  <c:v>-0.03</c:v>
                </c:pt>
                <c:pt idx="1023">
                  <c:v>-0.03</c:v>
                </c:pt>
                <c:pt idx="1024">
                  <c:v>-0.03</c:v>
                </c:pt>
                <c:pt idx="1025">
                  <c:v>-0.03</c:v>
                </c:pt>
                <c:pt idx="1026">
                  <c:v>-0.03</c:v>
                </c:pt>
                <c:pt idx="1027">
                  <c:v>-0.03</c:v>
                </c:pt>
                <c:pt idx="1028">
                  <c:v>-0.03</c:v>
                </c:pt>
                <c:pt idx="1029">
                  <c:v>-0.03</c:v>
                </c:pt>
                <c:pt idx="1030">
                  <c:v>-0.03</c:v>
                </c:pt>
                <c:pt idx="1031">
                  <c:v>-0.03</c:v>
                </c:pt>
                <c:pt idx="1032">
                  <c:v>-0.03</c:v>
                </c:pt>
                <c:pt idx="1033">
                  <c:v>-0.03</c:v>
                </c:pt>
                <c:pt idx="1034">
                  <c:v>-0.03</c:v>
                </c:pt>
                <c:pt idx="1035">
                  <c:v>-0.03</c:v>
                </c:pt>
                <c:pt idx="1036">
                  <c:v>-0.03</c:v>
                </c:pt>
                <c:pt idx="1037">
                  <c:v>-0.03</c:v>
                </c:pt>
                <c:pt idx="1038">
                  <c:v>-0.03</c:v>
                </c:pt>
                <c:pt idx="1039">
                  <c:v>-0.03</c:v>
                </c:pt>
                <c:pt idx="1040">
                  <c:v>-0.03</c:v>
                </c:pt>
                <c:pt idx="1041">
                  <c:v>-0.03</c:v>
                </c:pt>
                <c:pt idx="1042">
                  <c:v>-0.03</c:v>
                </c:pt>
                <c:pt idx="1043">
                  <c:v>-0.03</c:v>
                </c:pt>
                <c:pt idx="1044">
                  <c:v>-0.03</c:v>
                </c:pt>
                <c:pt idx="1045">
                  <c:v>-0.03</c:v>
                </c:pt>
                <c:pt idx="1046">
                  <c:v>-0.03</c:v>
                </c:pt>
                <c:pt idx="1047">
                  <c:v>-0.03</c:v>
                </c:pt>
                <c:pt idx="1048">
                  <c:v>-0.03</c:v>
                </c:pt>
                <c:pt idx="1049">
                  <c:v>-0.03</c:v>
                </c:pt>
                <c:pt idx="1050">
                  <c:v>-0.03</c:v>
                </c:pt>
                <c:pt idx="1051">
                  <c:v>-0.03</c:v>
                </c:pt>
                <c:pt idx="1052">
                  <c:v>-0.03</c:v>
                </c:pt>
                <c:pt idx="1053">
                  <c:v>-0.03</c:v>
                </c:pt>
                <c:pt idx="1054">
                  <c:v>-0.03</c:v>
                </c:pt>
                <c:pt idx="1055">
                  <c:v>-0.03</c:v>
                </c:pt>
                <c:pt idx="1056">
                  <c:v>-0.03</c:v>
                </c:pt>
                <c:pt idx="1057">
                  <c:v>-0.03</c:v>
                </c:pt>
                <c:pt idx="1058">
                  <c:v>-0.03</c:v>
                </c:pt>
                <c:pt idx="1059">
                  <c:v>-0.03</c:v>
                </c:pt>
                <c:pt idx="1060">
                  <c:v>-0.03</c:v>
                </c:pt>
                <c:pt idx="1061">
                  <c:v>-0.03</c:v>
                </c:pt>
                <c:pt idx="1062">
                  <c:v>-0.03</c:v>
                </c:pt>
                <c:pt idx="1063">
                  <c:v>-0.03</c:v>
                </c:pt>
                <c:pt idx="1064">
                  <c:v>-0.03</c:v>
                </c:pt>
                <c:pt idx="1065">
                  <c:v>-0.03</c:v>
                </c:pt>
                <c:pt idx="1066">
                  <c:v>-0.03</c:v>
                </c:pt>
                <c:pt idx="1067">
                  <c:v>-0.03</c:v>
                </c:pt>
                <c:pt idx="1068">
                  <c:v>-0.03</c:v>
                </c:pt>
                <c:pt idx="1069">
                  <c:v>-0.03</c:v>
                </c:pt>
                <c:pt idx="1070">
                  <c:v>-0.03</c:v>
                </c:pt>
                <c:pt idx="1071">
                  <c:v>-0.03</c:v>
                </c:pt>
                <c:pt idx="1072">
                  <c:v>-0.03</c:v>
                </c:pt>
                <c:pt idx="1073">
                  <c:v>-0.03</c:v>
                </c:pt>
                <c:pt idx="1074">
                  <c:v>-0.03</c:v>
                </c:pt>
                <c:pt idx="1075">
                  <c:v>-0.03</c:v>
                </c:pt>
                <c:pt idx="1076">
                  <c:v>-0.03</c:v>
                </c:pt>
                <c:pt idx="1077">
                  <c:v>-0.03</c:v>
                </c:pt>
                <c:pt idx="1078">
                  <c:v>-0.03</c:v>
                </c:pt>
                <c:pt idx="1079">
                  <c:v>-0.03</c:v>
                </c:pt>
                <c:pt idx="1080">
                  <c:v>-0.03</c:v>
                </c:pt>
                <c:pt idx="1081">
                  <c:v>-0.03</c:v>
                </c:pt>
                <c:pt idx="1082">
                  <c:v>-0.03</c:v>
                </c:pt>
                <c:pt idx="1083">
                  <c:v>-0.03</c:v>
                </c:pt>
                <c:pt idx="1084">
                  <c:v>-0.03</c:v>
                </c:pt>
                <c:pt idx="1085">
                  <c:v>-0.03</c:v>
                </c:pt>
                <c:pt idx="1086">
                  <c:v>-0.03</c:v>
                </c:pt>
                <c:pt idx="1087">
                  <c:v>-0.03</c:v>
                </c:pt>
                <c:pt idx="1088">
                  <c:v>-0.03</c:v>
                </c:pt>
                <c:pt idx="1089">
                  <c:v>-0.03</c:v>
                </c:pt>
                <c:pt idx="1090">
                  <c:v>-0.03</c:v>
                </c:pt>
                <c:pt idx="1091">
                  <c:v>-0.03</c:v>
                </c:pt>
                <c:pt idx="1092">
                  <c:v>-0.03</c:v>
                </c:pt>
                <c:pt idx="1093">
                  <c:v>-0.03</c:v>
                </c:pt>
                <c:pt idx="1094">
                  <c:v>-0.03</c:v>
                </c:pt>
                <c:pt idx="1095">
                  <c:v>-0.03</c:v>
                </c:pt>
                <c:pt idx="1096">
                  <c:v>-0.03</c:v>
                </c:pt>
                <c:pt idx="1097">
                  <c:v>-0.03</c:v>
                </c:pt>
                <c:pt idx="1098">
                  <c:v>-0.03</c:v>
                </c:pt>
                <c:pt idx="1099">
                  <c:v>-0.03</c:v>
                </c:pt>
                <c:pt idx="1100">
                  <c:v>-0.03</c:v>
                </c:pt>
                <c:pt idx="1101">
                  <c:v>-0.03</c:v>
                </c:pt>
                <c:pt idx="1102">
                  <c:v>-0.03</c:v>
                </c:pt>
                <c:pt idx="1103">
                  <c:v>-0.03</c:v>
                </c:pt>
                <c:pt idx="1104">
                  <c:v>-0.03</c:v>
                </c:pt>
                <c:pt idx="1105">
                  <c:v>-0.03</c:v>
                </c:pt>
                <c:pt idx="1106">
                  <c:v>-0.03</c:v>
                </c:pt>
                <c:pt idx="1107">
                  <c:v>-0.03</c:v>
                </c:pt>
                <c:pt idx="1108">
                  <c:v>-0.03</c:v>
                </c:pt>
                <c:pt idx="1109">
                  <c:v>-0.03</c:v>
                </c:pt>
                <c:pt idx="1110">
                  <c:v>-0.03</c:v>
                </c:pt>
                <c:pt idx="1111">
                  <c:v>-0.03</c:v>
                </c:pt>
                <c:pt idx="1112">
                  <c:v>-0.03</c:v>
                </c:pt>
                <c:pt idx="1113">
                  <c:v>-0.03</c:v>
                </c:pt>
                <c:pt idx="1114">
                  <c:v>-0.03</c:v>
                </c:pt>
                <c:pt idx="1115">
                  <c:v>-0.03</c:v>
                </c:pt>
                <c:pt idx="1116">
                  <c:v>-0.03</c:v>
                </c:pt>
                <c:pt idx="1117">
                  <c:v>-0.03</c:v>
                </c:pt>
                <c:pt idx="1118">
                  <c:v>-0.03</c:v>
                </c:pt>
                <c:pt idx="1119">
                  <c:v>-0.03</c:v>
                </c:pt>
                <c:pt idx="1120">
                  <c:v>-0.03</c:v>
                </c:pt>
                <c:pt idx="1121">
                  <c:v>-0.03</c:v>
                </c:pt>
                <c:pt idx="1122">
                  <c:v>-0.03</c:v>
                </c:pt>
                <c:pt idx="1123">
                  <c:v>-0.03</c:v>
                </c:pt>
                <c:pt idx="1124">
                  <c:v>-0.03</c:v>
                </c:pt>
                <c:pt idx="1125">
                  <c:v>-0.03</c:v>
                </c:pt>
                <c:pt idx="1126">
                  <c:v>-0.03</c:v>
                </c:pt>
                <c:pt idx="1127">
                  <c:v>-0.03</c:v>
                </c:pt>
                <c:pt idx="1128">
                  <c:v>-0.03</c:v>
                </c:pt>
                <c:pt idx="1129">
                  <c:v>-0.03</c:v>
                </c:pt>
                <c:pt idx="1130">
                  <c:v>-0.03</c:v>
                </c:pt>
                <c:pt idx="1131">
                  <c:v>-0.03</c:v>
                </c:pt>
                <c:pt idx="1132">
                  <c:v>-0.03</c:v>
                </c:pt>
                <c:pt idx="1133">
                  <c:v>-0.03</c:v>
                </c:pt>
                <c:pt idx="1134">
                  <c:v>-0.03</c:v>
                </c:pt>
                <c:pt idx="1135">
                  <c:v>-0.03</c:v>
                </c:pt>
                <c:pt idx="1136">
                  <c:v>-0.03</c:v>
                </c:pt>
                <c:pt idx="1137">
                  <c:v>-0.03</c:v>
                </c:pt>
                <c:pt idx="1138">
                  <c:v>-0.03</c:v>
                </c:pt>
                <c:pt idx="1139">
                  <c:v>-0.03</c:v>
                </c:pt>
                <c:pt idx="1140">
                  <c:v>-0.03</c:v>
                </c:pt>
                <c:pt idx="1141">
                  <c:v>-0.03</c:v>
                </c:pt>
                <c:pt idx="1142">
                  <c:v>-0.03</c:v>
                </c:pt>
                <c:pt idx="1143">
                  <c:v>-0.03</c:v>
                </c:pt>
                <c:pt idx="1144">
                  <c:v>-0.03</c:v>
                </c:pt>
                <c:pt idx="1145">
                  <c:v>-0.03</c:v>
                </c:pt>
                <c:pt idx="1146">
                  <c:v>-0.03</c:v>
                </c:pt>
                <c:pt idx="1147">
                  <c:v>-0.03</c:v>
                </c:pt>
                <c:pt idx="1148">
                  <c:v>-0.03</c:v>
                </c:pt>
                <c:pt idx="1149">
                  <c:v>-0.03</c:v>
                </c:pt>
                <c:pt idx="1150">
                  <c:v>-0.03</c:v>
                </c:pt>
                <c:pt idx="1151">
                  <c:v>-0.03</c:v>
                </c:pt>
                <c:pt idx="1152">
                  <c:v>-0.03</c:v>
                </c:pt>
                <c:pt idx="1153">
                  <c:v>-0.03</c:v>
                </c:pt>
                <c:pt idx="1154">
                  <c:v>-0.03</c:v>
                </c:pt>
                <c:pt idx="1155">
                  <c:v>-0.03</c:v>
                </c:pt>
                <c:pt idx="1156">
                  <c:v>-0.03</c:v>
                </c:pt>
                <c:pt idx="1157">
                  <c:v>-0.03</c:v>
                </c:pt>
                <c:pt idx="1158">
                  <c:v>-0.03</c:v>
                </c:pt>
                <c:pt idx="1159">
                  <c:v>-0.03</c:v>
                </c:pt>
                <c:pt idx="1160">
                  <c:v>-0.03</c:v>
                </c:pt>
                <c:pt idx="1161">
                  <c:v>-0.03</c:v>
                </c:pt>
                <c:pt idx="1162">
                  <c:v>-0.03</c:v>
                </c:pt>
                <c:pt idx="1163">
                  <c:v>-0.03</c:v>
                </c:pt>
                <c:pt idx="1164">
                  <c:v>-0.03</c:v>
                </c:pt>
                <c:pt idx="1165">
                  <c:v>-0.03</c:v>
                </c:pt>
                <c:pt idx="1166">
                  <c:v>-0.03</c:v>
                </c:pt>
                <c:pt idx="1167">
                  <c:v>-0.03</c:v>
                </c:pt>
                <c:pt idx="1168">
                  <c:v>-0.03</c:v>
                </c:pt>
                <c:pt idx="1169">
                  <c:v>-0.03</c:v>
                </c:pt>
                <c:pt idx="1170">
                  <c:v>-0.03</c:v>
                </c:pt>
                <c:pt idx="1171">
                  <c:v>-0.03</c:v>
                </c:pt>
                <c:pt idx="1172">
                  <c:v>-0.03</c:v>
                </c:pt>
                <c:pt idx="1173">
                  <c:v>-0.03</c:v>
                </c:pt>
                <c:pt idx="1174">
                  <c:v>-0.03</c:v>
                </c:pt>
                <c:pt idx="1175">
                  <c:v>-0.03</c:v>
                </c:pt>
                <c:pt idx="1176">
                  <c:v>-0.03</c:v>
                </c:pt>
                <c:pt idx="1177">
                  <c:v>-0.03</c:v>
                </c:pt>
                <c:pt idx="1178">
                  <c:v>-0.03</c:v>
                </c:pt>
                <c:pt idx="1179">
                  <c:v>-0.03</c:v>
                </c:pt>
                <c:pt idx="1180">
                  <c:v>-0.03</c:v>
                </c:pt>
                <c:pt idx="1181">
                  <c:v>-0.03</c:v>
                </c:pt>
                <c:pt idx="1182">
                  <c:v>-0.03</c:v>
                </c:pt>
                <c:pt idx="1183">
                  <c:v>-0.03</c:v>
                </c:pt>
                <c:pt idx="1184">
                  <c:v>-0.03</c:v>
                </c:pt>
                <c:pt idx="1185">
                  <c:v>-0.03</c:v>
                </c:pt>
                <c:pt idx="1186">
                  <c:v>-0.03</c:v>
                </c:pt>
                <c:pt idx="1187">
                  <c:v>-0.03</c:v>
                </c:pt>
                <c:pt idx="1188">
                  <c:v>-0.03</c:v>
                </c:pt>
                <c:pt idx="1189">
                  <c:v>-0.03</c:v>
                </c:pt>
                <c:pt idx="1190">
                  <c:v>-0.03</c:v>
                </c:pt>
                <c:pt idx="1191">
                  <c:v>-0.03</c:v>
                </c:pt>
                <c:pt idx="1192">
                  <c:v>-0.03</c:v>
                </c:pt>
                <c:pt idx="1193">
                  <c:v>-0.03</c:v>
                </c:pt>
                <c:pt idx="1194">
                  <c:v>-0.03</c:v>
                </c:pt>
                <c:pt idx="1195">
                  <c:v>-0.03</c:v>
                </c:pt>
                <c:pt idx="1196">
                  <c:v>-0.03</c:v>
                </c:pt>
                <c:pt idx="1197">
                  <c:v>-0.03</c:v>
                </c:pt>
                <c:pt idx="1198">
                  <c:v>-0.03</c:v>
                </c:pt>
                <c:pt idx="1199">
                  <c:v>-0.03</c:v>
                </c:pt>
                <c:pt idx="1200">
                  <c:v>-0.03</c:v>
                </c:pt>
                <c:pt idx="1201">
                  <c:v>-0.03</c:v>
                </c:pt>
                <c:pt idx="1202">
                  <c:v>-0.03</c:v>
                </c:pt>
                <c:pt idx="1203">
                  <c:v>-0.03</c:v>
                </c:pt>
                <c:pt idx="1204">
                  <c:v>-0.03</c:v>
                </c:pt>
                <c:pt idx="1205">
                  <c:v>-0.03</c:v>
                </c:pt>
                <c:pt idx="1206">
                  <c:v>-0.03</c:v>
                </c:pt>
                <c:pt idx="1207">
                  <c:v>-0.03</c:v>
                </c:pt>
                <c:pt idx="1208">
                  <c:v>-0.03</c:v>
                </c:pt>
                <c:pt idx="1209">
                  <c:v>-0.03</c:v>
                </c:pt>
                <c:pt idx="1210">
                  <c:v>-0.03</c:v>
                </c:pt>
                <c:pt idx="1211">
                  <c:v>-0.03</c:v>
                </c:pt>
                <c:pt idx="1212">
                  <c:v>-0.03</c:v>
                </c:pt>
                <c:pt idx="1213">
                  <c:v>-0.03</c:v>
                </c:pt>
                <c:pt idx="1214">
                  <c:v>-0.03</c:v>
                </c:pt>
                <c:pt idx="1215">
                  <c:v>-0.03</c:v>
                </c:pt>
                <c:pt idx="1216">
                  <c:v>-0.03</c:v>
                </c:pt>
                <c:pt idx="1217">
                  <c:v>-0.03</c:v>
                </c:pt>
                <c:pt idx="1218">
                  <c:v>-0.03</c:v>
                </c:pt>
                <c:pt idx="1219">
                  <c:v>-0.03</c:v>
                </c:pt>
                <c:pt idx="1220">
                  <c:v>-0.03</c:v>
                </c:pt>
                <c:pt idx="1221">
                  <c:v>-0.03</c:v>
                </c:pt>
                <c:pt idx="1222">
                  <c:v>-0.03</c:v>
                </c:pt>
                <c:pt idx="1223">
                  <c:v>-0.03</c:v>
                </c:pt>
                <c:pt idx="1224">
                  <c:v>-0.03</c:v>
                </c:pt>
                <c:pt idx="1225">
                  <c:v>-0.03</c:v>
                </c:pt>
                <c:pt idx="1226">
                  <c:v>-0.03</c:v>
                </c:pt>
                <c:pt idx="1227">
                  <c:v>-0.03</c:v>
                </c:pt>
                <c:pt idx="1228">
                  <c:v>-0.03</c:v>
                </c:pt>
                <c:pt idx="1229">
                  <c:v>-0.03</c:v>
                </c:pt>
                <c:pt idx="1230">
                  <c:v>-0.03</c:v>
                </c:pt>
                <c:pt idx="1231">
                  <c:v>-0.03</c:v>
                </c:pt>
                <c:pt idx="1232">
                  <c:v>-0.03</c:v>
                </c:pt>
                <c:pt idx="1233">
                  <c:v>-0.03</c:v>
                </c:pt>
                <c:pt idx="1234">
                  <c:v>-0.03</c:v>
                </c:pt>
                <c:pt idx="1235">
                  <c:v>-0.03</c:v>
                </c:pt>
                <c:pt idx="1236">
                  <c:v>-0.03</c:v>
                </c:pt>
                <c:pt idx="1237">
                  <c:v>-0.03</c:v>
                </c:pt>
                <c:pt idx="1238">
                  <c:v>-0.03</c:v>
                </c:pt>
                <c:pt idx="1239">
                  <c:v>-0.03</c:v>
                </c:pt>
                <c:pt idx="1240">
                  <c:v>-0.03</c:v>
                </c:pt>
                <c:pt idx="1241">
                  <c:v>-0.03</c:v>
                </c:pt>
                <c:pt idx="1242">
                  <c:v>-0.03</c:v>
                </c:pt>
                <c:pt idx="1243">
                  <c:v>-0.03</c:v>
                </c:pt>
                <c:pt idx="1244">
                  <c:v>-0.03</c:v>
                </c:pt>
                <c:pt idx="1245">
                  <c:v>-0.03</c:v>
                </c:pt>
                <c:pt idx="1246">
                  <c:v>-0.03</c:v>
                </c:pt>
                <c:pt idx="1247">
                  <c:v>-0.03</c:v>
                </c:pt>
                <c:pt idx="1248">
                  <c:v>-0.03</c:v>
                </c:pt>
                <c:pt idx="1249">
                  <c:v>-0.03</c:v>
                </c:pt>
                <c:pt idx="1250">
                  <c:v>-0.03</c:v>
                </c:pt>
                <c:pt idx="1251">
                  <c:v>-0.03</c:v>
                </c:pt>
                <c:pt idx="1252">
                  <c:v>-0.03</c:v>
                </c:pt>
                <c:pt idx="1253">
                  <c:v>-0.03</c:v>
                </c:pt>
                <c:pt idx="1254">
                  <c:v>-0.03</c:v>
                </c:pt>
                <c:pt idx="1255">
                  <c:v>-0.03</c:v>
                </c:pt>
                <c:pt idx="1256">
                  <c:v>-0.03</c:v>
                </c:pt>
                <c:pt idx="1257">
                  <c:v>-0.03</c:v>
                </c:pt>
                <c:pt idx="1258">
                  <c:v>-0.03</c:v>
                </c:pt>
                <c:pt idx="1259">
                  <c:v>-0.03</c:v>
                </c:pt>
                <c:pt idx="1260">
                  <c:v>-0.03</c:v>
                </c:pt>
                <c:pt idx="1261">
                  <c:v>-0.03</c:v>
                </c:pt>
                <c:pt idx="1262">
                  <c:v>-0.03</c:v>
                </c:pt>
                <c:pt idx="1263">
                  <c:v>-0.03</c:v>
                </c:pt>
                <c:pt idx="1264">
                  <c:v>-0.03</c:v>
                </c:pt>
                <c:pt idx="1265">
                  <c:v>-0.03</c:v>
                </c:pt>
                <c:pt idx="1266">
                  <c:v>-0.03</c:v>
                </c:pt>
                <c:pt idx="1267">
                  <c:v>-0.03</c:v>
                </c:pt>
                <c:pt idx="1268">
                  <c:v>-0.03</c:v>
                </c:pt>
                <c:pt idx="1269">
                  <c:v>-0.03</c:v>
                </c:pt>
                <c:pt idx="1270">
                  <c:v>-0.03</c:v>
                </c:pt>
                <c:pt idx="1271">
                  <c:v>-0.03</c:v>
                </c:pt>
                <c:pt idx="1272">
                  <c:v>-0.03</c:v>
                </c:pt>
                <c:pt idx="1273">
                  <c:v>-0.03</c:v>
                </c:pt>
                <c:pt idx="1274">
                  <c:v>-0.03</c:v>
                </c:pt>
                <c:pt idx="1275">
                  <c:v>-0.03</c:v>
                </c:pt>
                <c:pt idx="1276">
                  <c:v>-0.03</c:v>
                </c:pt>
                <c:pt idx="1277">
                  <c:v>-0.03</c:v>
                </c:pt>
                <c:pt idx="1278">
                  <c:v>-0.03</c:v>
                </c:pt>
                <c:pt idx="1279">
                  <c:v>-0.03</c:v>
                </c:pt>
                <c:pt idx="1280">
                  <c:v>-0.03</c:v>
                </c:pt>
                <c:pt idx="1281">
                  <c:v>-0.03</c:v>
                </c:pt>
                <c:pt idx="1282">
                  <c:v>-0.03</c:v>
                </c:pt>
                <c:pt idx="1283">
                  <c:v>-0.03</c:v>
                </c:pt>
                <c:pt idx="1284">
                  <c:v>-0.03</c:v>
                </c:pt>
                <c:pt idx="1285">
                  <c:v>-0.03</c:v>
                </c:pt>
                <c:pt idx="1286">
                  <c:v>-0.03</c:v>
                </c:pt>
                <c:pt idx="1287">
                  <c:v>-0.03</c:v>
                </c:pt>
                <c:pt idx="1288">
                  <c:v>-0.03</c:v>
                </c:pt>
                <c:pt idx="1289">
                  <c:v>-0.03</c:v>
                </c:pt>
                <c:pt idx="1290">
                  <c:v>-0.03</c:v>
                </c:pt>
                <c:pt idx="1291">
                  <c:v>-0.03</c:v>
                </c:pt>
                <c:pt idx="1292">
                  <c:v>-0.03</c:v>
                </c:pt>
                <c:pt idx="1293">
                  <c:v>-0.03</c:v>
                </c:pt>
                <c:pt idx="1294">
                  <c:v>-0.03</c:v>
                </c:pt>
                <c:pt idx="1295">
                  <c:v>-0.03</c:v>
                </c:pt>
                <c:pt idx="1296">
                  <c:v>-0.03</c:v>
                </c:pt>
                <c:pt idx="1297">
                  <c:v>-0.03</c:v>
                </c:pt>
                <c:pt idx="1298">
                  <c:v>-0.03</c:v>
                </c:pt>
                <c:pt idx="1299">
                  <c:v>-0.03</c:v>
                </c:pt>
                <c:pt idx="1300">
                  <c:v>-0.03</c:v>
                </c:pt>
                <c:pt idx="1301">
                  <c:v>-0.03</c:v>
                </c:pt>
                <c:pt idx="1302">
                  <c:v>-0.03</c:v>
                </c:pt>
                <c:pt idx="1303">
                  <c:v>-0.03</c:v>
                </c:pt>
                <c:pt idx="1304">
                  <c:v>-0.03</c:v>
                </c:pt>
                <c:pt idx="1305">
                  <c:v>-0.03</c:v>
                </c:pt>
                <c:pt idx="1306">
                  <c:v>-0.03</c:v>
                </c:pt>
                <c:pt idx="1307">
                  <c:v>-0.03</c:v>
                </c:pt>
                <c:pt idx="1308">
                  <c:v>-0.03</c:v>
                </c:pt>
                <c:pt idx="1309">
                  <c:v>-0.03</c:v>
                </c:pt>
                <c:pt idx="1310">
                  <c:v>-0.03</c:v>
                </c:pt>
                <c:pt idx="1311">
                  <c:v>-0.03</c:v>
                </c:pt>
                <c:pt idx="1312">
                  <c:v>-0.03</c:v>
                </c:pt>
                <c:pt idx="1313">
                  <c:v>-0.03</c:v>
                </c:pt>
                <c:pt idx="1314">
                  <c:v>-0.03</c:v>
                </c:pt>
                <c:pt idx="1315">
                  <c:v>-0.03</c:v>
                </c:pt>
                <c:pt idx="1316">
                  <c:v>-0.03</c:v>
                </c:pt>
                <c:pt idx="1317">
                  <c:v>-0.03</c:v>
                </c:pt>
                <c:pt idx="1318">
                  <c:v>-0.03</c:v>
                </c:pt>
                <c:pt idx="1319">
                  <c:v>-0.03</c:v>
                </c:pt>
                <c:pt idx="1320">
                  <c:v>-0.03</c:v>
                </c:pt>
                <c:pt idx="1321">
                  <c:v>-0.03</c:v>
                </c:pt>
                <c:pt idx="1322">
                  <c:v>-0.03</c:v>
                </c:pt>
                <c:pt idx="1323">
                  <c:v>-0.03</c:v>
                </c:pt>
                <c:pt idx="1324">
                  <c:v>-0.03</c:v>
                </c:pt>
                <c:pt idx="1325">
                  <c:v>-0.03</c:v>
                </c:pt>
                <c:pt idx="1326">
                  <c:v>-0.03</c:v>
                </c:pt>
                <c:pt idx="1327">
                  <c:v>-0.03</c:v>
                </c:pt>
                <c:pt idx="1328">
                  <c:v>-0.03</c:v>
                </c:pt>
                <c:pt idx="1329">
                  <c:v>-0.03</c:v>
                </c:pt>
                <c:pt idx="1330">
                  <c:v>-0.03</c:v>
                </c:pt>
                <c:pt idx="1331">
                  <c:v>-0.03</c:v>
                </c:pt>
                <c:pt idx="1332">
                  <c:v>-0.03</c:v>
                </c:pt>
                <c:pt idx="1333">
                  <c:v>-0.03</c:v>
                </c:pt>
                <c:pt idx="1334">
                  <c:v>-0.03</c:v>
                </c:pt>
                <c:pt idx="1335">
                  <c:v>-0.03</c:v>
                </c:pt>
                <c:pt idx="1336">
                  <c:v>-0.03</c:v>
                </c:pt>
                <c:pt idx="1337">
                  <c:v>-0.03</c:v>
                </c:pt>
                <c:pt idx="1338">
                  <c:v>-0.03</c:v>
                </c:pt>
                <c:pt idx="1339">
                  <c:v>-0.03</c:v>
                </c:pt>
                <c:pt idx="1340">
                  <c:v>-0.03</c:v>
                </c:pt>
                <c:pt idx="1341">
                  <c:v>-0.03</c:v>
                </c:pt>
                <c:pt idx="1342">
                  <c:v>-0.03</c:v>
                </c:pt>
                <c:pt idx="1343">
                  <c:v>-0.03</c:v>
                </c:pt>
                <c:pt idx="1344">
                  <c:v>-0.03</c:v>
                </c:pt>
                <c:pt idx="1345">
                  <c:v>-0.03</c:v>
                </c:pt>
                <c:pt idx="1346">
                  <c:v>-0.03</c:v>
                </c:pt>
                <c:pt idx="1347">
                  <c:v>-0.03</c:v>
                </c:pt>
                <c:pt idx="1348">
                  <c:v>-0.03</c:v>
                </c:pt>
                <c:pt idx="1349">
                  <c:v>-0.03</c:v>
                </c:pt>
                <c:pt idx="1350">
                  <c:v>-0.03</c:v>
                </c:pt>
                <c:pt idx="1351">
                  <c:v>-0.03</c:v>
                </c:pt>
                <c:pt idx="1352">
                  <c:v>-0.02</c:v>
                </c:pt>
                <c:pt idx="1353">
                  <c:v>-0.02</c:v>
                </c:pt>
                <c:pt idx="1354">
                  <c:v>-0.02</c:v>
                </c:pt>
                <c:pt idx="1355">
                  <c:v>-0.02</c:v>
                </c:pt>
                <c:pt idx="1356">
                  <c:v>-0.02</c:v>
                </c:pt>
                <c:pt idx="1357">
                  <c:v>-0.02</c:v>
                </c:pt>
                <c:pt idx="1358">
                  <c:v>-0.02</c:v>
                </c:pt>
                <c:pt idx="1359">
                  <c:v>-0.02</c:v>
                </c:pt>
                <c:pt idx="1360">
                  <c:v>-0.03</c:v>
                </c:pt>
                <c:pt idx="1361">
                  <c:v>-0.02</c:v>
                </c:pt>
                <c:pt idx="1362">
                  <c:v>-0.02</c:v>
                </c:pt>
                <c:pt idx="1363">
                  <c:v>-0.02</c:v>
                </c:pt>
                <c:pt idx="1364">
                  <c:v>-0.02</c:v>
                </c:pt>
                <c:pt idx="1365">
                  <c:v>-0.03</c:v>
                </c:pt>
                <c:pt idx="1366">
                  <c:v>-0.02</c:v>
                </c:pt>
                <c:pt idx="1367">
                  <c:v>-0.02</c:v>
                </c:pt>
                <c:pt idx="1368">
                  <c:v>-0.02</c:v>
                </c:pt>
                <c:pt idx="1369">
                  <c:v>-0.03</c:v>
                </c:pt>
                <c:pt idx="1370">
                  <c:v>-0.03</c:v>
                </c:pt>
                <c:pt idx="1371">
                  <c:v>-0.02</c:v>
                </c:pt>
                <c:pt idx="1372">
                  <c:v>-0.03</c:v>
                </c:pt>
                <c:pt idx="1373">
                  <c:v>-0.03</c:v>
                </c:pt>
                <c:pt idx="1374">
                  <c:v>-0.03</c:v>
                </c:pt>
                <c:pt idx="1375">
                  <c:v>-0.03</c:v>
                </c:pt>
                <c:pt idx="1376">
                  <c:v>-0.03</c:v>
                </c:pt>
                <c:pt idx="1377">
                  <c:v>-0.03</c:v>
                </c:pt>
                <c:pt idx="1378">
                  <c:v>-0.03</c:v>
                </c:pt>
                <c:pt idx="1379">
                  <c:v>-0.03</c:v>
                </c:pt>
                <c:pt idx="1380">
                  <c:v>-0.03</c:v>
                </c:pt>
                <c:pt idx="1381">
                  <c:v>-0.03</c:v>
                </c:pt>
                <c:pt idx="1382">
                  <c:v>-0.03</c:v>
                </c:pt>
                <c:pt idx="1383">
                  <c:v>-0.03</c:v>
                </c:pt>
                <c:pt idx="1384">
                  <c:v>-0.03</c:v>
                </c:pt>
                <c:pt idx="1385">
                  <c:v>-0.03</c:v>
                </c:pt>
                <c:pt idx="1386">
                  <c:v>-0.03</c:v>
                </c:pt>
                <c:pt idx="1387">
                  <c:v>-0.03</c:v>
                </c:pt>
                <c:pt idx="1388">
                  <c:v>-0.03</c:v>
                </c:pt>
                <c:pt idx="1389">
                  <c:v>-0.03</c:v>
                </c:pt>
                <c:pt idx="1390">
                  <c:v>-0.03</c:v>
                </c:pt>
                <c:pt idx="1391">
                  <c:v>-0.03</c:v>
                </c:pt>
                <c:pt idx="1392">
                  <c:v>-0.03</c:v>
                </c:pt>
                <c:pt idx="1393">
                  <c:v>-0.03</c:v>
                </c:pt>
                <c:pt idx="1394">
                  <c:v>-0.03</c:v>
                </c:pt>
                <c:pt idx="1395">
                  <c:v>-0.04</c:v>
                </c:pt>
                <c:pt idx="1396">
                  <c:v>-0.04</c:v>
                </c:pt>
                <c:pt idx="1397">
                  <c:v>-0.04</c:v>
                </c:pt>
                <c:pt idx="1398">
                  <c:v>-0.04</c:v>
                </c:pt>
                <c:pt idx="1399">
                  <c:v>-0.05</c:v>
                </c:pt>
                <c:pt idx="1400">
                  <c:v>-0.04</c:v>
                </c:pt>
                <c:pt idx="1401">
                  <c:v>-0.02</c:v>
                </c:pt>
                <c:pt idx="1402">
                  <c:v>0.04</c:v>
                </c:pt>
                <c:pt idx="1403">
                  <c:v>0.03</c:v>
                </c:pt>
                <c:pt idx="1404">
                  <c:v>0.02</c:v>
                </c:pt>
                <c:pt idx="1405">
                  <c:v>0.01</c:v>
                </c:pt>
                <c:pt idx="1406">
                  <c:v>0.01</c:v>
                </c:pt>
                <c:pt idx="1407">
                  <c:v>0.01</c:v>
                </c:pt>
                <c:pt idx="1408">
                  <c:v>0.01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-0.01</c:v>
                </c:pt>
                <c:pt idx="1416">
                  <c:v>-0.01</c:v>
                </c:pt>
                <c:pt idx="1417">
                  <c:v>-0.01</c:v>
                </c:pt>
                <c:pt idx="1418">
                  <c:v>-0.01</c:v>
                </c:pt>
                <c:pt idx="1419">
                  <c:v>-0.01</c:v>
                </c:pt>
                <c:pt idx="1420">
                  <c:v>-0.01</c:v>
                </c:pt>
                <c:pt idx="1421">
                  <c:v>-0.01</c:v>
                </c:pt>
                <c:pt idx="1422">
                  <c:v>-0.01</c:v>
                </c:pt>
                <c:pt idx="1423">
                  <c:v>-0.01</c:v>
                </c:pt>
                <c:pt idx="1424">
                  <c:v>-0.01</c:v>
                </c:pt>
                <c:pt idx="1425">
                  <c:v>-0.01</c:v>
                </c:pt>
                <c:pt idx="1426">
                  <c:v>-0.02</c:v>
                </c:pt>
                <c:pt idx="1427">
                  <c:v>-0.02</c:v>
                </c:pt>
                <c:pt idx="1428">
                  <c:v>-0.02</c:v>
                </c:pt>
                <c:pt idx="1429">
                  <c:v>-0.02</c:v>
                </c:pt>
                <c:pt idx="1430">
                  <c:v>-0.02</c:v>
                </c:pt>
                <c:pt idx="1431">
                  <c:v>-0.02</c:v>
                </c:pt>
                <c:pt idx="1432">
                  <c:v>-0.02</c:v>
                </c:pt>
                <c:pt idx="1433">
                  <c:v>-0.02</c:v>
                </c:pt>
                <c:pt idx="1434">
                  <c:v>-0.02</c:v>
                </c:pt>
                <c:pt idx="1435">
                  <c:v>-0.02</c:v>
                </c:pt>
                <c:pt idx="1436">
                  <c:v>-0.02</c:v>
                </c:pt>
                <c:pt idx="1437">
                  <c:v>-0.02</c:v>
                </c:pt>
                <c:pt idx="1438">
                  <c:v>-0.02</c:v>
                </c:pt>
                <c:pt idx="1439">
                  <c:v>-0.02</c:v>
                </c:pt>
                <c:pt idx="1440">
                  <c:v>-0.02</c:v>
                </c:pt>
                <c:pt idx="1441">
                  <c:v>-0.02</c:v>
                </c:pt>
                <c:pt idx="1442">
                  <c:v>-0.02</c:v>
                </c:pt>
                <c:pt idx="1443">
                  <c:v>-0.02</c:v>
                </c:pt>
                <c:pt idx="1444">
                  <c:v>-0.02</c:v>
                </c:pt>
                <c:pt idx="1445">
                  <c:v>-0.02</c:v>
                </c:pt>
                <c:pt idx="1446">
                  <c:v>-0.02</c:v>
                </c:pt>
                <c:pt idx="1447">
                  <c:v>-0.02</c:v>
                </c:pt>
                <c:pt idx="1448">
                  <c:v>-0.02</c:v>
                </c:pt>
                <c:pt idx="1449">
                  <c:v>-0.02</c:v>
                </c:pt>
                <c:pt idx="1450">
                  <c:v>-0.02</c:v>
                </c:pt>
                <c:pt idx="1451">
                  <c:v>-0.02</c:v>
                </c:pt>
                <c:pt idx="1452">
                  <c:v>-0.02</c:v>
                </c:pt>
                <c:pt idx="1453">
                  <c:v>-0.02</c:v>
                </c:pt>
                <c:pt idx="1454">
                  <c:v>-0.02</c:v>
                </c:pt>
                <c:pt idx="1455">
                  <c:v>-0.02</c:v>
                </c:pt>
                <c:pt idx="1456">
                  <c:v>-0.02</c:v>
                </c:pt>
                <c:pt idx="1457">
                  <c:v>-0.02</c:v>
                </c:pt>
                <c:pt idx="1458">
                  <c:v>-0.02</c:v>
                </c:pt>
                <c:pt idx="1459">
                  <c:v>-0.02</c:v>
                </c:pt>
                <c:pt idx="1460">
                  <c:v>-0.02</c:v>
                </c:pt>
                <c:pt idx="1461">
                  <c:v>-0.02</c:v>
                </c:pt>
                <c:pt idx="1462">
                  <c:v>-0.02</c:v>
                </c:pt>
                <c:pt idx="1463">
                  <c:v>-0.02</c:v>
                </c:pt>
                <c:pt idx="1464">
                  <c:v>-0.02</c:v>
                </c:pt>
                <c:pt idx="1465">
                  <c:v>-0.02</c:v>
                </c:pt>
                <c:pt idx="1466">
                  <c:v>-0.02</c:v>
                </c:pt>
                <c:pt idx="1467">
                  <c:v>-0.02</c:v>
                </c:pt>
                <c:pt idx="1468">
                  <c:v>-0.02</c:v>
                </c:pt>
                <c:pt idx="1469">
                  <c:v>-0.02</c:v>
                </c:pt>
                <c:pt idx="1470">
                  <c:v>-0.02</c:v>
                </c:pt>
                <c:pt idx="1471">
                  <c:v>-0.02</c:v>
                </c:pt>
                <c:pt idx="1472">
                  <c:v>-0.02</c:v>
                </c:pt>
                <c:pt idx="1473">
                  <c:v>-0.02</c:v>
                </c:pt>
                <c:pt idx="1474">
                  <c:v>-0.02</c:v>
                </c:pt>
                <c:pt idx="1475">
                  <c:v>-0.02</c:v>
                </c:pt>
                <c:pt idx="1476">
                  <c:v>-0.02</c:v>
                </c:pt>
                <c:pt idx="1477">
                  <c:v>-0.02</c:v>
                </c:pt>
                <c:pt idx="1478">
                  <c:v>-0.02</c:v>
                </c:pt>
                <c:pt idx="1479">
                  <c:v>-0.02</c:v>
                </c:pt>
                <c:pt idx="1480">
                  <c:v>-0.02</c:v>
                </c:pt>
                <c:pt idx="1481">
                  <c:v>-0.02</c:v>
                </c:pt>
                <c:pt idx="1482">
                  <c:v>-0.02</c:v>
                </c:pt>
                <c:pt idx="1483">
                  <c:v>-0.02</c:v>
                </c:pt>
                <c:pt idx="1484">
                  <c:v>-0.02</c:v>
                </c:pt>
                <c:pt idx="1485">
                  <c:v>-0.02</c:v>
                </c:pt>
                <c:pt idx="1486">
                  <c:v>-0.03</c:v>
                </c:pt>
                <c:pt idx="1487">
                  <c:v>-0.03</c:v>
                </c:pt>
                <c:pt idx="1488">
                  <c:v>-0.02</c:v>
                </c:pt>
                <c:pt idx="1489">
                  <c:v>-0.02</c:v>
                </c:pt>
                <c:pt idx="1490">
                  <c:v>-0.02</c:v>
                </c:pt>
                <c:pt idx="1491">
                  <c:v>-0.02</c:v>
                </c:pt>
                <c:pt idx="1492">
                  <c:v>-0.03</c:v>
                </c:pt>
                <c:pt idx="1493">
                  <c:v>-0.02</c:v>
                </c:pt>
                <c:pt idx="1494">
                  <c:v>-0.03</c:v>
                </c:pt>
                <c:pt idx="1495">
                  <c:v>-0.03</c:v>
                </c:pt>
                <c:pt idx="1496">
                  <c:v>-0.03</c:v>
                </c:pt>
                <c:pt idx="1497">
                  <c:v>-0.03</c:v>
                </c:pt>
                <c:pt idx="1498">
                  <c:v>-0.03</c:v>
                </c:pt>
                <c:pt idx="1499">
                  <c:v>-0.03</c:v>
                </c:pt>
                <c:pt idx="1500">
                  <c:v>-0.03</c:v>
                </c:pt>
                <c:pt idx="1501">
                  <c:v>-0.03</c:v>
                </c:pt>
                <c:pt idx="1502">
                  <c:v>-0.03</c:v>
                </c:pt>
                <c:pt idx="1503">
                  <c:v>-0.03</c:v>
                </c:pt>
                <c:pt idx="1504">
                  <c:v>-0.03</c:v>
                </c:pt>
                <c:pt idx="1505">
                  <c:v>-0.03</c:v>
                </c:pt>
                <c:pt idx="1506">
                  <c:v>-0.03</c:v>
                </c:pt>
                <c:pt idx="1507">
                  <c:v>-0.03</c:v>
                </c:pt>
                <c:pt idx="1508">
                  <c:v>-0.03</c:v>
                </c:pt>
                <c:pt idx="1509">
                  <c:v>-0.03</c:v>
                </c:pt>
                <c:pt idx="1510">
                  <c:v>-0.03</c:v>
                </c:pt>
                <c:pt idx="1511">
                  <c:v>-0.03</c:v>
                </c:pt>
                <c:pt idx="1512">
                  <c:v>-0.03</c:v>
                </c:pt>
                <c:pt idx="1513">
                  <c:v>-0.03</c:v>
                </c:pt>
                <c:pt idx="1514">
                  <c:v>-0.03</c:v>
                </c:pt>
                <c:pt idx="1515">
                  <c:v>-0.03</c:v>
                </c:pt>
                <c:pt idx="1516">
                  <c:v>-0.03</c:v>
                </c:pt>
                <c:pt idx="1517">
                  <c:v>-0.03</c:v>
                </c:pt>
                <c:pt idx="1518">
                  <c:v>-0.03</c:v>
                </c:pt>
                <c:pt idx="1519">
                  <c:v>-0.03</c:v>
                </c:pt>
                <c:pt idx="1520">
                  <c:v>-0.03</c:v>
                </c:pt>
                <c:pt idx="1521">
                  <c:v>-0.03</c:v>
                </c:pt>
                <c:pt idx="1522">
                  <c:v>-0.03</c:v>
                </c:pt>
                <c:pt idx="1523">
                  <c:v>-0.03</c:v>
                </c:pt>
                <c:pt idx="1524">
                  <c:v>-0.03</c:v>
                </c:pt>
                <c:pt idx="1525">
                  <c:v>-0.03</c:v>
                </c:pt>
                <c:pt idx="1526">
                  <c:v>-0.03</c:v>
                </c:pt>
                <c:pt idx="1527">
                  <c:v>-0.03</c:v>
                </c:pt>
                <c:pt idx="1528">
                  <c:v>-0.03</c:v>
                </c:pt>
                <c:pt idx="1529">
                  <c:v>-0.03</c:v>
                </c:pt>
                <c:pt idx="1530">
                  <c:v>-0.03</c:v>
                </c:pt>
                <c:pt idx="1531">
                  <c:v>-0.03</c:v>
                </c:pt>
                <c:pt idx="1532">
                  <c:v>-0.03</c:v>
                </c:pt>
                <c:pt idx="1533">
                  <c:v>-0.03</c:v>
                </c:pt>
                <c:pt idx="1534">
                  <c:v>-0.03</c:v>
                </c:pt>
                <c:pt idx="1535">
                  <c:v>-0.03</c:v>
                </c:pt>
                <c:pt idx="1536">
                  <c:v>-0.03</c:v>
                </c:pt>
                <c:pt idx="1537">
                  <c:v>-0.03</c:v>
                </c:pt>
                <c:pt idx="1538">
                  <c:v>-0.03</c:v>
                </c:pt>
                <c:pt idx="1539">
                  <c:v>-0.03</c:v>
                </c:pt>
                <c:pt idx="1540">
                  <c:v>-0.03</c:v>
                </c:pt>
                <c:pt idx="1541">
                  <c:v>-0.03</c:v>
                </c:pt>
                <c:pt idx="1542">
                  <c:v>-0.03</c:v>
                </c:pt>
                <c:pt idx="1543">
                  <c:v>-0.03</c:v>
                </c:pt>
                <c:pt idx="1544">
                  <c:v>-0.03</c:v>
                </c:pt>
                <c:pt idx="1545">
                  <c:v>-0.03</c:v>
                </c:pt>
                <c:pt idx="1546">
                  <c:v>-0.03</c:v>
                </c:pt>
                <c:pt idx="1547">
                  <c:v>-0.03</c:v>
                </c:pt>
                <c:pt idx="1548">
                  <c:v>-0.03</c:v>
                </c:pt>
                <c:pt idx="1549">
                  <c:v>-0.03</c:v>
                </c:pt>
                <c:pt idx="1550">
                  <c:v>-0.03</c:v>
                </c:pt>
                <c:pt idx="1551">
                  <c:v>-0.03</c:v>
                </c:pt>
                <c:pt idx="1552">
                  <c:v>-0.03</c:v>
                </c:pt>
                <c:pt idx="1553">
                  <c:v>-0.03</c:v>
                </c:pt>
                <c:pt idx="1554">
                  <c:v>-0.03</c:v>
                </c:pt>
                <c:pt idx="1555">
                  <c:v>-0.03</c:v>
                </c:pt>
                <c:pt idx="1556">
                  <c:v>-0.03</c:v>
                </c:pt>
                <c:pt idx="1557">
                  <c:v>-0.03</c:v>
                </c:pt>
                <c:pt idx="1558">
                  <c:v>-0.03</c:v>
                </c:pt>
                <c:pt idx="1559">
                  <c:v>-0.03</c:v>
                </c:pt>
                <c:pt idx="1560">
                  <c:v>-0.03</c:v>
                </c:pt>
                <c:pt idx="1561">
                  <c:v>-0.03</c:v>
                </c:pt>
                <c:pt idx="1562">
                  <c:v>-0.03</c:v>
                </c:pt>
                <c:pt idx="1563">
                  <c:v>-0.03</c:v>
                </c:pt>
                <c:pt idx="1564">
                  <c:v>-0.03</c:v>
                </c:pt>
                <c:pt idx="1565">
                  <c:v>-0.03</c:v>
                </c:pt>
                <c:pt idx="1566">
                  <c:v>-0.03</c:v>
                </c:pt>
                <c:pt idx="1567">
                  <c:v>-0.03</c:v>
                </c:pt>
                <c:pt idx="1568">
                  <c:v>-0.03</c:v>
                </c:pt>
                <c:pt idx="1569">
                  <c:v>-0.03</c:v>
                </c:pt>
                <c:pt idx="1570">
                  <c:v>-0.03</c:v>
                </c:pt>
                <c:pt idx="1571">
                  <c:v>-0.03</c:v>
                </c:pt>
                <c:pt idx="1572">
                  <c:v>-0.03</c:v>
                </c:pt>
                <c:pt idx="1573">
                  <c:v>-0.03</c:v>
                </c:pt>
                <c:pt idx="1574">
                  <c:v>-0.03</c:v>
                </c:pt>
                <c:pt idx="1575">
                  <c:v>-0.03</c:v>
                </c:pt>
                <c:pt idx="1576">
                  <c:v>-0.03</c:v>
                </c:pt>
                <c:pt idx="1577">
                  <c:v>-0.03</c:v>
                </c:pt>
                <c:pt idx="1578">
                  <c:v>-0.03</c:v>
                </c:pt>
                <c:pt idx="1579">
                  <c:v>-0.03</c:v>
                </c:pt>
                <c:pt idx="1580">
                  <c:v>-0.03</c:v>
                </c:pt>
                <c:pt idx="1581">
                  <c:v>-0.03</c:v>
                </c:pt>
                <c:pt idx="1582">
                  <c:v>-0.03</c:v>
                </c:pt>
                <c:pt idx="1583">
                  <c:v>-0.03</c:v>
                </c:pt>
                <c:pt idx="1584">
                  <c:v>-0.03</c:v>
                </c:pt>
                <c:pt idx="1585">
                  <c:v>-0.03</c:v>
                </c:pt>
                <c:pt idx="1586">
                  <c:v>-0.03</c:v>
                </c:pt>
                <c:pt idx="1587">
                  <c:v>-0.03</c:v>
                </c:pt>
                <c:pt idx="1588">
                  <c:v>-0.03</c:v>
                </c:pt>
                <c:pt idx="1589">
                  <c:v>-0.03</c:v>
                </c:pt>
                <c:pt idx="1590">
                  <c:v>-0.03</c:v>
                </c:pt>
                <c:pt idx="1591">
                  <c:v>-0.03</c:v>
                </c:pt>
                <c:pt idx="1592">
                  <c:v>-0.03</c:v>
                </c:pt>
                <c:pt idx="1593">
                  <c:v>-0.03</c:v>
                </c:pt>
                <c:pt idx="1594">
                  <c:v>-0.03</c:v>
                </c:pt>
                <c:pt idx="1595">
                  <c:v>-0.03</c:v>
                </c:pt>
                <c:pt idx="1596">
                  <c:v>-0.03</c:v>
                </c:pt>
                <c:pt idx="1597">
                  <c:v>-0.03</c:v>
                </c:pt>
                <c:pt idx="1598">
                  <c:v>-0.03</c:v>
                </c:pt>
                <c:pt idx="1599">
                  <c:v>-0.03</c:v>
                </c:pt>
                <c:pt idx="1600">
                  <c:v>-0.03</c:v>
                </c:pt>
                <c:pt idx="1601">
                  <c:v>-0.03</c:v>
                </c:pt>
                <c:pt idx="1602">
                  <c:v>-0.03</c:v>
                </c:pt>
                <c:pt idx="1603">
                  <c:v>-0.03</c:v>
                </c:pt>
                <c:pt idx="1604">
                  <c:v>-0.03</c:v>
                </c:pt>
                <c:pt idx="1605">
                  <c:v>-0.03</c:v>
                </c:pt>
                <c:pt idx="1606">
                  <c:v>-0.03</c:v>
                </c:pt>
                <c:pt idx="1607">
                  <c:v>-0.03</c:v>
                </c:pt>
                <c:pt idx="1608">
                  <c:v>-0.03</c:v>
                </c:pt>
                <c:pt idx="1609">
                  <c:v>-0.03</c:v>
                </c:pt>
                <c:pt idx="1610">
                  <c:v>-0.03</c:v>
                </c:pt>
                <c:pt idx="1611">
                  <c:v>-0.03</c:v>
                </c:pt>
                <c:pt idx="1612">
                  <c:v>-0.03</c:v>
                </c:pt>
                <c:pt idx="1613">
                  <c:v>-0.03</c:v>
                </c:pt>
                <c:pt idx="1614">
                  <c:v>-0.03</c:v>
                </c:pt>
                <c:pt idx="1615">
                  <c:v>-0.03</c:v>
                </c:pt>
                <c:pt idx="1616">
                  <c:v>-0.03</c:v>
                </c:pt>
                <c:pt idx="1617">
                  <c:v>-0.03</c:v>
                </c:pt>
                <c:pt idx="1618">
                  <c:v>-0.03</c:v>
                </c:pt>
                <c:pt idx="1619">
                  <c:v>-0.03</c:v>
                </c:pt>
                <c:pt idx="1620">
                  <c:v>-0.03</c:v>
                </c:pt>
                <c:pt idx="1621">
                  <c:v>-0.03</c:v>
                </c:pt>
                <c:pt idx="1622">
                  <c:v>-0.03</c:v>
                </c:pt>
                <c:pt idx="1623">
                  <c:v>-0.03</c:v>
                </c:pt>
                <c:pt idx="1624">
                  <c:v>-0.03</c:v>
                </c:pt>
                <c:pt idx="1625">
                  <c:v>-0.03</c:v>
                </c:pt>
                <c:pt idx="1626">
                  <c:v>-0.03</c:v>
                </c:pt>
                <c:pt idx="1627">
                  <c:v>-0.03</c:v>
                </c:pt>
                <c:pt idx="1628">
                  <c:v>-0.03</c:v>
                </c:pt>
                <c:pt idx="1629">
                  <c:v>-0.03</c:v>
                </c:pt>
                <c:pt idx="1630">
                  <c:v>-0.03</c:v>
                </c:pt>
                <c:pt idx="1631">
                  <c:v>-0.03</c:v>
                </c:pt>
                <c:pt idx="1632">
                  <c:v>-0.03</c:v>
                </c:pt>
                <c:pt idx="1633">
                  <c:v>-0.03</c:v>
                </c:pt>
                <c:pt idx="1634">
                  <c:v>-0.03</c:v>
                </c:pt>
                <c:pt idx="1635">
                  <c:v>-0.03</c:v>
                </c:pt>
                <c:pt idx="1636">
                  <c:v>-0.03</c:v>
                </c:pt>
                <c:pt idx="1637">
                  <c:v>-0.03</c:v>
                </c:pt>
                <c:pt idx="1638">
                  <c:v>-0.03</c:v>
                </c:pt>
                <c:pt idx="1639">
                  <c:v>-0.03</c:v>
                </c:pt>
                <c:pt idx="1640">
                  <c:v>-0.03</c:v>
                </c:pt>
                <c:pt idx="1641">
                  <c:v>-0.03</c:v>
                </c:pt>
                <c:pt idx="1642">
                  <c:v>-0.03</c:v>
                </c:pt>
                <c:pt idx="1643">
                  <c:v>-0.03</c:v>
                </c:pt>
                <c:pt idx="1644">
                  <c:v>-0.03</c:v>
                </c:pt>
                <c:pt idx="1645">
                  <c:v>-0.03</c:v>
                </c:pt>
                <c:pt idx="1646">
                  <c:v>-0.03</c:v>
                </c:pt>
                <c:pt idx="1647">
                  <c:v>-0.03</c:v>
                </c:pt>
                <c:pt idx="1648">
                  <c:v>-0.03</c:v>
                </c:pt>
                <c:pt idx="1649">
                  <c:v>-0.03</c:v>
                </c:pt>
                <c:pt idx="1650">
                  <c:v>-0.03</c:v>
                </c:pt>
                <c:pt idx="1651">
                  <c:v>-0.03</c:v>
                </c:pt>
                <c:pt idx="1652">
                  <c:v>-0.03</c:v>
                </c:pt>
                <c:pt idx="1653">
                  <c:v>-0.03</c:v>
                </c:pt>
                <c:pt idx="1654">
                  <c:v>-0.03</c:v>
                </c:pt>
                <c:pt idx="1655">
                  <c:v>-0.03</c:v>
                </c:pt>
                <c:pt idx="1656">
                  <c:v>-0.03</c:v>
                </c:pt>
                <c:pt idx="1657">
                  <c:v>-0.03</c:v>
                </c:pt>
                <c:pt idx="1658">
                  <c:v>-0.03</c:v>
                </c:pt>
                <c:pt idx="1659">
                  <c:v>-0.03</c:v>
                </c:pt>
                <c:pt idx="1660">
                  <c:v>-0.03</c:v>
                </c:pt>
                <c:pt idx="1661">
                  <c:v>-0.03</c:v>
                </c:pt>
                <c:pt idx="1662">
                  <c:v>-0.03</c:v>
                </c:pt>
                <c:pt idx="1663">
                  <c:v>-0.03</c:v>
                </c:pt>
                <c:pt idx="1664">
                  <c:v>-0.03</c:v>
                </c:pt>
                <c:pt idx="1665">
                  <c:v>-0.03</c:v>
                </c:pt>
                <c:pt idx="1666">
                  <c:v>-0.03</c:v>
                </c:pt>
                <c:pt idx="1667">
                  <c:v>-0.03</c:v>
                </c:pt>
                <c:pt idx="1668">
                  <c:v>-0.03</c:v>
                </c:pt>
                <c:pt idx="1669">
                  <c:v>-0.03</c:v>
                </c:pt>
                <c:pt idx="1670">
                  <c:v>-0.03</c:v>
                </c:pt>
                <c:pt idx="1671">
                  <c:v>-0.03</c:v>
                </c:pt>
                <c:pt idx="1672">
                  <c:v>-0.03</c:v>
                </c:pt>
                <c:pt idx="1673">
                  <c:v>-0.03</c:v>
                </c:pt>
                <c:pt idx="1674">
                  <c:v>-0.03</c:v>
                </c:pt>
                <c:pt idx="1675">
                  <c:v>-0.03</c:v>
                </c:pt>
                <c:pt idx="1676">
                  <c:v>-0.03</c:v>
                </c:pt>
                <c:pt idx="1677">
                  <c:v>-0.03</c:v>
                </c:pt>
                <c:pt idx="1678">
                  <c:v>-0.03</c:v>
                </c:pt>
                <c:pt idx="1679">
                  <c:v>-0.03</c:v>
                </c:pt>
                <c:pt idx="1680">
                  <c:v>-0.03</c:v>
                </c:pt>
                <c:pt idx="1681">
                  <c:v>-0.03</c:v>
                </c:pt>
                <c:pt idx="1682">
                  <c:v>-0.03</c:v>
                </c:pt>
                <c:pt idx="1683">
                  <c:v>-0.03</c:v>
                </c:pt>
                <c:pt idx="1684">
                  <c:v>-0.03</c:v>
                </c:pt>
                <c:pt idx="1685">
                  <c:v>-0.03</c:v>
                </c:pt>
                <c:pt idx="1686">
                  <c:v>-0.03</c:v>
                </c:pt>
                <c:pt idx="1687">
                  <c:v>-0.03</c:v>
                </c:pt>
                <c:pt idx="1688">
                  <c:v>-0.03</c:v>
                </c:pt>
                <c:pt idx="1689">
                  <c:v>-0.03</c:v>
                </c:pt>
                <c:pt idx="1690">
                  <c:v>-0.03</c:v>
                </c:pt>
                <c:pt idx="1691">
                  <c:v>-0.03</c:v>
                </c:pt>
                <c:pt idx="1692">
                  <c:v>-0.03</c:v>
                </c:pt>
                <c:pt idx="1693">
                  <c:v>-0.03</c:v>
                </c:pt>
                <c:pt idx="1694">
                  <c:v>-0.03</c:v>
                </c:pt>
                <c:pt idx="1695">
                  <c:v>-0.03</c:v>
                </c:pt>
                <c:pt idx="1696">
                  <c:v>-0.03</c:v>
                </c:pt>
                <c:pt idx="1697">
                  <c:v>-0.03</c:v>
                </c:pt>
                <c:pt idx="1698">
                  <c:v>-0.03</c:v>
                </c:pt>
                <c:pt idx="1699">
                  <c:v>-0.03</c:v>
                </c:pt>
                <c:pt idx="1700">
                  <c:v>-0.03</c:v>
                </c:pt>
                <c:pt idx="1701">
                  <c:v>-0.03</c:v>
                </c:pt>
                <c:pt idx="1702">
                  <c:v>-0.03</c:v>
                </c:pt>
                <c:pt idx="1703">
                  <c:v>-0.03</c:v>
                </c:pt>
                <c:pt idx="1704">
                  <c:v>-0.03</c:v>
                </c:pt>
                <c:pt idx="1705">
                  <c:v>-0.03</c:v>
                </c:pt>
                <c:pt idx="1706">
                  <c:v>-0.03</c:v>
                </c:pt>
                <c:pt idx="1707">
                  <c:v>-0.03</c:v>
                </c:pt>
                <c:pt idx="1708">
                  <c:v>-0.03</c:v>
                </c:pt>
                <c:pt idx="1709">
                  <c:v>-0.03</c:v>
                </c:pt>
                <c:pt idx="1710">
                  <c:v>-0.03</c:v>
                </c:pt>
                <c:pt idx="1711">
                  <c:v>-0.03</c:v>
                </c:pt>
                <c:pt idx="1712">
                  <c:v>-0.03</c:v>
                </c:pt>
                <c:pt idx="1713">
                  <c:v>-0.03</c:v>
                </c:pt>
                <c:pt idx="1714">
                  <c:v>-0.03</c:v>
                </c:pt>
                <c:pt idx="1715">
                  <c:v>-0.03</c:v>
                </c:pt>
                <c:pt idx="1716">
                  <c:v>-0.03</c:v>
                </c:pt>
                <c:pt idx="1717">
                  <c:v>-0.03</c:v>
                </c:pt>
                <c:pt idx="1718">
                  <c:v>-0.03</c:v>
                </c:pt>
                <c:pt idx="1719">
                  <c:v>-0.03</c:v>
                </c:pt>
                <c:pt idx="1720">
                  <c:v>-0.03</c:v>
                </c:pt>
                <c:pt idx="1721">
                  <c:v>-0.03</c:v>
                </c:pt>
                <c:pt idx="1722">
                  <c:v>-0.03</c:v>
                </c:pt>
                <c:pt idx="1723">
                  <c:v>-0.03</c:v>
                </c:pt>
                <c:pt idx="1724">
                  <c:v>-0.03</c:v>
                </c:pt>
                <c:pt idx="1725">
                  <c:v>-0.03</c:v>
                </c:pt>
                <c:pt idx="1726">
                  <c:v>-0.03</c:v>
                </c:pt>
                <c:pt idx="1727">
                  <c:v>-0.03</c:v>
                </c:pt>
                <c:pt idx="1728">
                  <c:v>-0.03</c:v>
                </c:pt>
                <c:pt idx="1729">
                  <c:v>-0.03</c:v>
                </c:pt>
                <c:pt idx="1730">
                  <c:v>-0.03</c:v>
                </c:pt>
                <c:pt idx="1731">
                  <c:v>-0.03</c:v>
                </c:pt>
                <c:pt idx="1732">
                  <c:v>-0.03</c:v>
                </c:pt>
                <c:pt idx="1733">
                  <c:v>-0.03</c:v>
                </c:pt>
                <c:pt idx="1734">
                  <c:v>-0.03</c:v>
                </c:pt>
                <c:pt idx="1735">
                  <c:v>-0.03</c:v>
                </c:pt>
                <c:pt idx="1736">
                  <c:v>-0.03</c:v>
                </c:pt>
                <c:pt idx="1737">
                  <c:v>-0.03</c:v>
                </c:pt>
                <c:pt idx="1738">
                  <c:v>-0.03</c:v>
                </c:pt>
                <c:pt idx="1739">
                  <c:v>-0.03</c:v>
                </c:pt>
                <c:pt idx="1740">
                  <c:v>-0.03</c:v>
                </c:pt>
                <c:pt idx="1741">
                  <c:v>-0.03</c:v>
                </c:pt>
                <c:pt idx="1742">
                  <c:v>-0.03</c:v>
                </c:pt>
                <c:pt idx="1743">
                  <c:v>-0.03</c:v>
                </c:pt>
                <c:pt idx="1744">
                  <c:v>-0.03</c:v>
                </c:pt>
                <c:pt idx="1745">
                  <c:v>-0.03</c:v>
                </c:pt>
                <c:pt idx="1746">
                  <c:v>-0.03</c:v>
                </c:pt>
                <c:pt idx="1747">
                  <c:v>-0.03</c:v>
                </c:pt>
                <c:pt idx="1748">
                  <c:v>-0.03</c:v>
                </c:pt>
                <c:pt idx="1749">
                  <c:v>-0.03</c:v>
                </c:pt>
                <c:pt idx="1750">
                  <c:v>-0.03</c:v>
                </c:pt>
                <c:pt idx="1751">
                  <c:v>-0.03</c:v>
                </c:pt>
                <c:pt idx="1752">
                  <c:v>-0.03</c:v>
                </c:pt>
                <c:pt idx="1753">
                  <c:v>-0.03</c:v>
                </c:pt>
                <c:pt idx="1754">
                  <c:v>-0.03</c:v>
                </c:pt>
                <c:pt idx="1755">
                  <c:v>-0.03</c:v>
                </c:pt>
                <c:pt idx="1756">
                  <c:v>-0.03</c:v>
                </c:pt>
                <c:pt idx="1757">
                  <c:v>-0.03</c:v>
                </c:pt>
                <c:pt idx="1758">
                  <c:v>-0.03</c:v>
                </c:pt>
                <c:pt idx="1759">
                  <c:v>-0.03</c:v>
                </c:pt>
                <c:pt idx="1760">
                  <c:v>-0.03</c:v>
                </c:pt>
                <c:pt idx="1761">
                  <c:v>-0.03</c:v>
                </c:pt>
                <c:pt idx="1762">
                  <c:v>-0.03</c:v>
                </c:pt>
                <c:pt idx="1763">
                  <c:v>-0.03</c:v>
                </c:pt>
                <c:pt idx="1764">
                  <c:v>-0.03</c:v>
                </c:pt>
                <c:pt idx="1765">
                  <c:v>-0.03</c:v>
                </c:pt>
                <c:pt idx="1766">
                  <c:v>-0.03</c:v>
                </c:pt>
                <c:pt idx="1767">
                  <c:v>-0.03</c:v>
                </c:pt>
                <c:pt idx="1768">
                  <c:v>-0.03</c:v>
                </c:pt>
                <c:pt idx="1769">
                  <c:v>-0.03</c:v>
                </c:pt>
                <c:pt idx="1770">
                  <c:v>-0.03</c:v>
                </c:pt>
                <c:pt idx="1771">
                  <c:v>-0.03</c:v>
                </c:pt>
                <c:pt idx="1772">
                  <c:v>-0.03</c:v>
                </c:pt>
                <c:pt idx="1773">
                  <c:v>-0.03</c:v>
                </c:pt>
                <c:pt idx="1774">
                  <c:v>-0.03</c:v>
                </c:pt>
                <c:pt idx="1775">
                  <c:v>-0.03</c:v>
                </c:pt>
                <c:pt idx="1776">
                  <c:v>-0.03</c:v>
                </c:pt>
                <c:pt idx="1777">
                  <c:v>-0.03</c:v>
                </c:pt>
                <c:pt idx="1778">
                  <c:v>-0.03</c:v>
                </c:pt>
                <c:pt idx="1779">
                  <c:v>-0.03</c:v>
                </c:pt>
                <c:pt idx="1780">
                  <c:v>-0.03</c:v>
                </c:pt>
                <c:pt idx="1781">
                  <c:v>-0.03</c:v>
                </c:pt>
                <c:pt idx="1782">
                  <c:v>-0.03</c:v>
                </c:pt>
                <c:pt idx="1783">
                  <c:v>-0.03</c:v>
                </c:pt>
                <c:pt idx="1784">
                  <c:v>-0.03</c:v>
                </c:pt>
                <c:pt idx="1785">
                  <c:v>-0.03</c:v>
                </c:pt>
                <c:pt idx="1786">
                  <c:v>-0.03</c:v>
                </c:pt>
                <c:pt idx="1787">
                  <c:v>-0.03</c:v>
                </c:pt>
                <c:pt idx="1788">
                  <c:v>-0.03</c:v>
                </c:pt>
                <c:pt idx="1789">
                  <c:v>-0.03</c:v>
                </c:pt>
                <c:pt idx="1790">
                  <c:v>-0.03</c:v>
                </c:pt>
                <c:pt idx="1791">
                  <c:v>-0.03</c:v>
                </c:pt>
                <c:pt idx="1792">
                  <c:v>-0.03</c:v>
                </c:pt>
                <c:pt idx="1793">
                  <c:v>-0.03</c:v>
                </c:pt>
                <c:pt idx="1794">
                  <c:v>-0.03</c:v>
                </c:pt>
                <c:pt idx="1795">
                  <c:v>-0.03</c:v>
                </c:pt>
                <c:pt idx="1796">
                  <c:v>-0.03</c:v>
                </c:pt>
                <c:pt idx="1797">
                  <c:v>-0.03</c:v>
                </c:pt>
                <c:pt idx="1798">
                  <c:v>-0.03</c:v>
                </c:pt>
                <c:pt idx="1799">
                  <c:v>-0.03</c:v>
                </c:pt>
                <c:pt idx="1800">
                  <c:v>-0.03</c:v>
                </c:pt>
                <c:pt idx="1801">
                  <c:v>-0.03</c:v>
                </c:pt>
                <c:pt idx="1802">
                  <c:v>-0.03</c:v>
                </c:pt>
                <c:pt idx="1803">
                  <c:v>-0.03</c:v>
                </c:pt>
                <c:pt idx="1804">
                  <c:v>-0.03</c:v>
                </c:pt>
                <c:pt idx="1805">
                  <c:v>-0.03</c:v>
                </c:pt>
                <c:pt idx="1806">
                  <c:v>-0.03</c:v>
                </c:pt>
                <c:pt idx="1807">
                  <c:v>-0.03</c:v>
                </c:pt>
                <c:pt idx="1808">
                  <c:v>-0.03</c:v>
                </c:pt>
                <c:pt idx="1809">
                  <c:v>-0.03</c:v>
                </c:pt>
                <c:pt idx="1810">
                  <c:v>-0.03</c:v>
                </c:pt>
                <c:pt idx="1811">
                  <c:v>-0.03</c:v>
                </c:pt>
                <c:pt idx="1812">
                  <c:v>-0.03</c:v>
                </c:pt>
                <c:pt idx="1813">
                  <c:v>-0.03</c:v>
                </c:pt>
                <c:pt idx="1814">
                  <c:v>-0.03</c:v>
                </c:pt>
                <c:pt idx="1815">
                  <c:v>-0.03</c:v>
                </c:pt>
                <c:pt idx="1816">
                  <c:v>-0.03</c:v>
                </c:pt>
                <c:pt idx="1817">
                  <c:v>-0.03</c:v>
                </c:pt>
                <c:pt idx="1818">
                  <c:v>-0.03</c:v>
                </c:pt>
                <c:pt idx="1819">
                  <c:v>-0.03</c:v>
                </c:pt>
                <c:pt idx="1820">
                  <c:v>-0.03</c:v>
                </c:pt>
                <c:pt idx="1821">
                  <c:v>-0.03</c:v>
                </c:pt>
                <c:pt idx="1822">
                  <c:v>-0.03</c:v>
                </c:pt>
                <c:pt idx="1823">
                  <c:v>-0.03</c:v>
                </c:pt>
                <c:pt idx="1824">
                  <c:v>-0.03</c:v>
                </c:pt>
                <c:pt idx="1825">
                  <c:v>-0.03</c:v>
                </c:pt>
                <c:pt idx="1826">
                  <c:v>-0.03</c:v>
                </c:pt>
                <c:pt idx="1827">
                  <c:v>-0.03</c:v>
                </c:pt>
                <c:pt idx="1828">
                  <c:v>-0.03</c:v>
                </c:pt>
                <c:pt idx="1829">
                  <c:v>-0.03</c:v>
                </c:pt>
                <c:pt idx="1830">
                  <c:v>-0.03</c:v>
                </c:pt>
                <c:pt idx="1831">
                  <c:v>-0.03</c:v>
                </c:pt>
                <c:pt idx="1832">
                  <c:v>-0.03</c:v>
                </c:pt>
                <c:pt idx="1833">
                  <c:v>-0.03</c:v>
                </c:pt>
                <c:pt idx="1834">
                  <c:v>-0.03</c:v>
                </c:pt>
                <c:pt idx="1835">
                  <c:v>-0.03</c:v>
                </c:pt>
                <c:pt idx="1836">
                  <c:v>-0.03</c:v>
                </c:pt>
                <c:pt idx="1837">
                  <c:v>-0.03</c:v>
                </c:pt>
                <c:pt idx="1838">
                  <c:v>-0.03</c:v>
                </c:pt>
                <c:pt idx="1839">
                  <c:v>-0.03</c:v>
                </c:pt>
                <c:pt idx="1840">
                  <c:v>-0.03</c:v>
                </c:pt>
                <c:pt idx="1841">
                  <c:v>-0.03</c:v>
                </c:pt>
                <c:pt idx="1842">
                  <c:v>-0.03</c:v>
                </c:pt>
                <c:pt idx="1843">
                  <c:v>-0.03</c:v>
                </c:pt>
                <c:pt idx="1844">
                  <c:v>-0.03</c:v>
                </c:pt>
                <c:pt idx="1845">
                  <c:v>-0.03</c:v>
                </c:pt>
                <c:pt idx="1846">
                  <c:v>-0.03</c:v>
                </c:pt>
                <c:pt idx="1847">
                  <c:v>-0.03</c:v>
                </c:pt>
                <c:pt idx="1848">
                  <c:v>-0.03</c:v>
                </c:pt>
                <c:pt idx="1849">
                  <c:v>-0.03</c:v>
                </c:pt>
                <c:pt idx="1850">
                  <c:v>-0.03</c:v>
                </c:pt>
                <c:pt idx="1851">
                  <c:v>-0.03</c:v>
                </c:pt>
                <c:pt idx="1852">
                  <c:v>-0.03</c:v>
                </c:pt>
                <c:pt idx="1853">
                  <c:v>-0.03</c:v>
                </c:pt>
                <c:pt idx="1854">
                  <c:v>-0.03</c:v>
                </c:pt>
                <c:pt idx="1855">
                  <c:v>-0.03</c:v>
                </c:pt>
                <c:pt idx="1856">
                  <c:v>-0.03</c:v>
                </c:pt>
                <c:pt idx="1857">
                  <c:v>-0.03</c:v>
                </c:pt>
                <c:pt idx="1858">
                  <c:v>-0.03</c:v>
                </c:pt>
                <c:pt idx="1859">
                  <c:v>-0.03</c:v>
                </c:pt>
                <c:pt idx="1860">
                  <c:v>-0.03</c:v>
                </c:pt>
                <c:pt idx="1861">
                  <c:v>-0.03</c:v>
                </c:pt>
                <c:pt idx="1862">
                  <c:v>-0.03</c:v>
                </c:pt>
                <c:pt idx="1863">
                  <c:v>-0.03</c:v>
                </c:pt>
                <c:pt idx="1864">
                  <c:v>-0.03</c:v>
                </c:pt>
                <c:pt idx="1865">
                  <c:v>-0.03</c:v>
                </c:pt>
                <c:pt idx="1866">
                  <c:v>-0.03</c:v>
                </c:pt>
                <c:pt idx="1867">
                  <c:v>-0.03</c:v>
                </c:pt>
                <c:pt idx="1868">
                  <c:v>-0.03</c:v>
                </c:pt>
                <c:pt idx="1869">
                  <c:v>-0.03</c:v>
                </c:pt>
                <c:pt idx="1870">
                  <c:v>-0.03</c:v>
                </c:pt>
                <c:pt idx="1871">
                  <c:v>-0.03</c:v>
                </c:pt>
                <c:pt idx="1872">
                  <c:v>-0.03</c:v>
                </c:pt>
                <c:pt idx="1873">
                  <c:v>-0.03</c:v>
                </c:pt>
                <c:pt idx="1874">
                  <c:v>-0.02</c:v>
                </c:pt>
                <c:pt idx="1875">
                  <c:v>-0.02</c:v>
                </c:pt>
                <c:pt idx="1876">
                  <c:v>-0.02</c:v>
                </c:pt>
                <c:pt idx="1877">
                  <c:v>-0.03</c:v>
                </c:pt>
                <c:pt idx="1878">
                  <c:v>-0.03</c:v>
                </c:pt>
                <c:pt idx="1879">
                  <c:v>-0.03</c:v>
                </c:pt>
                <c:pt idx="1880">
                  <c:v>-0.02</c:v>
                </c:pt>
                <c:pt idx="1881">
                  <c:v>-0.03</c:v>
                </c:pt>
                <c:pt idx="1882">
                  <c:v>-0.02</c:v>
                </c:pt>
                <c:pt idx="1883">
                  <c:v>-0.02</c:v>
                </c:pt>
                <c:pt idx="1884">
                  <c:v>-0.03</c:v>
                </c:pt>
                <c:pt idx="1885">
                  <c:v>-0.03</c:v>
                </c:pt>
                <c:pt idx="1886">
                  <c:v>-0.03</c:v>
                </c:pt>
                <c:pt idx="1887">
                  <c:v>-0.03</c:v>
                </c:pt>
                <c:pt idx="1888">
                  <c:v>-0.03</c:v>
                </c:pt>
                <c:pt idx="1889">
                  <c:v>-0.03</c:v>
                </c:pt>
                <c:pt idx="1890">
                  <c:v>-0.03</c:v>
                </c:pt>
                <c:pt idx="1891">
                  <c:v>-0.03</c:v>
                </c:pt>
                <c:pt idx="1892">
                  <c:v>-0.03</c:v>
                </c:pt>
                <c:pt idx="1893">
                  <c:v>-0.03</c:v>
                </c:pt>
                <c:pt idx="1894">
                  <c:v>-0.03</c:v>
                </c:pt>
                <c:pt idx="1895">
                  <c:v>-0.03</c:v>
                </c:pt>
                <c:pt idx="1896">
                  <c:v>-0.03</c:v>
                </c:pt>
                <c:pt idx="1897">
                  <c:v>-0.02</c:v>
                </c:pt>
                <c:pt idx="1898">
                  <c:v>-0.02</c:v>
                </c:pt>
                <c:pt idx="1899">
                  <c:v>-0.03</c:v>
                </c:pt>
                <c:pt idx="1900">
                  <c:v>-0.03</c:v>
                </c:pt>
                <c:pt idx="1901">
                  <c:v>-0.02</c:v>
                </c:pt>
                <c:pt idx="1902">
                  <c:v>-0.03</c:v>
                </c:pt>
                <c:pt idx="1903">
                  <c:v>-0.02</c:v>
                </c:pt>
                <c:pt idx="1904">
                  <c:v>-0.03</c:v>
                </c:pt>
                <c:pt idx="1905">
                  <c:v>-0.03</c:v>
                </c:pt>
                <c:pt idx="1906">
                  <c:v>-0.02</c:v>
                </c:pt>
                <c:pt idx="1907">
                  <c:v>-0.03</c:v>
                </c:pt>
                <c:pt idx="1908">
                  <c:v>-0.03</c:v>
                </c:pt>
                <c:pt idx="1909">
                  <c:v>-0.03</c:v>
                </c:pt>
                <c:pt idx="1910">
                  <c:v>-0.02</c:v>
                </c:pt>
                <c:pt idx="1911">
                  <c:v>-0.03</c:v>
                </c:pt>
                <c:pt idx="1912">
                  <c:v>-0.03</c:v>
                </c:pt>
                <c:pt idx="1913">
                  <c:v>-0.02</c:v>
                </c:pt>
                <c:pt idx="1914">
                  <c:v>-0.03</c:v>
                </c:pt>
                <c:pt idx="1915">
                  <c:v>-0.03</c:v>
                </c:pt>
                <c:pt idx="1916">
                  <c:v>-0.03</c:v>
                </c:pt>
                <c:pt idx="1917">
                  <c:v>-0.03</c:v>
                </c:pt>
                <c:pt idx="1918">
                  <c:v>-0.03</c:v>
                </c:pt>
                <c:pt idx="1919">
                  <c:v>-0.03</c:v>
                </c:pt>
                <c:pt idx="1920">
                  <c:v>-0.03</c:v>
                </c:pt>
                <c:pt idx="1921">
                  <c:v>-0.02</c:v>
                </c:pt>
                <c:pt idx="1922">
                  <c:v>-0.03</c:v>
                </c:pt>
                <c:pt idx="1923">
                  <c:v>-0.03</c:v>
                </c:pt>
                <c:pt idx="1924">
                  <c:v>-0.02</c:v>
                </c:pt>
                <c:pt idx="1925">
                  <c:v>-0.03</c:v>
                </c:pt>
                <c:pt idx="1926">
                  <c:v>-0.03</c:v>
                </c:pt>
                <c:pt idx="1927">
                  <c:v>-0.03</c:v>
                </c:pt>
                <c:pt idx="1928">
                  <c:v>-0.02</c:v>
                </c:pt>
                <c:pt idx="1929">
                  <c:v>-0.03</c:v>
                </c:pt>
                <c:pt idx="1930">
                  <c:v>-0.03</c:v>
                </c:pt>
                <c:pt idx="1931">
                  <c:v>-0.03</c:v>
                </c:pt>
                <c:pt idx="1932">
                  <c:v>-0.03</c:v>
                </c:pt>
                <c:pt idx="1933">
                  <c:v>-0.03</c:v>
                </c:pt>
                <c:pt idx="1934">
                  <c:v>-0.02</c:v>
                </c:pt>
                <c:pt idx="1935">
                  <c:v>-0.02</c:v>
                </c:pt>
                <c:pt idx="1936">
                  <c:v>-0.03</c:v>
                </c:pt>
                <c:pt idx="1937">
                  <c:v>-0.03</c:v>
                </c:pt>
                <c:pt idx="1938">
                  <c:v>-0.03</c:v>
                </c:pt>
                <c:pt idx="1939">
                  <c:v>-0.03</c:v>
                </c:pt>
                <c:pt idx="1940">
                  <c:v>-0.03</c:v>
                </c:pt>
                <c:pt idx="1941">
                  <c:v>-0.03</c:v>
                </c:pt>
                <c:pt idx="1942">
                  <c:v>-0.03</c:v>
                </c:pt>
                <c:pt idx="1943">
                  <c:v>-0.03</c:v>
                </c:pt>
                <c:pt idx="1944">
                  <c:v>-0.03</c:v>
                </c:pt>
                <c:pt idx="1945">
                  <c:v>-0.03</c:v>
                </c:pt>
                <c:pt idx="1946">
                  <c:v>-0.03</c:v>
                </c:pt>
                <c:pt idx="1947">
                  <c:v>-0.03</c:v>
                </c:pt>
                <c:pt idx="1948">
                  <c:v>-0.03</c:v>
                </c:pt>
                <c:pt idx="1949">
                  <c:v>-0.02</c:v>
                </c:pt>
                <c:pt idx="1950">
                  <c:v>-0.02</c:v>
                </c:pt>
                <c:pt idx="1951">
                  <c:v>-0.03</c:v>
                </c:pt>
                <c:pt idx="1952">
                  <c:v>-0.03</c:v>
                </c:pt>
                <c:pt idx="1953">
                  <c:v>-0.03</c:v>
                </c:pt>
                <c:pt idx="1954">
                  <c:v>-0.02</c:v>
                </c:pt>
                <c:pt idx="1955">
                  <c:v>-0.02</c:v>
                </c:pt>
                <c:pt idx="1956">
                  <c:v>-0.03</c:v>
                </c:pt>
                <c:pt idx="1957">
                  <c:v>-0.03</c:v>
                </c:pt>
                <c:pt idx="1958">
                  <c:v>-0.03</c:v>
                </c:pt>
                <c:pt idx="1959">
                  <c:v>-0.03</c:v>
                </c:pt>
                <c:pt idx="1960">
                  <c:v>-0.02</c:v>
                </c:pt>
                <c:pt idx="1961">
                  <c:v>-0.02</c:v>
                </c:pt>
                <c:pt idx="1962">
                  <c:v>-0.03</c:v>
                </c:pt>
                <c:pt idx="1963">
                  <c:v>-0.03</c:v>
                </c:pt>
                <c:pt idx="1964">
                  <c:v>-0.03</c:v>
                </c:pt>
                <c:pt idx="1965">
                  <c:v>-0.03</c:v>
                </c:pt>
                <c:pt idx="1966">
                  <c:v>-0.03</c:v>
                </c:pt>
                <c:pt idx="1967">
                  <c:v>-0.03</c:v>
                </c:pt>
                <c:pt idx="1968">
                  <c:v>-0.03</c:v>
                </c:pt>
                <c:pt idx="1969">
                  <c:v>-0.02</c:v>
                </c:pt>
                <c:pt idx="1970">
                  <c:v>-0.02</c:v>
                </c:pt>
                <c:pt idx="1971">
                  <c:v>-0.03</c:v>
                </c:pt>
                <c:pt idx="1972">
                  <c:v>-0.03</c:v>
                </c:pt>
                <c:pt idx="1973">
                  <c:v>-0.03</c:v>
                </c:pt>
                <c:pt idx="1974">
                  <c:v>-0.02</c:v>
                </c:pt>
                <c:pt idx="1975">
                  <c:v>-0.02</c:v>
                </c:pt>
                <c:pt idx="1976">
                  <c:v>-0.03</c:v>
                </c:pt>
                <c:pt idx="1977">
                  <c:v>-0.03</c:v>
                </c:pt>
                <c:pt idx="1978">
                  <c:v>-0.02</c:v>
                </c:pt>
                <c:pt idx="1979">
                  <c:v>-0.02</c:v>
                </c:pt>
                <c:pt idx="1980">
                  <c:v>-0.03</c:v>
                </c:pt>
                <c:pt idx="1981">
                  <c:v>-0.03</c:v>
                </c:pt>
                <c:pt idx="1982">
                  <c:v>-0.02</c:v>
                </c:pt>
                <c:pt idx="1983">
                  <c:v>-0.03</c:v>
                </c:pt>
                <c:pt idx="1984">
                  <c:v>-0.03</c:v>
                </c:pt>
                <c:pt idx="1985">
                  <c:v>-0.03</c:v>
                </c:pt>
                <c:pt idx="1986">
                  <c:v>-0.03</c:v>
                </c:pt>
                <c:pt idx="1987">
                  <c:v>-0.03</c:v>
                </c:pt>
                <c:pt idx="1988">
                  <c:v>-0.03</c:v>
                </c:pt>
                <c:pt idx="1989">
                  <c:v>-0.03</c:v>
                </c:pt>
                <c:pt idx="1990">
                  <c:v>-0.03</c:v>
                </c:pt>
                <c:pt idx="1991">
                  <c:v>-0.03</c:v>
                </c:pt>
                <c:pt idx="1992">
                  <c:v>-0.03</c:v>
                </c:pt>
                <c:pt idx="1993">
                  <c:v>-0.02</c:v>
                </c:pt>
                <c:pt idx="1994">
                  <c:v>-0.03</c:v>
                </c:pt>
                <c:pt idx="1995">
                  <c:v>-0.03</c:v>
                </c:pt>
                <c:pt idx="1996">
                  <c:v>-0.03</c:v>
                </c:pt>
                <c:pt idx="1997">
                  <c:v>-0.03</c:v>
                </c:pt>
                <c:pt idx="1998">
                  <c:v>-0.03</c:v>
                </c:pt>
                <c:pt idx="1999">
                  <c:v>-0.03</c:v>
                </c:pt>
                <c:pt idx="2000">
                  <c:v>-0.03</c:v>
                </c:pt>
                <c:pt idx="2001">
                  <c:v>-0.03</c:v>
                </c:pt>
                <c:pt idx="2002">
                  <c:v>-0.03</c:v>
                </c:pt>
                <c:pt idx="2003">
                  <c:v>-0.03</c:v>
                </c:pt>
                <c:pt idx="2004">
                  <c:v>-0.03</c:v>
                </c:pt>
                <c:pt idx="2005">
                  <c:v>-0.03</c:v>
                </c:pt>
                <c:pt idx="2006">
                  <c:v>-0.03</c:v>
                </c:pt>
                <c:pt idx="2007">
                  <c:v>-0.03</c:v>
                </c:pt>
                <c:pt idx="2008">
                  <c:v>-0.03</c:v>
                </c:pt>
                <c:pt idx="2009">
                  <c:v>-0.03</c:v>
                </c:pt>
                <c:pt idx="2010">
                  <c:v>-0.03</c:v>
                </c:pt>
                <c:pt idx="2011">
                  <c:v>-0.03</c:v>
                </c:pt>
                <c:pt idx="2012">
                  <c:v>-0.03</c:v>
                </c:pt>
                <c:pt idx="2013">
                  <c:v>-0.03</c:v>
                </c:pt>
                <c:pt idx="2014">
                  <c:v>-0.03</c:v>
                </c:pt>
                <c:pt idx="2015">
                  <c:v>-0.03</c:v>
                </c:pt>
                <c:pt idx="2016">
                  <c:v>-0.02</c:v>
                </c:pt>
                <c:pt idx="2017">
                  <c:v>-0.03</c:v>
                </c:pt>
                <c:pt idx="2018">
                  <c:v>-0.03</c:v>
                </c:pt>
                <c:pt idx="2019">
                  <c:v>-0.03</c:v>
                </c:pt>
                <c:pt idx="2020">
                  <c:v>-0.02</c:v>
                </c:pt>
                <c:pt idx="2021">
                  <c:v>-0.03</c:v>
                </c:pt>
                <c:pt idx="2022">
                  <c:v>-0.03</c:v>
                </c:pt>
                <c:pt idx="2023">
                  <c:v>-0.02</c:v>
                </c:pt>
                <c:pt idx="2024">
                  <c:v>-0.03</c:v>
                </c:pt>
                <c:pt idx="2025">
                  <c:v>-0.02</c:v>
                </c:pt>
                <c:pt idx="2026">
                  <c:v>-0.03</c:v>
                </c:pt>
                <c:pt idx="2027">
                  <c:v>-0.02</c:v>
                </c:pt>
                <c:pt idx="2028">
                  <c:v>-0.03</c:v>
                </c:pt>
                <c:pt idx="2029">
                  <c:v>-0.03</c:v>
                </c:pt>
                <c:pt idx="2030">
                  <c:v>-0.02</c:v>
                </c:pt>
                <c:pt idx="2031">
                  <c:v>-0.03</c:v>
                </c:pt>
                <c:pt idx="2032">
                  <c:v>-0.03</c:v>
                </c:pt>
                <c:pt idx="2033">
                  <c:v>-0.02</c:v>
                </c:pt>
                <c:pt idx="2034">
                  <c:v>-0.03</c:v>
                </c:pt>
                <c:pt idx="2035">
                  <c:v>-0.03</c:v>
                </c:pt>
                <c:pt idx="2036">
                  <c:v>-0.03</c:v>
                </c:pt>
                <c:pt idx="2037">
                  <c:v>-0.03</c:v>
                </c:pt>
                <c:pt idx="2038">
                  <c:v>-0.02</c:v>
                </c:pt>
                <c:pt idx="2039">
                  <c:v>-0.02</c:v>
                </c:pt>
                <c:pt idx="2040">
                  <c:v>-0.02</c:v>
                </c:pt>
                <c:pt idx="2041">
                  <c:v>-0.03</c:v>
                </c:pt>
                <c:pt idx="2042">
                  <c:v>-0.02</c:v>
                </c:pt>
                <c:pt idx="2043">
                  <c:v>-0.03</c:v>
                </c:pt>
                <c:pt idx="2044">
                  <c:v>-0.03</c:v>
                </c:pt>
                <c:pt idx="2045">
                  <c:v>-0.03</c:v>
                </c:pt>
                <c:pt idx="2046">
                  <c:v>-0.03</c:v>
                </c:pt>
                <c:pt idx="2047">
                  <c:v>-0.02</c:v>
                </c:pt>
                <c:pt idx="2048">
                  <c:v>-0.02</c:v>
                </c:pt>
                <c:pt idx="2049">
                  <c:v>-0.03</c:v>
                </c:pt>
                <c:pt idx="2050">
                  <c:v>-0.03</c:v>
                </c:pt>
                <c:pt idx="2051">
                  <c:v>-0.03</c:v>
                </c:pt>
                <c:pt idx="2052">
                  <c:v>-0.03</c:v>
                </c:pt>
                <c:pt idx="2053">
                  <c:v>-0.03</c:v>
                </c:pt>
                <c:pt idx="2054">
                  <c:v>-0.03</c:v>
                </c:pt>
                <c:pt idx="2055">
                  <c:v>-0.03</c:v>
                </c:pt>
                <c:pt idx="2056">
                  <c:v>-0.02</c:v>
                </c:pt>
                <c:pt idx="2057">
                  <c:v>-0.03</c:v>
                </c:pt>
                <c:pt idx="2058">
                  <c:v>-0.03</c:v>
                </c:pt>
                <c:pt idx="2059">
                  <c:v>-0.02</c:v>
                </c:pt>
                <c:pt idx="2060">
                  <c:v>-0.03</c:v>
                </c:pt>
                <c:pt idx="2061">
                  <c:v>-0.03</c:v>
                </c:pt>
                <c:pt idx="2062">
                  <c:v>-0.03</c:v>
                </c:pt>
                <c:pt idx="2063">
                  <c:v>-0.03</c:v>
                </c:pt>
                <c:pt idx="2064">
                  <c:v>-0.03</c:v>
                </c:pt>
                <c:pt idx="2065">
                  <c:v>-0.02</c:v>
                </c:pt>
                <c:pt idx="2066">
                  <c:v>-0.02</c:v>
                </c:pt>
                <c:pt idx="2067">
                  <c:v>-0.03</c:v>
                </c:pt>
                <c:pt idx="2068">
                  <c:v>-0.03</c:v>
                </c:pt>
                <c:pt idx="2069">
                  <c:v>-0.03</c:v>
                </c:pt>
                <c:pt idx="2070">
                  <c:v>-0.03</c:v>
                </c:pt>
                <c:pt idx="2071">
                  <c:v>-0.03</c:v>
                </c:pt>
                <c:pt idx="2072">
                  <c:v>-0.03</c:v>
                </c:pt>
                <c:pt idx="2073">
                  <c:v>-0.03</c:v>
                </c:pt>
                <c:pt idx="2074">
                  <c:v>-0.02</c:v>
                </c:pt>
                <c:pt idx="2075">
                  <c:v>-0.03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9FA-4867-834F-F63A8C42E8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353519"/>
        <c:axId val="482356015"/>
      </c:scatterChart>
      <c:valAx>
        <c:axId val="482353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482356015"/>
        <c:crosses val="autoZero"/>
        <c:crossBetween val="midCat"/>
      </c:valAx>
      <c:valAx>
        <c:axId val="482356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4823535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200024</xdr:colOff>
      <xdr:row>4</xdr:row>
      <xdr:rowOff>166687</xdr:rowOff>
    </xdr:from>
    <xdr:to>
      <xdr:col>41</xdr:col>
      <xdr:colOff>133349</xdr:colOff>
      <xdr:row>21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6754634-8906-4B47-9FAC-951C6FD38A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8E06757-FE60-4032-90C9-1F11D8B44040}" autoFormatId="16" applyNumberFormats="0" applyBorderFormats="0" applyFontFormats="0" applyPatternFormats="0" applyAlignmentFormats="0" applyWidthHeightFormats="0">
  <queryTableRefresh nextId="7">
    <queryTableFields count="6">
      <queryTableField id="1" name="580C" tableColumnId="1"/>
      <queryTableField id="2" name="4402" tableColumnId="2"/>
      <queryTableField id="3" name="580F" tableColumnId="3"/>
      <queryTableField id="4" name="58F0" tableColumnId="4"/>
      <queryTableField id="5" name="5805" tableColumnId="5"/>
      <queryTableField id="6" name="58DD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188191B5-4F8E-4599-8FFC-29A9F25E0B4E}" autoFormatId="16" applyNumberFormats="0" applyBorderFormats="0" applyFontFormats="0" applyPatternFormats="0" applyAlignmentFormats="0" applyWidthHeightFormats="0">
  <queryTableRefresh nextId="7">
    <queryTableFields count="6">
      <queryTableField id="1" name="RPM [1/MIN]" tableColumnId="1"/>
      <queryTableField id="2" name="OIL TEMP [Â°C]" tableColumnId="2"/>
      <queryTableField id="3" name="INTAKE TEMP [Â°C]" tableColumnId="3"/>
      <queryTableField id="4" name="HPFP PRES. [BAR]" tableColumnId="4"/>
      <queryTableField id="5" name="COOLANT TEMP [Â°C]" tableColumnId="5"/>
      <queryTableField id="6" name="BOOST [BAR]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20F4A013-FE0E-441D-8EB4-CE53BB8DEF73}" autoFormatId="16" applyNumberFormats="0" applyBorderFormats="0" applyFontFormats="0" applyPatternFormats="0" applyAlignmentFormats="0" applyWidthHeightFormats="0">
  <queryTableRefresh nextId="19" unboundColumnsRight="3">
    <queryTableFields count="18">
      <queryTableField id="1" name="ARG" tableColumnId="1"/>
      <queryTableField id="2" name="ID" tableColumnId="2"/>
      <queryTableField id="3" name="RESULTNAME" tableColumnId="3"/>
      <queryTableField id="4" name="INFO" tableColumnId="4"/>
      <queryTableField id="13" dataBound="0" tableColumnId="13"/>
      <queryTableField id="5" name="EINHEIT" tableColumnId="5"/>
      <queryTableField id="6" name="LABEL" tableColumnId="6"/>
      <queryTableField id="7" name="L/H" tableColumnId="7"/>
      <queryTableField id="8" name="DATENTYP" tableColumnId="8"/>
      <queryTableField id="15" dataBound="0" tableColumnId="15"/>
      <queryTableField id="9" name="NAME" tableColumnId="9"/>
      <queryTableField id="10" name="MUL" tableColumnId="10"/>
      <queryTableField id="11" name="DIV" tableColumnId="11"/>
      <queryTableField id="14" dataBound="0" tableColumnId="14"/>
      <queryTableField id="12" name="ADD" tableColumnId="12"/>
      <queryTableField id="16" dataBound="0" tableColumnId="16"/>
      <queryTableField id="17" dataBound="0" tableColumnId="17"/>
      <queryTableField id="18" dataBound="0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DAFAAA5-AEEA-4A18-B7EE-36F2016C1E3D}" name="_0811_173439" displayName="_0811_173439" ref="B7:G2083" tableType="queryTable" totalsRowShown="0">
  <autoFilter ref="B7:G2083" xr:uid="{6DAFAAA5-AEEA-4A18-B7EE-36F2016C1E3D}"/>
  <tableColumns count="6">
    <tableColumn id="1" xr3:uid="{573D3798-79CB-45CF-8B45-39DA8727D691}" uniqueName="1" name="580C" queryTableFieldId="1" dataDxfId="46"/>
    <tableColumn id="2" xr3:uid="{7179A7BB-2FA1-4C45-9365-2FC4C025A526}" uniqueName="2" name="4402" queryTableFieldId="2" dataDxfId="45"/>
    <tableColumn id="3" xr3:uid="{A40EE680-64FD-4DDC-9FF0-C0E2DA91ECFB}" uniqueName="3" name="580F" queryTableFieldId="3" dataDxfId="44"/>
    <tableColumn id="4" xr3:uid="{B50E30CF-0571-478F-A880-3C745B3D706E}" uniqueName="4" name="58F0" queryTableFieldId="4" dataDxfId="43"/>
    <tableColumn id="5" xr3:uid="{DF94DCB7-2D9E-4023-8A21-A74B7EE8F0C3}" uniqueName="5" name="5805" queryTableFieldId="5" dataDxfId="42"/>
    <tableColumn id="6" xr3:uid="{D85A12B9-C384-4878-BBBD-40D274736143}" uniqueName="6" name="58DD" queryTableFieldId="6" dataDxfId="4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76A0243-7832-403B-A852-1D6175DEFCA1}" name="Table3" displayName="Table3" ref="I7:N2083" totalsRowShown="0">
  <autoFilter ref="I7:N2083" xr:uid="{876A0243-7832-403B-A852-1D6175DEFCA1}"/>
  <tableColumns count="6">
    <tableColumn id="1" xr3:uid="{4F6DDF38-A56C-4258-9432-C2D4BD84BE0E}" name="580C" dataDxfId="40">
      <calculatedColumnFormula>HEX2DEC(_0811_173439[[#This Row],[580C]])*B$4/B$5+B$6</calculatedColumnFormula>
    </tableColumn>
    <tableColumn id="2" xr3:uid="{E7BCF025-CF52-4693-9A34-C263273B973B}" name="4402">
      <calculatedColumnFormula>HEX2DEC(_0811_173439[[#This Row],[4402]])*C$4/C$5+C$6</calculatedColumnFormula>
    </tableColumn>
    <tableColumn id="3" xr3:uid="{935FD646-4A03-4096-B501-ADAE308007F5}" name="580F">
      <calculatedColumnFormula>HEX2DEC(_0811_173439[[#This Row],[580F]])*D$4/D$5+D$6</calculatedColumnFormula>
    </tableColumn>
    <tableColumn id="4" xr3:uid="{4CC5BDAD-7E6A-4311-BD2E-A13F3276E71E}" name="58F0" dataDxfId="39">
      <calculatedColumnFormula>ROUND(HEX2DEC(_0811_173439[[#This Row],[58F0]])*E$4/E$5+E$6,0)</calculatedColumnFormula>
    </tableColumn>
    <tableColumn id="5" xr3:uid="{D5854D96-1101-40F2-801F-D1E1B08B1627}" name="5805" dataDxfId="38">
      <calculatedColumnFormula>ROUND(HEX2DEC(_0811_173439[[#This Row],[5805]])*F$4/F$5+F$6,0)</calculatedColumnFormula>
    </tableColumn>
    <tableColumn id="6" xr3:uid="{B83702F3-68CA-41D0-B538-B27DDA47218F}" name="58DD" dataDxfId="37">
      <calculatedColumnFormula>ROUND(HEX2DEC(_0811_173439[[#This Row],[58DD]])*G$4/G$5+G$6,2)</calculatedColumnFormula>
    </tableColumn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F702EF0-77FF-40EC-830C-0510BFFBD776}" name="DataLog_T717420_Aug11_4_59_37pm" displayName="DataLog_T717420_Aug11_4_59_37pm" ref="P7:U2083" tableType="queryTable" totalsRowShown="0">
  <autoFilter ref="P7:U2083" xr:uid="{0F702EF0-77FF-40EC-830C-0510BFFBD776}"/>
  <tableColumns count="6">
    <tableColumn id="1" xr3:uid="{D6FF75BF-A1E5-41C1-A5CC-61E423617923}" uniqueName="1" name="RPM [1/MIN]" queryTableFieldId="1"/>
    <tableColumn id="2" xr3:uid="{8822915F-ECFB-4AFC-BBA6-83592AC95558}" uniqueName="2" name="OIL TEMP [Â°C]" queryTableFieldId="2"/>
    <tableColumn id="3" xr3:uid="{E7D1E2B6-0006-45CF-A8F1-685351B3D490}" uniqueName="3" name="INTAKE TEMP [Â°C]" queryTableFieldId="3"/>
    <tableColumn id="4" xr3:uid="{D98779B0-F694-44F1-854C-FD6C6495DBF3}" uniqueName="4" name="HPFP PRES. [BAR]" queryTableFieldId="4"/>
    <tableColumn id="5" xr3:uid="{CF2051FB-5156-408C-883F-281E607BC625}" uniqueName="5" name="COOLANT TEMP [Â°C]" queryTableFieldId="5"/>
    <tableColumn id="6" xr3:uid="{D47C441B-5BD0-45A7-A991-1C8F57A0E15F}" uniqueName="6" name="BOOST [BAR]" queryTableFieldId="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ABBDB05-76FA-4372-8163-441268F0BAEE}" name="DIFF" displayName="DIFF" ref="W7:AB2083" totalsRowShown="0">
  <autoFilter ref="W7:AB2083" xr:uid="{3ABBDB05-76FA-4372-8163-441268F0BAEE}"/>
  <tableColumns count="6">
    <tableColumn id="1" xr3:uid="{045E33D7-5237-4118-8447-26396F1921E5}" name="RPM [1/MIN]" dataDxfId="36">
      <calculatedColumnFormula>DataLog_T717420_Aug11_4_59_37pm[[#This Row],[RPM '[1/MIN']]]-Table3[[#This Row],[580C]]</calculatedColumnFormula>
    </tableColumn>
    <tableColumn id="2" xr3:uid="{2059A32F-BDFE-4B09-AEBA-1D597B54D229}" name="OIL TEMP [Â°C]" dataDxfId="35">
      <calculatedColumnFormula>DataLog_T717420_Aug11_4_59_37pm[[#This Row],[OIL TEMP '[Â°C']]]-Table3[[#This Row],[4402]]</calculatedColumnFormula>
    </tableColumn>
    <tableColumn id="3" xr3:uid="{C7C784A6-7314-4CF5-8D15-6632494E8141}" name="INTAKE TEMP [Â°C]" dataDxfId="34">
      <calculatedColumnFormula>DataLog_T717420_Aug11_4_59_37pm[[#This Row],[INTAKE TEMP '[Â°C']]]-Table3[[#This Row],[580F]]</calculatedColumnFormula>
    </tableColumn>
    <tableColumn id="4" xr3:uid="{F1FB0242-1CF0-4DF0-AB35-BC067518BE3E}" name="HPFP PRES. [BAR]" dataDxfId="33">
      <calculatedColumnFormula>DataLog_T717420_Aug11_4_59_37pm[[#This Row],[HPFP PRES. '[BAR']]]-Table3[[#This Row],[58F0]]</calculatedColumnFormula>
    </tableColumn>
    <tableColumn id="5" xr3:uid="{63F2CC5F-360B-4438-AC64-5FDFAA2F4B8F}" name="COOLANT TEMP [Â°C]" dataDxfId="32">
      <calculatedColumnFormula>DataLog_T717420_Aug11_4_59_37pm[[#This Row],[COOLANT TEMP '[Â°C']]]-Table3[[#This Row],[5805]]</calculatedColumnFormula>
    </tableColumn>
    <tableColumn id="6" xr3:uid="{E448E0BF-D3AB-41DA-A79B-5097820C331C}" name="BOOST [BAR]" dataDxfId="31">
      <calculatedColumnFormula>DataLog_T717420_Aug11_4_59_37pm[[#This Row],[BOOST '[BAR']]]-Table3[[#This Row],[58DD]]</calculatedColumnFormula>
    </tableColumn>
  </tableColumns>
  <tableStyleInfo name="TableStyleMedium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F85246-27A1-413C-B3AF-D93912FFE44C}" name="CIList" displayName="CIList" ref="A2:G10" totalsRowShown="0">
  <autoFilter ref="A2:G10" xr:uid="{BEF85246-27A1-413C-B3AF-D93912FFE44C}"/>
  <sortState xmlns:xlrd2="http://schemas.microsoft.com/office/spreadsheetml/2017/richdata2" ref="A3:G10">
    <sortCondition ref="A2:A10"/>
  </sortState>
  <tableColumns count="7">
    <tableColumn id="1" xr3:uid="{D9D7079E-1458-4A4B-B914-F554FE5E7E7D}" name="CI" dataDxfId="29"/>
    <tableColumn id="2" xr3:uid="{927654D5-3B68-4C49-AB87-3FC7C6081230}" name="Data"/>
    <tableColumn id="3" xr3:uid="{F2D9125F-0FC8-4DEE-A374-49B6B0650072}" name="Length (bit)"/>
    <tableColumn id="4" xr3:uid="{A7B46F4B-E1B5-4036-8581-D55BFFA7E720}" name="MUL"/>
    <tableColumn id="7" xr3:uid="{241C9B03-3F65-432C-8992-2D6D8BD0613D}" name="DIV"/>
    <tableColumn id="5" xr3:uid="{C4C9CBBE-4396-4BA5-B259-E58833E997B9}" name="ADD"/>
    <tableColumn id="6" xr3:uid="{951D93FE-5D8D-4F69-960E-275415A607FE}" name="Unit"/>
  </tableColumns>
  <tableStyleInfo name="TableStyleMedium1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51956F8-AF1B-4C0A-859D-6D02A3023F0A}" name="_580F_correl" displayName="_580F_correl" ref="A10:E16" totalsRowShown="0">
  <autoFilter ref="A10:E16" xr:uid="{751956F8-AF1B-4C0A-859D-6D02A3023F0A}"/>
  <tableColumns count="5">
    <tableColumn id="1" xr3:uid="{8B32C358-0D18-4394-A943-D152174C1AE5}" name="Hex"/>
    <tableColumn id="2" xr3:uid="{40982552-5C72-4F5F-BBD8-A2E1793FD8A7}" name="Dec" dataDxfId="28">
      <calculatedColumnFormula>HEX2DEC(_580F_correl[[#This Row],[Hex]])</calculatedColumnFormula>
    </tableColumn>
    <tableColumn id="3" xr3:uid="{D738DD23-0711-45F4-A640-4964F0E6F20C}" name="Actual"/>
    <tableColumn id="4" xr3:uid="{724CF028-1AA5-4513-BD32-4B8F78C77BB0}" name="Recalc" dataDxfId="27">
      <calculatedColumnFormula>B$7*_580F_correl[[#This Row],[Dec]]/B$8+B$9</calculatedColumnFormula>
    </tableColumn>
    <tableColumn id="5" xr3:uid="{1C4E717C-F825-4831-9F16-0A02648D226C}" name="ERR" dataDxfId="26">
      <calculatedColumnFormula>_580F_correl[[#This Row],[Actual]]-_580F_correl[[#This Row],[Recalc]]</calculatedColumnFormula>
    </tableColumn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7066BCC-FE49-4CF4-AB07-D94E4270DD6D}" name="_580F_correl9" displayName="_580F_correl9" ref="H10:L20" totalsRowShown="0">
  <autoFilter ref="H10:L20" xr:uid="{B7066BCC-FE49-4CF4-AB07-D94E4270DD6D}"/>
  <tableColumns count="5">
    <tableColumn id="1" xr3:uid="{ECAF7E77-02B9-4538-AD65-AA722B9606CC}" name="Hex"/>
    <tableColumn id="2" xr3:uid="{411F1ECB-3509-4C1D-B372-1C74AD13BCDA}" name="Dec" dataDxfId="25">
      <calculatedColumnFormula>HEX2DEC(_580F_correl9[[#This Row],[Hex]])</calculatedColumnFormula>
    </tableColumn>
    <tableColumn id="3" xr3:uid="{B24AF591-958A-4B52-ADF5-9DA7B49BB499}" name="Actual"/>
    <tableColumn id="4" xr3:uid="{67E62E7D-3645-489E-894B-2C516B4E7C63}" name="Recalc" dataDxfId="24">
      <calculatedColumnFormula>I$7*_580F_correl9[[#This Row],[Dec]]/I$8+I$9</calculatedColumnFormula>
    </tableColumn>
    <tableColumn id="5" xr3:uid="{65004170-1A34-4330-8298-9967A8CA378E}" name="ERR" dataDxfId="23">
      <calculatedColumnFormula>_580F_correl9[[#This Row],[Actual]]-_580F_correl9[[#This Row],[Recalc]]</calculatedColumnFormula>
    </tableColumn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48E1DF1-DF39-446F-84B5-8EAE156C86B2}" name="_580F_correl910" displayName="_580F_correl910" ref="O10:S11" totalsRowShown="0">
  <autoFilter ref="O10:S11" xr:uid="{448E1DF1-DF39-446F-84B5-8EAE156C86B2}"/>
  <tableColumns count="5">
    <tableColumn id="1" xr3:uid="{69F04A42-1F0E-4E03-A605-FC739C4843AD}" name="Hex"/>
    <tableColumn id="2" xr3:uid="{EE4CA0F2-2DB4-4E21-9BDD-2244F0E929FC}" name="Dec" dataDxfId="22">
      <calculatedColumnFormula>HEX2DEC(_580F_correl910[[#This Row],[Hex]])</calculatedColumnFormula>
    </tableColumn>
    <tableColumn id="3" xr3:uid="{53B4CEAF-4EE0-40BD-9659-EFA82C76D69D}" name="Actual"/>
    <tableColumn id="4" xr3:uid="{5342334B-DF53-48A3-9B25-7BF7D4C30CF0}" name="Recalc" dataDxfId="21">
      <calculatedColumnFormula>P$7*_580F_correl910[[#This Row],[Dec]]/P$8+P$9</calculatedColumnFormula>
    </tableColumn>
    <tableColumn id="5" xr3:uid="{B2634DA5-105A-4BD8-8529-8F5C75DEF312}" name="ERR" dataDxfId="20">
      <calculatedColumnFormula>_580F_correl910[[#This Row],[Actual]]-_580F_correl910[[#This Row],[Recalc]]</calculatedColumnFormula>
    </tableColumn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AC44024-6DC9-4D94-903F-F0B15A5DA611}" name="_580F_correl91011" displayName="_580F_correl91011" ref="V10:Z15" totalsRowShown="0">
  <autoFilter ref="V10:Z15" xr:uid="{7AC44024-6DC9-4D94-903F-F0B15A5DA611}"/>
  <tableColumns count="5">
    <tableColumn id="1" xr3:uid="{3401AB46-0A06-41B2-B679-DE0C70FF9881}" name="Hex"/>
    <tableColumn id="2" xr3:uid="{6B6292EF-62C9-4AFD-BD7E-8D75D1A9A536}" name="Dec" dataDxfId="19">
      <calculatedColumnFormula>HEX2DEC(_580F_correl91011[[#This Row],[Hex]])</calculatedColumnFormula>
    </tableColumn>
    <tableColumn id="3" xr3:uid="{0E9219AE-2799-49F5-9DCB-3650A2A9CB44}" name="Actual"/>
    <tableColumn id="4" xr3:uid="{8DF2275D-8719-42A4-A678-DCCA12219A88}" name="Recalc" dataDxfId="18">
      <calculatedColumnFormula>W$7*_580F_correl91011[[#This Row],[Dec]]/W$8+W$9</calculatedColumnFormula>
    </tableColumn>
    <tableColumn id="5" xr3:uid="{AED6D50C-236C-47E3-8BA2-DEE81BBD6194}" name="ERR" dataDxfId="17">
      <calculatedColumnFormula>_580F_correl91011[[#This Row],[Actual]]-_580F_correl91011[[#This Row],[Recalc]]</calculatedColumnFormula>
    </tableColumn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E24DF06-B0C8-426A-84DA-40C4C52ED19F}" name="_580F_correl9101112" displayName="_580F_correl9101112" ref="A33:E38" totalsRowShown="0">
  <autoFilter ref="A33:E38" xr:uid="{EE24DF06-B0C8-426A-84DA-40C4C52ED19F}"/>
  <tableColumns count="5">
    <tableColumn id="1" xr3:uid="{A2A122B3-12F5-49CB-B0B6-70E8EE8D7400}" name="Hex"/>
    <tableColumn id="2" xr3:uid="{49085606-6E25-4788-9CD7-E4E6AD6C47FF}" name="Dec" dataDxfId="16">
      <calculatedColumnFormula>HEX2DEC(_580F_correl9101112[[#This Row],[Hex]])</calculatedColumnFormula>
    </tableColumn>
    <tableColumn id="3" xr3:uid="{5BF6F7CD-800C-427C-81FF-6169671D61C8}" name="Actual"/>
    <tableColumn id="4" xr3:uid="{9F34E8D6-51B5-4118-A4D5-286501D15E8A}" name="Recalc" dataDxfId="15">
      <calculatedColumnFormula>B$30*_580F_correl9101112[[#This Row],[Dec]]/B$31+B$32</calculatedColumnFormula>
    </tableColumn>
    <tableColumn id="5" xr3:uid="{F290F109-9008-406C-B7B6-414B677FE59A}" name="ERR" dataDxfId="14">
      <calculatedColumnFormula>_580F_correl9101112[[#This Row],[Actual]]-_580F_correl9101112[[#This Row],[Recalc]]</calculatedColumnFormula>
    </tableColumn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04583E0-E585-48DD-B5B0-39BF8E7AC406}" name="DDLI_DME" displayName="DDLI_DME" ref="A1:R400" tableType="queryTable" totalsRowShown="0">
  <autoFilter ref="A1:R400" xr:uid="{704583E0-E585-48DD-B5B0-39BF8E7AC406}">
    <filterColumn colId="1">
      <filters>
        <filter val="0x4402"/>
        <filter val="0x5805"/>
        <filter val="0x580C"/>
        <filter val="0x580D"/>
        <filter val="0x580F"/>
        <filter val="0x581F"/>
        <filter val="0x58DD"/>
        <filter val="0x58F0"/>
        <filter val="0x5ABC"/>
      </filters>
    </filterColumn>
  </autoFilter>
  <tableColumns count="18">
    <tableColumn id="1" xr3:uid="{548FD665-17CC-402B-AF20-B16EDB9754B6}" uniqueName="1" name="ARG" queryTableFieldId="1" dataDxfId="13"/>
    <tableColumn id="2" xr3:uid="{76DDAD11-AED3-4271-902B-06EF3BE6E47D}" uniqueName="2" name="ID" queryTableFieldId="2" dataDxfId="12"/>
    <tableColumn id="3" xr3:uid="{6CC3793B-AFD3-4B02-8188-C77CF7BA565D}" uniqueName="3" name="RESULTNAME" queryTableFieldId="3" dataDxfId="11"/>
    <tableColumn id="4" xr3:uid="{8AC91410-275E-487D-8BFA-04A1EE2ABC2E}" uniqueName="4" name="INFO" queryTableFieldId="4" dataDxfId="10"/>
    <tableColumn id="13" xr3:uid="{BC766BB3-8514-4DC9-88A9-8797ED999FFA}" uniqueName="13" name="English" queryTableFieldId="13" dataDxfId="9"/>
    <tableColumn id="5" xr3:uid="{EDF8E73C-FF78-4181-9563-B50F3829058D}" uniqueName="5" name="EINHEIT" queryTableFieldId="5" dataDxfId="8"/>
    <tableColumn id="6" xr3:uid="{30F231EC-1EF2-443E-A7AB-A747A9DF90F7}" uniqueName="6" name="LABEL" queryTableFieldId="6" dataDxfId="7"/>
    <tableColumn id="7" xr3:uid="{BB5FDCDC-E119-49BC-AD5D-05EE520CE8EE}" uniqueName="7" name="L/H" queryTableFieldId="7" dataDxfId="6"/>
    <tableColumn id="8" xr3:uid="{531885DF-6F64-4CC4-BA4A-3F057285AE11}" uniqueName="8" name="DATENTYP" queryTableFieldId="8" dataDxfId="5"/>
    <tableColumn id="15" xr3:uid="{C21DCFD3-1F59-4C43-9C7E-133AF53F82BD}" uniqueName="15" name="Bytelength" queryTableFieldId="15" dataDxfId="4">
      <calculatedColumnFormula array="1">_xlfn.IFS(DDLI_DME[[#This Row],[DATENTYP]]="unsigned integer",2,DDLI_DME[[#This Row],[DATENTYP]]="unsigned char",1,DDLI_DME[[#This Row],[DATENTYP]]="signed integer",2)</calculatedColumnFormula>
    </tableColumn>
    <tableColumn id="9" xr3:uid="{6B35F9A6-7D8C-458B-AD8B-007588C5525B}" uniqueName="9" name="NAME" queryTableFieldId="9" dataDxfId="3"/>
    <tableColumn id="10" xr3:uid="{48CE0088-FAC2-4BCA-8B13-A8E13B541CBA}" uniqueName="10" name="MUL" queryTableFieldId="10"/>
    <tableColumn id="11" xr3:uid="{FFED52CF-CA18-4322-9C55-DC9373DD9175}" uniqueName="11" name="DIV" queryTableFieldId="11"/>
    <tableColumn id="14" xr3:uid="{1B25C426-086A-44D8-A268-F910825248B5}" uniqueName="14" name="FRACTION" queryTableFieldId="14" dataDxfId="2">
      <calculatedColumnFormula>TEXT(DDLI_DME[[#This Row],[MUL]],"######/######")</calculatedColumnFormula>
    </tableColumn>
    <tableColumn id="12" xr3:uid="{596C4758-3B87-4EF1-97F2-E029EE4440A6}" uniqueName="12" name="ADD" queryTableFieldId="12"/>
    <tableColumn id="16" xr3:uid="{F55CC529-89BA-42FD-9E4B-5161D9D30838}" uniqueName="16" name="Hex" queryTableFieldId="16"/>
    <tableColumn id="17" xr3:uid="{B3B2E0B3-F07D-4C8F-A1C8-11AB6749AE39}" uniqueName="17" name="Dec" queryTableFieldId="17" dataDxfId="1">
      <calculatedColumnFormula>HEX2DEC(DDLI_DME[[#This Row],[Hex]])</calculatedColumnFormula>
    </tableColumn>
    <tableColumn id="18" xr3:uid="{3179CE3B-E9F5-4057-880B-AF4394A75BAB}" uniqueName="18" name="Value" queryTableFieldId="18" dataDxfId="0">
      <calculatedColumnFormula>DDLI_DME[[#This Row],[ADD]]+DDLI_DME[[#This Row],[Dec]]*DDLI_DME[[#This Row],[MUL]]/DDLI_DME[[#This Row],[DIV]]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10.xml"/><Relationship Id="rId5" Type="http://schemas.openxmlformats.org/officeDocument/2006/relationships/table" Target="../tables/table9.xml"/><Relationship Id="rId4" Type="http://schemas.openxmlformats.org/officeDocument/2006/relationships/table" Target="../tables/table8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B2872-DAFD-403E-84C3-5007BF074BA9}">
  <dimension ref="A3:AH2083"/>
  <sheetViews>
    <sheetView topLeftCell="A4" workbookViewId="0">
      <selection activeCell="G7" sqref="G7"/>
    </sheetView>
  </sheetViews>
  <sheetFormatPr defaultRowHeight="15" x14ac:dyDescent="0.25"/>
  <cols>
    <col min="2" max="2" width="7.42578125" bestFit="1" customWidth="1"/>
    <col min="3" max="3" width="10.7109375" customWidth="1"/>
    <col min="4" max="5" width="7.28515625" bestFit="1" customWidth="1"/>
    <col min="6" max="6" width="13.42578125" bestFit="1" customWidth="1"/>
    <col min="7" max="7" width="7.85546875" bestFit="1" customWidth="1"/>
    <col min="13" max="13" width="13.42578125" bestFit="1" customWidth="1"/>
    <col min="16" max="16" width="15" bestFit="1" customWidth="1"/>
    <col min="17" max="17" width="16.7109375" bestFit="1" customWidth="1"/>
    <col min="18" max="18" width="20.42578125" bestFit="1" customWidth="1"/>
    <col min="19" max="19" width="18.7109375" bestFit="1" customWidth="1"/>
    <col min="20" max="20" width="22.5703125" bestFit="1" customWidth="1"/>
    <col min="21" max="21" width="14.7109375" bestFit="1" customWidth="1"/>
    <col min="23" max="23" width="14.5703125" customWidth="1"/>
    <col min="24" max="24" width="16.28515625" customWidth="1"/>
    <col min="25" max="25" width="19.85546875" customWidth="1"/>
    <col min="26" max="26" width="18.42578125" customWidth="1"/>
    <col min="27" max="27" width="22" customWidth="1"/>
    <col min="28" max="28" width="14.5703125" customWidth="1"/>
    <col min="33" max="33" width="12" bestFit="1" customWidth="1"/>
  </cols>
  <sheetData>
    <row r="3" spans="1:28" x14ac:dyDescent="0.25">
      <c r="A3" t="s">
        <v>0</v>
      </c>
      <c r="B3" s="4" t="str">
        <f>VLOOKUP(_0811_173439[[#Headers],[580C]],CIList[],2)</f>
        <v>RPM</v>
      </c>
      <c r="C3" s="4" t="str">
        <f>VLOOKUP(_0811_173439[[#Headers],[4402]],CIList[],2)</f>
        <v>Oil Temp</v>
      </c>
      <c r="D3" s="4" t="str">
        <f>VLOOKUP(_0811_173439[[#Headers],[580F]],CIList[],2)</f>
        <v>IAT</v>
      </c>
      <c r="E3" s="4" t="str">
        <f>VLOOKUP(_0811_173439[[#Headers],[58F0]],CIList[],2)</f>
        <v>HPFP</v>
      </c>
      <c r="F3" s="4" t="str">
        <f>VLOOKUP(_0811_173439[[#Headers],[5805]],CIList[],2)</f>
        <v>Coolant Temp</v>
      </c>
      <c r="G3" s="4" t="str">
        <f>VLOOKUP(_0811_173439[[#Headers],[58DD]],CIList[],2)</f>
        <v>Boost</v>
      </c>
      <c r="I3" t="str">
        <f>B3</f>
        <v>RPM</v>
      </c>
      <c r="J3" t="str">
        <f t="shared" ref="J3:N3" si="0">C3</f>
        <v>Oil Temp</v>
      </c>
      <c r="K3" t="str">
        <f t="shared" si="0"/>
        <v>IAT</v>
      </c>
      <c r="L3" t="str">
        <f t="shared" si="0"/>
        <v>HPFP</v>
      </c>
      <c r="M3" t="str">
        <f t="shared" si="0"/>
        <v>Coolant Temp</v>
      </c>
      <c r="N3" t="str">
        <f t="shared" si="0"/>
        <v>Boost</v>
      </c>
    </row>
    <row r="4" spans="1:28" x14ac:dyDescent="0.25">
      <c r="A4" t="s">
        <v>17</v>
      </c>
      <c r="B4" s="5">
        <f>VLOOKUP(_0811_173439[[#Headers],[580C]],CIList[],4)</f>
        <v>40</v>
      </c>
      <c r="C4" s="5">
        <f>VLOOKUP(_0811_173439[[#Headers],[4402]],CIList[],4)</f>
        <v>1</v>
      </c>
      <c r="D4" s="5">
        <f>VLOOKUP(_0811_173439[[#Headers],[580F]],CIList[],4)</f>
        <v>3</v>
      </c>
      <c r="E4" s="5">
        <f>VLOOKUP(_0811_173439[[#Headers],[58F0]],CIList[],4)</f>
        <v>1</v>
      </c>
      <c r="F4" s="6">
        <v>3</v>
      </c>
      <c r="G4" s="6">
        <v>5</v>
      </c>
      <c r="I4">
        <f>MIN(Table3[580C])</f>
        <v>0</v>
      </c>
      <c r="J4">
        <f>MIN(Table3[4402])</f>
        <v>35</v>
      </c>
      <c r="K4">
        <f>MIN(Table3[580F])</f>
        <v>30</v>
      </c>
      <c r="L4">
        <f>MIN(Table3[58F0])</f>
        <v>65</v>
      </c>
      <c r="M4">
        <f>MIN(Table3[5805])</f>
        <v>42</v>
      </c>
      <c r="N4">
        <f>MIN(Table3[58DD])</f>
        <v>-0.05</v>
      </c>
      <c r="P4">
        <f>MIN(DataLog_T717420_Aug11_4_59_37pm[RPM '[1/MIN']])</f>
        <v>0</v>
      </c>
      <c r="Q4">
        <f>MIN(DataLog_T717420_Aug11_4_59_37pm[OIL TEMP '[Â°C']])</f>
        <v>35</v>
      </c>
      <c r="R4">
        <f>MIN(DataLog_T717420_Aug11_4_59_37pm[INTAKE TEMP '[Â°C']])</f>
        <v>30</v>
      </c>
      <c r="S4">
        <f>MIN(DataLog_T717420_Aug11_4_59_37pm[HPFP PRES. '[BAR']])</f>
        <v>65</v>
      </c>
      <c r="T4">
        <f>MIN(DataLog_T717420_Aug11_4_59_37pm[COOLANT TEMP '[Â°C']])</f>
        <v>42</v>
      </c>
      <c r="U4">
        <f>MIN(DataLog_T717420_Aug11_4_59_37pm[BOOST '[BAR']])</f>
        <v>-0.05</v>
      </c>
      <c r="W4" s="5">
        <f>MIN(DIFF[RPM '[1/MIN']])</f>
        <v>0</v>
      </c>
      <c r="X4" s="5">
        <f>MIN(DIFF[OIL TEMP '[Â°C']])</f>
        <v>0</v>
      </c>
      <c r="Y4" s="5">
        <f>MIN(DIFF[INTAKE TEMP '[Â°C']])</f>
        <v>0</v>
      </c>
      <c r="Z4" s="5">
        <f>MIN(DIFF[HPFP PRES. '[BAR']])</f>
        <v>0</v>
      </c>
      <c r="AA4">
        <f>MIN(DIFF[COOLANT TEMP '[Â°C']])</f>
        <v>-1</v>
      </c>
      <c r="AB4">
        <f>MIN(DIFF[BOOST '[BAR']])</f>
        <v>-1.0000000000000002E-2</v>
      </c>
    </row>
    <row r="5" spans="1:28" x14ac:dyDescent="0.25">
      <c r="A5" t="s">
        <v>18</v>
      </c>
      <c r="B5" s="5">
        <f>VLOOKUP(_0811_173439[[#Headers],[580C]],CIList[],5)</f>
        <v>1</v>
      </c>
      <c r="C5" s="5">
        <f>VLOOKUP(_0811_173439[[#Headers],[4402]],CIList[],5)</f>
        <v>1</v>
      </c>
      <c r="D5" s="5">
        <f>VLOOKUP(_0811_173439[[#Headers],[580F]],CIList[],5)</f>
        <v>4</v>
      </c>
      <c r="E5" s="5">
        <v>200</v>
      </c>
      <c r="F5" s="6">
        <v>4</v>
      </c>
      <c r="G5" s="6">
        <v>64000</v>
      </c>
      <c r="I5">
        <f>MAX(Table3[580C])</f>
        <v>2480</v>
      </c>
      <c r="J5">
        <f>MAX(Table3[4402])</f>
        <v>39</v>
      </c>
      <c r="K5">
        <f>MAX(Table3[580F])</f>
        <v>30.75</v>
      </c>
      <c r="L5">
        <f>MAX(Table3[58F0])</f>
        <v>116</v>
      </c>
      <c r="M5">
        <f>MAX(Table3[5805])</f>
        <v>47</v>
      </c>
      <c r="N5">
        <f>MAX(Table3[58DD])</f>
        <v>0.04</v>
      </c>
      <c r="P5">
        <f>MAX(DataLog_T717420_Aug11_4_59_37pm[RPM '[1/MIN']])</f>
        <v>2480</v>
      </c>
      <c r="Q5">
        <f>MAX(DataLog_T717420_Aug11_4_59_37pm[OIL TEMP '[Â°C']])</f>
        <v>39</v>
      </c>
      <c r="R5">
        <f>MAX(DataLog_T717420_Aug11_4_59_37pm[INTAKE TEMP '[Â°C']])</f>
        <v>30.75</v>
      </c>
      <c r="S5">
        <f>MAX(DataLog_T717420_Aug11_4_59_37pm[HPFP PRES. '[BAR']])</f>
        <v>116</v>
      </c>
      <c r="T5">
        <f>MAX(DataLog_T717420_Aug11_4_59_37pm[COOLANT TEMP '[Â°C']])</f>
        <v>47</v>
      </c>
      <c r="U5">
        <f>MAX(DataLog_T717420_Aug11_4_59_37pm[BOOST '[BAR']])</f>
        <v>0.04</v>
      </c>
      <c r="W5" s="5">
        <f>MAX(DIFF[RPM '[1/MIN']])</f>
        <v>0</v>
      </c>
      <c r="X5" s="5">
        <f>MAX(DIFF[OIL TEMP '[Â°C']])</f>
        <v>0</v>
      </c>
      <c r="Y5" s="5">
        <f>MAX(DIFF[INTAKE TEMP '[Â°C']])</f>
        <v>0</v>
      </c>
      <c r="Z5" s="5">
        <f>MAX(DIFF[HPFP PRES. '[BAR']])</f>
        <v>0</v>
      </c>
      <c r="AA5">
        <f>MAX(DIFF[COOLANT TEMP '[Â°C']])</f>
        <v>0</v>
      </c>
      <c r="AB5">
        <f>MAX(DIFF[BOOST '[BAR']])</f>
        <v>0</v>
      </c>
    </row>
    <row r="6" spans="1:28" x14ac:dyDescent="0.25">
      <c r="A6" t="s">
        <v>19</v>
      </c>
      <c r="B6" s="5">
        <f>VLOOKUP(_0811_173439[[#Headers],[580C]],CIList[],6)</f>
        <v>0</v>
      </c>
      <c r="C6" s="5">
        <f>VLOOKUP(_0811_173439[[#Headers],[4402]],CIList[],6)</f>
        <v>-60</v>
      </c>
      <c r="D6" s="5">
        <f>VLOOKUP(_0811_173439[[#Headers],[580F]],CIList[],6)</f>
        <v>-48</v>
      </c>
      <c r="E6" s="5">
        <f>VLOOKUP(_0811_173439[[#Headers],[58F0]],CIList[],6)</f>
        <v>0</v>
      </c>
      <c r="F6" s="6">
        <v>-48</v>
      </c>
      <c r="G6" s="6">
        <v>-1.0129999999999999</v>
      </c>
      <c r="I6">
        <f>AVERAGE(Table3[580C])</f>
        <v>646.57032755298656</v>
      </c>
      <c r="J6">
        <f>AVERAGE(Table3[4402])</f>
        <v>36.666666666666664</v>
      </c>
      <c r="K6">
        <f>AVERAGE(Table3[580F])</f>
        <v>30.121748554913296</v>
      </c>
      <c r="L6">
        <f>AVERAGE(Table3[58F0])</f>
        <v>72.533236994219649</v>
      </c>
      <c r="M6">
        <f>AVERAGE(Table3[5805])</f>
        <v>43.911849710982658</v>
      </c>
      <c r="N6">
        <f>AVERAGE(Table3[58DD])</f>
        <v>-2.8169556840077905E-2</v>
      </c>
      <c r="P6">
        <f>AVERAGE(DataLog_T717420_Aug11_4_59_37pm[RPM '[1/MIN']])</f>
        <v>646.57032755298656</v>
      </c>
      <c r="Q6">
        <f>AVERAGE(DataLog_T717420_Aug11_4_59_37pm[OIL TEMP '[Â°C']])</f>
        <v>36.666666666666664</v>
      </c>
      <c r="R6">
        <f>AVERAGE(DataLog_T717420_Aug11_4_59_37pm[INTAKE TEMP '[Â°C']])</f>
        <v>30.121748554913296</v>
      </c>
      <c r="S6">
        <f>AVERAGE(DataLog_T717420_Aug11_4_59_37pm[HPFP PRES. '[BAR']])</f>
        <v>72.533236994219649</v>
      </c>
      <c r="T6">
        <f>AVERAGE(DataLog_T717420_Aug11_4_59_37pm[COOLANT TEMP '[Â°C']])</f>
        <v>43.794797687861269</v>
      </c>
      <c r="U6">
        <f>AVERAGE(DataLog_T717420_Aug11_4_59_37pm[BOOST '[BAR']])</f>
        <v>-2.8261078998074046E-2</v>
      </c>
      <c r="W6" s="5">
        <f>AVERAGE(DIFF[RPM '[1/MIN']])</f>
        <v>0</v>
      </c>
      <c r="X6" s="5">
        <f>AVERAGE(DIFF[OIL TEMP '[Â°C']])</f>
        <v>0</v>
      </c>
      <c r="Y6" s="5">
        <f>AVERAGE(DIFF[INTAKE TEMP '[Â°C']])</f>
        <v>0</v>
      </c>
      <c r="Z6" s="5">
        <f>AVERAGE(DIFF[HPFP PRES. '[BAR']])</f>
        <v>0</v>
      </c>
      <c r="AA6">
        <f>AVERAGE(DIFF[COOLANT TEMP '[Â°C']])</f>
        <v>-0.11705202312138728</v>
      </c>
      <c r="AB6">
        <f>AVERAGE(DIFF[BOOST '[BAR']])</f>
        <v>-9.1522157996146435E-5</v>
      </c>
    </row>
    <row r="7" spans="1:28" x14ac:dyDescent="0.25">
      <c r="B7" t="s">
        <v>20</v>
      </c>
      <c r="C7" t="s">
        <v>21</v>
      </c>
      <c r="D7" t="s">
        <v>10</v>
      </c>
      <c r="E7" t="s">
        <v>9</v>
      </c>
      <c r="F7" t="s">
        <v>22</v>
      </c>
      <c r="G7" t="s">
        <v>8</v>
      </c>
      <c r="I7" t="s">
        <v>20</v>
      </c>
      <c r="J7" t="s">
        <v>21</v>
      </c>
      <c r="K7" t="s">
        <v>10</v>
      </c>
      <c r="L7" t="s">
        <v>9</v>
      </c>
      <c r="M7" t="s">
        <v>22</v>
      </c>
      <c r="N7" t="s">
        <v>8</v>
      </c>
      <c r="P7" t="s">
        <v>413</v>
      </c>
      <c r="Q7" t="s">
        <v>414</v>
      </c>
      <c r="R7" t="s">
        <v>415</v>
      </c>
      <c r="S7" t="s">
        <v>416</v>
      </c>
      <c r="T7" t="s">
        <v>417</v>
      </c>
      <c r="U7" t="s">
        <v>418</v>
      </c>
      <c r="W7" t="s">
        <v>413</v>
      </c>
      <c r="X7" t="s">
        <v>414</v>
      </c>
      <c r="Y7" t="s">
        <v>415</v>
      </c>
      <c r="Z7" t="s">
        <v>416</v>
      </c>
      <c r="AA7" t="s">
        <v>417</v>
      </c>
      <c r="AB7" t="s">
        <v>418</v>
      </c>
    </row>
    <row r="8" spans="1:28" x14ac:dyDescent="0.25">
      <c r="B8" s="2" t="s">
        <v>23</v>
      </c>
      <c r="C8" s="2" t="s">
        <v>24</v>
      </c>
      <c r="D8" s="2" t="s">
        <v>25</v>
      </c>
      <c r="E8" s="2" t="s">
        <v>29</v>
      </c>
      <c r="F8" s="2" t="s">
        <v>26</v>
      </c>
      <c r="G8" s="2" t="s">
        <v>27</v>
      </c>
      <c r="I8">
        <f>HEX2DEC(_0811_173439[[#This Row],[580C]])*B$4/B$5+B$6</f>
        <v>0</v>
      </c>
      <c r="J8">
        <f>HEX2DEC(_0811_173439[[#This Row],[4402]])*C$4/C$5+C$6</f>
        <v>35</v>
      </c>
      <c r="K8">
        <f>HEX2DEC(_0811_173439[[#This Row],[580F]])*D$4/D$5+D$6</f>
        <v>30.75</v>
      </c>
      <c r="L8">
        <f>ROUND(HEX2DEC(_0811_173439[[#This Row],[58F0]])*E$4/E$5+E$6,0)</f>
        <v>82</v>
      </c>
      <c r="M8">
        <f>ROUND(HEX2DEC(_0811_173439[[#This Row],[5805]])*F$4/F$5+F$6,0)</f>
        <v>42</v>
      </c>
      <c r="N8">
        <f>ROUND(HEX2DEC(_0811_173439[[#This Row],[58DD]])*G$4/G$5+G$6,2)</f>
        <v>-0.03</v>
      </c>
      <c r="P8">
        <v>0</v>
      </c>
      <c r="Q8">
        <v>35</v>
      </c>
      <c r="R8">
        <v>30.75</v>
      </c>
      <c r="S8">
        <v>82</v>
      </c>
      <c r="T8">
        <v>42</v>
      </c>
      <c r="U8">
        <v>-0.03</v>
      </c>
      <c r="W8">
        <f>DataLog_T717420_Aug11_4_59_37pm[[#This Row],[RPM '[1/MIN']]]-Table3[[#This Row],[580C]]</f>
        <v>0</v>
      </c>
      <c r="X8">
        <f>DataLog_T717420_Aug11_4_59_37pm[[#This Row],[OIL TEMP '[Â°C']]]-Table3[[#This Row],[4402]]</f>
        <v>0</v>
      </c>
      <c r="Y8">
        <f>DataLog_T717420_Aug11_4_59_37pm[[#This Row],[INTAKE TEMP '[Â°C']]]-Table3[[#This Row],[580F]]</f>
        <v>0</v>
      </c>
      <c r="Z8">
        <f>DataLog_T717420_Aug11_4_59_37pm[[#This Row],[HPFP PRES. '[BAR']]]-Table3[[#This Row],[58F0]]</f>
        <v>0</v>
      </c>
      <c r="AA8">
        <f>DataLog_T717420_Aug11_4_59_37pm[[#This Row],[COOLANT TEMP '[Â°C']]]-Table3[[#This Row],[5805]]</f>
        <v>0</v>
      </c>
      <c r="AB8">
        <f>DataLog_T717420_Aug11_4_59_37pm[[#This Row],[BOOST '[BAR']]]-Table3[[#This Row],[58DD]]</f>
        <v>0</v>
      </c>
    </row>
    <row r="9" spans="1:28" x14ac:dyDescent="0.25">
      <c r="B9" s="2" t="s">
        <v>23</v>
      </c>
      <c r="C9" s="2" t="s">
        <v>30</v>
      </c>
      <c r="D9" s="2" t="s">
        <v>25</v>
      </c>
      <c r="E9" s="2" t="s">
        <v>29</v>
      </c>
      <c r="F9" s="2" t="s">
        <v>26</v>
      </c>
      <c r="G9" s="2" t="s">
        <v>27</v>
      </c>
      <c r="I9">
        <f>HEX2DEC(_0811_173439[[#This Row],[580C]])*B$4/B$5+B$6</f>
        <v>0</v>
      </c>
      <c r="J9">
        <f>HEX2DEC(_0811_173439[[#This Row],[4402]])*C$4/C$5+C$6</f>
        <v>36</v>
      </c>
      <c r="K9">
        <f>HEX2DEC(_0811_173439[[#This Row],[580F]])*D$4/D$5+D$6</f>
        <v>30.75</v>
      </c>
      <c r="L9">
        <f>ROUND(HEX2DEC(_0811_173439[[#This Row],[58F0]])*E$4/E$5+E$6,0)</f>
        <v>82</v>
      </c>
      <c r="M9">
        <f>ROUND(HEX2DEC(_0811_173439[[#This Row],[5805]])*F$4/F$5+F$6,0)</f>
        <v>42</v>
      </c>
      <c r="N9">
        <f>ROUND(HEX2DEC(_0811_173439[[#This Row],[58DD]])*G$4/G$5+G$6,2)</f>
        <v>-0.03</v>
      </c>
      <c r="P9">
        <v>0</v>
      </c>
      <c r="Q9">
        <v>36</v>
      </c>
      <c r="R9">
        <v>30.75</v>
      </c>
      <c r="S9">
        <v>82</v>
      </c>
      <c r="T9">
        <v>42</v>
      </c>
      <c r="U9">
        <v>-0.03</v>
      </c>
      <c r="W9">
        <f>DataLog_T717420_Aug11_4_59_37pm[[#This Row],[RPM '[1/MIN']]]-Table3[[#This Row],[580C]]</f>
        <v>0</v>
      </c>
      <c r="X9">
        <f>DataLog_T717420_Aug11_4_59_37pm[[#This Row],[OIL TEMP '[Â°C']]]-Table3[[#This Row],[4402]]</f>
        <v>0</v>
      </c>
      <c r="Y9">
        <f>DataLog_T717420_Aug11_4_59_37pm[[#This Row],[INTAKE TEMP '[Â°C']]]-Table3[[#This Row],[580F]]</f>
        <v>0</v>
      </c>
      <c r="Z9">
        <f>DataLog_T717420_Aug11_4_59_37pm[[#This Row],[HPFP PRES. '[BAR']]]-Table3[[#This Row],[58F0]]</f>
        <v>0</v>
      </c>
      <c r="AA9">
        <f>DataLog_T717420_Aug11_4_59_37pm[[#This Row],[COOLANT TEMP '[Â°C']]]-Table3[[#This Row],[5805]]</f>
        <v>0</v>
      </c>
      <c r="AB9">
        <f>DataLog_T717420_Aug11_4_59_37pm[[#This Row],[BOOST '[BAR']]]-Table3[[#This Row],[58DD]]</f>
        <v>0</v>
      </c>
    </row>
    <row r="10" spans="1:28" x14ac:dyDescent="0.25">
      <c r="B10" s="2" t="s">
        <v>23</v>
      </c>
      <c r="C10" s="2" t="s">
        <v>30</v>
      </c>
      <c r="D10" s="2" t="s">
        <v>25</v>
      </c>
      <c r="E10" s="2" t="s">
        <v>29</v>
      </c>
      <c r="F10" s="2" t="s">
        <v>26</v>
      </c>
      <c r="G10" s="2" t="s">
        <v>27</v>
      </c>
      <c r="I10">
        <f>HEX2DEC(_0811_173439[[#This Row],[580C]])*B$4/B$5+B$6</f>
        <v>0</v>
      </c>
      <c r="J10">
        <f>HEX2DEC(_0811_173439[[#This Row],[4402]])*C$4/C$5+C$6</f>
        <v>36</v>
      </c>
      <c r="K10">
        <f>HEX2DEC(_0811_173439[[#This Row],[580F]])*D$4/D$5+D$6</f>
        <v>30.75</v>
      </c>
      <c r="L10">
        <f>ROUND(HEX2DEC(_0811_173439[[#This Row],[58F0]])*E$4/E$5+E$6,0)</f>
        <v>82</v>
      </c>
      <c r="M10">
        <f>ROUND(HEX2DEC(_0811_173439[[#This Row],[5805]])*F$4/F$5+F$6,0)</f>
        <v>42</v>
      </c>
      <c r="N10">
        <f>ROUND(HEX2DEC(_0811_173439[[#This Row],[58DD]])*G$4/G$5+G$6,2)</f>
        <v>-0.03</v>
      </c>
      <c r="P10">
        <v>0</v>
      </c>
      <c r="Q10">
        <v>36</v>
      </c>
      <c r="R10">
        <v>30.75</v>
      </c>
      <c r="S10">
        <v>82</v>
      </c>
      <c r="T10">
        <v>42</v>
      </c>
      <c r="U10">
        <v>-0.03</v>
      </c>
      <c r="W10">
        <f>DataLog_T717420_Aug11_4_59_37pm[[#This Row],[RPM '[1/MIN']]]-Table3[[#This Row],[580C]]</f>
        <v>0</v>
      </c>
      <c r="X10">
        <f>DataLog_T717420_Aug11_4_59_37pm[[#This Row],[OIL TEMP '[Â°C']]]-Table3[[#This Row],[4402]]</f>
        <v>0</v>
      </c>
      <c r="Y10">
        <f>DataLog_T717420_Aug11_4_59_37pm[[#This Row],[INTAKE TEMP '[Â°C']]]-Table3[[#This Row],[580F]]</f>
        <v>0</v>
      </c>
      <c r="Z10">
        <f>DataLog_T717420_Aug11_4_59_37pm[[#This Row],[HPFP PRES. '[BAR']]]-Table3[[#This Row],[58F0]]</f>
        <v>0</v>
      </c>
      <c r="AA10">
        <f>DataLog_T717420_Aug11_4_59_37pm[[#This Row],[COOLANT TEMP '[Â°C']]]-Table3[[#This Row],[5805]]</f>
        <v>0</v>
      </c>
      <c r="AB10">
        <f>DataLog_T717420_Aug11_4_59_37pm[[#This Row],[BOOST '[BAR']]]-Table3[[#This Row],[58DD]]</f>
        <v>0</v>
      </c>
    </row>
    <row r="11" spans="1:28" x14ac:dyDescent="0.25">
      <c r="B11" s="2" t="s">
        <v>23</v>
      </c>
      <c r="C11" s="2" t="s">
        <v>30</v>
      </c>
      <c r="D11" s="2" t="s">
        <v>25</v>
      </c>
      <c r="E11" s="2" t="s">
        <v>29</v>
      </c>
      <c r="F11" s="2" t="s">
        <v>26</v>
      </c>
      <c r="G11" s="2" t="s">
        <v>28</v>
      </c>
      <c r="I11">
        <f>HEX2DEC(_0811_173439[[#This Row],[580C]])*B$4/B$5+B$6</f>
        <v>0</v>
      </c>
      <c r="J11">
        <f>HEX2DEC(_0811_173439[[#This Row],[4402]])*C$4/C$5+C$6</f>
        <v>36</v>
      </c>
      <c r="K11">
        <f>HEX2DEC(_0811_173439[[#This Row],[580F]])*D$4/D$5+D$6</f>
        <v>30.75</v>
      </c>
      <c r="L11">
        <f>ROUND(HEX2DEC(_0811_173439[[#This Row],[58F0]])*E$4/E$5+E$6,0)</f>
        <v>82</v>
      </c>
      <c r="M11">
        <f>ROUND(HEX2DEC(_0811_173439[[#This Row],[5805]])*F$4/F$5+F$6,0)</f>
        <v>42</v>
      </c>
      <c r="N11">
        <f>ROUND(HEX2DEC(_0811_173439[[#This Row],[58DD]])*G$4/G$5+G$6,2)</f>
        <v>-0.02</v>
      </c>
      <c r="P11">
        <v>0</v>
      </c>
      <c r="Q11">
        <v>36</v>
      </c>
      <c r="R11">
        <v>30.75</v>
      </c>
      <c r="S11">
        <v>82</v>
      </c>
      <c r="T11">
        <v>42</v>
      </c>
      <c r="U11">
        <v>-0.02</v>
      </c>
      <c r="W11">
        <f>DataLog_T717420_Aug11_4_59_37pm[[#This Row],[RPM '[1/MIN']]]-Table3[[#This Row],[580C]]</f>
        <v>0</v>
      </c>
      <c r="X11">
        <f>DataLog_T717420_Aug11_4_59_37pm[[#This Row],[OIL TEMP '[Â°C']]]-Table3[[#This Row],[4402]]</f>
        <v>0</v>
      </c>
      <c r="Y11">
        <f>DataLog_T717420_Aug11_4_59_37pm[[#This Row],[INTAKE TEMP '[Â°C']]]-Table3[[#This Row],[580F]]</f>
        <v>0</v>
      </c>
      <c r="Z11">
        <f>DataLog_T717420_Aug11_4_59_37pm[[#This Row],[HPFP PRES. '[BAR']]]-Table3[[#This Row],[58F0]]</f>
        <v>0</v>
      </c>
      <c r="AA11">
        <f>DataLog_T717420_Aug11_4_59_37pm[[#This Row],[COOLANT TEMP '[Â°C']]]-Table3[[#This Row],[5805]]</f>
        <v>0</v>
      </c>
      <c r="AB11">
        <f>DataLog_T717420_Aug11_4_59_37pm[[#This Row],[BOOST '[BAR']]]-Table3[[#This Row],[58DD]]</f>
        <v>0</v>
      </c>
    </row>
    <row r="12" spans="1:28" x14ac:dyDescent="0.25">
      <c r="B12" s="2" t="s">
        <v>23</v>
      </c>
      <c r="C12" s="2" t="s">
        <v>30</v>
      </c>
      <c r="D12" s="2" t="s">
        <v>25</v>
      </c>
      <c r="E12" s="2" t="s">
        <v>29</v>
      </c>
      <c r="F12" s="2" t="s">
        <v>26</v>
      </c>
      <c r="G12" s="2" t="s">
        <v>27</v>
      </c>
      <c r="I12">
        <f>HEX2DEC(_0811_173439[[#This Row],[580C]])*B$4/B$5+B$6</f>
        <v>0</v>
      </c>
      <c r="J12">
        <f>HEX2DEC(_0811_173439[[#This Row],[4402]])*C$4/C$5+C$6</f>
        <v>36</v>
      </c>
      <c r="K12">
        <f>HEX2DEC(_0811_173439[[#This Row],[580F]])*D$4/D$5+D$6</f>
        <v>30.75</v>
      </c>
      <c r="L12">
        <f>ROUND(HEX2DEC(_0811_173439[[#This Row],[58F0]])*E$4/E$5+E$6,0)</f>
        <v>82</v>
      </c>
      <c r="M12">
        <f>ROUND(HEX2DEC(_0811_173439[[#This Row],[5805]])*F$4/F$5+F$6,0)</f>
        <v>42</v>
      </c>
      <c r="N12">
        <f>ROUND(HEX2DEC(_0811_173439[[#This Row],[58DD]])*G$4/G$5+G$6,2)</f>
        <v>-0.03</v>
      </c>
      <c r="P12">
        <v>0</v>
      </c>
      <c r="Q12">
        <v>36</v>
      </c>
      <c r="R12">
        <v>30.75</v>
      </c>
      <c r="S12">
        <v>82</v>
      </c>
      <c r="T12">
        <v>42</v>
      </c>
      <c r="U12">
        <v>-0.03</v>
      </c>
      <c r="W12">
        <f>DataLog_T717420_Aug11_4_59_37pm[[#This Row],[RPM '[1/MIN']]]-Table3[[#This Row],[580C]]</f>
        <v>0</v>
      </c>
      <c r="X12">
        <f>DataLog_T717420_Aug11_4_59_37pm[[#This Row],[OIL TEMP '[Â°C']]]-Table3[[#This Row],[4402]]</f>
        <v>0</v>
      </c>
      <c r="Y12">
        <f>DataLog_T717420_Aug11_4_59_37pm[[#This Row],[INTAKE TEMP '[Â°C']]]-Table3[[#This Row],[580F]]</f>
        <v>0</v>
      </c>
      <c r="Z12">
        <f>DataLog_T717420_Aug11_4_59_37pm[[#This Row],[HPFP PRES. '[BAR']]]-Table3[[#This Row],[58F0]]</f>
        <v>0</v>
      </c>
      <c r="AA12">
        <f>DataLog_T717420_Aug11_4_59_37pm[[#This Row],[COOLANT TEMP '[Â°C']]]-Table3[[#This Row],[5805]]</f>
        <v>0</v>
      </c>
      <c r="AB12">
        <f>DataLog_T717420_Aug11_4_59_37pm[[#This Row],[BOOST '[BAR']]]-Table3[[#This Row],[58DD]]</f>
        <v>0</v>
      </c>
    </row>
    <row r="13" spans="1:28" x14ac:dyDescent="0.25">
      <c r="B13" s="2" t="s">
        <v>23</v>
      </c>
      <c r="C13" s="2" t="s">
        <v>30</v>
      </c>
      <c r="D13" s="2" t="s">
        <v>25</v>
      </c>
      <c r="E13" s="2" t="s">
        <v>29</v>
      </c>
      <c r="F13" s="2" t="s">
        <v>26</v>
      </c>
      <c r="G13" s="2" t="s">
        <v>27</v>
      </c>
      <c r="I13">
        <f>HEX2DEC(_0811_173439[[#This Row],[580C]])*B$4/B$5+B$6</f>
        <v>0</v>
      </c>
      <c r="J13">
        <f>HEX2DEC(_0811_173439[[#This Row],[4402]])*C$4/C$5+C$6</f>
        <v>36</v>
      </c>
      <c r="K13">
        <f>HEX2DEC(_0811_173439[[#This Row],[580F]])*D$4/D$5+D$6</f>
        <v>30.75</v>
      </c>
      <c r="L13">
        <f>ROUND(HEX2DEC(_0811_173439[[#This Row],[58F0]])*E$4/E$5+E$6,0)</f>
        <v>82</v>
      </c>
      <c r="M13">
        <f>ROUND(HEX2DEC(_0811_173439[[#This Row],[5805]])*F$4/F$5+F$6,0)</f>
        <v>42</v>
      </c>
      <c r="N13">
        <f>ROUND(HEX2DEC(_0811_173439[[#This Row],[58DD]])*G$4/G$5+G$6,2)</f>
        <v>-0.03</v>
      </c>
      <c r="P13">
        <v>0</v>
      </c>
      <c r="Q13">
        <v>36</v>
      </c>
      <c r="R13">
        <v>30.75</v>
      </c>
      <c r="S13">
        <v>82</v>
      </c>
      <c r="T13">
        <v>42</v>
      </c>
      <c r="U13">
        <v>-0.03</v>
      </c>
      <c r="W13">
        <f>DataLog_T717420_Aug11_4_59_37pm[[#This Row],[RPM '[1/MIN']]]-Table3[[#This Row],[580C]]</f>
        <v>0</v>
      </c>
      <c r="X13">
        <f>DataLog_T717420_Aug11_4_59_37pm[[#This Row],[OIL TEMP '[Â°C']]]-Table3[[#This Row],[4402]]</f>
        <v>0</v>
      </c>
      <c r="Y13">
        <f>DataLog_T717420_Aug11_4_59_37pm[[#This Row],[INTAKE TEMP '[Â°C']]]-Table3[[#This Row],[580F]]</f>
        <v>0</v>
      </c>
      <c r="Z13">
        <f>DataLog_T717420_Aug11_4_59_37pm[[#This Row],[HPFP PRES. '[BAR']]]-Table3[[#This Row],[58F0]]</f>
        <v>0</v>
      </c>
      <c r="AA13">
        <f>DataLog_T717420_Aug11_4_59_37pm[[#This Row],[COOLANT TEMP '[Â°C']]]-Table3[[#This Row],[5805]]</f>
        <v>0</v>
      </c>
      <c r="AB13">
        <f>DataLog_T717420_Aug11_4_59_37pm[[#This Row],[BOOST '[BAR']]]-Table3[[#This Row],[58DD]]</f>
        <v>0</v>
      </c>
    </row>
    <row r="14" spans="1:28" x14ac:dyDescent="0.25">
      <c r="B14" s="2" t="s">
        <v>23</v>
      </c>
      <c r="C14" s="2" t="s">
        <v>30</v>
      </c>
      <c r="D14" s="2" t="s">
        <v>25</v>
      </c>
      <c r="E14" s="2" t="s">
        <v>29</v>
      </c>
      <c r="F14" s="2" t="s">
        <v>26</v>
      </c>
      <c r="G14" s="2" t="s">
        <v>27</v>
      </c>
      <c r="I14">
        <f>HEX2DEC(_0811_173439[[#This Row],[580C]])*B$4/B$5+B$6</f>
        <v>0</v>
      </c>
      <c r="J14">
        <f>HEX2DEC(_0811_173439[[#This Row],[4402]])*C$4/C$5+C$6</f>
        <v>36</v>
      </c>
      <c r="K14">
        <f>HEX2DEC(_0811_173439[[#This Row],[580F]])*D$4/D$5+D$6</f>
        <v>30.75</v>
      </c>
      <c r="L14">
        <f>ROUND(HEX2DEC(_0811_173439[[#This Row],[58F0]])*E$4/E$5+E$6,0)</f>
        <v>82</v>
      </c>
      <c r="M14">
        <f>ROUND(HEX2DEC(_0811_173439[[#This Row],[5805]])*F$4/F$5+F$6,0)</f>
        <v>42</v>
      </c>
      <c r="N14">
        <f>ROUND(HEX2DEC(_0811_173439[[#This Row],[58DD]])*G$4/G$5+G$6,2)</f>
        <v>-0.03</v>
      </c>
      <c r="P14">
        <v>0</v>
      </c>
      <c r="Q14">
        <v>36</v>
      </c>
      <c r="R14">
        <v>30.75</v>
      </c>
      <c r="S14">
        <v>82</v>
      </c>
      <c r="T14">
        <v>42</v>
      </c>
      <c r="U14">
        <v>-0.03</v>
      </c>
      <c r="W14">
        <f>DataLog_T717420_Aug11_4_59_37pm[[#This Row],[RPM '[1/MIN']]]-Table3[[#This Row],[580C]]</f>
        <v>0</v>
      </c>
      <c r="X14">
        <f>DataLog_T717420_Aug11_4_59_37pm[[#This Row],[OIL TEMP '[Â°C']]]-Table3[[#This Row],[4402]]</f>
        <v>0</v>
      </c>
      <c r="Y14">
        <f>DataLog_T717420_Aug11_4_59_37pm[[#This Row],[INTAKE TEMP '[Â°C']]]-Table3[[#This Row],[580F]]</f>
        <v>0</v>
      </c>
      <c r="Z14">
        <f>DataLog_T717420_Aug11_4_59_37pm[[#This Row],[HPFP PRES. '[BAR']]]-Table3[[#This Row],[58F0]]</f>
        <v>0</v>
      </c>
      <c r="AA14">
        <f>DataLog_T717420_Aug11_4_59_37pm[[#This Row],[COOLANT TEMP '[Â°C']]]-Table3[[#This Row],[5805]]</f>
        <v>0</v>
      </c>
      <c r="AB14">
        <f>DataLog_T717420_Aug11_4_59_37pm[[#This Row],[BOOST '[BAR']]]-Table3[[#This Row],[58DD]]</f>
        <v>0</v>
      </c>
    </row>
    <row r="15" spans="1:28" x14ac:dyDescent="0.25">
      <c r="B15" s="2" t="s">
        <v>23</v>
      </c>
      <c r="C15" s="2" t="s">
        <v>30</v>
      </c>
      <c r="D15" s="2" t="s">
        <v>25</v>
      </c>
      <c r="E15" s="2" t="s">
        <v>29</v>
      </c>
      <c r="F15" s="2" t="s">
        <v>26</v>
      </c>
      <c r="G15" s="2" t="s">
        <v>28</v>
      </c>
      <c r="I15">
        <f>HEX2DEC(_0811_173439[[#This Row],[580C]])*B$4/B$5+B$6</f>
        <v>0</v>
      </c>
      <c r="J15">
        <f>HEX2DEC(_0811_173439[[#This Row],[4402]])*C$4/C$5+C$6</f>
        <v>36</v>
      </c>
      <c r="K15">
        <f>HEX2DEC(_0811_173439[[#This Row],[580F]])*D$4/D$5+D$6</f>
        <v>30.75</v>
      </c>
      <c r="L15">
        <f>ROUND(HEX2DEC(_0811_173439[[#This Row],[58F0]])*E$4/E$5+E$6,0)</f>
        <v>82</v>
      </c>
      <c r="M15">
        <f>ROUND(HEX2DEC(_0811_173439[[#This Row],[5805]])*F$4/F$5+F$6,0)</f>
        <v>42</v>
      </c>
      <c r="N15">
        <f>ROUND(HEX2DEC(_0811_173439[[#This Row],[58DD]])*G$4/G$5+G$6,2)</f>
        <v>-0.02</v>
      </c>
      <c r="P15">
        <v>0</v>
      </c>
      <c r="Q15">
        <v>36</v>
      </c>
      <c r="R15">
        <v>30.75</v>
      </c>
      <c r="S15">
        <v>82</v>
      </c>
      <c r="T15">
        <v>42</v>
      </c>
      <c r="U15">
        <v>-0.02</v>
      </c>
      <c r="W15">
        <f>DataLog_T717420_Aug11_4_59_37pm[[#This Row],[RPM '[1/MIN']]]-Table3[[#This Row],[580C]]</f>
        <v>0</v>
      </c>
      <c r="X15">
        <f>DataLog_T717420_Aug11_4_59_37pm[[#This Row],[OIL TEMP '[Â°C']]]-Table3[[#This Row],[4402]]</f>
        <v>0</v>
      </c>
      <c r="Y15">
        <f>DataLog_T717420_Aug11_4_59_37pm[[#This Row],[INTAKE TEMP '[Â°C']]]-Table3[[#This Row],[580F]]</f>
        <v>0</v>
      </c>
      <c r="Z15">
        <f>DataLog_T717420_Aug11_4_59_37pm[[#This Row],[HPFP PRES. '[BAR']]]-Table3[[#This Row],[58F0]]</f>
        <v>0</v>
      </c>
      <c r="AA15">
        <f>DataLog_T717420_Aug11_4_59_37pm[[#This Row],[COOLANT TEMP '[Â°C']]]-Table3[[#This Row],[5805]]</f>
        <v>0</v>
      </c>
      <c r="AB15">
        <f>DataLog_T717420_Aug11_4_59_37pm[[#This Row],[BOOST '[BAR']]]-Table3[[#This Row],[58DD]]</f>
        <v>0</v>
      </c>
    </row>
    <row r="16" spans="1:28" x14ac:dyDescent="0.25">
      <c r="B16" s="2" t="s">
        <v>23</v>
      </c>
      <c r="C16" s="2" t="s">
        <v>30</v>
      </c>
      <c r="D16" s="2" t="s">
        <v>25</v>
      </c>
      <c r="E16" s="2" t="s">
        <v>29</v>
      </c>
      <c r="F16" s="2" t="s">
        <v>26</v>
      </c>
      <c r="G16" s="2" t="s">
        <v>28</v>
      </c>
      <c r="I16">
        <f>HEX2DEC(_0811_173439[[#This Row],[580C]])*B$4/B$5+B$6</f>
        <v>0</v>
      </c>
      <c r="J16">
        <f>HEX2DEC(_0811_173439[[#This Row],[4402]])*C$4/C$5+C$6</f>
        <v>36</v>
      </c>
      <c r="K16">
        <f>HEX2DEC(_0811_173439[[#This Row],[580F]])*D$4/D$5+D$6</f>
        <v>30.75</v>
      </c>
      <c r="L16">
        <f>ROUND(HEX2DEC(_0811_173439[[#This Row],[58F0]])*E$4/E$5+E$6,0)</f>
        <v>82</v>
      </c>
      <c r="M16">
        <f>ROUND(HEX2DEC(_0811_173439[[#This Row],[5805]])*F$4/F$5+F$6,0)</f>
        <v>42</v>
      </c>
      <c r="N16">
        <f>ROUND(HEX2DEC(_0811_173439[[#This Row],[58DD]])*G$4/G$5+G$6,2)</f>
        <v>-0.02</v>
      </c>
      <c r="P16">
        <v>0</v>
      </c>
      <c r="Q16">
        <v>36</v>
      </c>
      <c r="R16">
        <v>30.75</v>
      </c>
      <c r="S16">
        <v>82</v>
      </c>
      <c r="T16">
        <v>42</v>
      </c>
      <c r="U16">
        <v>-0.02</v>
      </c>
      <c r="W16">
        <f>DataLog_T717420_Aug11_4_59_37pm[[#This Row],[RPM '[1/MIN']]]-Table3[[#This Row],[580C]]</f>
        <v>0</v>
      </c>
      <c r="X16">
        <f>DataLog_T717420_Aug11_4_59_37pm[[#This Row],[OIL TEMP '[Â°C']]]-Table3[[#This Row],[4402]]</f>
        <v>0</v>
      </c>
      <c r="Y16">
        <f>DataLog_T717420_Aug11_4_59_37pm[[#This Row],[INTAKE TEMP '[Â°C']]]-Table3[[#This Row],[580F]]</f>
        <v>0</v>
      </c>
      <c r="Z16">
        <f>DataLog_T717420_Aug11_4_59_37pm[[#This Row],[HPFP PRES. '[BAR']]]-Table3[[#This Row],[58F0]]</f>
        <v>0</v>
      </c>
      <c r="AA16">
        <f>DataLog_T717420_Aug11_4_59_37pm[[#This Row],[COOLANT TEMP '[Â°C']]]-Table3[[#This Row],[5805]]</f>
        <v>0</v>
      </c>
      <c r="AB16">
        <f>DataLog_T717420_Aug11_4_59_37pm[[#This Row],[BOOST '[BAR']]]-Table3[[#This Row],[58DD]]</f>
        <v>0</v>
      </c>
    </row>
    <row r="17" spans="2:34" x14ac:dyDescent="0.25">
      <c r="B17" s="2" t="s">
        <v>23</v>
      </c>
      <c r="C17" s="2" t="s">
        <v>30</v>
      </c>
      <c r="D17" s="2" t="s">
        <v>25</v>
      </c>
      <c r="E17" s="2" t="s">
        <v>29</v>
      </c>
      <c r="F17" s="2" t="s">
        <v>26</v>
      </c>
      <c r="G17" s="2" t="s">
        <v>27</v>
      </c>
      <c r="I17">
        <f>HEX2DEC(_0811_173439[[#This Row],[580C]])*B$4/B$5+B$6</f>
        <v>0</v>
      </c>
      <c r="J17">
        <f>HEX2DEC(_0811_173439[[#This Row],[4402]])*C$4/C$5+C$6</f>
        <v>36</v>
      </c>
      <c r="K17">
        <f>HEX2DEC(_0811_173439[[#This Row],[580F]])*D$4/D$5+D$6</f>
        <v>30.75</v>
      </c>
      <c r="L17">
        <f>ROUND(HEX2DEC(_0811_173439[[#This Row],[58F0]])*E$4/E$5+E$6,0)</f>
        <v>82</v>
      </c>
      <c r="M17">
        <f>ROUND(HEX2DEC(_0811_173439[[#This Row],[5805]])*F$4/F$5+F$6,0)</f>
        <v>42</v>
      </c>
      <c r="N17">
        <f>ROUND(HEX2DEC(_0811_173439[[#This Row],[58DD]])*G$4/G$5+G$6,2)</f>
        <v>-0.03</v>
      </c>
      <c r="P17">
        <v>0</v>
      </c>
      <c r="Q17">
        <v>36</v>
      </c>
      <c r="R17">
        <v>30.75</v>
      </c>
      <c r="S17">
        <v>82</v>
      </c>
      <c r="T17">
        <v>42</v>
      </c>
      <c r="U17">
        <v>-0.03</v>
      </c>
      <c r="W17">
        <f>DataLog_T717420_Aug11_4_59_37pm[[#This Row],[RPM '[1/MIN']]]-Table3[[#This Row],[580C]]</f>
        <v>0</v>
      </c>
      <c r="X17">
        <f>DataLog_T717420_Aug11_4_59_37pm[[#This Row],[OIL TEMP '[Â°C']]]-Table3[[#This Row],[4402]]</f>
        <v>0</v>
      </c>
      <c r="Y17">
        <f>DataLog_T717420_Aug11_4_59_37pm[[#This Row],[INTAKE TEMP '[Â°C']]]-Table3[[#This Row],[580F]]</f>
        <v>0</v>
      </c>
      <c r="Z17">
        <f>DataLog_T717420_Aug11_4_59_37pm[[#This Row],[HPFP PRES. '[BAR']]]-Table3[[#This Row],[58F0]]</f>
        <v>0</v>
      </c>
      <c r="AA17">
        <f>DataLog_T717420_Aug11_4_59_37pm[[#This Row],[COOLANT TEMP '[Â°C']]]-Table3[[#This Row],[5805]]</f>
        <v>0</v>
      </c>
      <c r="AB17">
        <f>DataLog_T717420_Aug11_4_59_37pm[[#This Row],[BOOST '[BAR']]]-Table3[[#This Row],[58DD]]</f>
        <v>0</v>
      </c>
    </row>
    <row r="18" spans="2:34" x14ac:dyDescent="0.25">
      <c r="B18" s="2" t="s">
        <v>23</v>
      </c>
      <c r="C18" s="2" t="s">
        <v>30</v>
      </c>
      <c r="D18" s="2" t="s">
        <v>25</v>
      </c>
      <c r="E18" s="2" t="s">
        <v>29</v>
      </c>
      <c r="F18" s="2" t="s">
        <v>26</v>
      </c>
      <c r="G18" s="2" t="s">
        <v>27</v>
      </c>
      <c r="I18">
        <f>HEX2DEC(_0811_173439[[#This Row],[580C]])*B$4/B$5+B$6</f>
        <v>0</v>
      </c>
      <c r="J18">
        <f>HEX2DEC(_0811_173439[[#This Row],[4402]])*C$4/C$5+C$6</f>
        <v>36</v>
      </c>
      <c r="K18">
        <f>HEX2DEC(_0811_173439[[#This Row],[580F]])*D$4/D$5+D$6</f>
        <v>30.75</v>
      </c>
      <c r="L18">
        <f>ROUND(HEX2DEC(_0811_173439[[#This Row],[58F0]])*E$4/E$5+E$6,0)</f>
        <v>82</v>
      </c>
      <c r="M18">
        <f>ROUND(HEX2DEC(_0811_173439[[#This Row],[5805]])*F$4/F$5+F$6,0)</f>
        <v>42</v>
      </c>
      <c r="N18">
        <f>ROUND(HEX2DEC(_0811_173439[[#This Row],[58DD]])*G$4/G$5+G$6,2)</f>
        <v>-0.03</v>
      </c>
      <c r="P18">
        <v>0</v>
      </c>
      <c r="Q18">
        <v>36</v>
      </c>
      <c r="R18">
        <v>30.75</v>
      </c>
      <c r="S18">
        <v>82</v>
      </c>
      <c r="T18">
        <v>42</v>
      </c>
      <c r="U18">
        <v>-0.03</v>
      </c>
      <c r="W18">
        <f>DataLog_T717420_Aug11_4_59_37pm[[#This Row],[RPM '[1/MIN']]]-Table3[[#This Row],[580C]]</f>
        <v>0</v>
      </c>
      <c r="X18">
        <f>DataLog_T717420_Aug11_4_59_37pm[[#This Row],[OIL TEMP '[Â°C']]]-Table3[[#This Row],[4402]]</f>
        <v>0</v>
      </c>
      <c r="Y18">
        <f>DataLog_T717420_Aug11_4_59_37pm[[#This Row],[INTAKE TEMP '[Â°C']]]-Table3[[#This Row],[580F]]</f>
        <v>0</v>
      </c>
      <c r="Z18">
        <f>DataLog_T717420_Aug11_4_59_37pm[[#This Row],[HPFP PRES. '[BAR']]]-Table3[[#This Row],[58F0]]</f>
        <v>0</v>
      </c>
      <c r="AA18">
        <f>DataLog_T717420_Aug11_4_59_37pm[[#This Row],[COOLANT TEMP '[Â°C']]]-Table3[[#This Row],[5805]]</f>
        <v>0</v>
      </c>
      <c r="AB18">
        <f>DataLog_T717420_Aug11_4_59_37pm[[#This Row],[BOOST '[BAR']]]-Table3[[#This Row],[58DD]]</f>
        <v>0</v>
      </c>
    </row>
    <row r="19" spans="2:34" x14ac:dyDescent="0.25">
      <c r="B19" s="2" t="s">
        <v>23</v>
      </c>
      <c r="C19" s="2" t="s">
        <v>30</v>
      </c>
      <c r="D19" s="2" t="s">
        <v>25</v>
      </c>
      <c r="E19" s="2" t="s">
        <v>29</v>
      </c>
      <c r="F19" s="2" t="s">
        <v>26</v>
      </c>
      <c r="G19" s="2" t="s">
        <v>27</v>
      </c>
      <c r="I19">
        <f>HEX2DEC(_0811_173439[[#This Row],[580C]])*B$4/B$5+B$6</f>
        <v>0</v>
      </c>
      <c r="J19">
        <f>HEX2DEC(_0811_173439[[#This Row],[4402]])*C$4/C$5+C$6</f>
        <v>36</v>
      </c>
      <c r="K19">
        <f>HEX2DEC(_0811_173439[[#This Row],[580F]])*D$4/D$5+D$6</f>
        <v>30.75</v>
      </c>
      <c r="L19">
        <f>ROUND(HEX2DEC(_0811_173439[[#This Row],[58F0]])*E$4/E$5+E$6,0)</f>
        <v>82</v>
      </c>
      <c r="M19">
        <f>ROUND(HEX2DEC(_0811_173439[[#This Row],[5805]])*F$4/F$5+F$6,0)</f>
        <v>42</v>
      </c>
      <c r="N19">
        <f>ROUND(HEX2DEC(_0811_173439[[#This Row],[58DD]])*G$4/G$5+G$6,2)</f>
        <v>-0.03</v>
      </c>
      <c r="P19">
        <v>0</v>
      </c>
      <c r="Q19">
        <v>36</v>
      </c>
      <c r="R19">
        <v>30.75</v>
      </c>
      <c r="S19">
        <v>82</v>
      </c>
      <c r="T19">
        <v>42</v>
      </c>
      <c r="U19">
        <v>-0.03</v>
      </c>
      <c r="W19">
        <f>DataLog_T717420_Aug11_4_59_37pm[[#This Row],[RPM '[1/MIN']]]-Table3[[#This Row],[580C]]</f>
        <v>0</v>
      </c>
      <c r="X19">
        <f>DataLog_T717420_Aug11_4_59_37pm[[#This Row],[OIL TEMP '[Â°C']]]-Table3[[#This Row],[4402]]</f>
        <v>0</v>
      </c>
      <c r="Y19">
        <f>DataLog_T717420_Aug11_4_59_37pm[[#This Row],[INTAKE TEMP '[Â°C']]]-Table3[[#This Row],[580F]]</f>
        <v>0</v>
      </c>
      <c r="Z19">
        <f>DataLog_T717420_Aug11_4_59_37pm[[#This Row],[HPFP PRES. '[BAR']]]-Table3[[#This Row],[58F0]]</f>
        <v>0</v>
      </c>
      <c r="AA19">
        <f>DataLog_T717420_Aug11_4_59_37pm[[#This Row],[COOLANT TEMP '[Â°C']]]-Table3[[#This Row],[5805]]</f>
        <v>0</v>
      </c>
      <c r="AB19">
        <f>DataLog_T717420_Aug11_4_59_37pm[[#This Row],[BOOST '[BAR']]]-Table3[[#This Row],[58DD]]</f>
        <v>0</v>
      </c>
    </row>
    <row r="20" spans="2:34" x14ac:dyDescent="0.25">
      <c r="B20" s="2" t="s">
        <v>23</v>
      </c>
      <c r="C20" s="2" t="s">
        <v>30</v>
      </c>
      <c r="D20" s="2" t="s">
        <v>25</v>
      </c>
      <c r="E20" s="2" t="s">
        <v>29</v>
      </c>
      <c r="F20" s="2" t="s">
        <v>26</v>
      </c>
      <c r="G20" s="2" t="s">
        <v>27</v>
      </c>
      <c r="I20">
        <f>HEX2DEC(_0811_173439[[#This Row],[580C]])*B$4/B$5+B$6</f>
        <v>0</v>
      </c>
      <c r="J20">
        <f>HEX2DEC(_0811_173439[[#This Row],[4402]])*C$4/C$5+C$6</f>
        <v>36</v>
      </c>
      <c r="K20">
        <f>HEX2DEC(_0811_173439[[#This Row],[580F]])*D$4/D$5+D$6</f>
        <v>30.75</v>
      </c>
      <c r="L20">
        <f>ROUND(HEX2DEC(_0811_173439[[#This Row],[58F0]])*E$4/E$5+E$6,0)</f>
        <v>82</v>
      </c>
      <c r="M20">
        <f>ROUND(HEX2DEC(_0811_173439[[#This Row],[5805]])*F$4/F$5+F$6,0)</f>
        <v>42</v>
      </c>
      <c r="N20">
        <f>ROUND(HEX2DEC(_0811_173439[[#This Row],[58DD]])*G$4/G$5+G$6,2)</f>
        <v>-0.03</v>
      </c>
      <c r="P20">
        <v>0</v>
      </c>
      <c r="Q20">
        <v>36</v>
      </c>
      <c r="R20">
        <v>30.75</v>
      </c>
      <c r="S20">
        <v>82</v>
      </c>
      <c r="T20">
        <v>42</v>
      </c>
      <c r="U20">
        <v>-0.03</v>
      </c>
      <c r="W20">
        <f>DataLog_T717420_Aug11_4_59_37pm[[#This Row],[RPM '[1/MIN']]]-Table3[[#This Row],[580C]]</f>
        <v>0</v>
      </c>
      <c r="X20">
        <f>DataLog_T717420_Aug11_4_59_37pm[[#This Row],[OIL TEMP '[Â°C']]]-Table3[[#This Row],[4402]]</f>
        <v>0</v>
      </c>
      <c r="Y20">
        <f>DataLog_T717420_Aug11_4_59_37pm[[#This Row],[INTAKE TEMP '[Â°C']]]-Table3[[#This Row],[580F]]</f>
        <v>0</v>
      </c>
      <c r="Z20">
        <f>DataLog_T717420_Aug11_4_59_37pm[[#This Row],[HPFP PRES. '[BAR']]]-Table3[[#This Row],[58F0]]</f>
        <v>0</v>
      </c>
      <c r="AA20">
        <f>DataLog_T717420_Aug11_4_59_37pm[[#This Row],[COOLANT TEMP '[Â°C']]]-Table3[[#This Row],[5805]]</f>
        <v>0</v>
      </c>
      <c r="AB20">
        <f>DataLog_T717420_Aug11_4_59_37pm[[#This Row],[BOOST '[BAR']]]-Table3[[#This Row],[58DD]]</f>
        <v>0</v>
      </c>
    </row>
    <row r="21" spans="2:34" x14ac:dyDescent="0.25">
      <c r="B21" s="2" t="s">
        <v>23</v>
      </c>
      <c r="C21" s="2" t="s">
        <v>30</v>
      </c>
      <c r="D21" s="2" t="s">
        <v>25</v>
      </c>
      <c r="E21" s="2" t="s">
        <v>29</v>
      </c>
      <c r="F21" s="2" t="s">
        <v>26</v>
      </c>
      <c r="G21" s="2" t="s">
        <v>27</v>
      </c>
      <c r="I21">
        <f>HEX2DEC(_0811_173439[[#This Row],[580C]])*B$4/B$5+B$6</f>
        <v>0</v>
      </c>
      <c r="J21">
        <f>HEX2DEC(_0811_173439[[#This Row],[4402]])*C$4/C$5+C$6</f>
        <v>36</v>
      </c>
      <c r="K21">
        <f>HEX2DEC(_0811_173439[[#This Row],[580F]])*D$4/D$5+D$6</f>
        <v>30.75</v>
      </c>
      <c r="L21">
        <f>ROUND(HEX2DEC(_0811_173439[[#This Row],[58F0]])*E$4/E$5+E$6,0)</f>
        <v>82</v>
      </c>
      <c r="M21">
        <f>ROUND(HEX2DEC(_0811_173439[[#This Row],[5805]])*F$4/F$5+F$6,0)</f>
        <v>42</v>
      </c>
      <c r="N21">
        <f>ROUND(HEX2DEC(_0811_173439[[#This Row],[58DD]])*G$4/G$5+G$6,2)</f>
        <v>-0.03</v>
      </c>
      <c r="P21">
        <v>0</v>
      </c>
      <c r="Q21">
        <v>36</v>
      </c>
      <c r="R21">
        <v>30.75</v>
      </c>
      <c r="S21">
        <v>82</v>
      </c>
      <c r="T21">
        <v>42</v>
      </c>
      <c r="U21">
        <v>-0.03</v>
      </c>
      <c r="W21">
        <f>DataLog_T717420_Aug11_4_59_37pm[[#This Row],[RPM '[1/MIN']]]-Table3[[#This Row],[580C]]</f>
        <v>0</v>
      </c>
      <c r="X21">
        <f>DataLog_T717420_Aug11_4_59_37pm[[#This Row],[OIL TEMP '[Â°C']]]-Table3[[#This Row],[4402]]</f>
        <v>0</v>
      </c>
      <c r="Y21">
        <f>DataLog_T717420_Aug11_4_59_37pm[[#This Row],[INTAKE TEMP '[Â°C']]]-Table3[[#This Row],[580F]]</f>
        <v>0</v>
      </c>
      <c r="Z21">
        <f>DataLog_T717420_Aug11_4_59_37pm[[#This Row],[HPFP PRES. '[BAR']]]-Table3[[#This Row],[58F0]]</f>
        <v>0</v>
      </c>
      <c r="AA21">
        <f>DataLog_T717420_Aug11_4_59_37pm[[#This Row],[COOLANT TEMP '[Â°C']]]-Table3[[#This Row],[5805]]</f>
        <v>0</v>
      </c>
      <c r="AB21">
        <f>DataLog_T717420_Aug11_4_59_37pm[[#This Row],[BOOST '[BAR']]]-Table3[[#This Row],[58DD]]</f>
        <v>0</v>
      </c>
    </row>
    <row r="22" spans="2:34" x14ac:dyDescent="0.25">
      <c r="B22" s="2" t="s">
        <v>23</v>
      </c>
      <c r="C22" s="2" t="s">
        <v>30</v>
      </c>
      <c r="D22" s="2" t="s">
        <v>25</v>
      </c>
      <c r="E22" s="2" t="s">
        <v>29</v>
      </c>
      <c r="F22" s="2" t="s">
        <v>26</v>
      </c>
      <c r="G22" s="2" t="s">
        <v>27</v>
      </c>
      <c r="I22">
        <f>HEX2DEC(_0811_173439[[#This Row],[580C]])*B$4/B$5+B$6</f>
        <v>0</v>
      </c>
      <c r="J22">
        <f>HEX2DEC(_0811_173439[[#This Row],[4402]])*C$4/C$5+C$6</f>
        <v>36</v>
      </c>
      <c r="K22">
        <f>HEX2DEC(_0811_173439[[#This Row],[580F]])*D$4/D$5+D$6</f>
        <v>30.75</v>
      </c>
      <c r="L22">
        <f>ROUND(HEX2DEC(_0811_173439[[#This Row],[58F0]])*E$4/E$5+E$6,0)</f>
        <v>82</v>
      </c>
      <c r="M22">
        <f>ROUND(HEX2DEC(_0811_173439[[#This Row],[5805]])*F$4/F$5+F$6,0)</f>
        <v>42</v>
      </c>
      <c r="N22">
        <f>ROUND(HEX2DEC(_0811_173439[[#This Row],[58DD]])*G$4/G$5+G$6,2)</f>
        <v>-0.03</v>
      </c>
      <c r="P22">
        <v>0</v>
      </c>
      <c r="Q22">
        <v>36</v>
      </c>
      <c r="R22">
        <v>30.75</v>
      </c>
      <c r="S22">
        <v>82</v>
      </c>
      <c r="T22">
        <v>42</v>
      </c>
      <c r="U22">
        <v>-0.03</v>
      </c>
      <c r="W22">
        <f>DataLog_T717420_Aug11_4_59_37pm[[#This Row],[RPM '[1/MIN']]]-Table3[[#This Row],[580C]]</f>
        <v>0</v>
      </c>
      <c r="X22">
        <f>DataLog_T717420_Aug11_4_59_37pm[[#This Row],[OIL TEMP '[Â°C']]]-Table3[[#This Row],[4402]]</f>
        <v>0</v>
      </c>
      <c r="Y22">
        <f>DataLog_T717420_Aug11_4_59_37pm[[#This Row],[INTAKE TEMP '[Â°C']]]-Table3[[#This Row],[580F]]</f>
        <v>0</v>
      </c>
      <c r="Z22">
        <f>DataLog_T717420_Aug11_4_59_37pm[[#This Row],[HPFP PRES. '[BAR']]]-Table3[[#This Row],[58F0]]</f>
        <v>0</v>
      </c>
      <c r="AA22">
        <f>DataLog_T717420_Aug11_4_59_37pm[[#This Row],[COOLANT TEMP '[Â°C']]]-Table3[[#This Row],[5805]]</f>
        <v>0</v>
      </c>
      <c r="AB22">
        <f>DataLog_T717420_Aug11_4_59_37pm[[#This Row],[BOOST '[BAR']]]-Table3[[#This Row],[58DD]]</f>
        <v>0</v>
      </c>
    </row>
    <row r="23" spans="2:34" x14ac:dyDescent="0.25">
      <c r="B23" s="2" t="s">
        <v>23</v>
      </c>
      <c r="C23" s="2" t="s">
        <v>30</v>
      </c>
      <c r="D23" s="2" t="s">
        <v>25</v>
      </c>
      <c r="E23" s="2" t="s">
        <v>29</v>
      </c>
      <c r="F23" s="2" t="s">
        <v>26</v>
      </c>
      <c r="G23" s="2" t="s">
        <v>27</v>
      </c>
      <c r="I23">
        <f>HEX2DEC(_0811_173439[[#This Row],[580C]])*B$4/B$5+B$6</f>
        <v>0</v>
      </c>
      <c r="J23">
        <f>HEX2DEC(_0811_173439[[#This Row],[4402]])*C$4/C$5+C$6</f>
        <v>36</v>
      </c>
      <c r="K23">
        <f>HEX2DEC(_0811_173439[[#This Row],[580F]])*D$4/D$5+D$6</f>
        <v>30.75</v>
      </c>
      <c r="L23">
        <f>ROUND(HEX2DEC(_0811_173439[[#This Row],[58F0]])*E$4/E$5+E$6,0)</f>
        <v>82</v>
      </c>
      <c r="M23">
        <f>ROUND(HEX2DEC(_0811_173439[[#This Row],[5805]])*F$4/F$5+F$6,0)</f>
        <v>42</v>
      </c>
      <c r="N23">
        <f>ROUND(HEX2DEC(_0811_173439[[#This Row],[58DD]])*G$4/G$5+G$6,2)</f>
        <v>-0.03</v>
      </c>
      <c r="P23">
        <v>0</v>
      </c>
      <c r="Q23">
        <v>36</v>
      </c>
      <c r="R23">
        <v>30.75</v>
      </c>
      <c r="S23">
        <v>82</v>
      </c>
      <c r="T23">
        <v>42</v>
      </c>
      <c r="U23">
        <v>-0.03</v>
      </c>
      <c r="W23">
        <f>DataLog_T717420_Aug11_4_59_37pm[[#This Row],[RPM '[1/MIN']]]-Table3[[#This Row],[580C]]</f>
        <v>0</v>
      </c>
      <c r="X23">
        <f>DataLog_T717420_Aug11_4_59_37pm[[#This Row],[OIL TEMP '[Â°C']]]-Table3[[#This Row],[4402]]</f>
        <v>0</v>
      </c>
      <c r="Y23">
        <f>DataLog_T717420_Aug11_4_59_37pm[[#This Row],[INTAKE TEMP '[Â°C']]]-Table3[[#This Row],[580F]]</f>
        <v>0</v>
      </c>
      <c r="Z23">
        <f>DataLog_T717420_Aug11_4_59_37pm[[#This Row],[HPFP PRES. '[BAR']]]-Table3[[#This Row],[58F0]]</f>
        <v>0</v>
      </c>
      <c r="AA23">
        <f>DataLog_T717420_Aug11_4_59_37pm[[#This Row],[COOLANT TEMP '[Â°C']]]-Table3[[#This Row],[5805]]</f>
        <v>0</v>
      </c>
      <c r="AB23">
        <f>DataLog_T717420_Aug11_4_59_37pm[[#This Row],[BOOST '[BAR']]]-Table3[[#This Row],[58DD]]</f>
        <v>0</v>
      </c>
    </row>
    <row r="24" spans="2:34" x14ac:dyDescent="0.25">
      <c r="B24" s="2" t="s">
        <v>23</v>
      </c>
      <c r="C24" s="2" t="s">
        <v>30</v>
      </c>
      <c r="D24" s="2" t="s">
        <v>25</v>
      </c>
      <c r="E24" s="2" t="s">
        <v>29</v>
      </c>
      <c r="F24" s="2" t="s">
        <v>26</v>
      </c>
      <c r="G24" s="2" t="s">
        <v>28</v>
      </c>
      <c r="I24">
        <f>HEX2DEC(_0811_173439[[#This Row],[580C]])*B$4/B$5+B$6</f>
        <v>0</v>
      </c>
      <c r="J24">
        <f>HEX2DEC(_0811_173439[[#This Row],[4402]])*C$4/C$5+C$6</f>
        <v>36</v>
      </c>
      <c r="K24">
        <f>HEX2DEC(_0811_173439[[#This Row],[580F]])*D$4/D$5+D$6</f>
        <v>30.75</v>
      </c>
      <c r="L24">
        <f>ROUND(HEX2DEC(_0811_173439[[#This Row],[58F0]])*E$4/E$5+E$6,0)</f>
        <v>82</v>
      </c>
      <c r="M24">
        <f>ROUND(HEX2DEC(_0811_173439[[#This Row],[5805]])*F$4/F$5+F$6,0)</f>
        <v>42</v>
      </c>
      <c r="N24">
        <f>ROUND(HEX2DEC(_0811_173439[[#This Row],[58DD]])*G$4/G$5+G$6,2)</f>
        <v>-0.02</v>
      </c>
      <c r="P24">
        <v>0</v>
      </c>
      <c r="Q24">
        <v>36</v>
      </c>
      <c r="R24">
        <v>30.75</v>
      </c>
      <c r="S24">
        <v>82</v>
      </c>
      <c r="T24">
        <v>42</v>
      </c>
      <c r="U24">
        <v>-0.02</v>
      </c>
      <c r="W24">
        <f>DataLog_T717420_Aug11_4_59_37pm[[#This Row],[RPM '[1/MIN']]]-Table3[[#This Row],[580C]]</f>
        <v>0</v>
      </c>
      <c r="X24">
        <f>DataLog_T717420_Aug11_4_59_37pm[[#This Row],[OIL TEMP '[Â°C']]]-Table3[[#This Row],[4402]]</f>
        <v>0</v>
      </c>
      <c r="Y24">
        <f>DataLog_T717420_Aug11_4_59_37pm[[#This Row],[INTAKE TEMP '[Â°C']]]-Table3[[#This Row],[580F]]</f>
        <v>0</v>
      </c>
      <c r="Z24">
        <f>DataLog_T717420_Aug11_4_59_37pm[[#This Row],[HPFP PRES. '[BAR']]]-Table3[[#This Row],[58F0]]</f>
        <v>0</v>
      </c>
      <c r="AA24">
        <f>DataLog_T717420_Aug11_4_59_37pm[[#This Row],[COOLANT TEMP '[Â°C']]]-Table3[[#This Row],[5805]]</f>
        <v>0</v>
      </c>
      <c r="AB24">
        <f>DataLog_T717420_Aug11_4_59_37pm[[#This Row],[BOOST '[BAR']]]-Table3[[#This Row],[58DD]]</f>
        <v>0</v>
      </c>
    </row>
    <row r="25" spans="2:34" x14ac:dyDescent="0.25">
      <c r="B25" s="2" t="s">
        <v>23</v>
      </c>
      <c r="C25" s="2" t="s">
        <v>30</v>
      </c>
      <c r="D25" s="2" t="s">
        <v>25</v>
      </c>
      <c r="E25" s="2" t="s">
        <v>29</v>
      </c>
      <c r="F25" s="2" t="s">
        <v>26</v>
      </c>
      <c r="G25" s="2" t="s">
        <v>28</v>
      </c>
      <c r="I25">
        <f>HEX2DEC(_0811_173439[[#This Row],[580C]])*B$4/B$5+B$6</f>
        <v>0</v>
      </c>
      <c r="J25">
        <f>HEX2DEC(_0811_173439[[#This Row],[4402]])*C$4/C$5+C$6</f>
        <v>36</v>
      </c>
      <c r="K25">
        <f>HEX2DEC(_0811_173439[[#This Row],[580F]])*D$4/D$5+D$6</f>
        <v>30.75</v>
      </c>
      <c r="L25">
        <f>ROUND(HEX2DEC(_0811_173439[[#This Row],[58F0]])*E$4/E$5+E$6,0)</f>
        <v>82</v>
      </c>
      <c r="M25">
        <f>ROUND(HEX2DEC(_0811_173439[[#This Row],[5805]])*F$4/F$5+F$6,0)</f>
        <v>42</v>
      </c>
      <c r="N25">
        <f>ROUND(HEX2DEC(_0811_173439[[#This Row],[58DD]])*G$4/G$5+G$6,2)</f>
        <v>-0.02</v>
      </c>
      <c r="P25">
        <v>0</v>
      </c>
      <c r="Q25">
        <v>36</v>
      </c>
      <c r="R25">
        <v>30.75</v>
      </c>
      <c r="S25">
        <v>82</v>
      </c>
      <c r="T25">
        <v>42</v>
      </c>
      <c r="U25">
        <v>-0.02</v>
      </c>
      <c r="W25">
        <f>DataLog_T717420_Aug11_4_59_37pm[[#This Row],[RPM '[1/MIN']]]-Table3[[#This Row],[580C]]</f>
        <v>0</v>
      </c>
      <c r="X25">
        <f>DataLog_T717420_Aug11_4_59_37pm[[#This Row],[OIL TEMP '[Â°C']]]-Table3[[#This Row],[4402]]</f>
        <v>0</v>
      </c>
      <c r="Y25">
        <f>DataLog_T717420_Aug11_4_59_37pm[[#This Row],[INTAKE TEMP '[Â°C']]]-Table3[[#This Row],[580F]]</f>
        <v>0</v>
      </c>
      <c r="Z25">
        <f>DataLog_T717420_Aug11_4_59_37pm[[#This Row],[HPFP PRES. '[BAR']]]-Table3[[#This Row],[58F0]]</f>
        <v>0</v>
      </c>
      <c r="AA25">
        <f>DataLog_T717420_Aug11_4_59_37pm[[#This Row],[COOLANT TEMP '[Â°C']]]-Table3[[#This Row],[5805]]</f>
        <v>0</v>
      </c>
      <c r="AB25">
        <f>DataLog_T717420_Aug11_4_59_37pm[[#This Row],[BOOST '[BAR']]]-Table3[[#This Row],[58DD]]</f>
        <v>0</v>
      </c>
      <c r="AG25" cm="1">
        <f t="array" ref="AG25:AH25">LINEST(DataLog_T717420_Aug11_4_59_37pm[BOOST '[BAR']],Table3[58DD])</f>
        <v>0.9723093766762424</v>
      </c>
      <c r="AH25">
        <v>-8.7155474565191876E-4</v>
      </c>
    </row>
    <row r="26" spans="2:34" x14ac:dyDescent="0.25">
      <c r="B26" s="2" t="s">
        <v>23</v>
      </c>
      <c r="C26" s="2" t="s">
        <v>30</v>
      </c>
      <c r="D26" s="2" t="s">
        <v>25</v>
      </c>
      <c r="E26" s="2" t="s">
        <v>29</v>
      </c>
      <c r="F26" s="2" t="s">
        <v>26</v>
      </c>
      <c r="G26" s="2" t="s">
        <v>27</v>
      </c>
      <c r="I26">
        <f>HEX2DEC(_0811_173439[[#This Row],[580C]])*B$4/B$5+B$6</f>
        <v>0</v>
      </c>
      <c r="J26">
        <f>HEX2DEC(_0811_173439[[#This Row],[4402]])*C$4/C$5+C$6</f>
        <v>36</v>
      </c>
      <c r="K26">
        <f>HEX2DEC(_0811_173439[[#This Row],[580F]])*D$4/D$5+D$6</f>
        <v>30.75</v>
      </c>
      <c r="L26">
        <f>ROUND(HEX2DEC(_0811_173439[[#This Row],[58F0]])*E$4/E$5+E$6,0)</f>
        <v>82</v>
      </c>
      <c r="M26">
        <f>ROUND(HEX2DEC(_0811_173439[[#This Row],[5805]])*F$4/F$5+F$6,0)</f>
        <v>42</v>
      </c>
      <c r="N26">
        <f>ROUND(HEX2DEC(_0811_173439[[#This Row],[58DD]])*G$4/G$5+G$6,2)</f>
        <v>-0.03</v>
      </c>
      <c r="P26">
        <v>0</v>
      </c>
      <c r="Q26">
        <v>36</v>
      </c>
      <c r="R26">
        <v>30.75</v>
      </c>
      <c r="S26">
        <v>82</v>
      </c>
      <c r="T26">
        <v>42</v>
      </c>
      <c r="U26">
        <v>-0.03</v>
      </c>
      <c r="W26">
        <f>DataLog_T717420_Aug11_4_59_37pm[[#This Row],[RPM '[1/MIN']]]-Table3[[#This Row],[580C]]</f>
        <v>0</v>
      </c>
      <c r="X26">
        <f>DataLog_T717420_Aug11_4_59_37pm[[#This Row],[OIL TEMP '[Â°C']]]-Table3[[#This Row],[4402]]</f>
        <v>0</v>
      </c>
      <c r="Y26">
        <f>DataLog_T717420_Aug11_4_59_37pm[[#This Row],[INTAKE TEMP '[Â°C']]]-Table3[[#This Row],[580F]]</f>
        <v>0</v>
      </c>
      <c r="Z26">
        <f>DataLog_T717420_Aug11_4_59_37pm[[#This Row],[HPFP PRES. '[BAR']]]-Table3[[#This Row],[58F0]]</f>
        <v>0</v>
      </c>
      <c r="AA26">
        <f>DataLog_T717420_Aug11_4_59_37pm[[#This Row],[COOLANT TEMP '[Â°C']]]-Table3[[#This Row],[5805]]</f>
        <v>0</v>
      </c>
      <c r="AB26">
        <f>DataLog_T717420_Aug11_4_59_37pm[[#This Row],[BOOST '[BAR']]]-Table3[[#This Row],[58DD]]</f>
        <v>0</v>
      </c>
    </row>
    <row r="27" spans="2:34" x14ac:dyDescent="0.25">
      <c r="B27" s="2" t="s">
        <v>23</v>
      </c>
      <c r="C27" s="2" t="s">
        <v>30</v>
      </c>
      <c r="D27" s="2" t="s">
        <v>25</v>
      </c>
      <c r="E27" s="2" t="s">
        <v>29</v>
      </c>
      <c r="F27" s="2" t="s">
        <v>26</v>
      </c>
      <c r="G27" s="2" t="s">
        <v>28</v>
      </c>
      <c r="I27">
        <f>HEX2DEC(_0811_173439[[#This Row],[580C]])*B$4/B$5+B$6</f>
        <v>0</v>
      </c>
      <c r="J27">
        <f>HEX2DEC(_0811_173439[[#This Row],[4402]])*C$4/C$5+C$6</f>
        <v>36</v>
      </c>
      <c r="K27">
        <f>HEX2DEC(_0811_173439[[#This Row],[580F]])*D$4/D$5+D$6</f>
        <v>30.75</v>
      </c>
      <c r="L27">
        <f>ROUND(HEX2DEC(_0811_173439[[#This Row],[58F0]])*E$4/E$5+E$6,0)</f>
        <v>82</v>
      </c>
      <c r="M27">
        <f>ROUND(HEX2DEC(_0811_173439[[#This Row],[5805]])*F$4/F$5+F$6,0)</f>
        <v>42</v>
      </c>
      <c r="N27">
        <f>ROUND(HEX2DEC(_0811_173439[[#This Row],[58DD]])*G$4/G$5+G$6,2)</f>
        <v>-0.02</v>
      </c>
      <c r="P27">
        <v>0</v>
      </c>
      <c r="Q27">
        <v>36</v>
      </c>
      <c r="R27">
        <v>30.75</v>
      </c>
      <c r="S27">
        <v>82</v>
      </c>
      <c r="T27">
        <v>42</v>
      </c>
      <c r="U27">
        <v>-0.02</v>
      </c>
      <c r="W27">
        <f>DataLog_T717420_Aug11_4_59_37pm[[#This Row],[RPM '[1/MIN']]]-Table3[[#This Row],[580C]]</f>
        <v>0</v>
      </c>
      <c r="X27">
        <f>DataLog_T717420_Aug11_4_59_37pm[[#This Row],[OIL TEMP '[Â°C']]]-Table3[[#This Row],[4402]]</f>
        <v>0</v>
      </c>
      <c r="Y27">
        <f>DataLog_T717420_Aug11_4_59_37pm[[#This Row],[INTAKE TEMP '[Â°C']]]-Table3[[#This Row],[580F]]</f>
        <v>0</v>
      </c>
      <c r="Z27">
        <f>DataLog_T717420_Aug11_4_59_37pm[[#This Row],[HPFP PRES. '[BAR']]]-Table3[[#This Row],[58F0]]</f>
        <v>0</v>
      </c>
      <c r="AA27">
        <f>DataLog_T717420_Aug11_4_59_37pm[[#This Row],[COOLANT TEMP '[Â°C']]]-Table3[[#This Row],[5805]]</f>
        <v>0</v>
      </c>
      <c r="AB27">
        <f>DataLog_T717420_Aug11_4_59_37pm[[#This Row],[BOOST '[BAR']]]-Table3[[#This Row],[58DD]]</f>
        <v>0</v>
      </c>
    </row>
    <row r="28" spans="2:34" x14ac:dyDescent="0.25">
      <c r="B28" s="2" t="s">
        <v>23</v>
      </c>
      <c r="C28" s="2" t="s">
        <v>30</v>
      </c>
      <c r="D28" s="2" t="s">
        <v>25</v>
      </c>
      <c r="E28" s="2" t="s">
        <v>29</v>
      </c>
      <c r="F28" s="2" t="s">
        <v>26</v>
      </c>
      <c r="G28" s="2" t="s">
        <v>27</v>
      </c>
      <c r="I28">
        <f>HEX2DEC(_0811_173439[[#This Row],[580C]])*B$4/B$5+B$6</f>
        <v>0</v>
      </c>
      <c r="J28">
        <f>HEX2DEC(_0811_173439[[#This Row],[4402]])*C$4/C$5+C$6</f>
        <v>36</v>
      </c>
      <c r="K28">
        <f>HEX2DEC(_0811_173439[[#This Row],[580F]])*D$4/D$5+D$6</f>
        <v>30.75</v>
      </c>
      <c r="L28">
        <f>ROUND(HEX2DEC(_0811_173439[[#This Row],[58F0]])*E$4/E$5+E$6,0)</f>
        <v>82</v>
      </c>
      <c r="M28">
        <f>ROUND(HEX2DEC(_0811_173439[[#This Row],[5805]])*F$4/F$5+F$6,0)</f>
        <v>42</v>
      </c>
      <c r="N28">
        <f>ROUND(HEX2DEC(_0811_173439[[#This Row],[58DD]])*G$4/G$5+G$6,2)</f>
        <v>-0.03</v>
      </c>
      <c r="P28">
        <v>0</v>
      </c>
      <c r="Q28">
        <v>36</v>
      </c>
      <c r="R28">
        <v>30.75</v>
      </c>
      <c r="S28">
        <v>82</v>
      </c>
      <c r="T28">
        <v>42</v>
      </c>
      <c r="U28">
        <v>-0.03</v>
      </c>
      <c r="W28">
        <f>DataLog_T717420_Aug11_4_59_37pm[[#This Row],[RPM '[1/MIN']]]-Table3[[#This Row],[580C]]</f>
        <v>0</v>
      </c>
      <c r="X28">
        <f>DataLog_T717420_Aug11_4_59_37pm[[#This Row],[OIL TEMP '[Â°C']]]-Table3[[#This Row],[4402]]</f>
        <v>0</v>
      </c>
      <c r="Y28">
        <f>DataLog_T717420_Aug11_4_59_37pm[[#This Row],[INTAKE TEMP '[Â°C']]]-Table3[[#This Row],[580F]]</f>
        <v>0</v>
      </c>
      <c r="Z28">
        <f>DataLog_T717420_Aug11_4_59_37pm[[#This Row],[HPFP PRES. '[BAR']]]-Table3[[#This Row],[58F0]]</f>
        <v>0</v>
      </c>
      <c r="AA28">
        <f>DataLog_T717420_Aug11_4_59_37pm[[#This Row],[COOLANT TEMP '[Â°C']]]-Table3[[#This Row],[5805]]</f>
        <v>0</v>
      </c>
      <c r="AB28">
        <f>DataLog_T717420_Aug11_4_59_37pm[[#This Row],[BOOST '[BAR']]]-Table3[[#This Row],[58DD]]</f>
        <v>0</v>
      </c>
    </row>
    <row r="29" spans="2:34" x14ac:dyDescent="0.25">
      <c r="B29" s="2" t="s">
        <v>23</v>
      </c>
      <c r="C29" s="2" t="s">
        <v>30</v>
      </c>
      <c r="D29" s="2" t="s">
        <v>25</v>
      </c>
      <c r="E29" s="2" t="s">
        <v>29</v>
      </c>
      <c r="F29" s="2" t="s">
        <v>26</v>
      </c>
      <c r="G29" s="2" t="s">
        <v>27</v>
      </c>
      <c r="I29">
        <f>HEX2DEC(_0811_173439[[#This Row],[580C]])*B$4/B$5+B$6</f>
        <v>0</v>
      </c>
      <c r="J29">
        <f>HEX2DEC(_0811_173439[[#This Row],[4402]])*C$4/C$5+C$6</f>
        <v>36</v>
      </c>
      <c r="K29">
        <f>HEX2DEC(_0811_173439[[#This Row],[580F]])*D$4/D$5+D$6</f>
        <v>30.75</v>
      </c>
      <c r="L29">
        <f>ROUND(HEX2DEC(_0811_173439[[#This Row],[58F0]])*E$4/E$5+E$6,0)</f>
        <v>82</v>
      </c>
      <c r="M29">
        <f>ROUND(HEX2DEC(_0811_173439[[#This Row],[5805]])*F$4/F$5+F$6,0)</f>
        <v>42</v>
      </c>
      <c r="N29">
        <f>ROUND(HEX2DEC(_0811_173439[[#This Row],[58DD]])*G$4/G$5+G$6,2)</f>
        <v>-0.03</v>
      </c>
      <c r="P29">
        <v>0</v>
      </c>
      <c r="Q29">
        <v>36</v>
      </c>
      <c r="R29">
        <v>30.75</v>
      </c>
      <c r="S29">
        <v>82</v>
      </c>
      <c r="T29">
        <v>42</v>
      </c>
      <c r="U29">
        <v>-0.03</v>
      </c>
      <c r="W29">
        <f>DataLog_T717420_Aug11_4_59_37pm[[#This Row],[RPM '[1/MIN']]]-Table3[[#This Row],[580C]]</f>
        <v>0</v>
      </c>
      <c r="X29">
        <f>DataLog_T717420_Aug11_4_59_37pm[[#This Row],[OIL TEMP '[Â°C']]]-Table3[[#This Row],[4402]]</f>
        <v>0</v>
      </c>
      <c r="Y29">
        <f>DataLog_T717420_Aug11_4_59_37pm[[#This Row],[INTAKE TEMP '[Â°C']]]-Table3[[#This Row],[580F]]</f>
        <v>0</v>
      </c>
      <c r="Z29">
        <f>DataLog_T717420_Aug11_4_59_37pm[[#This Row],[HPFP PRES. '[BAR']]]-Table3[[#This Row],[58F0]]</f>
        <v>0</v>
      </c>
      <c r="AA29">
        <f>DataLog_T717420_Aug11_4_59_37pm[[#This Row],[COOLANT TEMP '[Â°C']]]-Table3[[#This Row],[5805]]</f>
        <v>0</v>
      </c>
      <c r="AB29">
        <f>DataLog_T717420_Aug11_4_59_37pm[[#This Row],[BOOST '[BAR']]]-Table3[[#This Row],[58DD]]</f>
        <v>0</v>
      </c>
    </row>
    <row r="30" spans="2:34" x14ac:dyDescent="0.25">
      <c r="B30" s="2" t="s">
        <v>23</v>
      </c>
      <c r="C30" s="2" t="s">
        <v>30</v>
      </c>
      <c r="D30" s="2" t="s">
        <v>25</v>
      </c>
      <c r="E30" s="2" t="s">
        <v>29</v>
      </c>
      <c r="F30" s="2" t="s">
        <v>26</v>
      </c>
      <c r="G30" s="2" t="s">
        <v>27</v>
      </c>
      <c r="I30">
        <f>HEX2DEC(_0811_173439[[#This Row],[580C]])*B$4/B$5+B$6</f>
        <v>0</v>
      </c>
      <c r="J30">
        <f>HEX2DEC(_0811_173439[[#This Row],[4402]])*C$4/C$5+C$6</f>
        <v>36</v>
      </c>
      <c r="K30">
        <f>HEX2DEC(_0811_173439[[#This Row],[580F]])*D$4/D$5+D$6</f>
        <v>30.75</v>
      </c>
      <c r="L30">
        <f>ROUND(HEX2DEC(_0811_173439[[#This Row],[58F0]])*E$4/E$5+E$6,0)</f>
        <v>82</v>
      </c>
      <c r="M30">
        <f>ROUND(HEX2DEC(_0811_173439[[#This Row],[5805]])*F$4/F$5+F$6,0)</f>
        <v>42</v>
      </c>
      <c r="N30">
        <f>ROUND(HEX2DEC(_0811_173439[[#This Row],[58DD]])*G$4/G$5+G$6,2)</f>
        <v>-0.03</v>
      </c>
      <c r="P30">
        <v>0</v>
      </c>
      <c r="Q30">
        <v>36</v>
      </c>
      <c r="R30">
        <v>30.75</v>
      </c>
      <c r="S30">
        <v>82</v>
      </c>
      <c r="T30">
        <v>42</v>
      </c>
      <c r="U30">
        <v>-0.03</v>
      </c>
      <c r="W30">
        <f>DataLog_T717420_Aug11_4_59_37pm[[#This Row],[RPM '[1/MIN']]]-Table3[[#This Row],[580C]]</f>
        <v>0</v>
      </c>
      <c r="X30">
        <f>DataLog_T717420_Aug11_4_59_37pm[[#This Row],[OIL TEMP '[Â°C']]]-Table3[[#This Row],[4402]]</f>
        <v>0</v>
      </c>
      <c r="Y30">
        <f>DataLog_T717420_Aug11_4_59_37pm[[#This Row],[INTAKE TEMP '[Â°C']]]-Table3[[#This Row],[580F]]</f>
        <v>0</v>
      </c>
      <c r="Z30">
        <f>DataLog_T717420_Aug11_4_59_37pm[[#This Row],[HPFP PRES. '[BAR']]]-Table3[[#This Row],[58F0]]</f>
        <v>0</v>
      </c>
      <c r="AA30">
        <f>DataLog_T717420_Aug11_4_59_37pm[[#This Row],[COOLANT TEMP '[Â°C']]]-Table3[[#This Row],[5805]]</f>
        <v>0</v>
      </c>
      <c r="AB30">
        <f>DataLog_T717420_Aug11_4_59_37pm[[#This Row],[BOOST '[BAR']]]-Table3[[#This Row],[58DD]]</f>
        <v>0</v>
      </c>
    </row>
    <row r="31" spans="2:34" x14ac:dyDescent="0.25">
      <c r="B31" s="2" t="s">
        <v>23</v>
      </c>
      <c r="C31" s="2" t="s">
        <v>30</v>
      </c>
      <c r="D31" s="2" t="s">
        <v>25</v>
      </c>
      <c r="E31" s="2" t="s">
        <v>29</v>
      </c>
      <c r="F31" s="2" t="s">
        <v>26</v>
      </c>
      <c r="G31" s="2" t="s">
        <v>27</v>
      </c>
      <c r="I31">
        <f>HEX2DEC(_0811_173439[[#This Row],[580C]])*B$4/B$5+B$6</f>
        <v>0</v>
      </c>
      <c r="J31">
        <f>HEX2DEC(_0811_173439[[#This Row],[4402]])*C$4/C$5+C$6</f>
        <v>36</v>
      </c>
      <c r="K31">
        <f>HEX2DEC(_0811_173439[[#This Row],[580F]])*D$4/D$5+D$6</f>
        <v>30.75</v>
      </c>
      <c r="L31">
        <f>ROUND(HEX2DEC(_0811_173439[[#This Row],[58F0]])*E$4/E$5+E$6,0)</f>
        <v>82</v>
      </c>
      <c r="M31">
        <f>ROUND(HEX2DEC(_0811_173439[[#This Row],[5805]])*F$4/F$5+F$6,0)</f>
        <v>42</v>
      </c>
      <c r="N31">
        <f>ROUND(HEX2DEC(_0811_173439[[#This Row],[58DD]])*G$4/G$5+G$6,2)</f>
        <v>-0.03</v>
      </c>
      <c r="P31">
        <v>0</v>
      </c>
      <c r="Q31">
        <v>36</v>
      </c>
      <c r="R31">
        <v>30.75</v>
      </c>
      <c r="S31">
        <v>82</v>
      </c>
      <c r="T31">
        <v>42</v>
      </c>
      <c r="U31">
        <v>-0.03</v>
      </c>
      <c r="W31">
        <f>DataLog_T717420_Aug11_4_59_37pm[[#This Row],[RPM '[1/MIN']]]-Table3[[#This Row],[580C]]</f>
        <v>0</v>
      </c>
      <c r="X31">
        <f>DataLog_T717420_Aug11_4_59_37pm[[#This Row],[OIL TEMP '[Â°C']]]-Table3[[#This Row],[4402]]</f>
        <v>0</v>
      </c>
      <c r="Y31">
        <f>DataLog_T717420_Aug11_4_59_37pm[[#This Row],[INTAKE TEMP '[Â°C']]]-Table3[[#This Row],[580F]]</f>
        <v>0</v>
      </c>
      <c r="Z31">
        <f>DataLog_T717420_Aug11_4_59_37pm[[#This Row],[HPFP PRES. '[BAR']]]-Table3[[#This Row],[58F0]]</f>
        <v>0</v>
      </c>
      <c r="AA31">
        <f>DataLog_T717420_Aug11_4_59_37pm[[#This Row],[COOLANT TEMP '[Â°C']]]-Table3[[#This Row],[5805]]</f>
        <v>0</v>
      </c>
      <c r="AB31">
        <f>DataLog_T717420_Aug11_4_59_37pm[[#This Row],[BOOST '[BAR']]]-Table3[[#This Row],[58DD]]</f>
        <v>0</v>
      </c>
    </row>
    <row r="32" spans="2:34" x14ac:dyDescent="0.25">
      <c r="B32" s="2" t="s">
        <v>23</v>
      </c>
      <c r="C32" s="2" t="s">
        <v>30</v>
      </c>
      <c r="D32" s="2" t="s">
        <v>25</v>
      </c>
      <c r="E32" s="2" t="s">
        <v>29</v>
      </c>
      <c r="F32" s="2" t="s">
        <v>26</v>
      </c>
      <c r="G32" s="2" t="s">
        <v>27</v>
      </c>
      <c r="I32">
        <f>HEX2DEC(_0811_173439[[#This Row],[580C]])*B$4/B$5+B$6</f>
        <v>0</v>
      </c>
      <c r="J32">
        <f>HEX2DEC(_0811_173439[[#This Row],[4402]])*C$4/C$5+C$6</f>
        <v>36</v>
      </c>
      <c r="K32">
        <f>HEX2DEC(_0811_173439[[#This Row],[580F]])*D$4/D$5+D$6</f>
        <v>30.75</v>
      </c>
      <c r="L32">
        <f>ROUND(HEX2DEC(_0811_173439[[#This Row],[58F0]])*E$4/E$5+E$6,0)</f>
        <v>82</v>
      </c>
      <c r="M32">
        <f>ROUND(HEX2DEC(_0811_173439[[#This Row],[5805]])*F$4/F$5+F$6,0)</f>
        <v>42</v>
      </c>
      <c r="N32">
        <f>ROUND(HEX2DEC(_0811_173439[[#This Row],[58DD]])*G$4/G$5+G$6,2)</f>
        <v>-0.03</v>
      </c>
      <c r="P32">
        <v>0</v>
      </c>
      <c r="Q32">
        <v>36</v>
      </c>
      <c r="R32">
        <v>30.75</v>
      </c>
      <c r="S32">
        <v>82</v>
      </c>
      <c r="T32">
        <v>42</v>
      </c>
      <c r="U32">
        <v>-0.03</v>
      </c>
      <c r="W32">
        <f>DataLog_T717420_Aug11_4_59_37pm[[#This Row],[RPM '[1/MIN']]]-Table3[[#This Row],[580C]]</f>
        <v>0</v>
      </c>
      <c r="X32">
        <f>DataLog_T717420_Aug11_4_59_37pm[[#This Row],[OIL TEMP '[Â°C']]]-Table3[[#This Row],[4402]]</f>
        <v>0</v>
      </c>
      <c r="Y32">
        <f>DataLog_T717420_Aug11_4_59_37pm[[#This Row],[INTAKE TEMP '[Â°C']]]-Table3[[#This Row],[580F]]</f>
        <v>0</v>
      </c>
      <c r="Z32">
        <f>DataLog_T717420_Aug11_4_59_37pm[[#This Row],[HPFP PRES. '[BAR']]]-Table3[[#This Row],[58F0]]</f>
        <v>0</v>
      </c>
      <c r="AA32">
        <f>DataLog_T717420_Aug11_4_59_37pm[[#This Row],[COOLANT TEMP '[Â°C']]]-Table3[[#This Row],[5805]]</f>
        <v>0</v>
      </c>
      <c r="AB32">
        <f>DataLog_T717420_Aug11_4_59_37pm[[#This Row],[BOOST '[BAR']]]-Table3[[#This Row],[58DD]]</f>
        <v>0</v>
      </c>
    </row>
    <row r="33" spans="2:28" x14ac:dyDescent="0.25">
      <c r="B33" s="2" t="s">
        <v>23</v>
      </c>
      <c r="C33" s="2" t="s">
        <v>30</v>
      </c>
      <c r="D33" s="2" t="s">
        <v>25</v>
      </c>
      <c r="E33" s="2" t="s">
        <v>29</v>
      </c>
      <c r="F33" s="2" t="s">
        <v>26</v>
      </c>
      <c r="G33" s="2" t="s">
        <v>27</v>
      </c>
      <c r="I33">
        <f>HEX2DEC(_0811_173439[[#This Row],[580C]])*B$4/B$5+B$6</f>
        <v>0</v>
      </c>
      <c r="J33">
        <f>HEX2DEC(_0811_173439[[#This Row],[4402]])*C$4/C$5+C$6</f>
        <v>36</v>
      </c>
      <c r="K33">
        <f>HEX2DEC(_0811_173439[[#This Row],[580F]])*D$4/D$5+D$6</f>
        <v>30.75</v>
      </c>
      <c r="L33">
        <f>ROUND(HEX2DEC(_0811_173439[[#This Row],[58F0]])*E$4/E$5+E$6,0)</f>
        <v>82</v>
      </c>
      <c r="M33">
        <f>ROUND(HEX2DEC(_0811_173439[[#This Row],[5805]])*F$4/F$5+F$6,0)</f>
        <v>42</v>
      </c>
      <c r="N33">
        <f>ROUND(HEX2DEC(_0811_173439[[#This Row],[58DD]])*G$4/G$5+G$6,2)</f>
        <v>-0.03</v>
      </c>
      <c r="P33">
        <v>0</v>
      </c>
      <c r="Q33">
        <v>36</v>
      </c>
      <c r="R33">
        <v>30.75</v>
      </c>
      <c r="S33">
        <v>82</v>
      </c>
      <c r="T33">
        <v>42</v>
      </c>
      <c r="U33">
        <v>-0.03</v>
      </c>
      <c r="W33">
        <f>DataLog_T717420_Aug11_4_59_37pm[[#This Row],[RPM '[1/MIN']]]-Table3[[#This Row],[580C]]</f>
        <v>0</v>
      </c>
      <c r="X33">
        <f>DataLog_T717420_Aug11_4_59_37pm[[#This Row],[OIL TEMP '[Â°C']]]-Table3[[#This Row],[4402]]</f>
        <v>0</v>
      </c>
      <c r="Y33">
        <f>DataLog_T717420_Aug11_4_59_37pm[[#This Row],[INTAKE TEMP '[Â°C']]]-Table3[[#This Row],[580F]]</f>
        <v>0</v>
      </c>
      <c r="Z33">
        <f>DataLog_T717420_Aug11_4_59_37pm[[#This Row],[HPFP PRES. '[BAR']]]-Table3[[#This Row],[58F0]]</f>
        <v>0</v>
      </c>
      <c r="AA33">
        <f>DataLog_T717420_Aug11_4_59_37pm[[#This Row],[COOLANT TEMP '[Â°C']]]-Table3[[#This Row],[5805]]</f>
        <v>0</v>
      </c>
      <c r="AB33">
        <f>DataLog_T717420_Aug11_4_59_37pm[[#This Row],[BOOST '[BAR']]]-Table3[[#This Row],[58DD]]</f>
        <v>0</v>
      </c>
    </row>
    <row r="34" spans="2:28" x14ac:dyDescent="0.25">
      <c r="B34" s="2" t="s">
        <v>23</v>
      </c>
      <c r="C34" s="2" t="s">
        <v>30</v>
      </c>
      <c r="D34" s="2" t="s">
        <v>25</v>
      </c>
      <c r="E34" s="2" t="s">
        <v>29</v>
      </c>
      <c r="F34" s="2" t="s">
        <v>26</v>
      </c>
      <c r="G34" s="2" t="s">
        <v>27</v>
      </c>
      <c r="I34">
        <f>HEX2DEC(_0811_173439[[#This Row],[580C]])*B$4/B$5+B$6</f>
        <v>0</v>
      </c>
      <c r="J34">
        <f>HEX2DEC(_0811_173439[[#This Row],[4402]])*C$4/C$5+C$6</f>
        <v>36</v>
      </c>
      <c r="K34">
        <f>HEX2DEC(_0811_173439[[#This Row],[580F]])*D$4/D$5+D$6</f>
        <v>30.75</v>
      </c>
      <c r="L34">
        <f>ROUND(HEX2DEC(_0811_173439[[#This Row],[58F0]])*E$4/E$5+E$6,0)</f>
        <v>82</v>
      </c>
      <c r="M34">
        <f>ROUND(HEX2DEC(_0811_173439[[#This Row],[5805]])*F$4/F$5+F$6,0)</f>
        <v>42</v>
      </c>
      <c r="N34">
        <f>ROUND(HEX2DEC(_0811_173439[[#This Row],[58DD]])*G$4/G$5+G$6,2)</f>
        <v>-0.03</v>
      </c>
      <c r="P34">
        <v>0</v>
      </c>
      <c r="Q34">
        <v>36</v>
      </c>
      <c r="R34">
        <v>30.75</v>
      </c>
      <c r="S34">
        <v>82</v>
      </c>
      <c r="T34">
        <v>42</v>
      </c>
      <c r="U34">
        <v>-0.03</v>
      </c>
      <c r="W34">
        <f>DataLog_T717420_Aug11_4_59_37pm[[#This Row],[RPM '[1/MIN']]]-Table3[[#This Row],[580C]]</f>
        <v>0</v>
      </c>
      <c r="X34">
        <f>DataLog_T717420_Aug11_4_59_37pm[[#This Row],[OIL TEMP '[Â°C']]]-Table3[[#This Row],[4402]]</f>
        <v>0</v>
      </c>
      <c r="Y34">
        <f>DataLog_T717420_Aug11_4_59_37pm[[#This Row],[INTAKE TEMP '[Â°C']]]-Table3[[#This Row],[580F]]</f>
        <v>0</v>
      </c>
      <c r="Z34">
        <f>DataLog_T717420_Aug11_4_59_37pm[[#This Row],[HPFP PRES. '[BAR']]]-Table3[[#This Row],[58F0]]</f>
        <v>0</v>
      </c>
      <c r="AA34">
        <f>DataLog_T717420_Aug11_4_59_37pm[[#This Row],[COOLANT TEMP '[Â°C']]]-Table3[[#This Row],[5805]]</f>
        <v>0</v>
      </c>
      <c r="AB34">
        <f>DataLog_T717420_Aug11_4_59_37pm[[#This Row],[BOOST '[BAR']]]-Table3[[#This Row],[58DD]]</f>
        <v>0</v>
      </c>
    </row>
    <row r="35" spans="2:28" x14ac:dyDescent="0.25">
      <c r="B35" s="2" t="s">
        <v>23</v>
      </c>
      <c r="C35" s="2" t="s">
        <v>30</v>
      </c>
      <c r="D35" s="2" t="s">
        <v>25</v>
      </c>
      <c r="E35" s="2" t="s">
        <v>29</v>
      </c>
      <c r="F35" s="2" t="s">
        <v>26</v>
      </c>
      <c r="G35" s="2" t="s">
        <v>28</v>
      </c>
      <c r="I35">
        <f>HEX2DEC(_0811_173439[[#This Row],[580C]])*B$4/B$5+B$6</f>
        <v>0</v>
      </c>
      <c r="J35">
        <f>HEX2DEC(_0811_173439[[#This Row],[4402]])*C$4/C$5+C$6</f>
        <v>36</v>
      </c>
      <c r="K35">
        <f>HEX2DEC(_0811_173439[[#This Row],[580F]])*D$4/D$5+D$6</f>
        <v>30.75</v>
      </c>
      <c r="L35">
        <f>ROUND(HEX2DEC(_0811_173439[[#This Row],[58F0]])*E$4/E$5+E$6,0)</f>
        <v>82</v>
      </c>
      <c r="M35">
        <f>ROUND(HEX2DEC(_0811_173439[[#This Row],[5805]])*F$4/F$5+F$6,0)</f>
        <v>42</v>
      </c>
      <c r="N35">
        <f>ROUND(HEX2DEC(_0811_173439[[#This Row],[58DD]])*G$4/G$5+G$6,2)</f>
        <v>-0.02</v>
      </c>
      <c r="P35">
        <v>0</v>
      </c>
      <c r="Q35">
        <v>36</v>
      </c>
      <c r="R35">
        <v>30.75</v>
      </c>
      <c r="S35">
        <v>82</v>
      </c>
      <c r="T35">
        <v>42</v>
      </c>
      <c r="U35">
        <v>-0.02</v>
      </c>
      <c r="W35">
        <f>DataLog_T717420_Aug11_4_59_37pm[[#This Row],[RPM '[1/MIN']]]-Table3[[#This Row],[580C]]</f>
        <v>0</v>
      </c>
      <c r="X35">
        <f>DataLog_T717420_Aug11_4_59_37pm[[#This Row],[OIL TEMP '[Â°C']]]-Table3[[#This Row],[4402]]</f>
        <v>0</v>
      </c>
      <c r="Y35">
        <f>DataLog_T717420_Aug11_4_59_37pm[[#This Row],[INTAKE TEMP '[Â°C']]]-Table3[[#This Row],[580F]]</f>
        <v>0</v>
      </c>
      <c r="Z35">
        <f>DataLog_T717420_Aug11_4_59_37pm[[#This Row],[HPFP PRES. '[BAR']]]-Table3[[#This Row],[58F0]]</f>
        <v>0</v>
      </c>
      <c r="AA35">
        <f>DataLog_T717420_Aug11_4_59_37pm[[#This Row],[COOLANT TEMP '[Â°C']]]-Table3[[#This Row],[5805]]</f>
        <v>0</v>
      </c>
      <c r="AB35">
        <f>DataLog_T717420_Aug11_4_59_37pm[[#This Row],[BOOST '[BAR']]]-Table3[[#This Row],[58DD]]</f>
        <v>0</v>
      </c>
    </row>
    <row r="36" spans="2:28" x14ac:dyDescent="0.25">
      <c r="B36" s="2" t="s">
        <v>23</v>
      </c>
      <c r="C36" s="2" t="s">
        <v>30</v>
      </c>
      <c r="D36" s="2" t="s">
        <v>25</v>
      </c>
      <c r="E36" s="2" t="s">
        <v>29</v>
      </c>
      <c r="F36" s="2" t="s">
        <v>26</v>
      </c>
      <c r="G36" s="2" t="s">
        <v>27</v>
      </c>
      <c r="I36">
        <f>HEX2DEC(_0811_173439[[#This Row],[580C]])*B$4/B$5+B$6</f>
        <v>0</v>
      </c>
      <c r="J36">
        <f>HEX2DEC(_0811_173439[[#This Row],[4402]])*C$4/C$5+C$6</f>
        <v>36</v>
      </c>
      <c r="K36">
        <f>HEX2DEC(_0811_173439[[#This Row],[580F]])*D$4/D$5+D$6</f>
        <v>30.75</v>
      </c>
      <c r="L36">
        <f>ROUND(HEX2DEC(_0811_173439[[#This Row],[58F0]])*E$4/E$5+E$6,0)</f>
        <v>82</v>
      </c>
      <c r="M36">
        <f>ROUND(HEX2DEC(_0811_173439[[#This Row],[5805]])*F$4/F$5+F$6,0)</f>
        <v>42</v>
      </c>
      <c r="N36">
        <f>ROUND(HEX2DEC(_0811_173439[[#This Row],[58DD]])*G$4/G$5+G$6,2)</f>
        <v>-0.03</v>
      </c>
      <c r="P36">
        <v>0</v>
      </c>
      <c r="Q36">
        <v>36</v>
      </c>
      <c r="R36">
        <v>30.75</v>
      </c>
      <c r="S36">
        <v>82</v>
      </c>
      <c r="T36">
        <v>42</v>
      </c>
      <c r="U36">
        <v>-0.03</v>
      </c>
      <c r="W36">
        <f>DataLog_T717420_Aug11_4_59_37pm[[#This Row],[RPM '[1/MIN']]]-Table3[[#This Row],[580C]]</f>
        <v>0</v>
      </c>
      <c r="X36">
        <f>DataLog_T717420_Aug11_4_59_37pm[[#This Row],[OIL TEMP '[Â°C']]]-Table3[[#This Row],[4402]]</f>
        <v>0</v>
      </c>
      <c r="Y36">
        <f>DataLog_T717420_Aug11_4_59_37pm[[#This Row],[INTAKE TEMP '[Â°C']]]-Table3[[#This Row],[580F]]</f>
        <v>0</v>
      </c>
      <c r="Z36">
        <f>DataLog_T717420_Aug11_4_59_37pm[[#This Row],[HPFP PRES. '[BAR']]]-Table3[[#This Row],[58F0]]</f>
        <v>0</v>
      </c>
      <c r="AA36">
        <f>DataLog_T717420_Aug11_4_59_37pm[[#This Row],[COOLANT TEMP '[Â°C']]]-Table3[[#This Row],[5805]]</f>
        <v>0</v>
      </c>
      <c r="AB36">
        <f>DataLog_T717420_Aug11_4_59_37pm[[#This Row],[BOOST '[BAR']]]-Table3[[#This Row],[58DD]]</f>
        <v>0</v>
      </c>
    </row>
    <row r="37" spans="2:28" x14ac:dyDescent="0.25">
      <c r="B37" s="2" t="s">
        <v>23</v>
      </c>
      <c r="C37" s="2" t="s">
        <v>30</v>
      </c>
      <c r="D37" s="2" t="s">
        <v>25</v>
      </c>
      <c r="E37" s="2" t="s">
        <v>29</v>
      </c>
      <c r="F37" s="2" t="s">
        <v>26</v>
      </c>
      <c r="G37" s="2" t="s">
        <v>27</v>
      </c>
      <c r="I37">
        <f>HEX2DEC(_0811_173439[[#This Row],[580C]])*B$4/B$5+B$6</f>
        <v>0</v>
      </c>
      <c r="J37">
        <f>HEX2DEC(_0811_173439[[#This Row],[4402]])*C$4/C$5+C$6</f>
        <v>36</v>
      </c>
      <c r="K37">
        <f>HEX2DEC(_0811_173439[[#This Row],[580F]])*D$4/D$5+D$6</f>
        <v>30.75</v>
      </c>
      <c r="L37">
        <f>ROUND(HEX2DEC(_0811_173439[[#This Row],[58F0]])*E$4/E$5+E$6,0)</f>
        <v>82</v>
      </c>
      <c r="M37">
        <f>ROUND(HEX2DEC(_0811_173439[[#This Row],[5805]])*F$4/F$5+F$6,0)</f>
        <v>42</v>
      </c>
      <c r="N37">
        <f>ROUND(HEX2DEC(_0811_173439[[#This Row],[58DD]])*G$4/G$5+G$6,2)</f>
        <v>-0.03</v>
      </c>
      <c r="P37">
        <v>0</v>
      </c>
      <c r="Q37">
        <v>36</v>
      </c>
      <c r="R37">
        <v>30.75</v>
      </c>
      <c r="S37">
        <v>82</v>
      </c>
      <c r="T37">
        <v>42</v>
      </c>
      <c r="U37">
        <v>-0.03</v>
      </c>
      <c r="W37">
        <f>DataLog_T717420_Aug11_4_59_37pm[[#This Row],[RPM '[1/MIN']]]-Table3[[#This Row],[580C]]</f>
        <v>0</v>
      </c>
      <c r="X37">
        <f>DataLog_T717420_Aug11_4_59_37pm[[#This Row],[OIL TEMP '[Â°C']]]-Table3[[#This Row],[4402]]</f>
        <v>0</v>
      </c>
      <c r="Y37">
        <f>DataLog_T717420_Aug11_4_59_37pm[[#This Row],[INTAKE TEMP '[Â°C']]]-Table3[[#This Row],[580F]]</f>
        <v>0</v>
      </c>
      <c r="Z37">
        <f>DataLog_T717420_Aug11_4_59_37pm[[#This Row],[HPFP PRES. '[BAR']]]-Table3[[#This Row],[58F0]]</f>
        <v>0</v>
      </c>
      <c r="AA37">
        <f>DataLog_T717420_Aug11_4_59_37pm[[#This Row],[COOLANT TEMP '[Â°C']]]-Table3[[#This Row],[5805]]</f>
        <v>0</v>
      </c>
      <c r="AB37">
        <f>DataLog_T717420_Aug11_4_59_37pm[[#This Row],[BOOST '[BAR']]]-Table3[[#This Row],[58DD]]</f>
        <v>0</v>
      </c>
    </row>
    <row r="38" spans="2:28" x14ac:dyDescent="0.25">
      <c r="B38" s="2" t="s">
        <v>23</v>
      </c>
      <c r="C38" s="2" t="s">
        <v>30</v>
      </c>
      <c r="D38" s="2" t="s">
        <v>25</v>
      </c>
      <c r="E38" s="2" t="s">
        <v>29</v>
      </c>
      <c r="F38" s="2" t="s">
        <v>26</v>
      </c>
      <c r="G38" s="2" t="s">
        <v>27</v>
      </c>
      <c r="I38">
        <f>HEX2DEC(_0811_173439[[#This Row],[580C]])*B$4/B$5+B$6</f>
        <v>0</v>
      </c>
      <c r="J38">
        <f>HEX2DEC(_0811_173439[[#This Row],[4402]])*C$4/C$5+C$6</f>
        <v>36</v>
      </c>
      <c r="K38">
        <f>HEX2DEC(_0811_173439[[#This Row],[580F]])*D$4/D$5+D$6</f>
        <v>30.75</v>
      </c>
      <c r="L38">
        <f>ROUND(HEX2DEC(_0811_173439[[#This Row],[58F0]])*E$4/E$5+E$6,0)</f>
        <v>82</v>
      </c>
      <c r="M38">
        <f>ROUND(HEX2DEC(_0811_173439[[#This Row],[5805]])*F$4/F$5+F$6,0)</f>
        <v>42</v>
      </c>
      <c r="N38">
        <f>ROUND(HEX2DEC(_0811_173439[[#This Row],[58DD]])*G$4/G$5+G$6,2)</f>
        <v>-0.03</v>
      </c>
      <c r="P38">
        <v>0</v>
      </c>
      <c r="Q38">
        <v>36</v>
      </c>
      <c r="R38">
        <v>30.75</v>
      </c>
      <c r="S38">
        <v>82</v>
      </c>
      <c r="T38">
        <v>42</v>
      </c>
      <c r="U38">
        <v>-0.03</v>
      </c>
      <c r="W38">
        <f>DataLog_T717420_Aug11_4_59_37pm[[#This Row],[RPM '[1/MIN']]]-Table3[[#This Row],[580C]]</f>
        <v>0</v>
      </c>
      <c r="X38">
        <f>DataLog_T717420_Aug11_4_59_37pm[[#This Row],[OIL TEMP '[Â°C']]]-Table3[[#This Row],[4402]]</f>
        <v>0</v>
      </c>
      <c r="Y38">
        <f>DataLog_T717420_Aug11_4_59_37pm[[#This Row],[INTAKE TEMP '[Â°C']]]-Table3[[#This Row],[580F]]</f>
        <v>0</v>
      </c>
      <c r="Z38">
        <f>DataLog_T717420_Aug11_4_59_37pm[[#This Row],[HPFP PRES. '[BAR']]]-Table3[[#This Row],[58F0]]</f>
        <v>0</v>
      </c>
      <c r="AA38">
        <f>DataLog_T717420_Aug11_4_59_37pm[[#This Row],[COOLANT TEMP '[Â°C']]]-Table3[[#This Row],[5805]]</f>
        <v>0</v>
      </c>
      <c r="AB38">
        <f>DataLog_T717420_Aug11_4_59_37pm[[#This Row],[BOOST '[BAR']]]-Table3[[#This Row],[58DD]]</f>
        <v>0</v>
      </c>
    </row>
    <row r="39" spans="2:28" x14ac:dyDescent="0.25">
      <c r="B39" s="2" t="s">
        <v>23</v>
      </c>
      <c r="C39" s="2" t="s">
        <v>30</v>
      </c>
      <c r="D39" s="2" t="s">
        <v>25</v>
      </c>
      <c r="E39" s="2" t="s">
        <v>29</v>
      </c>
      <c r="F39" s="2" t="s">
        <v>26</v>
      </c>
      <c r="G39" s="2" t="s">
        <v>27</v>
      </c>
      <c r="I39">
        <f>HEX2DEC(_0811_173439[[#This Row],[580C]])*B$4/B$5+B$6</f>
        <v>0</v>
      </c>
      <c r="J39">
        <f>HEX2DEC(_0811_173439[[#This Row],[4402]])*C$4/C$5+C$6</f>
        <v>36</v>
      </c>
      <c r="K39">
        <f>HEX2DEC(_0811_173439[[#This Row],[580F]])*D$4/D$5+D$6</f>
        <v>30.75</v>
      </c>
      <c r="L39">
        <f>ROUND(HEX2DEC(_0811_173439[[#This Row],[58F0]])*E$4/E$5+E$6,0)</f>
        <v>82</v>
      </c>
      <c r="M39">
        <f>ROUND(HEX2DEC(_0811_173439[[#This Row],[5805]])*F$4/F$5+F$6,0)</f>
        <v>42</v>
      </c>
      <c r="N39">
        <f>ROUND(HEX2DEC(_0811_173439[[#This Row],[58DD]])*G$4/G$5+G$6,2)</f>
        <v>-0.03</v>
      </c>
      <c r="P39">
        <v>0</v>
      </c>
      <c r="Q39">
        <v>36</v>
      </c>
      <c r="R39">
        <v>30.75</v>
      </c>
      <c r="S39">
        <v>82</v>
      </c>
      <c r="T39">
        <v>42</v>
      </c>
      <c r="U39">
        <v>-0.03</v>
      </c>
      <c r="W39">
        <f>DataLog_T717420_Aug11_4_59_37pm[[#This Row],[RPM '[1/MIN']]]-Table3[[#This Row],[580C]]</f>
        <v>0</v>
      </c>
      <c r="X39">
        <f>DataLog_T717420_Aug11_4_59_37pm[[#This Row],[OIL TEMP '[Â°C']]]-Table3[[#This Row],[4402]]</f>
        <v>0</v>
      </c>
      <c r="Y39">
        <f>DataLog_T717420_Aug11_4_59_37pm[[#This Row],[INTAKE TEMP '[Â°C']]]-Table3[[#This Row],[580F]]</f>
        <v>0</v>
      </c>
      <c r="Z39">
        <f>DataLog_T717420_Aug11_4_59_37pm[[#This Row],[HPFP PRES. '[BAR']]]-Table3[[#This Row],[58F0]]</f>
        <v>0</v>
      </c>
      <c r="AA39">
        <f>DataLog_T717420_Aug11_4_59_37pm[[#This Row],[COOLANT TEMP '[Â°C']]]-Table3[[#This Row],[5805]]</f>
        <v>0</v>
      </c>
      <c r="AB39">
        <f>DataLog_T717420_Aug11_4_59_37pm[[#This Row],[BOOST '[BAR']]]-Table3[[#This Row],[58DD]]</f>
        <v>0</v>
      </c>
    </row>
    <row r="40" spans="2:28" x14ac:dyDescent="0.25">
      <c r="B40" s="2" t="s">
        <v>23</v>
      </c>
      <c r="C40" s="2" t="s">
        <v>30</v>
      </c>
      <c r="D40" s="2" t="s">
        <v>25</v>
      </c>
      <c r="E40" s="2" t="s">
        <v>29</v>
      </c>
      <c r="F40" s="2" t="s">
        <v>26</v>
      </c>
      <c r="G40" s="2" t="s">
        <v>27</v>
      </c>
      <c r="I40">
        <f>HEX2DEC(_0811_173439[[#This Row],[580C]])*B$4/B$5+B$6</f>
        <v>0</v>
      </c>
      <c r="J40">
        <f>HEX2DEC(_0811_173439[[#This Row],[4402]])*C$4/C$5+C$6</f>
        <v>36</v>
      </c>
      <c r="K40">
        <f>HEX2DEC(_0811_173439[[#This Row],[580F]])*D$4/D$5+D$6</f>
        <v>30.75</v>
      </c>
      <c r="L40">
        <f>ROUND(HEX2DEC(_0811_173439[[#This Row],[58F0]])*E$4/E$5+E$6,0)</f>
        <v>82</v>
      </c>
      <c r="M40">
        <f>ROUND(HEX2DEC(_0811_173439[[#This Row],[5805]])*F$4/F$5+F$6,0)</f>
        <v>42</v>
      </c>
      <c r="N40">
        <f>ROUND(HEX2DEC(_0811_173439[[#This Row],[58DD]])*G$4/G$5+G$6,2)</f>
        <v>-0.03</v>
      </c>
      <c r="P40">
        <v>0</v>
      </c>
      <c r="Q40">
        <v>36</v>
      </c>
      <c r="R40">
        <v>30.75</v>
      </c>
      <c r="S40">
        <v>82</v>
      </c>
      <c r="T40">
        <v>42</v>
      </c>
      <c r="U40">
        <v>-0.03</v>
      </c>
      <c r="W40">
        <f>DataLog_T717420_Aug11_4_59_37pm[[#This Row],[RPM '[1/MIN']]]-Table3[[#This Row],[580C]]</f>
        <v>0</v>
      </c>
      <c r="X40">
        <f>DataLog_T717420_Aug11_4_59_37pm[[#This Row],[OIL TEMP '[Â°C']]]-Table3[[#This Row],[4402]]</f>
        <v>0</v>
      </c>
      <c r="Y40">
        <f>DataLog_T717420_Aug11_4_59_37pm[[#This Row],[INTAKE TEMP '[Â°C']]]-Table3[[#This Row],[580F]]</f>
        <v>0</v>
      </c>
      <c r="Z40">
        <f>DataLog_T717420_Aug11_4_59_37pm[[#This Row],[HPFP PRES. '[BAR']]]-Table3[[#This Row],[58F0]]</f>
        <v>0</v>
      </c>
      <c r="AA40">
        <f>DataLog_T717420_Aug11_4_59_37pm[[#This Row],[COOLANT TEMP '[Â°C']]]-Table3[[#This Row],[5805]]</f>
        <v>0</v>
      </c>
      <c r="AB40">
        <f>DataLog_T717420_Aug11_4_59_37pm[[#This Row],[BOOST '[BAR']]]-Table3[[#This Row],[58DD]]</f>
        <v>0</v>
      </c>
    </row>
    <row r="41" spans="2:28" x14ac:dyDescent="0.25">
      <c r="B41" s="2" t="s">
        <v>23</v>
      </c>
      <c r="C41" s="2" t="s">
        <v>30</v>
      </c>
      <c r="D41" s="2" t="s">
        <v>25</v>
      </c>
      <c r="E41" s="2" t="s">
        <v>29</v>
      </c>
      <c r="F41" s="2" t="s">
        <v>26</v>
      </c>
      <c r="G41" s="2" t="s">
        <v>27</v>
      </c>
      <c r="I41">
        <f>HEX2DEC(_0811_173439[[#This Row],[580C]])*B$4/B$5+B$6</f>
        <v>0</v>
      </c>
      <c r="J41">
        <f>HEX2DEC(_0811_173439[[#This Row],[4402]])*C$4/C$5+C$6</f>
        <v>36</v>
      </c>
      <c r="K41">
        <f>HEX2DEC(_0811_173439[[#This Row],[580F]])*D$4/D$5+D$6</f>
        <v>30.75</v>
      </c>
      <c r="L41">
        <f>ROUND(HEX2DEC(_0811_173439[[#This Row],[58F0]])*E$4/E$5+E$6,0)</f>
        <v>82</v>
      </c>
      <c r="M41">
        <f>ROUND(HEX2DEC(_0811_173439[[#This Row],[5805]])*F$4/F$5+F$6,0)</f>
        <v>42</v>
      </c>
      <c r="N41">
        <f>ROUND(HEX2DEC(_0811_173439[[#This Row],[58DD]])*G$4/G$5+G$6,2)</f>
        <v>-0.03</v>
      </c>
      <c r="P41">
        <v>0</v>
      </c>
      <c r="Q41">
        <v>36</v>
      </c>
      <c r="R41">
        <v>30.75</v>
      </c>
      <c r="S41">
        <v>82</v>
      </c>
      <c r="T41">
        <v>42</v>
      </c>
      <c r="U41">
        <v>-0.03</v>
      </c>
      <c r="W41">
        <f>DataLog_T717420_Aug11_4_59_37pm[[#This Row],[RPM '[1/MIN']]]-Table3[[#This Row],[580C]]</f>
        <v>0</v>
      </c>
      <c r="X41">
        <f>DataLog_T717420_Aug11_4_59_37pm[[#This Row],[OIL TEMP '[Â°C']]]-Table3[[#This Row],[4402]]</f>
        <v>0</v>
      </c>
      <c r="Y41">
        <f>DataLog_T717420_Aug11_4_59_37pm[[#This Row],[INTAKE TEMP '[Â°C']]]-Table3[[#This Row],[580F]]</f>
        <v>0</v>
      </c>
      <c r="Z41">
        <f>DataLog_T717420_Aug11_4_59_37pm[[#This Row],[HPFP PRES. '[BAR']]]-Table3[[#This Row],[58F0]]</f>
        <v>0</v>
      </c>
      <c r="AA41">
        <f>DataLog_T717420_Aug11_4_59_37pm[[#This Row],[COOLANT TEMP '[Â°C']]]-Table3[[#This Row],[5805]]</f>
        <v>0</v>
      </c>
      <c r="AB41">
        <f>DataLog_T717420_Aug11_4_59_37pm[[#This Row],[BOOST '[BAR']]]-Table3[[#This Row],[58DD]]</f>
        <v>0</v>
      </c>
    </row>
    <row r="42" spans="2:28" x14ac:dyDescent="0.25">
      <c r="B42" s="2" t="s">
        <v>23</v>
      </c>
      <c r="C42" s="2" t="s">
        <v>30</v>
      </c>
      <c r="D42" s="2" t="s">
        <v>25</v>
      </c>
      <c r="E42" s="2" t="s">
        <v>29</v>
      </c>
      <c r="F42" s="2" t="s">
        <v>26</v>
      </c>
      <c r="G42" s="2" t="s">
        <v>27</v>
      </c>
      <c r="I42">
        <f>HEX2DEC(_0811_173439[[#This Row],[580C]])*B$4/B$5+B$6</f>
        <v>0</v>
      </c>
      <c r="J42">
        <f>HEX2DEC(_0811_173439[[#This Row],[4402]])*C$4/C$5+C$6</f>
        <v>36</v>
      </c>
      <c r="K42">
        <f>HEX2DEC(_0811_173439[[#This Row],[580F]])*D$4/D$5+D$6</f>
        <v>30.75</v>
      </c>
      <c r="L42">
        <f>ROUND(HEX2DEC(_0811_173439[[#This Row],[58F0]])*E$4/E$5+E$6,0)</f>
        <v>82</v>
      </c>
      <c r="M42">
        <f>ROUND(HEX2DEC(_0811_173439[[#This Row],[5805]])*F$4/F$5+F$6,0)</f>
        <v>42</v>
      </c>
      <c r="N42">
        <f>ROUND(HEX2DEC(_0811_173439[[#This Row],[58DD]])*G$4/G$5+G$6,2)</f>
        <v>-0.03</v>
      </c>
      <c r="P42">
        <v>0</v>
      </c>
      <c r="Q42">
        <v>36</v>
      </c>
      <c r="R42">
        <v>30.75</v>
      </c>
      <c r="S42">
        <v>82</v>
      </c>
      <c r="T42">
        <v>42</v>
      </c>
      <c r="U42">
        <v>-0.03</v>
      </c>
      <c r="W42">
        <f>DataLog_T717420_Aug11_4_59_37pm[[#This Row],[RPM '[1/MIN']]]-Table3[[#This Row],[580C]]</f>
        <v>0</v>
      </c>
      <c r="X42">
        <f>DataLog_T717420_Aug11_4_59_37pm[[#This Row],[OIL TEMP '[Â°C']]]-Table3[[#This Row],[4402]]</f>
        <v>0</v>
      </c>
      <c r="Y42">
        <f>DataLog_T717420_Aug11_4_59_37pm[[#This Row],[INTAKE TEMP '[Â°C']]]-Table3[[#This Row],[580F]]</f>
        <v>0</v>
      </c>
      <c r="Z42">
        <f>DataLog_T717420_Aug11_4_59_37pm[[#This Row],[HPFP PRES. '[BAR']]]-Table3[[#This Row],[58F0]]</f>
        <v>0</v>
      </c>
      <c r="AA42">
        <f>DataLog_T717420_Aug11_4_59_37pm[[#This Row],[COOLANT TEMP '[Â°C']]]-Table3[[#This Row],[5805]]</f>
        <v>0</v>
      </c>
      <c r="AB42">
        <f>DataLog_T717420_Aug11_4_59_37pm[[#This Row],[BOOST '[BAR']]]-Table3[[#This Row],[58DD]]</f>
        <v>0</v>
      </c>
    </row>
    <row r="43" spans="2:28" x14ac:dyDescent="0.25">
      <c r="B43" s="2" t="s">
        <v>23</v>
      </c>
      <c r="C43" s="2" t="s">
        <v>30</v>
      </c>
      <c r="D43" s="2" t="s">
        <v>25</v>
      </c>
      <c r="E43" s="2" t="s">
        <v>29</v>
      </c>
      <c r="F43" s="2" t="s">
        <v>26</v>
      </c>
      <c r="G43" s="2" t="s">
        <v>27</v>
      </c>
      <c r="I43">
        <f>HEX2DEC(_0811_173439[[#This Row],[580C]])*B$4/B$5+B$6</f>
        <v>0</v>
      </c>
      <c r="J43">
        <f>HEX2DEC(_0811_173439[[#This Row],[4402]])*C$4/C$5+C$6</f>
        <v>36</v>
      </c>
      <c r="K43">
        <f>HEX2DEC(_0811_173439[[#This Row],[580F]])*D$4/D$5+D$6</f>
        <v>30.75</v>
      </c>
      <c r="L43">
        <f>ROUND(HEX2DEC(_0811_173439[[#This Row],[58F0]])*E$4/E$5+E$6,0)</f>
        <v>82</v>
      </c>
      <c r="M43">
        <f>ROUND(HEX2DEC(_0811_173439[[#This Row],[5805]])*F$4/F$5+F$6,0)</f>
        <v>42</v>
      </c>
      <c r="N43">
        <f>ROUND(HEX2DEC(_0811_173439[[#This Row],[58DD]])*G$4/G$5+G$6,2)</f>
        <v>-0.03</v>
      </c>
      <c r="P43">
        <v>0</v>
      </c>
      <c r="Q43">
        <v>36</v>
      </c>
      <c r="R43">
        <v>30.75</v>
      </c>
      <c r="S43">
        <v>82</v>
      </c>
      <c r="T43">
        <v>42</v>
      </c>
      <c r="U43">
        <v>-0.03</v>
      </c>
      <c r="W43">
        <f>DataLog_T717420_Aug11_4_59_37pm[[#This Row],[RPM '[1/MIN']]]-Table3[[#This Row],[580C]]</f>
        <v>0</v>
      </c>
      <c r="X43">
        <f>DataLog_T717420_Aug11_4_59_37pm[[#This Row],[OIL TEMP '[Â°C']]]-Table3[[#This Row],[4402]]</f>
        <v>0</v>
      </c>
      <c r="Y43">
        <f>DataLog_T717420_Aug11_4_59_37pm[[#This Row],[INTAKE TEMP '[Â°C']]]-Table3[[#This Row],[580F]]</f>
        <v>0</v>
      </c>
      <c r="Z43">
        <f>DataLog_T717420_Aug11_4_59_37pm[[#This Row],[HPFP PRES. '[BAR']]]-Table3[[#This Row],[58F0]]</f>
        <v>0</v>
      </c>
      <c r="AA43">
        <f>DataLog_T717420_Aug11_4_59_37pm[[#This Row],[COOLANT TEMP '[Â°C']]]-Table3[[#This Row],[5805]]</f>
        <v>0</v>
      </c>
      <c r="AB43">
        <f>DataLog_T717420_Aug11_4_59_37pm[[#This Row],[BOOST '[BAR']]]-Table3[[#This Row],[58DD]]</f>
        <v>0</v>
      </c>
    </row>
    <row r="44" spans="2:28" x14ac:dyDescent="0.25">
      <c r="B44" s="2" t="s">
        <v>23</v>
      </c>
      <c r="C44" s="2" t="s">
        <v>30</v>
      </c>
      <c r="D44" s="2" t="s">
        <v>25</v>
      </c>
      <c r="E44" s="2" t="s">
        <v>29</v>
      </c>
      <c r="F44" s="2" t="s">
        <v>26</v>
      </c>
      <c r="G44" s="2" t="s">
        <v>27</v>
      </c>
      <c r="I44">
        <f>HEX2DEC(_0811_173439[[#This Row],[580C]])*B$4/B$5+B$6</f>
        <v>0</v>
      </c>
      <c r="J44">
        <f>HEX2DEC(_0811_173439[[#This Row],[4402]])*C$4/C$5+C$6</f>
        <v>36</v>
      </c>
      <c r="K44">
        <f>HEX2DEC(_0811_173439[[#This Row],[580F]])*D$4/D$5+D$6</f>
        <v>30.75</v>
      </c>
      <c r="L44">
        <f>ROUND(HEX2DEC(_0811_173439[[#This Row],[58F0]])*E$4/E$5+E$6,0)</f>
        <v>82</v>
      </c>
      <c r="M44">
        <f>ROUND(HEX2DEC(_0811_173439[[#This Row],[5805]])*F$4/F$5+F$6,0)</f>
        <v>42</v>
      </c>
      <c r="N44">
        <f>ROUND(HEX2DEC(_0811_173439[[#This Row],[58DD]])*G$4/G$5+G$6,2)</f>
        <v>-0.03</v>
      </c>
      <c r="P44">
        <v>0</v>
      </c>
      <c r="Q44">
        <v>36</v>
      </c>
      <c r="R44">
        <v>30.75</v>
      </c>
      <c r="S44">
        <v>82</v>
      </c>
      <c r="T44">
        <v>42</v>
      </c>
      <c r="U44">
        <v>-0.03</v>
      </c>
      <c r="W44">
        <f>DataLog_T717420_Aug11_4_59_37pm[[#This Row],[RPM '[1/MIN']]]-Table3[[#This Row],[580C]]</f>
        <v>0</v>
      </c>
      <c r="X44">
        <f>DataLog_T717420_Aug11_4_59_37pm[[#This Row],[OIL TEMP '[Â°C']]]-Table3[[#This Row],[4402]]</f>
        <v>0</v>
      </c>
      <c r="Y44">
        <f>DataLog_T717420_Aug11_4_59_37pm[[#This Row],[INTAKE TEMP '[Â°C']]]-Table3[[#This Row],[580F]]</f>
        <v>0</v>
      </c>
      <c r="Z44">
        <f>DataLog_T717420_Aug11_4_59_37pm[[#This Row],[HPFP PRES. '[BAR']]]-Table3[[#This Row],[58F0]]</f>
        <v>0</v>
      </c>
      <c r="AA44">
        <f>DataLog_T717420_Aug11_4_59_37pm[[#This Row],[COOLANT TEMP '[Â°C']]]-Table3[[#This Row],[5805]]</f>
        <v>0</v>
      </c>
      <c r="AB44">
        <f>DataLog_T717420_Aug11_4_59_37pm[[#This Row],[BOOST '[BAR']]]-Table3[[#This Row],[58DD]]</f>
        <v>0</v>
      </c>
    </row>
    <row r="45" spans="2:28" x14ac:dyDescent="0.25">
      <c r="B45" s="2" t="s">
        <v>23</v>
      </c>
      <c r="C45" s="2" t="s">
        <v>30</v>
      </c>
      <c r="D45" s="2" t="s">
        <v>25</v>
      </c>
      <c r="E45" s="2" t="s">
        <v>29</v>
      </c>
      <c r="F45" s="2" t="s">
        <v>26</v>
      </c>
      <c r="G45" s="2" t="s">
        <v>27</v>
      </c>
      <c r="I45">
        <f>HEX2DEC(_0811_173439[[#This Row],[580C]])*B$4/B$5+B$6</f>
        <v>0</v>
      </c>
      <c r="J45">
        <f>HEX2DEC(_0811_173439[[#This Row],[4402]])*C$4/C$5+C$6</f>
        <v>36</v>
      </c>
      <c r="K45">
        <f>HEX2DEC(_0811_173439[[#This Row],[580F]])*D$4/D$5+D$6</f>
        <v>30.75</v>
      </c>
      <c r="L45">
        <f>ROUND(HEX2DEC(_0811_173439[[#This Row],[58F0]])*E$4/E$5+E$6,0)</f>
        <v>82</v>
      </c>
      <c r="M45">
        <f>ROUND(HEX2DEC(_0811_173439[[#This Row],[5805]])*F$4/F$5+F$6,0)</f>
        <v>42</v>
      </c>
      <c r="N45">
        <f>ROUND(HEX2DEC(_0811_173439[[#This Row],[58DD]])*G$4/G$5+G$6,2)</f>
        <v>-0.03</v>
      </c>
      <c r="P45">
        <v>0</v>
      </c>
      <c r="Q45">
        <v>36</v>
      </c>
      <c r="R45">
        <v>30.75</v>
      </c>
      <c r="S45">
        <v>82</v>
      </c>
      <c r="T45">
        <v>42</v>
      </c>
      <c r="U45">
        <v>-0.03</v>
      </c>
      <c r="W45">
        <f>DataLog_T717420_Aug11_4_59_37pm[[#This Row],[RPM '[1/MIN']]]-Table3[[#This Row],[580C]]</f>
        <v>0</v>
      </c>
      <c r="X45">
        <f>DataLog_T717420_Aug11_4_59_37pm[[#This Row],[OIL TEMP '[Â°C']]]-Table3[[#This Row],[4402]]</f>
        <v>0</v>
      </c>
      <c r="Y45">
        <f>DataLog_T717420_Aug11_4_59_37pm[[#This Row],[INTAKE TEMP '[Â°C']]]-Table3[[#This Row],[580F]]</f>
        <v>0</v>
      </c>
      <c r="Z45">
        <f>DataLog_T717420_Aug11_4_59_37pm[[#This Row],[HPFP PRES. '[BAR']]]-Table3[[#This Row],[58F0]]</f>
        <v>0</v>
      </c>
      <c r="AA45">
        <f>DataLog_T717420_Aug11_4_59_37pm[[#This Row],[COOLANT TEMP '[Â°C']]]-Table3[[#This Row],[5805]]</f>
        <v>0</v>
      </c>
      <c r="AB45">
        <f>DataLog_T717420_Aug11_4_59_37pm[[#This Row],[BOOST '[BAR']]]-Table3[[#This Row],[58DD]]</f>
        <v>0</v>
      </c>
    </row>
    <row r="46" spans="2:28" x14ac:dyDescent="0.25">
      <c r="B46" s="2" t="s">
        <v>23</v>
      </c>
      <c r="C46" s="2" t="s">
        <v>30</v>
      </c>
      <c r="D46" s="2" t="s">
        <v>25</v>
      </c>
      <c r="E46" s="2" t="s">
        <v>29</v>
      </c>
      <c r="F46" s="2" t="s">
        <v>26</v>
      </c>
      <c r="G46" s="2" t="s">
        <v>27</v>
      </c>
      <c r="I46">
        <f>HEX2DEC(_0811_173439[[#This Row],[580C]])*B$4/B$5+B$6</f>
        <v>0</v>
      </c>
      <c r="J46">
        <f>HEX2DEC(_0811_173439[[#This Row],[4402]])*C$4/C$5+C$6</f>
        <v>36</v>
      </c>
      <c r="K46">
        <f>HEX2DEC(_0811_173439[[#This Row],[580F]])*D$4/D$5+D$6</f>
        <v>30.75</v>
      </c>
      <c r="L46">
        <f>ROUND(HEX2DEC(_0811_173439[[#This Row],[58F0]])*E$4/E$5+E$6,0)</f>
        <v>82</v>
      </c>
      <c r="M46">
        <f>ROUND(HEX2DEC(_0811_173439[[#This Row],[5805]])*F$4/F$5+F$6,0)</f>
        <v>42</v>
      </c>
      <c r="N46">
        <f>ROUND(HEX2DEC(_0811_173439[[#This Row],[58DD]])*G$4/G$5+G$6,2)</f>
        <v>-0.03</v>
      </c>
      <c r="P46">
        <v>0</v>
      </c>
      <c r="Q46">
        <v>36</v>
      </c>
      <c r="R46">
        <v>30.75</v>
      </c>
      <c r="S46">
        <v>82</v>
      </c>
      <c r="T46">
        <v>42</v>
      </c>
      <c r="U46">
        <v>-0.03</v>
      </c>
      <c r="W46">
        <f>DataLog_T717420_Aug11_4_59_37pm[[#This Row],[RPM '[1/MIN']]]-Table3[[#This Row],[580C]]</f>
        <v>0</v>
      </c>
      <c r="X46">
        <f>DataLog_T717420_Aug11_4_59_37pm[[#This Row],[OIL TEMP '[Â°C']]]-Table3[[#This Row],[4402]]</f>
        <v>0</v>
      </c>
      <c r="Y46">
        <f>DataLog_T717420_Aug11_4_59_37pm[[#This Row],[INTAKE TEMP '[Â°C']]]-Table3[[#This Row],[580F]]</f>
        <v>0</v>
      </c>
      <c r="Z46">
        <f>DataLog_T717420_Aug11_4_59_37pm[[#This Row],[HPFP PRES. '[BAR']]]-Table3[[#This Row],[58F0]]</f>
        <v>0</v>
      </c>
      <c r="AA46">
        <f>DataLog_T717420_Aug11_4_59_37pm[[#This Row],[COOLANT TEMP '[Â°C']]]-Table3[[#This Row],[5805]]</f>
        <v>0</v>
      </c>
      <c r="AB46">
        <f>DataLog_T717420_Aug11_4_59_37pm[[#This Row],[BOOST '[BAR']]]-Table3[[#This Row],[58DD]]</f>
        <v>0</v>
      </c>
    </row>
    <row r="47" spans="2:28" x14ac:dyDescent="0.25">
      <c r="B47" s="2" t="s">
        <v>23</v>
      </c>
      <c r="C47" s="2" t="s">
        <v>30</v>
      </c>
      <c r="D47" s="2" t="s">
        <v>25</v>
      </c>
      <c r="E47" s="2" t="s">
        <v>29</v>
      </c>
      <c r="F47" s="2" t="s">
        <v>26</v>
      </c>
      <c r="G47" s="2" t="s">
        <v>27</v>
      </c>
      <c r="I47">
        <f>HEX2DEC(_0811_173439[[#This Row],[580C]])*B$4/B$5+B$6</f>
        <v>0</v>
      </c>
      <c r="J47">
        <f>HEX2DEC(_0811_173439[[#This Row],[4402]])*C$4/C$5+C$6</f>
        <v>36</v>
      </c>
      <c r="K47">
        <f>HEX2DEC(_0811_173439[[#This Row],[580F]])*D$4/D$5+D$6</f>
        <v>30.75</v>
      </c>
      <c r="L47">
        <f>ROUND(HEX2DEC(_0811_173439[[#This Row],[58F0]])*E$4/E$5+E$6,0)</f>
        <v>82</v>
      </c>
      <c r="M47">
        <f>ROUND(HEX2DEC(_0811_173439[[#This Row],[5805]])*F$4/F$5+F$6,0)</f>
        <v>42</v>
      </c>
      <c r="N47">
        <f>ROUND(HEX2DEC(_0811_173439[[#This Row],[58DD]])*G$4/G$5+G$6,2)</f>
        <v>-0.03</v>
      </c>
      <c r="P47">
        <v>0</v>
      </c>
      <c r="Q47">
        <v>36</v>
      </c>
      <c r="R47">
        <v>30.75</v>
      </c>
      <c r="S47">
        <v>82</v>
      </c>
      <c r="T47">
        <v>42</v>
      </c>
      <c r="U47">
        <v>-0.03</v>
      </c>
      <c r="W47">
        <f>DataLog_T717420_Aug11_4_59_37pm[[#This Row],[RPM '[1/MIN']]]-Table3[[#This Row],[580C]]</f>
        <v>0</v>
      </c>
      <c r="X47">
        <f>DataLog_T717420_Aug11_4_59_37pm[[#This Row],[OIL TEMP '[Â°C']]]-Table3[[#This Row],[4402]]</f>
        <v>0</v>
      </c>
      <c r="Y47">
        <f>DataLog_T717420_Aug11_4_59_37pm[[#This Row],[INTAKE TEMP '[Â°C']]]-Table3[[#This Row],[580F]]</f>
        <v>0</v>
      </c>
      <c r="Z47">
        <f>DataLog_T717420_Aug11_4_59_37pm[[#This Row],[HPFP PRES. '[BAR']]]-Table3[[#This Row],[58F0]]</f>
        <v>0</v>
      </c>
      <c r="AA47">
        <f>DataLog_T717420_Aug11_4_59_37pm[[#This Row],[COOLANT TEMP '[Â°C']]]-Table3[[#This Row],[5805]]</f>
        <v>0</v>
      </c>
      <c r="AB47">
        <f>DataLog_T717420_Aug11_4_59_37pm[[#This Row],[BOOST '[BAR']]]-Table3[[#This Row],[58DD]]</f>
        <v>0</v>
      </c>
    </row>
    <row r="48" spans="2:28" x14ac:dyDescent="0.25">
      <c r="B48" s="2" t="s">
        <v>23</v>
      </c>
      <c r="C48" s="2" t="s">
        <v>30</v>
      </c>
      <c r="D48" s="2" t="s">
        <v>25</v>
      </c>
      <c r="E48" s="2" t="s">
        <v>29</v>
      </c>
      <c r="F48" s="2" t="s">
        <v>26</v>
      </c>
      <c r="G48" s="2" t="s">
        <v>27</v>
      </c>
      <c r="I48">
        <f>HEX2DEC(_0811_173439[[#This Row],[580C]])*B$4/B$5+B$6</f>
        <v>0</v>
      </c>
      <c r="J48">
        <f>HEX2DEC(_0811_173439[[#This Row],[4402]])*C$4/C$5+C$6</f>
        <v>36</v>
      </c>
      <c r="K48">
        <f>HEX2DEC(_0811_173439[[#This Row],[580F]])*D$4/D$5+D$6</f>
        <v>30.75</v>
      </c>
      <c r="L48">
        <f>ROUND(HEX2DEC(_0811_173439[[#This Row],[58F0]])*E$4/E$5+E$6,0)</f>
        <v>82</v>
      </c>
      <c r="M48">
        <f>ROUND(HEX2DEC(_0811_173439[[#This Row],[5805]])*F$4/F$5+F$6,0)</f>
        <v>42</v>
      </c>
      <c r="N48">
        <f>ROUND(HEX2DEC(_0811_173439[[#This Row],[58DD]])*G$4/G$5+G$6,2)</f>
        <v>-0.03</v>
      </c>
      <c r="P48">
        <v>0</v>
      </c>
      <c r="Q48">
        <v>36</v>
      </c>
      <c r="R48">
        <v>30.75</v>
      </c>
      <c r="S48">
        <v>82</v>
      </c>
      <c r="T48">
        <v>42</v>
      </c>
      <c r="U48">
        <v>-0.03</v>
      </c>
      <c r="W48">
        <f>DataLog_T717420_Aug11_4_59_37pm[[#This Row],[RPM '[1/MIN']]]-Table3[[#This Row],[580C]]</f>
        <v>0</v>
      </c>
      <c r="X48">
        <f>DataLog_T717420_Aug11_4_59_37pm[[#This Row],[OIL TEMP '[Â°C']]]-Table3[[#This Row],[4402]]</f>
        <v>0</v>
      </c>
      <c r="Y48">
        <f>DataLog_T717420_Aug11_4_59_37pm[[#This Row],[INTAKE TEMP '[Â°C']]]-Table3[[#This Row],[580F]]</f>
        <v>0</v>
      </c>
      <c r="Z48">
        <f>DataLog_T717420_Aug11_4_59_37pm[[#This Row],[HPFP PRES. '[BAR']]]-Table3[[#This Row],[58F0]]</f>
        <v>0</v>
      </c>
      <c r="AA48">
        <f>DataLog_T717420_Aug11_4_59_37pm[[#This Row],[COOLANT TEMP '[Â°C']]]-Table3[[#This Row],[5805]]</f>
        <v>0</v>
      </c>
      <c r="AB48">
        <f>DataLog_T717420_Aug11_4_59_37pm[[#This Row],[BOOST '[BAR']]]-Table3[[#This Row],[58DD]]</f>
        <v>0</v>
      </c>
    </row>
    <row r="49" spans="2:28" x14ac:dyDescent="0.25">
      <c r="B49" s="2" t="s">
        <v>23</v>
      </c>
      <c r="C49" s="2" t="s">
        <v>30</v>
      </c>
      <c r="D49" s="2" t="s">
        <v>25</v>
      </c>
      <c r="E49" s="2" t="s">
        <v>29</v>
      </c>
      <c r="F49" s="2" t="s">
        <v>26</v>
      </c>
      <c r="G49" s="2" t="s">
        <v>27</v>
      </c>
      <c r="I49">
        <f>HEX2DEC(_0811_173439[[#This Row],[580C]])*B$4/B$5+B$6</f>
        <v>0</v>
      </c>
      <c r="J49">
        <f>HEX2DEC(_0811_173439[[#This Row],[4402]])*C$4/C$5+C$6</f>
        <v>36</v>
      </c>
      <c r="K49">
        <f>HEX2DEC(_0811_173439[[#This Row],[580F]])*D$4/D$5+D$6</f>
        <v>30.75</v>
      </c>
      <c r="L49">
        <f>ROUND(HEX2DEC(_0811_173439[[#This Row],[58F0]])*E$4/E$5+E$6,0)</f>
        <v>82</v>
      </c>
      <c r="M49">
        <f>ROUND(HEX2DEC(_0811_173439[[#This Row],[5805]])*F$4/F$5+F$6,0)</f>
        <v>42</v>
      </c>
      <c r="N49">
        <f>ROUND(HEX2DEC(_0811_173439[[#This Row],[58DD]])*G$4/G$5+G$6,2)</f>
        <v>-0.03</v>
      </c>
      <c r="P49">
        <v>0</v>
      </c>
      <c r="Q49">
        <v>36</v>
      </c>
      <c r="R49">
        <v>30.75</v>
      </c>
      <c r="S49">
        <v>82</v>
      </c>
      <c r="T49">
        <v>42</v>
      </c>
      <c r="U49">
        <v>-0.03</v>
      </c>
      <c r="W49">
        <f>DataLog_T717420_Aug11_4_59_37pm[[#This Row],[RPM '[1/MIN']]]-Table3[[#This Row],[580C]]</f>
        <v>0</v>
      </c>
      <c r="X49">
        <f>DataLog_T717420_Aug11_4_59_37pm[[#This Row],[OIL TEMP '[Â°C']]]-Table3[[#This Row],[4402]]</f>
        <v>0</v>
      </c>
      <c r="Y49">
        <f>DataLog_T717420_Aug11_4_59_37pm[[#This Row],[INTAKE TEMP '[Â°C']]]-Table3[[#This Row],[580F]]</f>
        <v>0</v>
      </c>
      <c r="Z49">
        <f>DataLog_T717420_Aug11_4_59_37pm[[#This Row],[HPFP PRES. '[BAR']]]-Table3[[#This Row],[58F0]]</f>
        <v>0</v>
      </c>
      <c r="AA49">
        <f>DataLog_T717420_Aug11_4_59_37pm[[#This Row],[COOLANT TEMP '[Â°C']]]-Table3[[#This Row],[5805]]</f>
        <v>0</v>
      </c>
      <c r="AB49">
        <f>DataLog_T717420_Aug11_4_59_37pm[[#This Row],[BOOST '[BAR']]]-Table3[[#This Row],[58DD]]</f>
        <v>0</v>
      </c>
    </row>
    <row r="50" spans="2:28" x14ac:dyDescent="0.25">
      <c r="B50" s="2" t="s">
        <v>23</v>
      </c>
      <c r="C50" s="2" t="s">
        <v>30</v>
      </c>
      <c r="D50" s="2" t="s">
        <v>25</v>
      </c>
      <c r="E50" s="2" t="s">
        <v>29</v>
      </c>
      <c r="F50" s="2" t="s">
        <v>26</v>
      </c>
      <c r="G50" s="2" t="s">
        <v>27</v>
      </c>
      <c r="I50">
        <f>HEX2DEC(_0811_173439[[#This Row],[580C]])*B$4/B$5+B$6</f>
        <v>0</v>
      </c>
      <c r="J50">
        <f>HEX2DEC(_0811_173439[[#This Row],[4402]])*C$4/C$5+C$6</f>
        <v>36</v>
      </c>
      <c r="K50">
        <f>HEX2DEC(_0811_173439[[#This Row],[580F]])*D$4/D$5+D$6</f>
        <v>30.75</v>
      </c>
      <c r="L50">
        <f>ROUND(HEX2DEC(_0811_173439[[#This Row],[58F0]])*E$4/E$5+E$6,0)</f>
        <v>82</v>
      </c>
      <c r="M50">
        <f>ROUND(HEX2DEC(_0811_173439[[#This Row],[5805]])*F$4/F$5+F$6,0)</f>
        <v>42</v>
      </c>
      <c r="N50">
        <f>ROUND(HEX2DEC(_0811_173439[[#This Row],[58DD]])*G$4/G$5+G$6,2)</f>
        <v>-0.03</v>
      </c>
      <c r="P50">
        <v>0</v>
      </c>
      <c r="Q50">
        <v>36</v>
      </c>
      <c r="R50">
        <v>30.75</v>
      </c>
      <c r="S50">
        <v>82</v>
      </c>
      <c r="T50">
        <v>42</v>
      </c>
      <c r="U50">
        <v>-0.03</v>
      </c>
      <c r="W50">
        <f>DataLog_T717420_Aug11_4_59_37pm[[#This Row],[RPM '[1/MIN']]]-Table3[[#This Row],[580C]]</f>
        <v>0</v>
      </c>
      <c r="X50">
        <f>DataLog_T717420_Aug11_4_59_37pm[[#This Row],[OIL TEMP '[Â°C']]]-Table3[[#This Row],[4402]]</f>
        <v>0</v>
      </c>
      <c r="Y50">
        <f>DataLog_T717420_Aug11_4_59_37pm[[#This Row],[INTAKE TEMP '[Â°C']]]-Table3[[#This Row],[580F]]</f>
        <v>0</v>
      </c>
      <c r="Z50">
        <f>DataLog_T717420_Aug11_4_59_37pm[[#This Row],[HPFP PRES. '[BAR']]]-Table3[[#This Row],[58F0]]</f>
        <v>0</v>
      </c>
      <c r="AA50">
        <f>DataLog_T717420_Aug11_4_59_37pm[[#This Row],[COOLANT TEMP '[Â°C']]]-Table3[[#This Row],[5805]]</f>
        <v>0</v>
      </c>
      <c r="AB50">
        <f>DataLog_T717420_Aug11_4_59_37pm[[#This Row],[BOOST '[BAR']]]-Table3[[#This Row],[58DD]]</f>
        <v>0</v>
      </c>
    </row>
    <row r="51" spans="2:28" x14ac:dyDescent="0.25">
      <c r="B51" s="2" t="s">
        <v>23</v>
      </c>
      <c r="C51" s="2" t="s">
        <v>30</v>
      </c>
      <c r="D51" s="2" t="s">
        <v>25</v>
      </c>
      <c r="E51" s="2" t="s">
        <v>29</v>
      </c>
      <c r="F51" s="2" t="s">
        <v>26</v>
      </c>
      <c r="G51" s="2" t="s">
        <v>28</v>
      </c>
      <c r="I51">
        <f>HEX2DEC(_0811_173439[[#This Row],[580C]])*B$4/B$5+B$6</f>
        <v>0</v>
      </c>
      <c r="J51">
        <f>HEX2DEC(_0811_173439[[#This Row],[4402]])*C$4/C$5+C$6</f>
        <v>36</v>
      </c>
      <c r="K51">
        <f>HEX2DEC(_0811_173439[[#This Row],[580F]])*D$4/D$5+D$6</f>
        <v>30.75</v>
      </c>
      <c r="L51">
        <f>ROUND(HEX2DEC(_0811_173439[[#This Row],[58F0]])*E$4/E$5+E$6,0)</f>
        <v>82</v>
      </c>
      <c r="M51">
        <f>ROUND(HEX2DEC(_0811_173439[[#This Row],[5805]])*F$4/F$5+F$6,0)</f>
        <v>42</v>
      </c>
      <c r="N51">
        <f>ROUND(HEX2DEC(_0811_173439[[#This Row],[58DD]])*G$4/G$5+G$6,2)</f>
        <v>-0.02</v>
      </c>
      <c r="P51">
        <v>0</v>
      </c>
      <c r="Q51">
        <v>36</v>
      </c>
      <c r="R51">
        <v>30.75</v>
      </c>
      <c r="S51">
        <v>82</v>
      </c>
      <c r="T51">
        <v>42</v>
      </c>
      <c r="U51">
        <v>-0.02</v>
      </c>
      <c r="W51">
        <f>DataLog_T717420_Aug11_4_59_37pm[[#This Row],[RPM '[1/MIN']]]-Table3[[#This Row],[580C]]</f>
        <v>0</v>
      </c>
      <c r="X51">
        <f>DataLog_T717420_Aug11_4_59_37pm[[#This Row],[OIL TEMP '[Â°C']]]-Table3[[#This Row],[4402]]</f>
        <v>0</v>
      </c>
      <c r="Y51">
        <f>DataLog_T717420_Aug11_4_59_37pm[[#This Row],[INTAKE TEMP '[Â°C']]]-Table3[[#This Row],[580F]]</f>
        <v>0</v>
      </c>
      <c r="Z51">
        <f>DataLog_T717420_Aug11_4_59_37pm[[#This Row],[HPFP PRES. '[BAR']]]-Table3[[#This Row],[58F0]]</f>
        <v>0</v>
      </c>
      <c r="AA51">
        <f>DataLog_T717420_Aug11_4_59_37pm[[#This Row],[COOLANT TEMP '[Â°C']]]-Table3[[#This Row],[5805]]</f>
        <v>0</v>
      </c>
      <c r="AB51">
        <f>DataLog_T717420_Aug11_4_59_37pm[[#This Row],[BOOST '[BAR']]]-Table3[[#This Row],[58DD]]</f>
        <v>0</v>
      </c>
    </row>
    <row r="52" spans="2:28" x14ac:dyDescent="0.25">
      <c r="B52" s="2" t="s">
        <v>23</v>
      </c>
      <c r="C52" s="2" t="s">
        <v>30</v>
      </c>
      <c r="D52" s="2" t="s">
        <v>25</v>
      </c>
      <c r="E52" s="2" t="s">
        <v>29</v>
      </c>
      <c r="F52" s="2" t="s">
        <v>26</v>
      </c>
      <c r="G52" s="2" t="s">
        <v>27</v>
      </c>
      <c r="I52">
        <f>HEX2DEC(_0811_173439[[#This Row],[580C]])*B$4/B$5+B$6</f>
        <v>0</v>
      </c>
      <c r="J52">
        <f>HEX2DEC(_0811_173439[[#This Row],[4402]])*C$4/C$5+C$6</f>
        <v>36</v>
      </c>
      <c r="K52">
        <f>HEX2DEC(_0811_173439[[#This Row],[580F]])*D$4/D$5+D$6</f>
        <v>30.75</v>
      </c>
      <c r="L52">
        <f>ROUND(HEX2DEC(_0811_173439[[#This Row],[58F0]])*E$4/E$5+E$6,0)</f>
        <v>82</v>
      </c>
      <c r="M52">
        <f>ROUND(HEX2DEC(_0811_173439[[#This Row],[5805]])*F$4/F$5+F$6,0)</f>
        <v>42</v>
      </c>
      <c r="N52">
        <f>ROUND(HEX2DEC(_0811_173439[[#This Row],[58DD]])*G$4/G$5+G$6,2)</f>
        <v>-0.03</v>
      </c>
      <c r="P52">
        <v>0</v>
      </c>
      <c r="Q52">
        <v>36</v>
      </c>
      <c r="R52">
        <v>30.75</v>
      </c>
      <c r="S52">
        <v>82</v>
      </c>
      <c r="T52">
        <v>42</v>
      </c>
      <c r="U52">
        <v>-0.03</v>
      </c>
      <c r="W52">
        <f>DataLog_T717420_Aug11_4_59_37pm[[#This Row],[RPM '[1/MIN']]]-Table3[[#This Row],[580C]]</f>
        <v>0</v>
      </c>
      <c r="X52">
        <f>DataLog_T717420_Aug11_4_59_37pm[[#This Row],[OIL TEMP '[Â°C']]]-Table3[[#This Row],[4402]]</f>
        <v>0</v>
      </c>
      <c r="Y52">
        <f>DataLog_T717420_Aug11_4_59_37pm[[#This Row],[INTAKE TEMP '[Â°C']]]-Table3[[#This Row],[580F]]</f>
        <v>0</v>
      </c>
      <c r="Z52">
        <f>DataLog_T717420_Aug11_4_59_37pm[[#This Row],[HPFP PRES. '[BAR']]]-Table3[[#This Row],[58F0]]</f>
        <v>0</v>
      </c>
      <c r="AA52">
        <f>DataLog_T717420_Aug11_4_59_37pm[[#This Row],[COOLANT TEMP '[Â°C']]]-Table3[[#This Row],[5805]]</f>
        <v>0</v>
      </c>
      <c r="AB52">
        <f>DataLog_T717420_Aug11_4_59_37pm[[#This Row],[BOOST '[BAR']]]-Table3[[#This Row],[58DD]]</f>
        <v>0</v>
      </c>
    </row>
    <row r="53" spans="2:28" x14ac:dyDescent="0.25">
      <c r="B53" s="2" t="s">
        <v>23</v>
      </c>
      <c r="C53" s="2" t="s">
        <v>30</v>
      </c>
      <c r="D53" s="2" t="s">
        <v>25</v>
      </c>
      <c r="E53" s="2" t="s">
        <v>29</v>
      </c>
      <c r="F53" s="2" t="s">
        <v>26</v>
      </c>
      <c r="G53" s="2" t="s">
        <v>27</v>
      </c>
      <c r="I53">
        <f>HEX2DEC(_0811_173439[[#This Row],[580C]])*B$4/B$5+B$6</f>
        <v>0</v>
      </c>
      <c r="J53">
        <f>HEX2DEC(_0811_173439[[#This Row],[4402]])*C$4/C$5+C$6</f>
        <v>36</v>
      </c>
      <c r="K53">
        <f>HEX2DEC(_0811_173439[[#This Row],[580F]])*D$4/D$5+D$6</f>
        <v>30.75</v>
      </c>
      <c r="L53">
        <f>ROUND(HEX2DEC(_0811_173439[[#This Row],[58F0]])*E$4/E$5+E$6,0)</f>
        <v>82</v>
      </c>
      <c r="M53">
        <f>ROUND(HEX2DEC(_0811_173439[[#This Row],[5805]])*F$4/F$5+F$6,0)</f>
        <v>42</v>
      </c>
      <c r="N53">
        <f>ROUND(HEX2DEC(_0811_173439[[#This Row],[58DD]])*G$4/G$5+G$6,2)</f>
        <v>-0.03</v>
      </c>
      <c r="P53">
        <v>0</v>
      </c>
      <c r="Q53">
        <v>36</v>
      </c>
      <c r="R53">
        <v>30.75</v>
      </c>
      <c r="S53">
        <v>82</v>
      </c>
      <c r="T53">
        <v>42</v>
      </c>
      <c r="U53">
        <v>-0.03</v>
      </c>
      <c r="W53">
        <f>DataLog_T717420_Aug11_4_59_37pm[[#This Row],[RPM '[1/MIN']]]-Table3[[#This Row],[580C]]</f>
        <v>0</v>
      </c>
      <c r="X53">
        <f>DataLog_T717420_Aug11_4_59_37pm[[#This Row],[OIL TEMP '[Â°C']]]-Table3[[#This Row],[4402]]</f>
        <v>0</v>
      </c>
      <c r="Y53">
        <f>DataLog_T717420_Aug11_4_59_37pm[[#This Row],[INTAKE TEMP '[Â°C']]]-Table3[[#This Row],[580F]]</f>
        <v>0</v>
      </c>
      <c r="Z53">
        <f>DataLog_T717420_Aug11_4_59_37pm[[#This Row],[HPFP PRES. '[BAR']]]-Table3[[#This Row],[58F0]]</f>
        <v>0</v>
      </c>
      <c r="AA53">
        <f>DataLog_T717420_Aug11_4_59_37pm[[#This Row],[COOLANT TEMP '[Â°C']]]-Table3[[#This Row],[5805]]</f>
        <v>0</v>
      </c>
      <c r="AB53">
        <f>DataLog_T717420_Aug11_4_59_37pm[[#This Row],[BOOST '[BAR']]]-Table3[[#This Row],[58DD]]</f>
        <v>0</v>
      </c>
    </row>
    <row r="54" spans="2:28" x14ac:dyDescent="0.25">
      <c r="B54" s="2" t="s">
        <v>23</v>
      </c>
      <c r="C54" s="2" t="s">
        <v>30</v>
      </c>
      <c r="D54" s="2" t="s">
        <v>25</v>
      </c>
      <c r="E54" s="2" t="s">
        <v>29</v>
      </c>
      <c r="F54" s="2" t="s">
        <v>26</v>
      </c>
      <c r="G54" s="2" t="s">
        <v>27</v>
      </c>
      <c r="I54">
        <f>HEX2DEC(_0811_173439[[#This Row],[580C]])*B$4/B$5+B$6</f>
        <v>0</v>
      </c>
      <c r="J54">
        <f>HEX2DEC(_0811_173439[[#This Row],[4402]])*C$4/C$5+C$6</f>
        <v>36</v>
      </c>
      <c r="K54">
        <f>HEX2DEC(_0811_173439[[#This Row],[580F]])*D$4/D$5+D$6</f>
        <v>30.75</v>
      </c>
      <c r="L54">
        <f>ROUND(HEX2DEC(_0811_173439[[#This Row],[58F0]])*E$4/E$5+E$6,0)</f>
        <v>82</v>
      </c>
      <c r="M54">
        <f>ROUND(HEX2DEC(_0811_173439[[#This Row],[5805]])*F$4/F$5+F$6,0)</f>
        <v>42</v>
      </c>
      <c r="N54">
        <f>ROUND(HEX2DEC(_0811_173439[[#This Row],[58DD]])*G$4/G$5+G$6,2)</f>
        <v>-0.03</v>
      </c>
      <c r="P54">
        <v>0</v>
      </c>
      <c r="Q54">
        <v>36</v>
      </c>
      <c r="R54">
        <v>30.75</v>
      </c>
      <c r="S54">
        <v>82</v>
      </c>
      <c r="T54">
        <v>42</v>
      </c>
      <c r="U54">
        <v>-0.03</v>
      </c>
      <c r="W54">
        <f>DataLog_T717420_Aug11_4_59_37pm[[#This Row],[RPM '[1/MIN']]]-Table3[[#This Row],[580C]]</f>
        <v>0</v>
      </c>
      <c r="X54">
        <f>DataLog_T717420_Aug11_4_59_37pm[[#This Row],[OIL TEMP '[Â°C']]]-Table3[[#This Row],[4402]]</f>
        <v>0</v>
      </c>
      <c r="Y54">
        <f>DataLog_T717420_Aug11_4_59_37pm[[#This Row],[INTAKE TEMP '[Â°C']]]-Table3[[#This Row],[580F]]</f>
        <v>0</v>
      </c>
      <c r="Z54">
        <f>DataLog_T717420_Aug11_4_59_37pm[[#This Row],[HPFP PRES. '[BAR']]]-Table3[[#This Row],[58F0]]</f>
        <v>0</v>
      </c>
      <c r="AA54">
        <f>DataLog_T717420_Aug11_4_59_37pm[[#This Row],[COOLANT TEMP '[Â°C']]]-Table3[[#This Row],[5805]]</f>
        <v>0</v>
      </c>
      <c r="AB54">
        <f>DataLog_T717420_Aug11_4_59_37pm[[#This Row],[BOOST '[BAR']]]-Table3[[#This Row],[58DD]]</f>
        <v>0</v>
      </c>
    </row>
    <row r="55" spans="2:28" x14ac:dyDescent="0.25">
      <c r="B55" s="2" t="s">
        <v>23</v>
      </c>
      <c r="C55" s="2" t="s">
        <v>30</v>
      </c>
      <c r="D55" s="2" t="s">
        <v>25</v>
      </c>
      <c r="E55" s="2" t="s">
        <v>29</v>
      </c>
      <c r="F55" s="2" t="s">
        <v>26</v>
      </c>
      <c r="G55" s="2" t="s">
        <v>27</v>
      </c>
      <c r="I55">
        <f>HEX2DEC(_0811_173439[[#This Row],[580C]])*B$4/B$5+B$6</f>
        <v>0</v>
      </c>
      <c r="J55">
        <f>HEX2DEC(_0811_173439[[#This Row],[4402]])*C$4/C$5+C$6</f>
        <v>36</v>
      </c>
      <c r="K55">
        <f>HEX2DEC(_0811_173439[[#This Row],[580F]])*D$4/D$5+D$6</f>
        <v>30.75</v>
      </c>
      <c r="L55">
        <f>ROUND(HEX2DEC(_0811_173439[[#This Row],[58F0]])*E$4/E$5+E$6,0)</f>
        <v>82</v>
      </c>
      <c r="M55">
        <f>ROUND(HEX2DEC(_0811_173439[[#This Row],[5805]])*F$4/F$5+F$6,0)</f>
        <v>42</v>
      </c>
      <c r="N55">
        <f>ROUND(HEX2DEC(_0811_173439[[#This Row],[58DD]])*G$4/G$5+G$6,2)</f>
        <v>-0.03</v>
      </c>
      <c r="P55">
        <v>0</v>
      </c>
      <c r="Q55">
        <v>36</v>
      </c>
      <c r="R55">
        <v>30.75</v>
      </c>
      <c r="S55">
        <v>82</v>
      </c>
      <c r="T55">
        <v>42</v>
      </c>
      <c r="U55">
        <v>-0.03</v>
      </c>
      <c r="W55">
        <f>DataLog_T717420_Aug11_4_59_37pm[[#This Row],[RPM '[1/MIN']]]-Table3[[#This Row],[580C]]</f>
        <v>0</v>
      </c>
      <c r="X55">
        <f>DataLog_T717420_Aug11_4_59_37pm[[#This Row],[OIL TEMP '[Â°C']]]-Table3[[#This Row],[4402]]</f>
        <v>0</v>
      </c>
      <c r="Y55">
        <f>DataLog_T717420_Aug11_4_59_37pm[[#This Row],[INTAKE TEMP '[Â°C']]]-Table3[[#This Row],[580F]]</f>
        <v>0</v>
      </c>
      <c r="Z55">
        <f>DataLog_T717420_Aug11_4_59_37pm[[#This Row],[HPFP PRES. '[BAR']]]-Table3[[#This Row],[58F0]]</f>
        <v>0</v>
      </c>
      <c r="AA55">
        <f>DataLog_T717420_Aug11_4_59_37pm[[#This Row],[COOLANT TEMP '[Â°C']]]-Table3[[#This Row],[5805]]</f>
        <v>0</v>
      </c>
      <c r="AB55">
        <f>DataLog_T717420_Aug11_4_59_37pm[[#This Row],[BOOST '[BAR']]]-Table3[[#This Row],[58DD]]</f>
        <v>0</v>
      </c>
    </row>
    <row r="56" spans="2:28" x14ac:dyDescent="0.25">
      <c r="B56" s="2" t="s">
        <v>23</v>
      </c>
      <c r="C56" s="2" t="s">
        <v>30</v>
      </c>
      <c r="D56" s="2" t="s">
        <v>25</v>
      </c>
      <c r="E56" s="2" t="s">
        <v>29</v>
      </c>
      <c r="F56" s="2" t="s">
        <v>26</v>
      </c>
      <c r="G56" s="2" t="s">
        <v>27</v>
      </c>
      <c r="I56">
        <f>HEX2DEC(_0811_173439[[#This Row],[580C]])*B$4/B$5+B$6</f>
        <v>0</v>
      </c>
      <c r="J56">
        <f>HEX2DEC(_0811_173439[[#This Row],[4402]])*C$4/C$5+C$6</f>
        <v>36</v>
      </c>
      <c r="K56">
        <f>HEX2DEC(_0811_173439[[#This Row],[580F]])*D$4/D$5+D$6</f>
        <v>30.75</v>
      </c>
      <c r="L56">
        <f>ROUND(HEX2DEC(_0811_173439[[#This Row],[58F0]])*E$4/E$5+E$6,0)</f>
        <v>82</v>
      </c>
      <c r="M56">
        <f>ROUND(HEX2DEC(_0811_173439[[#This Row],[5805]])*F$4/F$5+F$6,0)</f>
        <v>42</v>
      </c>
      <c r="N56">
        <f>ROUND(HEX2DEC(_0811_173439[[#This Row],[58DD]])*G$4/G$5+G$6,2)</f>
        <v>-0.03</v>
      </c>
      <c r="P56">
        <v>0</v>
      </c>
      <c r="Q56">
        <v>36</v>
      </c>
      <c r="R56">
        <v>30.75</v>
      </c>
      <c r="S56">
        <v>82</v>
      </c>
      <c r="T56">
        <v>42</v>
      </c>
      <c r="U56">
        <v>-0.03</v>
      </c>
      <c r="W56">
        <f>DataLog_T717420_Aug11_4_59_37pm[[#This Row],[RPM '[1/MIN']]]-Table3[[#This Row],[580C]]</f>
        <v>0</v>
      </c>
      <c r="X56">
        <f>DataLog_T717420_Aug11_4_59_37pm[[#This Row],[OIL TEMP '[Â°C']]]-Table3[[#This Row],[4402]]</f>
        <v>0</v>
      </c>
      <c r="Y56">
        <f>DataLog_T717420_Aug11_4_59_37pm[[#This Row],[INTAKE TEMP '[Â°C']]]-Table3[[#This Row],[580F]]</f>
        <v>0</v>
      </c>
      <c r="Z56">
        <f>DataLog_T717420_Aug11_4_59_37pm[[#This Row],[HPFP PRES. '[BAR']]]-Table3[[#This Row],[58F0]]</f>
        <v>0</v>
      </c>
      <c r="AA56">
        <f>DataLog_T717420_Aug11_4_59_37pm[[#This Row],[COOLANT TEMP '[Â°C']]]-Table3[[#This Row],[5805]]</f>
        <v>0</v>
      </c>
      <c r="AB56">
        <f>DataLog_T717420_Aug11_4_59_37pm[[#This Row],[BOOST '[BAR']]]-Table3[[#This Row],[58DD]]</f>
        <v>0</v>
      </c>
    </row>
    <row r="57" spans="2:28" x14ac:dyDescent="0.25">
      <c r="B57" s="2" t="s">
        <v>23</v>
      </c>
      <c r="C57" s="2" t="s">
        <v>30</v>
      </c>
      <c r="D57" s="2" t="s">
        <v>25</v>
      </c>
      <c r="E57" s="2" t="s">
        <v>29</v>
      </c>
      <c r="F57" s="2" t="s">
        <v>26</v>
      </c>
      <c r="G57" s="2" t="s">
        <v>27</v>
      </c>
      <c r="I57">
        <f>HEX2DEC(_0811_173439[[#This Row],[580C]])*B$4/B$5+B$6</f>
        <v>0</v>
      </c>
      <c r="J57">
        <f>HEX2DEC(_0811_173439[[#This Row],[4402]])*C$4/C$5+C$6</f>
        <v>36</v>
      </c>
      <c r="K57">
        <f>HEX2DEC(_0811_173439[[#This Row],[580F]])*D$4/D$5+D$6</f>
        <v>30.75</v>
      </c>
      <c r="L57">
        <f>ROUND(HEX2DEC(_0811_173439[[#This Row],[58F0]])*E$4/E$5+E$6,0)</f>
        <v>82</v>
      </c>
      <c r="M57">
        <f>ROUND(HEX2DEC(_0811_173439[[#This Row],[5805]])*F$4/F$5+F$6,0)</f>
        <v>42</v>
      </c>
      <c r="N57">
        <f>ROUND(HEX2DEC(_0811_173439[[#This Row],[58DD]])*G$4/G$5+G$6,2)</f>
        <v>-0.03</v>
      </c>
      <c r="P57">
        <v>0</v>
      </c>
      <c r="Q57">
        <v>36</v>
      </c>
      <c r="R57">
        <v>30.75</v>
      </c>
      <c r="S57">
        <v>82</v>
      </c>
      <c r="T57">
        <v>42</v>
      </c>
      <c r="U57">
        <v>-0.03</v>
      </c>
      <c r="W57">
        <f>DataLog_T717420_Aug11_4_59_37pm[[#This Row],[RPM '[1/MIN']]]-Table3[[#This Row],[580C]]</f>
        <v>0</v>
      </c>
      <c r="X57">
        <f>DataLog_T717420_Aug11_4_59_37pm[[#This Row],[OIL TEMP '[Â°C']]]-Table3[[#This Row],[4402]]</f>
        <v>0</v>
      </c>
      <c r="Y57">
        <f>DataLog_T717420_Aug11_4_59_37pm[[#This Row],[INTAKE TEMP '[Â°C']]]-Table3[[#This Row],[580F]]</f>
        <v>0</v>
      </c>
      <c r="Z57">
        <f>DataLog_T717420_Aug11_4_59_37pm[[#This Row],[HPFP PRES. '[BAR']]]-Table3[[#This Row],[58F0]]</f>
        <v>0</v>
      </c>
      <c r="AA57">
        <f>DataLog_T717420_Aug11_4_59_37pm[[#This Row],[COOLANT TEMP '[Â°C']]]-Table3[[#This Row],[5805]]</f>
        <v>0</v>
      </c>
      <c r="AB57">
        <f>DataLog_T717420_Aug11_4_59_37pm[[#This Row],[BOOST '[BAR']]]-Table3[[#This Row],[58DD]]</f>
        <v>0</v>
      </c>
    </row>
    <row r="58" spans="2:28" x14ac:dyDescent="0.25">
      <c r="B58" s="2" t="s">
        <v>23</v>
      </c>
      <c r="C58" s="2" t="s">
        <v>30</v>
      </c>
      <c r="D58" s="2" t="s">
        <v>25</v>
      </c>
      <c r="E58" s="2" t="s">
        <v>29</v>
      </c>
      <c r="F58" s="2" t="s">
        <v>26</v>
      </c>
      <c r="G58" s="2" t="s">
        <v>27</v>
      </c>
      <c r="I58">
        <f>HEX2DEC(_0811_173439[[#This Row],[580C]])*B$4/B$5+B$6</f>
        <v>0</v>
      </c>
      <c r="J58">
        <f>HEX2DEC(_0811_173439[[#This Row],[4402]])*C$4/C$5+C$6</f>
        <v>36</v>
      </c>
      <c r="K58">
        <f>HEX2DEC(_0811_173439[[#This Row],[580F]])*D$4/D$5+D$6</f>
        <v>30.75</v>
      </c>
      <c r="L58">
        <f>ROUND(HEX2DEC(_0811_173439[[#This Row],[58F0]])*E$4/E$5+E$6,0)</f>
        <v>82</v>
      </c>
      <c r="M58">
        <f>ROUND(HEX2DEC(_0811_173439[[#This Row],[5805]])*F$4/F$5+F$6,0)</f>
        <v>42</v>
      </c>
      <c r="N58">
        <f>ROUND(HEX2DEC(_0811_173439[[#This Row],[58DD]])*G$4/G$5+G$6,2)</f>
        <v>-0.03</v>
      </c>
      <c r="P58">
        <v>0</v>
      </c>
      <c r="Q58">
        <v>36</v>
      </c>
      <c r="R58">
        <v>30.75</v>
      </c>
      <c r="S58">
        <v>82</v>
      </c>
      <c r="T58">
        <v>42</v>
      </c>
      <c r="U58">
        <v>-0.03</v>
      </c>
      <c r="W58">
        <f>DataLog_T717420_Aug11_4_59_37pm[[#This Row],[RPM '[1/MIN']]]-Table3[[#This Row],[580C]]</f>
        <v>0</v>
      </c>
      <c r="X58">
        <f>DataLog_T717420_Aug11_4_59_37pm[[#This Row],[OIL TEMP '[Â°C']]]-Table3[[#This Row],[4402]]</f>
        <v>0</v>
      </c>
      <c r="Y58">
        <f>DataLog_T717420_Aug11_4_59_37pm[[#This Row],[INTAKE TEMP '[Â°C']]]-Table3[[#This Row],[580F]]</f>
        <v>0</v>
      </c>
      <c r="Z58">
        <f>DataLog_T717420_Aug11_4_59_37pm[[#This Row],[HPFP PRES. '[BAR']]]-Table3[[#This Row],[58F0]]</f>
        <v>0</v>
      </c>
      <c r="AA58">
        <f>DataLog_T717420_Aug11_4_59_37pm[[#This Row],[COOLANT TEMP '[Â°C']]]-Table3[[#This Row],[5805]]</f>
        <v>0</v>
      </c>
      <c r="AB58">
        <f>DataLog_T717420_Aug11_4_59_37pm[[#This Row],[BOOST '[BAR']]]-Table3[[#This Row],[58DD]]</f>
        <v>0</v>
      </c>
    </row>
    <row r="59" spans="2:28" x14ac:dyDescent="0.25">
      <c r="B59" s="2" t="s">
        <v>23</v>
      </c>
      <c r="C59" s="2" t="s">
        <v>30</v>
      </c>
      <c r="D59" s="2" t="s">
        <v>25</v>
      </c>
      <c r="E59" s="2" t="s">
        <v>29</v>
      </c>
      <c r="F59" s="2" t="s">
        <v>26</v>
      </c>
      <c r="G59" s="2" t="s">
        <v>28</v>
      </c>
      <c r="I59">
        <f>HEX2DEC(_0811_173439[[#This Row],[580C]])*B$4/B$5+B$6</f>
        <v>0</v>
      </c>
      <c r="J59">
        <f>HEX2DEC(_0811_173439[[#This Row],[4402]])*C$4/C$5+C$6</f>
        <v>36</v>
      </c>
      <c r="K59">
        <f>HEX2DEC(_0811_173439[[#This Row],[580F]])*D$4/D$5+D$6</f>
        <v>30.75</v>
      </c>
      <c r="L59">
        <f>ROUND(HEX2DEC(_0811_173439[[#This Row],[58F0]])*E$4/E$5+E$6,0)</f>
        <v>82</v>
      </c>
      <c r="M59">
        <f>ROUND(HEX2DEC(_0811_173439[[#This Row],[5805]])*F$4/F$5+F$6,0)</f>
        <v>42</v>
      </c>
      <c r="N59">
        <f>ROUND(HEX2DEC(_0811_173439[[#This Row],[58DD]])*G$4/G$5+G$6,2)</f>
        <v>-0.02</v>
      </c>
      <c r="P59">
        <v>0</v>
      </c>
      <c r="Q59">
        <v>36</v>
      </c>
      <c r="R59">
        <v>30.75</v>
      </c>
      <c r="S59">
        <v>82</v>
      </c>
      <c r="T59">
        <v>42</v>
      </c>
      <c r="U59">
        <v>-0.02</v>
      </c>
      <c r="W59">
        <f>DataLog_T717420_Aug11_4_59_37pm[[#This Row],[RPM '[1/MIN']]]-Table3[[#This Row],[580C]]</f>
        <v>0</v>
      </c>
      <c r="X59">
        <f>DataLog_T717420_Aug11_4_59_37pm[[#This Row],[OIL TEMP '[Â°C']]]-Table3[[#This Row],[4402]]</f>
        <v>0</v>
      </c>
      <c r="Y59">
        <f>DataLog_T717420_Aug11_4_59_37pm[[#This Row],[INTAKE TEMP '[Â°C']]]-Table3[[#This Row],[580F]]</f>
        <v>0</v>
      </c>
      <c r="Z59">
        <f>DataLog_T717420_Aug11_4_59_37pm[[#This Row],[HPFP PRES. '[BAR']]]-Table3[[#This Row],[58F0]]</f>
        <v>0</v>
      </c>
      <c r="AA59">
        <f>DataLog_T717420_Aug11_4_59_37pm[[#This Row],[COOLANT TEMP '[Â°C']]]-Table3[[#This Row],[5805]]</f>
        <v>0</v>
      </c>
      <c r="AB59">
        <f>DataLog_T717420_Aug11_4_59_37pm[[#This Row],[BOOST '[BAR']]]-Table3[[#This Row],[58DD]]</f>
        <v>0</v>
      </c>
    </row>
    <row r="60" spans="2:28" x14ac:dyDescent="0.25">
      <c r="B60" s="2" t="s">
        <v>23</v>
      </c>
      <c r="C60" s="2" t="s">
        <v>30</v>
      </c>
      <c r="D60" s="2" t="s">
        <v>25</v>
      </c>
      <c r="E60" s="2" t="s">
        <v>29</v>
      </c>
      <c r="F60" s="2" t="s">
        <v>26</v>
      </c>
      <c r="G60" s="2" t="s">
        <v>28</v>
      </c>
      <c r="I60">
        <f>HEX2DEC(_0811_173439[[#This Row],[580C]])*B$4/B$5+B$6</f>
        <v>0</v>
      </c>
      <c r="J60">
        <f>HEX2DEC(_0811_173439[[#This Row],[4402]])*C$4/C$5+C$6</f>
        <v>36</v>
      </c>
      <c r="K60">
        <f>HEX2DEC(_0811_173439[[#This Row],[580F]])*D$4/D$5+D$6</f>
        <v>30.75</v>
      </c>
      <c r="L60">
        <f>ROUND(HEX2DEC(_0811_173439[[#This Row],[58F0]])*E$4/E$5+E$6,0)</f>
        <v>82</v>
      </c>
      <c r="M60">
        <f>ROUND(HEX2DEC(_0811_173439[[#This Row],[5805]])*F$4/F$5+F$6,0)</f>
        <v>42</v>
      </c>
      <c r="N60">
        <f>ROUND(HEX2DEC(_0811_173439[[#This Row],[58DD]])*G$4/G$5+G$6,2)</f>
        <v>-0.02</v>
      </c>
      <c r="P60">
        <v>0</v>
      </c>
      <c r="Q60">
        <v>36</v>
      </c>
      <c r="R60">
        <v>30.75</v>
      </c>
      <c r="S60">
        <v>82</v>
      </c>
      <c r="T60">
        <v>42</v>
      </c>
      <c r="U60">
        <v>-0.02</v>
      </c>
      <c r="W60">
        <f>DataLog_T717420_Aug11_4_59_37pm[[#This Row],[RPM '[1/MIN']]]-Table3[[#This Row],[580C]]</f>
        <v>0</v>
      </c>
      <c r="X60">
        <f>DataLog_T717420_Aug11_4_59_37pm[[#This Row],[OIL TEMP '[Â°C']]]-Table3[[#This Row],[4402]]</f>
        <v>0</v>
      </c>
      <c r="Y60">
        <f>DataLog_T717420_Aug11_4_59_37pm[[#This Row],[INTAKE TEMP '[Â°C']]]-Table3[[#This Row],[580F]]</f>
        <v>0</v>
      </c>
      <c r="Z60">
        <f>DataLog_T717420_Aug11_4_59_37pm[[#This Row],[HPFP PRES. '[BAR']]]-Table3[[#This Row],[58F0]]</f>
        <v>0</v>
      </c>
      <c r="AA60">
        <f>DataLog_T717420_Aug11_4_59_37pm[[#This Row],[COOLANT TEMP '[Â°C']]]-Table3[[#This Row],[5805]]</f>
        <v>0</v>
      </c>
      <c r="AB60">
        <f>DataLog_T717420_Aug11_4_59_37pm[[#This Row],[BOOST '[BAR']]]-Table3[[#This Row],[58DD]]</f>
        <v>0</v>
      </c>
    </row>
    <row r="61" spans="2:28" x14ac:dyDescent="0.25">
      <c r="B61" s="2" t="s">
        <v>23</v>
      </c>
      <c r="C61" s="2" t="s">
        <v>30</v>
      </c>
      <c r="D61" s="2" t="s">
        <v>25</v>
      </c>
      <c r="E61" s="2" t="s">
        <v>29</v>
      </c>
      <c r="F61" s="2" t="s">
        <v>26</v>
      </c>
      <c r="G61" s="2" t="s">
        <v>27</v>
      </c>
      <c r="I61">
        <f>HEX2DEC(_0811_173439[[#This Row],[580C]])*B$4/B$5+B$6</f>
        <v>0</v>
      </c>
      <c r="J61">
        <f>HEX2DEC(_0811_173439[[#This Row],[4402]])*C$4/C$5+C$6</f>
        <v>36</v>
      </c>
      <c r="K61">
        <f>HEX2DEC(_0811_173439[[#This Row],[580F]])*D$4/D$5+D$6</f>
        <v>30.75</v>
      </c>
      <c r="L61">
        <f>ROUND(HEX2DEC(_0811_173439[[#This Row],[58F0]])*E$4/E$5+E$6,0)</f>
        <v>82</v>
      </c>
      <c r="M61">
        <f>ROUND(HEX2DEC(_0811_173439[[#This Row],[5805]])*F$4/F$5+F$6,0)</f>
        <v>42</v>
      </c>
      <c r="N61">
        <f>ROUND(HEX2DEC(_0811_173439[[#This Row],[58DD]])*G$4/G$5+G$6,2)</f>
        <v>-0.03</v>
      </c>
      <c r="P61">
        <v>0</v>
      </c>
      <c r="Q61">
        <v>36</v>
      </c>
      <c r="R61">
        <v>30.75</v>
      </c>
      <c r="S61">
        <v>82</v>
      </c>
      <c r="T61">
        <v>42</v>
      </c>
      <c r="U61">
        <v>-0.03</v>
      </c>
      <c r="W61">
        <f>DataLog_T717420_Aug11_4_59_37pm[[#This Row],[RPM '[1/MIN']]]-Table3[[#This Row],[580C]]</f>
        <v>0</v>
      </c>
      <c r="X61">
        <f>DataLog_T717420_Aug11_4_59_37pm[[#This Row],[OIL TEMP '[Â°C']]]-Table3[[#This Row],[4402]]</f>
        <v>0</v>
      </c>
      <c r="Y61">
        <f>DataLog_T717420_Aug11_4_59_37pm[[#This Row],[INTAKE TEMP '[Â°C']]]-Table3[[#This Row],[580F]]</f>
        <v>0</v>
      </c>
      <c r="Z61">
        <f>DataLog_T717420_Aug11_4_59_37pm[[#This Row],[HPFP PRES. '[BAR']]]-Table3[[#This Row],[58F0]]</f>
        <v>0</v>
      </c>
      <c r="AA61">
        <f>DataLog_T717420_Aug11_4_59_37pm[[#This Row],[COOLANT TEMP '[Â°C']]]-Table3[[#This Row],[5805]]</f>
        <v>0</v>
      </c>
      <c r="AB61">
        <f>DataLog_T717420_Aug11_4_59_37pm[[#This Row],[BOOST '[BAR']]]-Table3[[#This Row],[58DD]]</f>
        <v>0</v>
      </c>
    </row>
    <row r="62" spans="2:28" x14ac:dyDescent="0.25">
      <c r="B62" s="2" t="s">
        <v>23</v>
      </c>
      <c r="C62" s="2" t="s">
        <v>30</v>
      </c>
      <c r="D62" s="2" t="s">
        <v>25</v>
      </c>
      <c r="E62" s="2" t="s">
        <v>29</v>
      </c>
      <c r="F62" s="2" t="s">
        <v>26</v>
      </c>
      <c r="G62" s="2" t="s">
        <v>27</v>
      </c>
      <c r="I62">
        <f>HEX2DEC(_0811_173439[[#This Row],[580C]])*B$4/B$5+B$6</f>
        <v>0</v>
      </c>
      <c r="J62">
        <f>HEX2DEC(_0811_173439[[#This Row],[4402]])*C$4/C$5+C$6</f>
        <v>36</v>
      </c>
      <c r="K62">
        <f>HEX2DEC(_0811_173439[[#This Row],[580F]])*D$4/D$5+D$6</f>
        <v>30.75</v>
      </c>
      <c r="L62">
        <f>ROUND(HEX2DEC(_0811_173439[[#This Row],[58F0]])*E$4/E$5+E$6,0)</f>
        <v>82</v>
      </c>
      <c r="M62">
        <f>ROUND(HEX2DEC(_0811_173439[[#This Row],[5805]])*F$4/F$5+F$6,0)</f>
        <v>42</v>
      </c>
      <c r="N62">
        <f>ROUND(HEX2DEC(_0811_173439[[#This Row],[58DD]])*G$4/G$5+G$6,2)</f>
        <v>-0.03</v>
      </c>
      <c r="P62">
        <v>0</v>
      </c>
      <c r="Q62">
        <v>36</v>
      </c>
      <c r="R62">
        <v>30.75</v>
      </c>
      <c r="S62">
        <v>82</v>
      </c>
      <c r="T62">
        <v>42</v>
      </c>
      <c r="U62">
        <v>-0.03</v>
      </c>
      <c r="W62">
        <f>DataLog_T717420_Aug11_4_59_37pm[[#This Row],[RPM '[1/MIN']]]-Table3[[#This Row],[580C]]</f>
        <v>0</v>
      </c>
      <c r="X62">
        <f>DataLog_T717420_Aug11_4_59_37pm[[#This Row],[OIL TEMP '[Â°C']]]-Table3[[#This Row],[4402]]</f>
        <v>0</v>
      </c>
      <c r="Y62">
        <f>DataLog_T717420_Aug11_4_59_37pm[[#This Row],[INTAKE TEMP '[Â°C']]]-Table3[[#This Row],[580F]]</f>
        <v>0</v>
      </c>
      <c r="Z62">
        <f>DataLog_T717420_Aug11_4_59_37pm[[#This Row],[HPFP PRES. '[BAR']]]-Table3[[#This Row],[58F0]]</f>
        <v>0</v>
      </c>
      <c r="AA62">
        <f>DataLog_T717420_Aug11_4_59_37pm[[#This Row],[COOLANT TEMP '[Â°C']]]-Table3[[#This Row],[5805]]</f>
        <v>0</v>
      </c>
      <c r="AB62">
        <f>DataLog_T717420_Aug11_4_59_37pm[[#This Row],[BOOST '[BAR']]]-Table3[[#This Row],[58DD]]</f>
        <v>0</v>
      </c>
    </row>
    <row r="63" spans="2:28" x14ac:dyDescent="0.25">
      <c r="B63" s="2" t="s">
        <v>23</v>
      </c>
      <c r="C63" s="2" t="s">
        <v>30</v>
      </c>
      <c r="D63" s="2" t="s">
        <v>25</v>
      </c>
      <c r="E63" s="2" t="s">
        <v>29</v>
      </c>
      <c r="F63" s="2" t="s">
        <v>26</v>
      </c>
      <c r="G63" s="2" t="s">
        <v>27</v>
      </c>
      <c r="I63">
        <f>HEX2DEC(_0811_173439[[#This Row],[580C]])*B$4/B$5+B$6</f>
        <v>0</v>
      </c>
      <c r="J63">
        <f>HEX2DEC(_0811_173439[[#This Row],[4402]])*C$4/C$5+C$6</f>
        <v>36</v>
      </c>
      <c r="K63">
        <f>HEX2DEC(_0811_173439[[#This Row],[580F]])*D$4/D$5+D$6</f>
        <v>30.75</v>
      </c>
      <c r="L63">
        <f>ROUND(HEX2DEC(_0811_173439[[#This Row],[58F0]])*E$4/E$5+E$6,0)</f>
        <v>82</v>
      </c>
      <c r="M63">
        <f>ROUND(HEX2DEC(_0811_173439[[#This Row],[5805]])*F$4/F$5+F$6,0)</f>
        <v>42</v>
      </c>
      <c r="N63">
        <f>ROUND(HEX2DEC(_0811_173439[[#This Row],[58DD]])*G$4/G$5+G$6,2)</f>
        <v>-0.03</v>
      </c>
      <c r="P63">
        <v>0</v>
      </c>
      <c r="Q63">
        <v>36</v>
      </c>
      <c r="R63">
        <v>30.75</v>
      </c>
      <c r="S63">
        <v>82</v>
      </c>
      <c r="T63">
        <v>42</v>
      </c>
      <c r="U63">
        <v>-0.03</v>
      </c>
      <c r="W63">
        <f>DataLog_T717420_Aug11_4_59_37pm[[#This Row],[RPM '[1/MIN']]]-Table3[[#This Row],[580C]]</f>
        <v>0</v>
      </c>
      <c r="X63">
        <f>DataLog_T717420_Aug11_4_59_37pm[[#This Row],[OIL TEMP '[Â°C']]]-Table3[[#This Row],[4402]]</f>
        <v>0</v>
      </c>
      <c r="Y63">
        <f>DataLog_T717420_Aug11_4_59_37pm[[#This Row],[INTAKE TEMP '[Â°C']]]-Table3[[#This Row],[580F]]</f>
        <v>0</v>
      </c>
      <c r="Z63">
        <f>DataLog_T717420_Aug11_4_59_37pm[[#This Row],[HPFP PRES. '[BAR']]]-Table3[[#This Row],[58F0]]</f>
        <v>0</v>
      </c>
      <c r="AA63">
        <f>DataLog_T717420_Aug11_4_59_37pm[[#This Row],[COOLANT TEMP '[Â°C']]]-Table3[[#This Row],[5805]]</f>
        <v>0</v>
      </c>
      <c r="AB63">
        <f>DataLog_T717420_Aug11_4_59_37pm[[#This Row],[BOOST '[BAR']]]-Table3[[#This Row],[58DD]]</f>
        <v>0</v>
      </c>
    </row>
    <row r="64" spans="2:28" x14ac:dyDescent="0.25">
      <c r="B64" s="2" t="s">
        <v>23</v>
      </c>
      <c r="C64" s="2" t="s">
        <v>30</v>
      </c>
      <c r="D64" s="2" t="s">
        <v>25</v>
      </c>
      <c r="E64" s="2" t="s">
        <v>29</v>
      </c>
      <c r="F64" s="2" t="s">
        <v>26</v>
      </c>
      <c r="G64" s="2" t="s">
        <v>28</v>
      </c>
      <c r="I64">
        <f>HEX2DEC(_0811_173439[[#This Row],[580C]])*B$4/B$5+B$6</f>
        <v>0</v>
      </c>
      <c r="J64">
        <f>HEX2DEC(_0811_173439[[#This Row],[4402]])*C$4/C$5+C$6</f>
        <v>36</v>
      </c>
      <c r="K64">
        <f>HEX2DEC(_0811_173439[[#This Row],[580F]])*D$4/D$5+D$6</f>
        <v>30.75</v>
      </c>
      <c r="L64">
        <f>ROUND(HEX2DEC(_0811_173439[[#This Row],[58F0]])*E$4/E$5+E$6,0)</f>
        <v>82</v>
      </c>
      <c r="M64">
        <f>ROUND(HEX2DEC(_0811_173439[[#This Row],[5805]])*F$4/F$5+F$6,0)</f>
        <v>42</v>
      </c>
      <c r="N64">
        <f>ROUND(HEX2DEC(_0811_173439[[#This Row],[58DD]])*G$4/G$5+G$6,2)</f>
        <v>-0.02</v>
      </c>
      <c r="P64">
        <v>0</v>
      </c>
      <c r="Q64">
        <v>36</v>
      </c>
      <c r="R64">
        <v>30.75</v>
      </c>
      <c r="S64">
        <v>82</v>
      </c>
      <c r="T64">
        <v>42</v>
      </c>
      <c r="U64">
        <v>-0.02</v>
      </c>
      <c r="W64">
        <f>DataLog_T717420_Aug11_4_59_37pm[[#This Row],[RPM '[1/MIN']]]-Table3[[#This Row],[580C]]</f>
        <v>0</v>
      </c>
      <c r="X64">
        <f>DataLog_T717420_Aug11_4_59_37pm[[#This Row],[OIL TEMP '[Â°C']]]-Table3[[#This Row],[4402]]</f>
        <v>0</v>
      </c>
      <c r="Y64">
        <f>DataLog_T717420_Aug11_4_59_37pm[[#This Row],[INTAKE TEMP '[Â°C']]]-Table3[[#This Row],[580F]]</f>
        <v>0</v>
      </c>
      <c r="Z64">
        <f>DataLog_T717420_Aug11_4_59_37pm[[#This Row],[HPFP PRES. '[BAR']]]-Table3[[#This Row],[58F0]]</f>
        <v>0</v>
      </c>
      <c r="AA64">
        <f>DataLog_T717420_Aug11_4_59_37pm[[#This Row],[COOLANT TEMP '[Â°C']]]-Table3[[#This Row],[5805]]</f>
        <v>0</v>
      </c>
      <c r="AB64">
        <f>DataLog_T717420_Aug11_4_59_37pm[[#This Row],[BOOST '[BAR']]]-Table3[[#This Row],[58DD]]</f>
        <v>0</v>
      </c>
    </row>
    <row r="65" spans="2:28" x14ac:dyDescent="0.25">
      <c r="B65" s="2" t="s">
        <v>23</v>
      </c>
      <c r="C65" s="2" t="s">
        <v>30</v>
      </c>
      <c r="D65" s="2" t="s">
        <v>25</v>
      </c>
      <c r="E65" s="2" t="s">
        <v>29</v>
      </c>
      <c r="F65" s="2" t="s">
        <v>26</v>
      </c>
      <c r="G65" s="2" t="s">
        <v>28</v>
      </c>
      <c r="I65">
        <f>HEX2DEC(_0811_173439[[#This Row],[580C]])*B$4/B$5+B$6</f>
        <v>0</v>
      </c>
      <c r="J65">
        <f>HEX2DEC(_0811_173439[[#This Row],[4402]])*C$4/C$5+C$6</f>
        <v>36</v>
      </c>
      <c r="K65">
        <f>HEX2DEC(_0811_173439[[#This Row],[580F]])*D$4/D$5+D$6</f>
        <v>30.75</v>
      </c>
      <c r="L65">
        <f>ROUND(HEX2DEC(_0811_173439[[#This Row],[58F0]])*E$4/E$5+E$6,0)</f>
        <v>82</v>
      </c>
      <c r="M65">
        <f>ROUND(HEX2DEC(_0811_173439[[#This Row],[5805]])*F$4/F$5+F$6,0)</f>
        <v>42</v>
      </c>
      <c r="N65">
        <f>ROUND(HEX2DEC(_0811_173439[[#This Row],[58DD]])*G$4/G$5+G$6,2)</f>
        <v>-0.02</v>
      </c>
      <c r="P65">
        <v>0</v>
      </c>
      <c r="Q65">
        <v>36</v>
      </c>
      <c r="R65">
        <v>30.75</v>
      </c>
      <c r="S65">
        <v>82</v>
      </c>
      <c r="T65">
        <v>42</v>
      </c>
      <c r="U65">
        <v>-0.02</v>
      </c>
      <c r="W65">
        <f>DataLog_T717420_Aug11_4_59_37pm[[#This Row],[RPM '[1/MIN']]]-Table3[[#This Row],[580C]]</f>
        <v>0</v>
      </c>
      <c r="X65">
        <f>DataLog_T717420_Aug11_4_59_37pm[[#This Row],[OIL TEMP '[Â°C']]]-Table3[[#This Row],[4402]]</f>
        <v>0</v>
      </c>
      <c r="Y65">
        <f>DataLog_T717420_Aug11_4_59_37pm[[#This Row],[INTAKE TEMP '[Â°C']]]-Table3[[#This Row],[580F]]</f>
        <v>0</v>
      </c>
      <c r="Z65">
        <f>DataLog_T717420_Aug11_4_59_37pm[[#This Row],[HPFP PRES. '[BAR']]]-Table3[[#This Row],[58F0]]</f>
        <v>0</v>
      </c>
      <c r="AA65">
        <f>DataLog_T717420_Aug11_4_59_37pm[[#This Row],[COOLANT TEMP '[Â°C']]]-Table3[[#This Row],[5805]]</f>
        <v>0</v>
      </c>
      <c r="AB65">
        <f>DataLog_T717420_Aug11_4_59_37pm[[#This Row],[BOOST '[BAR']]]-Table3[[#This Row],[58DD]]</f>
        <v>0</v>
      </c>
    </row>
    <row r="66" spans="2:28" x14ac:dyDescent="0.25">
      <c r="B66" s="2" t="s">
        <v>23</v>
      </c>
      <c r="C66" s="2" t="s">
        <v>30</v>
      </c>
      <c r="D66" s="2" t="s">
        <v>25</v>
      </c>
      <c r="E66" s="2" t="s">
        <v>29</v>
      </c>
      <c r="F66" s="2" t="s">
        <v>26</v>
      </c>
      <c r="G66" s="2" t="s">
        <v>28</v>
      </c>
      <c r="I66">
        <f>HEX2DEC(_0811_173439[[#This Row],[580C]])*B$4/B$5+B$6</f>
        <v>0</v>
      </c>
      <c r="J66">
        <f>HEX2DEC(_0811_173439[[#This Row],[4402]])*C$4/C$5+C$6</f>
        <v>36</v>
      </c>
      <c r="K66">
        <f>HEX2DEC(_0811_173439[[#This Row],[580F]])*D$4/D$5+D$6</f>
        <v>30.75</v>
      </c>
      <c r="L66">
        <f>ROUND(HEX2DEC(_0811_173439[[#This Row],[58F0]])*E$4/E$5+E$6,0)</f>
        <v>82</v>
      </c>
      <c r="M66">
        <f>ROUND(HEX2DEC(_0811_173439[[#This Row],[5805]])*F$4/F$5+F$6,0)</f>
        <v>42</v>
      </c>
      <c r="N66">
        <f>ROUND(HEX2DEC(_0811_173439[[#This Row],[58DD]])*G$4/G$5+G$6,2)</f>
        <v>-0.02</v>
      </c>
      <c r="P66">
        <v>0</v>
      </c>
      <c r="Q66">
        <v>36</v>
      </c>
      <c r="R66">
        <v>30.75</v>
      </c>
      <c r="S66">
        <v>82</v>
      </c>
      <c r="T66">
        <v>42</v>
      </c>
      <c r="U66">
        <v>-0.02</v>
      </c>
      <c r="W66">
        <f>DataLog_T717420_Aug11_4_59_37pm[[#This Row],[RPM '[1/MIN']]]-Table3[[#This Row],[580C]]</f>
        <v>0</v>
      </c>
      <c r="X66">
        <f>DataLog_T717420_Aug11_4_59_37pm[[#This Row],[OIL TEMP '[Â°C']]]-Table3[[#This Row],[4402]]</f>
        <v>0</v>
      </c>
      <c r="Y66">
        <f>DataLog_T717420_Aug11_4_59_37pm[[#This Row],[INTAKE TEMP '[Â°C']]]-Table3[[#This Row],[580F]]</f>
        <v>0</v>
      </c>
      <c r="Z66">
        <f>DataLog_T717420_Aug11_4_59_37pm[[#This Row],[HPFP PRES. '[BAR']]]-Table3[[#This Row],[58F0]]</f>
        <v>0</v>
      </c>
      <c r="AA66">
        <f>DataLog_T717420_Aug11_4_59_37pm[[#This Row],[COOLANT TEMP '[Â°C']]]-Table3[[#This Row],[5805]]</f>
        <v>0</v>
      </c>
      <c r="AB66">
        <f>DataLog_T717420_Aug11_4_59_37pm[[#This Row],[BOOST '[BAR']]]-Table3[[#This Row],[58DD]]</f>
        <v>0</v>
      </c>
    </row>
    <row r="67" spans="2:28" x14ac:dyDescent="0.25">
      <c r="B67" s="2" t="s">
        <v>23</v>
      </c>
      <c r="C67" s="2" t="s">
        <v>30</v>
      </c>
      <c r="D67" s="2" t="s">
        <v>25</v>
      </c>
      <c r="E67" s="2" t="s">
        <v>29</v>
      </c>
      <c r="F67" s="2" t="s">
        <v>26</v>
      </c>
      <c r="G67" s="2" t="s">
        <v>27</v>
      </c>
      <c r="I67">
        <f>HEX2DEC(_0811_173439[[#This Row],[580C]])*B$4/B$5+B$6</f>
        <v>0</v>
      </c>
      <c r="J67">
        <f>HEX2DEC(_0811_173439[[#This Row],[4402]])*C$4/C$5+C$6</f>
        <v>36</v>
      </c>
      <c r="K67">
        <f>HEX2DEC(_0811_173439[[#This Row],[580F]])*D$4/D$5+D$6</f>
        <v>30.75</v>
      </c>
      <c r="L67">
        <f>ROUND(HEX2DEC(_0811_173439[[#This Row],[58F0]])*E$4/E$5+E$6,0)</f>
        <v>82</v>
      </c>
      <c r="M67">
        <f>ROUND(HEX2DEC(_0811_173439[[#This Row],[5805]])*F$4/F$5+F$6,0)</f>
        <v>42</v>
      </c>
      <c r="N67">
        <f>ROUND(HEX2DEC(_0811_173439[[#This Row],[58DD]])*G$4/G$5+G$6,2)</f>
        <v>-0.03</v>
      </c>
      <c r="P67">
        <v>0</v>
      </c>
      <c r="Q67">
        <v>36</v>
      </c>
      <c r="R67">
        <v>30.75</v>
      </c>
      <c r="S67">
        <v>82</v>
      </c>
      <c r="T67">
        <v>42</v>
      </c>
      <c r="U67">
        <v>-0.03</v>
      </c>
      <c r="W67">
        <f>DataLog_T717420_Aug11_4_59_37pm[[#This Row],[RPM '[1/MIN']]]-Table3[[#This Row],[580C]]</f>
        <v>0</v>
      </c>
      <c r="X67">
        <f>DataLog_T717420_Aug11_4_59_37pm[[#This Row],[OIL TEMP '[Â°C']]]-Table3[[#This Row],[4402]]</f>
        <v>0</v>
      </c>
      <c r="Y67">
        <f>DataLog_T717420_Aug11_4_59_37pm[[#This Row],[INTAKE TEMP '[Â°C']]]-Table3[[#This Row],[580F]]</f>
        <v>0</v>
      </c>
      <c r="Z67">
        <f>DataLog_T717420_Aug11_4_59_37pm[[#This Row],[HPFP PRES. '[BAR']]]-Table3[[#This Row],[58F0]]</f>
        <v>0</v>
      </c>
      <c r="AA67">
        <f>DataLog_T717420_Aug11_4_59_37pm[[#This Row],[COOLANT TEMP '[Â°C']]]-Table3[[#This Row],[5805]]</f>
        <v>0</v>
      </c>
      <c r="AB67">
        <f>DataLog_T717420_Aug11_4_59_37pm[[#This Row],[BOOST '[BAR']]]-Table3[[#This Row],[58DD]]</f>
        <v>0</v>
      </c>
    </row>
    <row r="68" spans="2:28" x14ac:dyDescent="0.25">
      <c r="B68" s="2" t="s">
        <v>23</v>
      </c>
      <c r="C68" s="2" t="s">
        <v>30</v>
      </c>
      <c r="D68" s="2" t="s">
        <v>25</v>
      </c>
      <c r="E68" s="2" t="s">
        <v>29</v>
      </c>
      <c r="F68" s="2" t="s">
        <v>26</v>
      </c>
      <c r="G68" s="2" t="s">
        <v>28</v>
      </c>
      <c r="I68">
        <f>HEX2DEC(_0811_173439[[#This Row],[580C]])*B$4/B$5+B$6</f>
        <v>0</v>
      </c>
      <c r="J68">
        <f>HEX2DEC(_0811_173439[[#This Row],[4402]])*C$4/C$5+C$6</f>
        <v>36</v>
      </c>
      <c r="K68">
        <f>HEX2DEC(_0811_173439[[#This Row],[580F]])*D$4/D$5+D$6</f>
        <v>30.75</v>
      </c>
      <c r="L68">
        <f>ROUND(HEX2DEC(_0811_173439[[#This Row],[58F0]])*E$4/E$5+E$6,0)</f>
        <v>82</v>
      </c>
      <c r="M68">
        <f>ROUND(HEX2DEC(_0811_173439[[#This Row],[5805]])*F$4/F$5+F$6,0)</f>
        <v>42</v>
      </c>
      <c r="N68">
        <f>ROUND(HEX2DEC(_0811_173439[[#This Row],[58DD]])*G$4/G$5+G$6,2)</f>
        <v>-0.02</v>
      </c>
      <c r="P68">
        <v>0</v>
      </c>
      <c r="Q68">
        <v>36</v>
      </c>
      <c r="R68">
        <v>30.75</v>
      </c>
      <c r="S68">
        <v>82</v>
      </c>
      <c r="T68">
        <v>42</v>
      </c>
      <c r="U68">
        <v>-0.02</v>
      </c>
      <c r="W68">
        <f>DataLog_T717420_Aug11_4_59_37pm[[#This Row],[RPM '[1/MIN']]]-Table3[[#This Row],[580C]]</f>
        <v>0</v>
      </c>
      <c r="X68">
        <f>DataLog_T717420_Aug11_4_59_37pm[[#This Row],[OIL TEMP '[Â°C']]]-Table3[[#This Row],[4402]]</f>
        <v>0</v>
      </c>
      <c r="Y68">
        <f>DataLog_T717420_Aug11_4_59_37pm[[#This Row],[INTAKE TEMP '[Â°C']]]-Table3[[#This Row],[580F]]</f>
        <v>0</v>
      </c>
      <c r="Z68">
        <f>DataLog_T717420_Aug11_4_59_37pm[[#This Row],[HPFP PRES. '[BAR']]]-Table3[[#This Row],[58F0]]</f>
        <v>0</v>
      </c>
      <c r="AA68">
        <f>DataLog_T717420_Aug11_4_59_37pm[[#This Row],[COOLANT TEMP '[Â°C']]]-Table3[[#This Row],[5805]]</f>
        <v>0</v>
      </c>
      <c r="AB68">
        <f>DataLog_T717420_Aug11_4_59_37pm[[#This Row],[BOOST '[BAR']]]-Table3[[#This Row],[58DD]]</f>
        <v>0</v>
      </c>
    </row>
    <row r="69" spans="2:28" x14ac:dyDescent="0.25">
      <c r="B69" s="2" t="s">
        <v>23</v>
      </c>
      <c r="C69" s="2" t="s">
        <v>30</v>
      </c>
      <c r="D69" s="2" t="s">
        <v>25</v>
      </c>
      <c r="E69" s="2" t="s">
        <v>31</v>
      </c>
      <c r="F69" s="2" t="s">
        <v>26</v>
      </c>
      <c r="G69" s="2" t="s">
        <v>27</v>
      </c>
      <c r="I69">
        <f>HEX2DEC(_0811_173439[[#This Row],[580C]])*B$4/B$5+B$6</f>
        <v>0</v>
      </c>
      <c r="J69">
        <f>HEX2DEC(_0811_173439[[#This Row],[4402]])*C$4/C$5+C$6</f>
        <v>36</v>
      </c>
      <c r="K69">
        <f>HEX2DEC(_0811_173439[[#This Row],[580F]])*D$4/D$5+D$6</f>
        <v>30.75</v>
      </c>
      <c r="L69">
        <f>ROUND(HEX2DEC(_0811_173439[[#This Row],[58F0]])*E$4/E$5+E$6,0)</f>
        <v>82</v>
      </c>
      <c r="M69">
        <f>ROUND(HEX2DEC(_0811_173439[[#This Row],[5805]])*F$4/F$5+F$6,0)</f>
        <v>42</v>
      </c>
      <c r="N69">
        <f>ROUND(HEX2DEC(_0811_173439[[#This Row],[58DD]])*G$4/G$5+G$6,2)</f>
        <v>-0.03</v>
      </c>
      <c r="P69">
        <v>0</v>
      </c>
      <c r="Q69">
        <v>36</v>
      </c>
      <c r="R69">
        <v>30.75</v>
      </c>
      <c r="S69">
        <v>82</v>
      </c>
      <c r="T69">
        <v>42</v>
      </c>
      <c r="U69">
        <v>-0.03</v>
      </c>
      <c r="W69">
        <f>DataLog_T717420_Aug11_4_59_37pm[[#This Row],[RPM '[1/MIN']]]-Table3[[#This Row],[580C]]</f>
        <v>0</v>
      </c>
      <c r="X69">
        <f>DataLog_T717420_Aug11_4_59_37pm[[#This Row],[OIL TEMP '[Â°C']]]-Table3[[#This Row],[4402]]</f>
        <v>0</v>
      </c>
      <c r="Y69">
        <f>DataLog_T717420_Aug11_4_59_37pm[[#This Row],[INTAKE TEMP '[Â°C']]]-Table3[[#This Row],[580F]]</f>
        <v>0</v>
      </c>
      <c r="Z69">
        <f>DataLog_T717420_Aug11_4_59_37pm[[#This Row],[HPFP PRES. '[BAR']]]-Table3[[#This Row],[58F0]]</f>
        <v>0</v>
      </c>
      <c r="AA69">
        <f>DataLog_T717420_Aug11_4_59_37pm[[#This Row],[COOLANT TEMP '[Â°C']]]-Table3[[#This Row],[5805]]</f>
        <v>0</v>
      </c>
      <c r="AB69">
        <f>DataLog_T717420_Aug11_4_59_37pm[[#This Row],[BOOST '[BAR']]]-Table3[[#This Row],[58DD]]</f>
        <v>0</v>
      </c>
    </row>
    <row r="70" spans="2:28" x14ac:dyDescent="0.25">
      <c r="B70" s="2" t="s">
        <v>23</v>
      </c>
      <c r="C70" s="2" t="s">
        <v>30</v>
      </c>
      <c r="D70" s="2" t="s">
        <v>25</v>
      </c>
      <c r="E70" s="2" t="s">
        <v>29</v>
      </c>
      <c r="F70" s="2" t="s">
        <v>26</v>
      </c>
      <c r="G70" s="2" t="s">
        <v>28</v>
      </c>
      <c r="I70">
        <f>HEX2DEC(_0811_173439[[#This Row],[580C]])*B$4/B$5+B$6</f>
        <v>0</v>
      </c>
      <c r="J70">
        <f>HEX2DEC(_0811_173439[[#This Row],[4402]])*C$4/C$5+C$6</f>
        <v>36</v>
      </c>
      <c r="K70">
        <f>HEX2DEC(_0811_173439[[#This Row],[580F]])*D$4/D$5+D$6</f>
        <v>30.75</v>
      </c>
      <c r="L70">
        <f>ROUND(HEX2DEC(_0811_173439[[#This Row],[58F0]])*E$4/E$5+E$6,0)</f>
        <v>82</v>
      </c>
      <c r="M70">
        <f>ROUND(HEX2DEC(_0811_173439[[#This Row],[5805]])*F$4/F$5+F$6,0)</f>
        <v>42</v>
      </c>
      <c r="N70">
        <f>ROUND(HEX2DEC(_0811_173439[[#This Row],[58DD]])*G$4/G$5+G$6,2)</f>
        <v>-0.02</v>
      </c>
      <c r="P70">
        <v>0</v>
      </c>
      <c r="Q70">
        <v>36</v>
      </c>
      <c r="R70">
        <v>30.75</v>
      </c>
      <c r="S70">
        <v>82</v>
      </c>
      <c r="T70">
        <v>42</v>
      </c>
      <c r="U70">
        <v>-0.02</v>
      </c>
      <c r="W70">
        <f>DataLog_T717420_Aug11_4_59_37pm[[#This Row],[RPM '[1/MIN']]]-Table3[[#This Row],[580C]]</f>
        <v>0</v>
      </c>
      <c r="X70">
        <f>DataLog_T717420_Aug11_4_59_37pm[[#This Row],[OIL TEMP '[Â°C']]]-Table3[[#This Row],[4402]]</f>
        <v>0</v>
      </c>
      <c r="Y70">
        <f>DataLog_T717420_Aug11_4_59_37pm[[#This Row],[INTAKE TEMP '[Â°C']]]-Table3[[#This Row],[580F]]</f>
        <v>0</v>
      </c>
      <c r="Z70">
        <f>DataLog_T717420_Aug11_4_59_37pm[[#This Row],[HPFP PRES. '[BAR']]]-Table3[[#This Row],[58F0]]</f>
        <v>0</v>
      </c>
      <c r="AA70">
        <f>DataLog_T717420_Aug11_4_59_37pm[[#This Row],[COOLANT TEMP '[Â°C']]]-Table3[[#This Row],[5805]]</f>
        <v>0</v>
      </c>
      <c r="AB70">
        <f>DataLog_T717420_Aug11_4_59_37pm[[#This Row],[BOOST '[BAR']]]-Table3[[#This Row],[58DD]]</f>
        <v>0</v>
      </c>
    </row>
    <row r="71" spans="2:28" x14ac:dyDescent="0.25">
      <c r="B71" s="2" t="s">
        <v>23</v>
      </c>
      <c r="C71" s="2" t="s">
        <v>30</v>
      </c>
      <c r="D71" s="2" t="s">
        <v>25</v>
      </c>
      <c r="E71" s="2" t="s">
        <v>29</v>
      </c>
      <c r="F71" s="2" t="s">
        <v>26</v>
      </c>
      <c r="G71" s="2" t="s">
        <v>28</v>
      </c>
      <c r="I71">
        <f>HEX2DEC(_0811_173439[[#This Row],[580C]])*B$4/B$5+B$6</f>
        <v>0</v>
      </c>
      <c r="J71">
        <f>HEX2DEC(_0811_173439[[#This Row],[4402]])*C$4/C$5+C$6</f>
        <v>36</v>
      </c>
      <c r="K71">
        <f>HEX2DEC(_0811_173439[[#This Row],[580F]])*D$4/D$5+D$6</f>
        <v>30.75</v>
      </c>
      <c r="L71">
        <f>ROUND(HEX2DEC(_0811_173439[[#This Row],[58F0]])*E$4/E$5+E$6,0)</f>
        <v>82</v>
      </c>
      <c r="M71">
        <f>ROUND(HEX2DEC(_0811_173439[[#This Row],[5805]])*F$4/F$5+F$6,0)</f>
        <v>42</v>
      </c>
      <c r="N71">
        <f>ROUND(HEX2DEC(_0811_173439[[#This Row],[58DD]])*G$4/G$5+G$6,2)</f>
        <v>-0.02</v>
      </c>
      <c r="P71">
        <v>0</v>
      </c>
      <c r="Q71">
        <v>36</v>
      </c>
      <c r="R71">
        <v>30.75</v>
      </c>
      <c r="S71">
        <v>82</v>
      </c>
      <c r="T71">
        <v>42</v>
      </c>
      <c r="U71">
        <v>-0.02</v>
      </c>
      <c r="W71">
        <f>DataLog_T717420_Aug11_4_59_37pm[[#This Row],[RPM '[1/MIN']]]-Table3[[#This Row],[580C]]</f>
        <v>0</v>
      </c>
      <c r="X71">
        <f>DataLog_T717420_Aug11_4_59_37pm[[#This Row],[OIL TEMP '[Â°C']]]-Table3[[#This Row],[4402]]</f>
        <v>0</v>
      </c>
      <c r="Y71">
        <f>DataLog_T717420_Aug11_4_59_37pm[[#This Row],[INTAKE TEMP '[Â°C']]]-Table3[[#This Row],[580F]]</f>
        <v>0</v>
      </c>
      <c r="Z71">
        <f>DataLog_T717420_Aug11_4_59_37pm[[#This Row],[HPFP PRES. '[BAR']]]-Table3[[#This Row],[58F0]]</f>
        <v>0</v>
      </c>
      <c r="AA71">
        <f>DataLog_T717420_Aug11_4_59_37pm[[#This Row],[COOLANT TEMP '[Â°C']]]-Table3[[#This Row],[5805]]</f>
        <v>0</v>
      </c>
      <c r="AB71">
        <f>DataLog_T717420_Aug11_4_59_37pm[[#This Row],[BOOST '[BAR']]]-Table3[[#This Row],[58DD]]</f>
        <v>0</v>
      </c>
    </row>
    <row r="72" spans="2:28" x14ac:dyDescent="0.25">
      <c r="B72" s="2" t="s">
        <v>23</v>
      </c>
      <c r="C72" s="2" t="s">
        <v>30</v>
      </c>
      <c r="D72" s="2" t="s">
        <v>25</v>
      </c>
      <c r="E72" s="2" t="s">
        <v>29</v>
      </c>
      <c r="F72" s="2" t="s">
        <v>26</v>
      </c>
      <c r="G72" s="2" t="s">
        <v>27</v>
      </c>
      <c r="I72">
        <f>HEX2DEC(_0811_173439[[#This Row],[580C]])*B$4/B$5+B$6</f>
        <v>0</v>
      </c>
      <c r="J72">
        <f>HEX2DEC(_0811_173439[[#This Row],[4402]])*C$4/C$5+C$6</f>
        <v>36</v>
      </c>
      <c r="K72">
        <f>HEX2DEC(_0811_173439[[#This Row],[580F]])*D$4/D$5+D$6</f>
        <v>30.75</v>
      </c>
      <c r="L72">
        <f>ROUND(HEX2DEC(_0811_173439[[#This Row],[58F0]])*E$4/E$5+E$6,0)</f>
        <v>82</v>
      </c>
      <c r="M72">
        <f>ROUND(HEX2DEC(_0811_173439[[#This Row],[5805]])*F$4/F$5+F$6,0)</f>
        <v>42</v>
      </c>
      <c r="N72">
        <f>ROUND(HEX2DEC(_0811_173439[[#This Row],[58DD]])*G$4/G$5+G$6,2)</f>
        <v>-0.03</v>
      </c>
      <c r="P72">
        <v>0</v>
      </c>
      <c r="Q72">
        <v>36</v>
      </c>
      <c r="R72">
        <v>30.75</v>
      </c>
      <c r="S72">
        <v>82</v>
      </c>
      <c r="T72">
        <v>42</v>
      </c>
      <c r="U72">
        <v>-0.03</v>
      </c>
      <c r="W72">
        <f>DataLog_T717420_Aug11_4_59_37pm[[#This Row],[RPM '[1/MIN']]]-Table3[[#This Row],[580C]]</f>
        <v>0</v>
      </c>
      <c r="X72">
        <f>DataLog_T717420_Aug11_4_59_37pm[[#This Row],[OIL TEMP '[Â°C']]]-Table3[[#This Row],[4402]]</f>
        <v>0</v>
      </c>
      <c r="Y72">
        <f>DataLog_T717420_Aug11_4_59_37pm[[#This Row],[INTAKE TEMP '[Â°C']]]-Table3[[#This Row],[580F]]</f>
        <v>0</v>
      </c>
      <c r="Z72">
        <f>DataLog_T717420_Aug11_4_59_37pm[[#This Row],[HPFP PRES. '[BAR']]]-Table3[[#This Row],[58F0]]</f>
        <v>0</v>
      </c>
      <c r="AA72">
        <f>DataLog_T717420_Aug11_4_59_37pm[[#This Row],[COOLANT TEMP '[Â°C']]]-Table3[[#This Row],[5805]]</f>
        <v>0</v>
      </c>
      <c r="AB72">
        <f>DataLog_T717420_Aug11_4_59_37pm[[#This Row],[BOOST '[BAR']]]-Table3[[#This Row],[58DD]]</f>
        <v>0</v>
      </c>
    </row>
    <row r="73" spans="2:28" x14ac:dyDescent="0.25">
      <c r="B73" s="2" t="s">
        <v>23</v>
      </c>
      <c r="C73" s="2" t="s">
        <v>30</v>
      </c>
      <c r="D73" s="2" t="s">
        <v>25</v>
      </c>
      <c r="E73" s="2" t="s">
        <v>29</v>
      </c>
      <c r="F73" s="2" t="s">
        <v>26</v>
      </c>
      <c r="G73" s="2" t="s">
        <v>27</v>
      </c>
      <c r="I73">
        <f>HEX2DEC(_0811_173439[[#This Row],[580C]])*B$4/B$5+B$6</f>
        <v>0</v>
      </c>
      <c r="J73">
        <f>HEX2DEC(_0811_173439[[#This Row],[4402]])*C$4/C$5+C$6</f>
        <v>36</v>
      </c>
      <c r="K73">
        <f>HEX2DEC(_0811_173439[[#This Row],[580F]])*D$4/D$5+D$6</f>
        <v>30.75</v>
      </c>
      <c r="L73">
        <f>ROUND(HEX2DEC(_0811_173439[[#This Row],[58F0]])*E$4/E$5+E$6,0)</f>
        <v>82</v>
      </c>
      <c r="M73">
        <f>ROUND(HEX2DEC(_0811_173439[[#This Row],[5805]])*F$4/F$5+F$6,0)</f>
        <v>42</v>
      </c>
      <c r="N73">
        <f>ROUND(HEX2DEC(_0811_173439[[#This Row],[58DD]])*G$4/G$5+G$6,2)</f>
        <v>-0.03</v>
      </c>
      <c r="P73">
        <v>0</v>
      </c>
      <c r="Q73">
        <v>36</v>
      </c>
      <c r="R73">
        <v>30.75</v>
      </c>
      <c r="S73">
        <v>82</v>
      </c>
      <c r="T73">
        <v>42</v>
      </c>
      <c r="U73">
        <v>-0.03</v>
      </c>
      <c r="W73">
        <f>DataLog_T717420_Aug11_4_59_37pm[[#This Row],[RPM '[1/MIN']]]-Table3[[#This Row],[580C]]</f>
        <v>0</v>
      </c>
      <c r="X73">
        <f>DataLog_T717420_Aug11_4_59_37pm[[#This Row],[OIL TEMP '[Â°C']]]-Table3[[#This Row],[4402]]</f>
        <v>0</v>
      </c>
      <c r="Y73">
        <f>DataLog_T717420_Aug11_4_59_37pm[[#This Row],[INTAKE TEMP '[Â°C']]]-Table3[[#This Row],[580F]]</f>
        <v>0</v>
      </c>
      <c r="Z73">
        <f>DataLog_T717420_Aug11_4_59_37pm[[#This Row],[HPFP PRES. '[BAR']]]-Table3[[#This Row],[58F0]]</f>
        <v>0</v>
      </c>
      <c r="AA73">
        <f>DataLog_T717420_Aug11_4_59_37pm[[#This Row],[COOLANT TEMP '[Â°C']]]-Table3[[#This Row],[5805]]</f>
        <v>0</v>
      </c>
      <c r="AB73">
        <f>DataLog_T717420_Aug11_4_59_37pm[[#This Row],[BOOST '[BAR']]]-Table3[[#This Row],[58DD]]</f>
        <v>0</v>
      </c>
    </row>
    <row r="74" spans="2:28" x14ac:dyDescent="0.25">
      <c r="B74" s="2" t="s">
        <v>23</v>
      </c>
      <c r="C74" s="2" t="s">
        <v>30</v>
      </c>
      <c r="D74" s="2" t="s">
        <v>25</v>
      </c>
      <c r="E74" s="2" t="s">
        <v>29</v>
      </c>
      <c r="F74" s="2" t="s">
        <v>26</v>
      </c>
      <c r="G74" s="2" t="s">
        <v>27</v>
      </c>
      <c r="I74">
        <f>HEX2DEC(_0811_173439[[#This Row],[580C]])*B$4/B$5+B$6</f>
        <v>0</v>
      </c>
      <c r="J74">
        <f>HEX2DEC(_0811_173439[[#This Row],[4402]])*C$4/C$5+C$6</f>
        <v>36</v>
      </c>
      <c r="K74">
        <f>HEX2DEC(_0811_173439[[#This Row],[580F]])*D$4/D$5+D$6</f>
        <v>30.75</v>
      </c>
      <c r="L74">
        <f>ROUND(HEX2DEC(_0811_173439[[#This Row],[58F0]])*E$4/E$5+E$6,0)</f>
        <v>82</v>
      </c>
      <c r="M74">
        <f>ROUND(HEX2DEC(_0811_173439[[#This Row],[5805]])*F$4/F$5+F$6,0)</f>
        <v>42</v>
      </c>
      <c r="N74">
        <f>ROUND(HEX2DEC(_0811_173439[[#This Row],[58DD]])*G$4/G$5+G$6,2)</f>
        <v>-0.03</v>
      </c>
      <c r="P74">
        <v>0</v>
      </c>
      <c r="Q74">
        <v>36</v>
      </c>
      <c r="R74">
        <v>30.75</v>
      </c>
      <c r="S74">
        <v>82</v>
      </c>
      <c r="T74">
        <v>42</v>
      </c>
      <c r="U74">
        <v>-0.03</v>
      </c>
      <c r="W74">
        <f>DataLog_T717420_Aug11_4_59_37pm[[#This Row],[RPM '[1/MIN']]]-Table3[[#This Row],[580C]]</f>
        <v>0</v>
      </c>
      <c r="X74">
        <f>DataLog_T717420_Aug11_4_59_37pm[[#This Row],[OIL TEMP '[Â°C']]]-Table3[[#This Row],[4402]]</f>
        <v>0</v>
      </c>
      <c r="Y74">
        <f>DataLog_T717420_Aug11_4_59_37pm[[#This Row],[INTAKE TEMP '[Â°C']]]-Table3[[#This Row],[580F]]</f>
        <v>0</v>
      </c>
      <c r="Z74">
        <f>DataLog_T717420_Aug11_4_59_37pm[[#This Row],[HPFP PRES. '[BAR']]]-Table3[[#This Row],[58F0]]</f>
        <v>0</v>
      </c>
      <c r="AA74">
        <f>DataLog_T717420_Aug11_4_59_37pm[[#This Row],[COOLANT TEMP '[Â°C']]]-Table3[[#This Row],[5805]]</f>
        <v>0</v>
      </c>
      <c r="AB74">
        <f>DataLog_T717420_Aug11_4_59_37pm[[#This Row],[BOOST '[BAR']]]-Table3[[#This Row],[58DD]]</f>
        <v>0</v>
      </c>
    </row>
    <row r="75" spans="2:28" x14ac:dyDescent="0.25">
      <c r="B75" s="2" t="s">
        <v>23</v>
      </c>
      <c r="C75" s="2" t="s">
        <v>30</v>
      </c>
      <c r="D75" s="2" t="s">
        <v>25</v>
      </c>
      <c r="E75" s="2" t="s">
        <v>29</v>
      </c>
      <c r="F75" s="2" t="s">
        <v>26</v>
      </c>
      <c r="G75" s="2" t="s">
        <v>27</v>
      </c>
      <c r="I75">
        <f>HEX2DEC(_0811_173439[[#This Row],[580C]])*B$4/B$5+B$6</f>
        <v>0</v>
      </c>
      <c r="J75">
        <f>HEX2DEC(_0811_173439[[#This Row],[4402]])*C$4/C$5+C$6</f>
        <v>36</v>
      </c>
      <c r="K75">
        <f>HEX2DEC(_0811_173439[[#This Row],[580F]])*D$4/D$5+D$6</f>
        <v>30.75</v>
      </c>
      <c r="L75">
        <f>ROUND(HEX2DEC(_0811_173439[[#This Row],[58F0]])*E$4/E$5+E$6,0)</f>
        <v>82</v>
      </c>
      <c r="M75">
        <f>ROUND(HEX2DEC(_0811_173439[[#This Row],[5805]])*F$4/F$5+F$6,0)</f>
        <v>42</v>
      </c>
      <c r="N75">
        <f>ROUND(HEX2DEC(_0811_173439[[#This Row],[58DD]])*G$4/G$5+G$6,2)</f>
        <v>-0.03</v>
      </c>
      <c r="P75">
        <v>0</v>
      </c>
      <c r="Q75">
        <v>36</v>
      </c>
      <c r="R75">
        <v>30.75</v>
      </c>
      <c r="S75">
        <v>82</v>
      </c>
      <c r="T75">
        <v>42</v>
      </c>
      <c r="U75">
        <v>-0.03</v>
      </c>
      <c r="W75">
        <f>DataLog_T717420_Aug11_4_59_37pm[[#This Row],[RPM '[1/MIN']]]-Table3[[#This Row],[580C]]</f>
        <v>0</v>
      </c>
      <c r="X75">
        <f>DataLog_T717420_Aug11_4_59_37pm[[#This Row],[OIL TEMP '[Â°C']]]-Table3[[#This Row],[4402]]</f>
        <v>0</v>
      </c>
      <c r="Y75">
        <f>DataLog_T717420_Aug11_4_59_37pm[[#This Row],[INTAKE TEMP '[Â°C']]]-Table3[[#This Row],[580F]]</f>
        <v>0</v>
      </c>
      <c r="Z75">
        <f>DataLog_T717420_Aug11_4_59_37pm[[#This Row],[HPFP PRES. '[BAR']]]-Table3[[#This Row],[58F0]]</f>
        <v>0</v>
      </c>
      <c r="AA75">
        <f>DataLog_T717420_Aug11_4_59_37pm[[#This Row],[COOLANT TEMP '[Â°C']]]-Table3[[#This Row],[5805]]</f>
        <v>0</v>
      </c>
      <c r="AB75">
        <f>DataLog_T717420_Aug11_4_59_37pm[[#This Row],[BOOST '[BAR']]]-Table3[[#This Row],[58DD]]</f>
        <v>0</v>
      </c>
    </row>
    <row r="76" spans="2:28" x14ac:dyDescent="0.25">
      <c r="B76" s="2" t="s">
        <v>23</v>
      </c>
      <c r="C76" s="2" t="s">
        <v>30</v>
      </c>
      <c r="D76" s="2" t="s">
        <v>25</v>
      </c>
      <c r="E76" s="2" t="s">
        <v>29</v>
      </c>
      <c r="F76" s="2" t="s">
        <v>26</v>
      </c>
      <c r="G76" s="2" t="s">
        <v>27</v>
      </c>
      <c r="I76">
        <f>HEX2DEC(_0811_173439[[#This Row],[580C]])*B$4/B$5+B$6</f>
        <v>0</v>
      </c>
      <c r="J76">
        <f>HEX2DEC(_0811_173439[[#This Row],[4402]])*C$4/C$5+C$6</f>
        <v>36</v>
      </c>
      <c r="K76">
        <f>HEX2DEC(_0811_173439[[#This Row],[580F]])*D$4/D$5+D$6</f>
        <v>30.75</v>
      </c>
      <c r="L76">
        <f>ROUND(HEX2DEC(_0811_173439[[#This Row],[58F0]])*E$4/E$5+E$6,0)</f>
        <v>82</v>
      </c>
      <c r="M76">
        <f>ROUND(HEX2DEC(_0811_173439[[#This Row],[5805]])*F$4/F$5+F$6,0)</f>
        <v>42</v>
      </c>
      <c r="N76">
        <f>ROUND(HEX2DEC(_0811_173439[[#This Row],[58DD]])*G$4/G$5+G$6,2)</f>
        <v>-0.03</v>
      </c>
      <c r="P76">
        <v>0</v>
      </c>
      <c r="Q76">
        <v>36</v>
      </c>
      <c r="R76">
        <v>30.75</v>
      </c>
      <c r="S76">
        <v>82</v>
      </c>
      <c r="T76">
        <v>42</v>
      </c>
      <c r="U76">
        <v>-0.03</v>
      </c>
      <c r="W76">
        <f>DataLog_T717420_Aug11_4_59_37pm[[#This Row],[RPM '[1/MIN']]]-Table3[[#This Row],[580C]]</f>
        <v>0</v>
      </c>
      <c r="X76">
        <f>DataLog_T717420_Aug11_4_59_37pm[[#This Row],[OIL TEMP '[Â°C']]]-Table3[[#This Row],[4402]]</f>
        <v>0</v>
      </c>
      <c r="Y76">
        <f>DataLog_T717420_Aug11_4_59_37pm[[#This Row],[INTAKE TEMP '[Â°C']]]-Table3[[#This Row],[580F]]</f>
        <v>0</v>
      </c>
      <c r="Z76">
        <f>DataLog_T717420_Aug11_4_59_37pm[[#This Row],[HPFP PRES. '[BAR']]]-Table3[[#This Row],[58F0]]</f>
        <v>0</v>
      </c>
      <c r="AA76">
        <f>DataLog_T717420_Aug11_4_59_37pm[[#This Row],[COOLANT TEMP '[Â°C']]]-Table3[[#This Row],[5805]]</f>
        <v>0</v>
      </c>
      <c r="AB76">
        <f>DataLog_T717420_Aug11_4_59_37pm[[#This Row],[BOOST '[BAR']]]-Table3[[#This Row],[58DD]]</f>
        <v>0</v>
      </c>
    </row>
    <row r="77" spans="2:28" x14ac:dyDescent="0.25">
      <c r="B77" s="2" t="s">
        <v>23</v>
      </c>
      <c r="C77" s="2" t="s">
        <v>30</v>
      </c>
      <c r="D77" s="2" t="s">
        <v>25</v>
      </c>
      <c r="E77" s="2" t="s">
        <v>29</v>
      </c>
      <c r="F77" s="2" t="s">
        <v>26</v>
      </c>
      <c r="G77" s="2" t="s">
        <v>28</v>
      </c>
      <c r="I77">
        <f>HEX2DEC(_0811_173439[[#This Row],[580C]])*B$4/B$5+B$6</f>
        <v>0</v>
      </c>
      <c r="J77">
        <f>HEX2DEC(_0811_173439[[#This Row],[4402]])*C$4/C$5+C$6</f>
        <v>36</v>
      </c>
      <c r="K77">
        <f>HEX2DEC(_0811_173439[[#This Row],[580F]])*D$4/D$5+D$6</f>
        <v>30.75</v>
      </c>
      <c r="L77">
        <f>ROUND(HEX2DEC(_0811_173439[[#This Row],[58F0]])*E$4/E$5+E$6,0)</f>
        <v>82</v>
      </c>
      <c r="M77">
        <f>ROUND(HEX2DEC(_0811_173439[[#This Row],[5805]])*F$4/F$5+F$6,0)</f>
        <v>42</v>
      </c>
      <c r="N77">
        <f>ROUND(HEX2DEC(_0811_173439[[#This Row],[58DD]])*G$4/G$5+G$6,2)</f>
        <v>-0.02</v>
      </c>
      <c r="P77">
        <v>0</v>
      </c>
      <c r="Q77">
        <v>36</v>
      </c>
      <c r="R77">
        <v>30.75</v>
      </c>
      <c r="S77">
        <v>82</v>
      </c>
      <c r="T77">
        <v>42</v>
      </c>
      <c r="U77">
        <v>-0.02</v>
      </c>
      <c r="W77">
        <f>DataLog_T717420_Aug11_4_59_37pm[[#This Row],[RPM '[1/MIN']]]-Table3[[#This Row],[580C]]</f>
        <v>0</v>
      </c>
      <c r="X77">
        <f>DataLog_T717420_Aug11_4_59_37pm[[#This Row],[OIL TEMP '[Â°C']]]-Table3[[#This Row],[4402]]</f>
        <v>0</v>
      </c>
      <c r="Y77">
        <f>DataLog_T717420_Aug11_4_59_37pm[[#This Row],[INTAKE TEMP '[Â°C']]]-Table3[[#This Row],[580F]]</f>
        <v>0</v>
      </c>
      <c r="Z77">
        <f>DataLog_T717420_Aug11_4_59_37pm[[#This Row],[HPFP PRES. '[BAR']]]-Table3[[#This Row],[58F0]]</f>
        <v>0</v>
      </c>
      <c r="AA77">
        <f>DataLog_T717420_Aug11_4_59_37pm[[#This Row],[COOLANT TEMP '[Â°C']]]-Table3[[#This Row],[5805]]</f>
        <v>0</v>
      </c>
      <c r="AB77">
        <f>DataLog_T717420_Aug11_4_59_37pm[[#This Row],[BOOST '[BAR']]]-Table3[[#This Row],[58DD]]</f>
        <v>0</v>
      </c>
    </row>
    <row r="78" spans="2:28" x14ac:dyDescent="0.25">
      <c r="B78" s="2" t="s">
        <v>23</v>
      </c>
      <c r="C78" s="2" t="s">
        <v>30</v>
      </c>
      <c r="D78" s="2" t="s">
        <v>25</v>
      </c>
      <c r="E78" s="2" t="s">
        <v>29</v>
      </c>
      <c r="F78" s="2" t="s">
        <v>26</v>
      </c>
      <c r="G78" s="2" t="s">
        <v>27</v>
      </c>
      <c r="I78">
        <f>HEX2DEC(_0811_173439[[#This Row],[580C]])*B$4/B$5+B$6</f>
        <v>0</v>
      </c>
      <c r="J78">
        <f>HEX2DEC(_0811_173439[[#This Row],[4402]])*C$4/C$5+C$6</f>
        <v>36</v>
      </c>
      <c r="K78">
        <f>HEX2DEC(_0811_173439[[#This Row],[580F]])*D$4/D$5+D$6</f>
        <v>30.75</v>
      </c>
      <c r="L78">
        <f>ROUND(HEX2DEC(_0811_173439[[#This Row],[58F0]])*E$4/E$5+E$6,0)</f>
        <v>82</v>
      </c>
      <c r="M78">
        <f>ROUND(HEX2DEC(_0811_173439[[#This Row],[5805]])*F$4/F$5+F$6,0)</f>
        <v>42</v>
      </c>
      <c r="N78">
        <f>ROUND(HEX2DEC(_0811_173439[[#This Row],[58DD]])*G$4/G$5+G$6,2)</f>
        <v>-0.03</v>
      </c>
      <c r="P78">
        <v>0</v>
      </c>
      <c r="Q78">
        <v>36</v>
      </c>
      <c r="R78">
        <v>30.75</v>
      </c>
      <c r="S78">
        <v>82</v>
      </c>
      <c r="T78">
        <v>42</v>
      </c>
      <c r="U78">
        <v>-0.03</v>
      </c>
      <c r="W78">
        <f>DataLog_T717420_Aug11_4_59_37pm[[#This Row],[RPM '[1/MIN']]]-Table3[[#This Row],[580C]]</f>
        <v>0</v>
      </c>
      <c r="X78">
        <f>DataLog_T717420_Aug11_4_59_37pm[[#This Row],[OIL TEMP '[Â°C']]]-Table3[[#This Row],[4402]]</f>
        <v>0</v>
      </c>
      <c r="Y78">
        <f>DataLog_T717420_Aug11_4_59_37pm[[#This Row],[INTAKE TEMP '[Â°C']]]-Table3[[#This Row],[580F]]</f>
        <v>0</v>
      </c>
      <c r="Z78">
        <f>DataLog_T717420_Aug11_4_59_37pm[[#This Row],[HPFP PRES. '[BAR']]]-Table3[[#This Row],[58F0]]</f>
        <v>0</v>
      </c>
      <c r="AA78">
        <f>DataLog_T717420_Aug11_4_59_37pm[[#This Row],[COOLANT TEMP '[Â°C']]]-Table3[[#This Row],[5805]]</f>
        <v>0</v>
      </c>
      <c r="AB78">
        <f>DataLog_T717420_Aug11_4_59_37pm[[#This Row],[BOOST '[BAR']]]-Table3[[#This Row],[58DD]]</f>
        <v>0</v>
      </c>
    </row>
    <row r="79" spans="2:28" x14ac:dyDescent="0.25">
      <c r="B79" s="2" t="s">
        <v>23</v>
      </c>
      <c r="C79" s="2" t="s">
        <v>30</v>
      </c>
      <c r="D79" s="2" t="s">
        <v>25</v>
      </c>
      <c r="E79" s="2" t="s">
        <v>29</v>
      </c>
      <c r="F79" s="2" t="s">
        <v>26</v>
      </c>
      <c r="G79" s="2" t="s">
        <v>27</v>
      </c>
      <c r="I79">
        <f>HEX2DEC(_0811_173439[[#This Row],[580C]])*B$4/B$5+B$6</f>
        <v>0</v>
      </c>
      <c r="J79">
        <f>HEX2DEC(_0811_173439[[#This Row],[4402]])*C$4/C$5+C$6</f>
        <v>36</v>
      </c>
      <c r="K79">
        <f>HEX2DEC(_0811_173439[[#This Row],[580F]])*D$4/D$5+D$6</f>
        <v>30.75</v>
      </c>
      <c r="L79">
        <f>ROUND(HEX2DEC(_0811_173439[[#This Row],[58F0]])*E$4/E$5+E$6,0)</f>
        <v>82</v>
      </c>
      <c r="M79">
        <f>ROUND(HEX2DEC(_0811_173439[[#This Row],[5805]])*F$4/F$5+F$6,0)</f>
        <v>42</v>
      </c>
      <c r="N79">
        <f>ROUND(HEX2DEC(_0811_173439[[#This Row],[58DD]])*G$4/G$5+G$6,2)</f>
        <v>-0.03</v>
      </c>
      <c r="P79">
        <v>0</v>
      </c>
      <c r="Q79">
        <v>36</v>
      </c>
      <c r="R79">
        <v>30.75</v>
      </c>
      <c r="S79">
        <v>82</v>
      </c>
      <c r="T79">
        <v>42</v>
      </c>
      <c r="U79">
        <v>-0.03</v>
      </c>
      <c r="W79">
        <f>DataLog_T717420_Aug11_4_59_37pm[[#This Row],[RPM '[1/MIN']]]-Table3[[#This Row],[580C]]</f>
        <v>0</v>
      </c>
      <c r="X79">
        <f>DataLog_T717420_Aug11_4_59_37pm[[#This Row],[OIL TEMP '[Â°C']]]-Table3[[#This Row],[4402]]</f>
        <v>0</v>
      </c>
      <c r="Y79">
        <f>DataLog_T717420_Aug11_4_59_37pm[[#This Row],[INTAKE TEMP '[Â°C']]]-Table3[[#This Row],[580F]]</f>
        <v>0</v>
      </c>
      <c r="Z79">
        <f>DataLog_T717420_Aug11_4_59_37pm[[#This Row],[HPFP PRES. '[BAR']]]-Table3[[#This Row],[58F0]]</f>
        <v>0</v>
      </c>
      <c r="AA79">
        <f>DataLog_T717420_Aug11_4_59_37pm[[#This Row],[COOLANT TEMP '[Â°C']]]-Table3[[#This Row],[5805]]</f>
        <v>0</v>
      </c>
      <c r="AB79">
        <f>DataLog_T717420_Aug11_4_59_37pm[[#This Row],[BOOST '[BAR']]]-Table3[[#This Row],[58DD]]</f>
        <v>0</v>
      </c>
    </row>
    <row r="80" spans="2:28" x14ac:dyDescent="0.25">
      <c r="B80" s="2" t="s">
        <v>23</v>
      </c>
      <c r="C80" s="2" t="s">
        <v>30</v>
      </c>
      <c r="D80" s="2" t="s">
        <v>25</v>
      </c>
      <c r="E80" s="2" t="s">
        <v>29</v>
      </c>
      <c r="F80" s="2" t="s">
        <v>26</v>
      </c>
      <c r="G80" s="2" t="s">
        <v>27</v>
      </c>
      <c r="I80">
        <f>HEX2DEC(_0811_173439[[#This Row],[580C]])*B$4/B$5+B$6</f>
        <v>0</v>
      </c>
      <c r="J80">
        <f>HEX2DEC(_0811_173439[[#This Row],[4402]])*C$4/C$5+C$6</f>
        <v>36</v>
      </c>
      <c r="K80">
        <f>HEX2DEC(_0811_173439[[#This Row],[580F]])*D$4/D$5+D$6</f>
        <v>30.75</v>
      </c>
      <c r="L80">
        <f>ROUND(HEX2DEC(_0811_173439[[#This Row],[58F0]])*E$4/E$5+E$6,0)</f>
        <v>82</v>
      </c>
      <c r="M80">
        <f>ROUND(HEX2DEC(_0811_173439[[#This Row],[5805]])*F$4/F$5+F$6,0)</f>
        <v>42</v>
      </c>
      <c r="N80">
        <f>ROUND(HEX2DEC(_0811_173439[[#This Row],[58DD]])*G$4/G$5+G$6,2)</f>
        <v>-0.03</v>
      </c>
      <c r="P80">
        <v>0</v>
      </c>
      <c r="Q80">
        <v>36</v>
      </c>
      <c r="R80">
        <v>30.75</v>
      </c>
      <c r="S80">
        <v>82</v>
      </c>
      <c r="T80">
        <v>42</v>
      </c>
      <c r="U80">
        <v>-0.03</v>
      </c>
      <c r="W80">
        <f>DataLog_T717420_Aug11_4_59_37pm[[#This Row],[RPM '[1/MIN']]]-Table3[[#This Row],[580C]]</f>
        <v>0</v>
      </c>
      <c r="X80">
        <f>DataLog_T717420_Aug11_4_59_37pm[[#This Row],[OIL TEMP '[Â°C']]]-Table3[[#This Row],[4402]]</f>
        <v>0</v>
      </c>
      <c r="Y80">
        <f>DataLog_T717420_Aug11_4_59_37pm[[#This Row],[INTAKE TEMP '[Â°C']]]-Table3[[#This Row],[580F]]</f>
        <v>0</v>
      </c>
      <c r="Z80">
        <f>DataLog_T717420_Aug11_4_59_37pm[[#This Row],[HPFP PRES. '[BAR']]]-Table3[[#This Row],[58F0]]</f>
        <v>0</v>
      </c>
      <c r="AA80">
        <f>DataLog_T717420_Aug11_4_59_37pm[[#This Row],[COOLANT TEMP '[Â°C']]]-Table3[[#This Row],[5805]]</f>
        <v>0</v>
      </c>
      <c r="AB80">
        <f>DataLog_T717420_Aug11_4_59_37pm[[#This Row],[BOOST '[BAR']]]-Table3[[#This Row],[58DD]]</f>
        <v>0</v>
      </c>
    </row>
    <row r="81" spans="2:28" x14ac:dyDescent="0.25">
      <c r="B81" s="2" t="s">
        <v>23</v>
      </c>
      <c r="C81" s="2" t="s">
        <v>30</v>
      </c>
      <c r="D81" s="2" t="s">
        <v>25</v>
      </c>
      <c r="E81" s="2" t="s">
        <v>29</v>
      </c>
      <c r="F81" s="2" t="s">
        <v>26</v>
      </c>
      <c r="G81" s="2" t="s">
        <v>27</v>
      </c>
      <c r="I81">
        <f>HEX2DEC(_0811_173439[[#This Row],[580C]])*B$4/B$5+B$6</f>
        <v>0</v>
      </c>
      <c r="J81">
        <f>HEX2DEC(_0811_173439[[#This Row],[4402]])*C$4/C$5+C$6</f>
        <v>36</v>
      </c>
      <c r="K81">
        <f>HEX2DEC(_0811_173439[[#This Row],[580F]])*D$4/D$5+D$6</f>
        <v>30.75</v>
      </c>
      <c r="L81">
        <f>ROUND(HEX2DEC(_0811_173439[[#This Row],[58F0]])*E$4/E$5+E$6,0)</f>
        <v>82</v>
      </c>
      <c r="M81">
        <f>ROUND(HEX2DEC(_0811_173439[[#This Row],[5805]])*F$4/F$5+F$6,0)</f>
        <v>42</v>
      </c>
      <c r="N81">
        <f>ROUND(HEX2DEC(_0811_173439[[#This Row],[58DD]])*G$4/G$5+G$6,2)</f>
        <v>-0.03</v>
      </c>
      <c r="P81">
        <v>0</v>
      </c>
      <c r="Q81">
        <v>36</v>
      </c>
      <c r="R81">
        <v>30.75</v>
      </c>
      <c r="S81">
        <v>82</v>
      </c>
      <c r="T81">
        <v>42</v>
      </c>
      <c r="U81">
        <v>-0.03</v>
      </c>
      <c r="W81">
        <f>DataLog_T717420_Aug11_4_59_37pm[[#This Row],[RPM '[1/MIN']]]-Table3[[#This Row],[580C]]</f>
        <v>0</v>
      </c>
      <c r="X81">
        <f>DataLog_T717420_Aug11_4_59_37pm[[#This Row],[OIL TEMP '[Â°C']]]-Table3[[#This Row],[4402]]</f>
        <v>0</v>
      </c>
      <c r="Y81">
        <f>DataLog_T717420_Aug11_4_59_37pm[[#This Row],[INTAKE TEMP '[Â°C']]]-Table3[[#This Row],[580F]]</f>
        <v>0</v>
      </c>
      <c r="Z81">
        <f>DataLog_T717420_Aug11_4_59_37pm[[#This Row],[HPFP PRES. '[BAR']]]-Table3[[#This Row],[58F0]]</f>
        <v>0</v>
      </c>
      <c r="AA81">
        <f>DataLog_T717420_Aug11_4_59_37pm[[#This Row],[COOLANT TEMP '[Â°C']]]-Table3[[#This Row],[5805]]</f>
        <v>0</v>
      </c>
      <c r="AB81">
        <f>DataLog_T717420_Aug11_4_59_37pm[[#This Row],[BOOST '[BAR']]]-Table3[[#This Row],[58DD]]</f>
        <v>0</v>
      </c>
    </row>
    <row r="82" spans="2:28" x14ac:dyDescent="0.25">
      <c r="B82" s="2" t="s">
        <v>23</v>
      </c>
      <c r="C82" s="2" t="s">
        <v>30</v>
      </c>
      <c r="D82" s="2" t="s">
        <v>25</v>
      </c>
      <c r="E82" s="2" t="s">
        <v>31</v>
      </c>
      <c r="F82" s="2" t="s">
        <v>26</v>
      </c>
      <c r="G82" s="2" t="s">
        <v>27</v>
      </c>
      <c r="I82">
        <f>HEX2DEC(_0811_173439[[#This Row],[580C]])*B$4/B$5+B$6</f>
        <v>0</v>
      </c>
      <c r="J82">
        <f>HEX2DEC(_0811_173439[[#This Row],[4402]])*C$4/C$5+C$6</f>
        <v>36</v>
      </c>
      <c r="K82">
        <f>HEX2DEC(_0811_173439[[#This Row],[580F]])*D$4/D$5+D$6</f>
        <v>30.75</v>
      </c>
      <c r="L82">
        <f>ROUND(HEX2DEC(_0811_173439[[#This Row],[58F0]])*E$4/E$5+E$6,0)</f>
        <v>82</v>
      </c>
      <c r="M82">
        <f>ROUND(HEX2DEC(_0811_173439[[#This Row],[5805]])*F$4/F$5+F$6,0)</f>
        <v>42</v>
      </c>
      <c r="N82">
        <f>ROUND(HEX2DEC(_0811_173439[[#This Row],[58DD]])*G$4/G$5+G$6,2)</f>
        <v>-0.03</v>
      </c>
      <c r="P82">
        <v>0</v>
      </c>
      <c r="Q82">
        <v>36</v>
      </c>
      <c r="R82">
        <v>30.75</v>
      </c>
      <c r="S82">
        <v>82</v>
      </c>
      <c r="T82">
        <v>42</v>
      </c>
      <c r="U82">
        <v>-0.03</v>
      </c>
      <c r="W82">
        <f>DataLog_T717420_Aug11_4_59_37pm[[#This Row],[RPM '[1/MIN']]]-Table3[[#This Row],[580C]]</f>
        <v>0</v>
      </c>
      <c r="X82">
        <f>DataLog_T717420_Aug11_4_59_37pm[[#This Row],[OIL TEMP '[Â°C']]]-Table3[[#This Row],[4402]]</f>
        <v>0</v>
      </c>
      <c r="Y82">
        <f>DataLog_T717420_Aug11_4_59_37pm[[#This Row],[INTAKE TEMP '[Â°C']]]-Table3[[#This Row],[580F]]</f>
        <v>0</v>
      </c>
      <c r="Z82">
        <f>DataLog_T717420_Aug11_4_59_37pm[[#This Row],[HPFP PRES. '[BAR']]]-Table3[[#This Row],[58F0]]</f>
        <v>0</v>
      </c>
      <c r="AA82">
        <f>DataLog_T717420_Aug11_4_59_37pm[[#This Row],[COOLANT TEMP '[Â°C']]]-Table3[[#This Row],[5805]]</f>
        <v>0</v>
      </c>
      <c r="AB82">
        <f>DataLog_T717420_Aug11_4_59_37pm[[#This Row],[BOOST '[BAR']]]-Table3[[#This Row],[58DD]]</f>
        <v>0</v>
      </c>
    </row>
    <row r="83" spans="2:28" x14ac:dyDescent="0.25">
      <c r="B83" s="2" t="s">
        <v>23</v>
      </c>
      <c r="C83" s="2" t="s">
        <v>30</v>
      </c>
      <c r="D83" s="2" t="s">
        <v>25</v>
      </c>
      <c r="E83" s="2" t="s">
        <v>31</v>
      </c>
      <c r="F83" s="2" t="s">
        <v>26</v>
      </c>
      <c r="G83" s="2" t="s">
        <v>27</v>
      </c>
      <c r="I83">
        <f>HEX2DEC(_0811_173439[[#This Row],[580C]])*B$4/B$5+B$6</f>
        <v>0</v>
      </c>
      <c r="J83">
        <f>HEX2DEC(_0811_173439[[#This Row],[4402]])*C$4/C$5+C$6</f>
        <v>36</v>
      </c>
      <c r="K83">
        <f>HEX2DEC(_0811_173439[[#This Row],[580F]])*D$4/D$5+D$6</f>
        <v>30.75</v>
      </c>
      <c r="L83">
        <f>ROUND(HEX2DEC(_0811_173439[[#This Row],[58F0]])*E$4/E$5+E$6,0)</f>
        <v>82</v>
      </c>
      <c r="M83">
        <f>ROUND(HEX2DEC(_0811_173439[[#This Row],[5805]])*F$4/F$5+F$6,0)</f>
        <v>42</v>
      </c>
      <c r="N83">
        <f>ROUND(HEX2DEC(_0811_173439[[#This Row],[58DD]])*G$4/G$5+G$6,2)</f>
        <v>-0.03</v>
      </c>
      <c r="P83">
        <v>0</v>
      </c>
      <c r="Q83">
        <v>36</v>
      </c>
      <c r="R83">
        <v>30.75</v>
      </c>
      <c r="S83">
        <v>82</v>
      </c>
      <c r="T83">
        <v>42</v>
      </c>
      <c r="U83">
        <v>-0.03</v>
      </c>
      <c r="W83">
        <f>DataLog_T717420_Aug11_4_59_37pm[[#This Row],[RPM '[1/MIN']]]-Table3[[#This Row],[580C]]</f>
        <v>0</v>
      </c>
      <c r="X83">
        <f>DataLog_T717420_Aug11_4_59_37pm[[#This Row],[OIL TEMP '[Â°C']]]-Table3[[#This Row],[4402]]</f>
        <v>0</v>
      </c>
      <c r="Y83">
        <f>DataLog_T717420_Aug11_4_59_37pm[[#This Row],[INTAKE TEMP '[Â°C']]]-Table3[[#This Row],[580F]]</f>
        <v>0</v>
      </c>
      <c r="Z83">
        <f>DataLog_T717420_Aug11_4_59_37pm[[#This Row],[HPFP PRES. '[BAR']]]-Table3[[#This Row],[58F0]]</f>
        <v>0</v>
      </c>
      <c r="AA83">
        <f>DataLog_T717420_Aug11_4_59_37pm[[#This Row],[COOLANT TEMP '[Â°C']]]-Table3[[#This Row],[5805]]</f>
        <v>0</v>
      </c>
      <c r="AB83">
        <f>DataLog_T717420_Aug11_4_59_37pm[[#This Row],[BOOST '[BAR']]]-Table3[[#This Row],[58DD]]</f>
        <v>0</v>
      </c>
    </row>
    <row r="84" spans="2:28" x14ac:dyDescent="0.25">
      <c r="B84" s="2" t="s">
        <v>23</v>
      </c>
      <c r="C84" s="2" t="s">
        <v>30</v>
      </c>
      <c r="D84" s="2" t="s">
        <v>25</v>
      </c>
      <c r="E84" s="2" t="s">
        <v>32</v>
      </c>
      <c r="F84" s="2" t="s">
        <v>26</v>
      </c>
      <c r="G84" s="2" t="s">
        <v>27</v>
      </c>
      <c r="I84">
        <f>HEX2DEC(_0811_173439[[#This Row],[580C]])*B$4/B$5+B$6</f>
        <v>0</v>
      </c>
      <c r="J84">
        <f>HEX2DEC(_0811_173439[[#This Row],[4402]])*C$4/C$5+C$6</f>
        <v>36</v>
      </c>
      <c r="K84">
        <f>HEX2DEC(_0811_173439[[#This Row],[580F]])*D$4/D$5+D$6</f>
        <v>30.75</v>
      </c>
      <c r="L84">
        <f>ROUND(HEX2DEC(_0811_173439[[#This Row],[58F0]])*E$4/E$5+E$6,0)</f>
        <v>82</v>
      </c>
      <c r="M84">
        <f>ROUND(HEX2DEC(_0811_173439[[#This Row],[5805]])*F$4/F$5+F$6,0)</f>
        <v>42</v>
      </c>
      <c r="N84">
        <f>ROUND(HEX2DEC(_0811_173439[[#This Row],[58DD]])*G$4/G$5+G$6,2)</f>
        <v>-0.03</v>
      </c>
      <c r="P84">
        <v>0</v>
      </c>
      <c r="Q84">
        <v>36</v>
      </c>
      <c r="R84">
        <v>30.75</v>
      </c>
      <c r="S84">
        <v>82</v>
      </c>
      <c r="T84">
        <v>42</v>
      </c>
      <c r="U84">
        <v>-0.03</v>
      </c>
      <c r="W84">
        <f>DataLog_T717420_Aug11_4_59_37pm[[#This Row],[RPM '[1/MIN']]]-Table3[[#This Row],[580C]]</f>
        <v>0</v>
      </c>
      <c r="X84">
        <f>DataLog_T717420_Aug11_4_59_37pm[[#This Row],[OIL TEMP '[Â°C']]]-Table3[[#This Row],[4402]]</f>
        <v>0</v>
      </c>
      <c r="Y84">
        <f>DataLog_T717420_Aug11_4_59_37pm[[#This Row],[INTAKE TEMP '[Â°C']]]-Table3[[#This Row],[580F]]</f>
        <v>0</v>
      </c>
      <c r="Z84">
        <f>DataLog_T717420_Aug11_4_59_37pm[[#This Row],[HPFP PRES. '[BAR']]]-Table3[[#This Row],[58F0]]</f>
        <v>0</v>
      </c>
      <c r="AA84">
        <f>DataLog_T717420_Aug11_4_59_37pm[[#This Row],[COOLANT TEMP '[Â°C']]]-Table3[[#This Row],[5805]]</f>
        <v>0</v>
      </c>
      <c r="AB84">
        <f>DataLog_T717420_Aug11_4_59_37pm[[#This Row],[BOOST '[BAR']]]-Table3[[#This Row],[58DD]]</f>
        <v>0</v>
      </c>
    </row>
    <row r="85" spans="2:28" x14ac:dyDescent="0.25">
      <c r="B85" s="2" t="s">
        <v>23</v>
      </c>
      <c r="C85" s="2" t="s">
        <v>30</v>
      </c>
      <c r="D85" s="2" t="s">
        <v>25</v>
      </c>
      <c r="E85" s="2" t="s">
        <v>29</v>
      </c>
      <c r="F85" s="2" t="s">
        <v>26</v>
      </c>
      <c r="G85" s="2" t="s">
        <v>27</v>
      </c>
      <c r="I85">
        <f>HEX2DEC(_0811_173439[[#This Row],[580C]])*B$4/B$5+B$6</f>
        <v>0</v>
      </c>
      <c r="J85">
        <f>HEX2DEC(_0811_173439[[#This Row],[4402]])*C$4/C$5+C$6</f>
        <v>36</v>
      </c>
      <c r="K85">
        <f>HEX2DEC(_0811_173439[[#This Row],[580F]])*D$4/D$5+D$6</f>
        <v>30.75</v>
      </c>
      <c r="L85">
        <f>ROUND(HEX2DEC(_0811_173439[[#This Row],[58F0]])*E$4/E$5+E$6,0)</f>
        <v>82</v>
      </c>
      <c r="M85">
        <f>ROUND(HEX2DEC(_0811_173439[[#This Row],[5805]])*F$4/F$5+F$6,0)</f>
        <v>42</v>
      </c>
      <c r="N85">
        <f>ROUND(HEX2DEC(_0811_173439[[#This Row],[58DD]])*G$4/G$5+G$6,2)</f>
        <v>-0.03</v>
      </c>
      <c r="P85">
        <v>0</v>
      </c>
      <c r="Q85">
        <v>36</v>
      </c>
      <c r="R85">
        <v>30.75</v>
      </c>
      <c r="S85">
        <v>82</v>
      </c>
      <c r="T85">
        <v>42</v>
      </c>
      <c r="U85">
        <v>-0.03</v>
      </c>
      <c r="W85">
        <f>DataLog_T717420_Aug11_4_59_37pm[[#This Row],[RPM '[1/MIN']]]-Table3[[#This Row],[580C]]</f>
        <v>0</v>
      </c>
      <c r="X85">
        <f>DataLog_T717420_Aug11_4_59_37pm[[#This Row],[OIL TEMP '[Â°C']]]-Table3[[#This Row],[4402]]</f>
        <v>0</v>
      </c>
      <c r="Y85">
        <f>DataLog_T717420_Aug11_4_59_37pm[[#This Row],[INTAKE TEMP '[Â°C']]]-Table3[[#This Row],[580F]]</f>
        <v>0</v>
      </c>
      <c r="Z85">
        <f>DataLog_T717420_Aug11_4_59_37pm[[#This Row],[HPFP PRES. '[BAR']]]-Table3[[#This Row],[58F0]]</f>
        <v>0</v>
      </c>
      <c r="AA85">
        <f>DataLog_T717420_Aug11_4_59_37pm[[#This Row],[COOLANT TEMP '[Â°C']]]-Table3[[#This Row],[5805]]</f>
        <v>0</v>
      </c>
      <c r="AB85">
        <f>DataLog_T717420_Aug11_4_59_37pm[[#This Row],[BOOST '[BAR']]]-Table3[[#This Row],[58DD]]</f>
        <v>0</v>
      </c>
    </row>
    <row r="86" spans="2:28" x14ac:dyDescent="0.25">
      <c r="B86" s="2" t="s">
        <v>23</v>
      </c>
      <c r="C86" s="2" t="s">
        <v>30</v>
      </c>
      <c r="D86" s="2" t="s">
        <v>25</v>
      </c>
      <c r="E86" s="2" t="s">
        <v>31</v>
      </c>
      <c r="F86" s="2" t="s">
        <v>26</v>
      </c>
      <c r="G86" s="2" t="s">
        <v>28</v>
      </c>
      <c r="I86">
        <f>HEX2DEC(_0811_173439[[#This Row],[580C]])*B$4/B$5+B$6</f>
        <v>0</v>
      </c>
      <c r="J86">
        <f>HEX2DEC(_0811_173439[[#This Row],[4402]])*C$4/C$5+C$6</f>
        <v>36</v>
      </c>
      <c r="K86">
        <f>HEX2DEC(_0811_173439[[#This Row],[580F]])*D$4/D$5+D$6</f>
        <v>30.75</v>
      </c>
      <c r="L86">
        <f>ROUND(HEX2DEC(_0811_173439[[#This Row],[58F0]])*E$4/E$5+E$6,0)</f>
        <v>82</v>
      </c>
      <c r="M86">
        <f>ROUND(HEX2DEC(_0811_173439[[#This Row],[5805]])*F$4/F$5+F$6,0)</f>
        <v>42</v>
      </c>
      <c r="N86">
        <f>ROUND(HEX2DEC(_0811_173439[[#This Row],[58DD]])*G$4/G$5+G$6,2)</f>
        <v>-0.02</v>
      </c>
      <c r="P86">
        <v>0</v>
      </c>
      <c r="Q86">
        <v>36</v>
      </c>
      <c r="R86">
        <v>30.75</v>
      </c>
      <c r="S86">
        <v>82</v>
      </c>
      <c r="T86">
        <v>42</v>
      </c>
      <c r="U86">
        <v>-0.02</v>
      </c>
      <c r="W86">
        <f>DataLog_T717420_Aug11_4_59_37pm[[#This Row],[RPM '[1/MIN']]]-Table3[[#This Row],[580C]]</f>
        <v>0</v>
      </c>
      <c r="X86">
        <f>DataLog_T717420_Aug11_4_59_37pm[[#This Row],[OIL TEMP '[Â°C']]]-Table3[[#This Row],[4402]]</f>
        <v>0</v>
      </c>
      <c r="Y86">
        <f>DataLog_T717420_Aug11_4_59_37pm[[#This Row],[INTAKE TEMP '[Â°C']]]-Table3[[#This Row],[580F]]</f>
        <v>0</v>
      </c>
      <c r="Z86">
        <f>DataLog_T717420_Aug11_4_59_37pm[[#This Row],[HPFP PRES. '[BAR']]]-Table3[[#This Row],[58F0]]</f>
        <v>0</v>
      </c>
      <c r="AA86">
        <f>DataLog_T717420_Aug11_4_59_37pm[[#This Row],[COOLANT TEMP '[Â°C']]]-Table3[[#This Row],[5805]]</f>
        <v>0</v>
      </c>
      <c r="AB86">
        <f>DataLog_T717420_Aug11_4_59_37pm[[#This Row],[BOOST '[BAR']]]-Table3[[#This Row],[58DD]]</f>
        <v>0</v>
      </c>
    </row>
    <row r="87" spans="2:28" x14ac:dyDescent="0.25">
      <c r="B87" s="2" t="s">
        <v>23</v>
      </c>
      <c r="C87" s="2" t="s">
        <v>30</v>
      </c>
      <c r="D87" s="2" t="s">
        <v>25</v>
      </c>
      <c r="E87" s="2" t="s">
        <v>29</v>
      </c>
      <c r="F87" s="2" t="s">
        <v>26</v>
      </c>
      <c r="G87" s="2" t="s">
        <v>27</v>
      </c>
      <c r="I87">
        <f>HEX2DEC(_0811_173439[[#This Row],[580C]])*B$4/B$5+B$6</f>
        <v>0</v>
      </c>
      <c r="J87">
        <f>HEX2DEC(_0811_173439[[#This Row],[4402]])*C$4/C$5+C$6</f>
        <v>36</v>
      </c>
      <c r="K87">
        <f>HEX2DEC(_0811_173439[[#This Row],[580F]])*D$4/D$5+D$6</f>
        <v>30.75</v>
      </c>
      <c r="L87">
        <f>ROUND(HEX2DEC(_0811_173439[[#This Row],[58F0]])*E$4/E$5+E$6,0)</f>
        <v>82</v>
      </c>
      <c r="M87">
        <f>ROUND(HEX2DEC(_0811_173439[[#This Row],[5805]])*F$4/F$5+F$6,0)</f>
        <v>42</v>
      </c>
      <c r="N87">
        <f>ROUND(HEX2DEC(_0811_173439[[#This Row],[58DD]])*G$4/G$5+G$6,2)</f>
        <v>-0.03</v>
      </c>
      <c r="P87">
        <v>0</v>
      </c>
      <c r="Q87">
        <v>36</v>
      </c>
      <c r="R87">
        <v>30.75</v>
      </c>
      <c r="S87">
        <v>82</v>
      </c>
      <c r="T87">
        <v>42</v>
      </c>
      <c r="U87">
        <v>-0.03</v>
      </c>
      <c r="W87">
        <f>DataLog_T717420_Aug11_4_59_37pm[[#This Row],[RPM '[1/MIN']]]-Table3[[#This Row],[580C]]</f>
        <v>0</v>
      </c>
      <c r="X87">
        <f>DataLog_T717420_Aug11_4_59_37pm[[#This Row],[OIL TEMP '[Â°C']]]-Table3[[#This Row],[4402]]</f>
        <v>0</v>
      </c>
      <c r="Y87">
        <f>DataLog_T717420_Aug11_4_59_37pm[[#This Row],[INTAKE TEMP '[Â°C']]]-Table3[[#This Row],[580F]]</f>
        <v>0</v>
      </c>
      <c r="Z87">
        <f>DataLog_T717420_Aug11_4_59_37pm[[#This Row],[HPFP PRES. '[BAR']]]-Table3[[#This Row],[58F0]]</f>
        <v>0</v>
      </c>
      <c r="AA87">
        <f>DataLog_T717420_Aug11_4_59_37pm[[#This Row],[COOLANT TEMP '[Â°C']]]-Table3[[#This Row],[5805]]</f>
        <v>0</v>
      </c>
      <c r="AB87">
        <f>DataLog_T717420_Aug11_4_59_37pm[[#This Row],[BOOST '[BAR']]]-Table3[[#This Row],[58DD]]</f>
        <v>0</v>
      </c>
    </row>
    <row r="88" spans="2:28" x14ac:dyDescent="0.25">
      <c r="B88" s="2" t="s">
        <v>23</v>
      </c>
      <c r="C88" s="2" t="s">
        <v>30</v>
      </c>
      <c r="D88" s="2" t="s">
        <v>25</v>
      </c>
      <c r="E88" s="2" t="s">
        <v>29</v>
      </c>
      <c r="F88" s="2" t="s">
        <v>26</v>
      </c>
      <c r="G88" s="2" t="s">
        <v>27</v>
      </c>
      <c r="I88">
        <f>HEX2DEC(_0811_173439[[#This Row],[580C]])*B$4/B$5+B$6</f>
        <v>0</v>
      </c>
      <c r="J88">
        <f>HEX2DEC(_0811_173439[[#This Row],[4402]])*C$4/C$5+C$6</f>
        <v>36</v>
      </c>
      <c r="K88">
        <f>HEX2DEC(_0811_173439[[#This Row],[580F]])*D$4/D$5+D$6</f>
        <v>30.75</v>
      </c>
      <c r="L88">
        <f>ROUND(HEX2DEC(_0811_173439[[#This Row],[58F0]])*E$4/E$5+E$6,0)</f>
        <v>82</v>
      </c>
      <c r="M88">
        <f>ROUND(HEX2DEC(_0811_173439[[#This Row],[5805]])*F$4/F$5+F$6,0)</f>
        <v>42</v>
      </c>
      <c r="N88">
        <f>ROUND(HEX2DEC(_0811_173439[[#This Row],[58DD]])*G$4/G$5+G$6,2)</f>
        <v>-0.03</v>
      </c>
      <c r="P88">
        <v>0</v>
      </c>
      <c r="Q88">
        <v>36</v>
      </c>
      <c r="R88">
        <v>30.75</v>
      </c>
      <c r="S88">
        <v>82</v>
      </c>
      <c r="T88">
        <v>42</v>
      </c>
      <c r="U88">
        <v>-0.03</v>
      </c>
      <c r="W88">
        <f>DataLog_T717420_Aug11_4_59_37pm[[#This Row],[RPM '[1/MIN']]]-Table3[[#This Row],[580C]]</f>
        <v>0</v>
      </c>
      <c r="X88">
        <f>DataLog_T717420_Aug11_4_59_37pm[[#This Row],[OIL TEMP '[Â°C']]]-Table3[[#This Row],[4402]]</f>
        <v>0</v>
      </c>
      <c r="Y88">
        <f>DataLog_T717420_Aug11_4_59_37pm[[#This Row],[INTAKE TEMP '[Â°C']]]-Table3[[#This Row],[580F]]</f>
        <v>0</v>
      </c>
      <c r="Z88">
        <f>DataLog_T717420_Aug11_4_59_37pm[[#This Row],[HPFP PRES. '[BAR']]]-Table3[[#This Row],[58F0]]</f>
        <v>0</v>
      </c>
      <c r="AA88">
        <f>DataLog_T717420_Aug11_4_59_37pm[[#This Row],[COOLANT TEMP '[Â°C']]]-Table3[[#This Row],[5805]]</f>
        <v>0</v>
      </c>
      <c r="AB88">
        <f>DataLog_T717420_Aug11_4_59_37pm[[#This Row],[BOOST '[BAR']]]-Table3[[#This Row],[58DD]]</f>
        <v>0</v>
      </c>
    </row>
    <row r="89" spans="2:28" x14ac:dyDescent="0.25">
      <c r="B89" s="2" t="s">
        <v>23</v>
      </c>
      <c r="C89" s="2" t="s">
        <v>30</v>
      </c>
      <c r="D89" s="2" t="s">
        <v>25</v>
      </c>
      <c r="E89" s="2" t="s">
        <v>31</v>
      </c>
      <c r="F89" s="2" t="s">
        <v>26</v>
      </c>
      <c r="G89" s="2" t="s">
        <v>27</v>
      </c>
      <c r="I89">
        <f>HEX2DEC(_0811_173439[[#This Row],[580C]])*B$4/B$5+B$6</f>
        <v>0</v>
      </c>
      <c r="J89">
        <f>HEX2DEC(_0811_173439[[#This Row],[4402]])*C$4/C$5+C$6</f>
        <v>36</v>
      </c>
      <c r="K89">
        <f>HEX2DEC(_0811_173439[[#This Row],[580F]])*D$4/D$5+D$6</f>
        <v>30.75</v>
      </c>
      <c r="L89">
        <f>ROUND(HEX2DEC(_0811_173439[[#This Row],[58F0]])*E$4/E$5+E$6,0)</f>
        <v>82</v>
      </c>
      <c r="M89">
        <f>ROUND(HEX2DEC(_0811_173439[[#This Row],[5805]])*F$4/F$5+F$6,0)</f>
        <v>42</v>
      </c>
      <c r="N89">
        <f>ROUND(HEX2DEC(_0811_173439[[#This Row],[58DD]])*G$4/G$5+G$6,2)</f>
        <v>-0.03</v>
      </c>
      <c r="P89">
        <v>0</v>
      </c>
      <c r="Q89">
        <v>36</v>
      </c>
      <c r="R89">
        <v>30.75</v>
      </c>
      <c r="S89">
        <v>82</v>
      </c>
      <c r="T89">
        <v>42</v>
      </c>
      <c r="U89">
        <v>-0.03</v>
      </c>
      <c r="W89">
        <f>DataLog_T717420_Aug11_4_59_37pm[[#This Row],[RPM '[1/MIN']]]-Table3[[#This Row],[580C]]</f>
        <v>0</v>
      </c>
      <c r="X89">
        <f>DataLog_T717420_Aug11_4_59_37pm[[#This Row],[OIL TEMP '[Â°C']]]-Table3[[#This Row],[4402]]</f>
        <v>0</v>
      </c>
      <c r="Y89">
        <f>DataLog_T717420_Aug11_4_59_37pm[[#This Row],[INTAKE TEMP '[Â°C']]]-Table3[[#This Row],[580F]]</f>
        <v>0</v>
      </c>
      <c r="Z89">
        <f>DataLog_T717420_Aug11_4_59_37pm[[#This Row],[HPFP PRES. '[BAR']]]-Table3[[#This Row],[58F0]]</f>
        <v>0</v>
      </c>
      <c r="AA89">
        <f>DataLog_T717420_Aug11_4_59_37pm[[#This Row],[COOLANT TEMP '[Â°C']]]-Table3[[#This Row],[5805]]</f>
        <v>0</v>
      </c>
      <c r="AB89">
        <f>DataLog_T717420_Aug11_4_59_37pm[[#This Row],[BOOST '[BAR']]]-Table3[[#This Row],[58DD]]</f>
        <v>0</v>
      </c>
    </row>
    <row r="90" spans="2:28" x14ac:dyDescent="0.25">
      <c r="B90" s="2" t="s">
        <v>23</v>
      </c>
      <c r="C90" s="2" t="s">
        <v>30</v>
      </c>
      <c r="D90" s="2" t="s">
        <v>25</v>
      </c>
      <c r="E90" s="2" t="s">
        <v>32</v>
      </c>
      <c r="F90" s="2" t="s">
        <v>26</v>
      </c>
      <c r="G90" s="2" t="s">
        <v>27</v>
      </c>
      <c r="I90">
        <f>HEX2DEC(_0811_173439[[#This Row],[580C]])*B$4/B$5+B$6</f>
        <v>0</v>
      </c>
      <c r="J90">
        <f>HEX2DEC(_0811_173439[[#This Row],[4402]])*C$4/C$5+C$6</f>
        <v>36</v>
      </c>
      <c r="K90">
        <f>HEX2DEC(_0811_173439[[#This Row],[580F]])*D$4/D$5+D$6</f>
        <v>30.75</v>
      </c>
      <c r="L90">
        <f>ROUND(HEX2DEC(_0811_173439[[#This Row],[58F0]])*E$4/E$5+E$6,0)</f>
        <v>82</v>
      </c>
      <c r="M90">
        <f>ROUND(HEX2DEC(_0811_173439[[#This Row],[5805]])*F$4/F$5+F$6,0)</f>
        <v>42</v>
      </c>
      <c r="N90">
        <f>ROUND(HEX2DEC(_0811_173439[[#This Row],[58DD]])*G$4/G$5+G$6,2)</f>
        <v>-0.03</v>
      </c>
      <c r="P90">
        <v>0</v>
      </c>
      <c r="Q90">
        <v>36</v>
      </c>
      <c r="R90">
        <v>30.75</v>
      </c>
      <c r="S90">
        <v>82</v>
      </c>
      <c r="T90">
        <v>42</v>
      </c>
      <c r="U90">
        <v>-0.03</v>
      </c>
      <c r="W90">
        <f>DataLog_T717420_Aug11_4_59_37pm[[#This Row],[RPM '[1/MIN']]]-Table3[[#This Row],[580C]]</f>
        <v>0</v>
      </c>
      <c r="X90">
        <f>DataLog_T717420_Aug11_4_59_37pm[[#This Row],[OIL TEMP '[Â°C']]]-Table3[[#This Row],[4402]]</f>
        <v>0</v>
      </c>
      <c r="Y90">
        <f>DataLog_T717420_Aug11_4_59_37pm[[#This Row],[INTAKE TEMP '[Â°C']]]-Table3[[#This Row],[580F]]</f>
        <v>0</v>
      </c>
      <c r="Z90">
        <f>DataLog_T717420_Aug11_4_59_37pm[[#This Row],[HPFP PRES. '[BAR']]]-Table3[[#This Row],[58F0]]</f>
        <v>0</v>
      </c>
      <c r="AA90">
        <f>DataLog_T717420_Aug11_4_59_37pm[[#This Row],[COOLANT TEMP '[Â°C']]]-Table3[[#This Row],[5805]]</f>
        <v>0</v>
      </c>
      <c r="AB90">
        <f>DataLog_T717420_Aug11_4_59_37pm[[#This Row],[BOOST '[BAR']]]-Table3[[#This Row],[58DD]]</f>
        <v>0</v>
      </c>
    </row>
    <row r="91" spans="2:28" x14ac:dyDescent="0.25">
      <c r="B91" s="2" t="s">
        <v>23</v>
      </c>
      <c r="C91" s="2" t="s">
        <v>30</v>
      </c>
      <c r="D91" s="2" t="s">
        <v>25</v>
      </c>
      <c r="E91" s="2" t="s">
        <v>33</v>
      </c>
      <c r="F91" s="2" t="s">
        <v>26</v>
      </c>
      <c r="G91" s="2" t="s">
        <v>27</v>
      </c>
      <c r="I91">
        <f>HEX2DEC(_0811_173439[[#This Row],[580C]])*B$4/B$5+B$6</f>
        <v>0</v>
      </c>
      <c r="J91">
        <f>HEX2DEC(_0811_173439[[#This Row],[4402]])*C$4/C$5+C$6</f>
        <v>36</v>
      </c>
      <c r="K91">
        <f>HEX2DEC(_0811_173439[[#This Row],[580F]])*D$4/D$5+D$6</f>
        <v>30.75</v>
      </c>
      <c r="L91">
        <f>ROUND(HEX2DEC(_0811_173439[[#This Row],[58F0]])*E$4/E$5+E$6,0)</f>
        <v>82</v>
      </c>
      <c r="M91">
        <f>ROUND(HEX2DEC(_0811_173439[[#This Row],[5805]])*F$4/F$5+F$6,0)</f>
        <v>42</v>
      </c>
      <c r="N91">
        <f>ROUND(HEX2DEC(_0811_173439[[#This Row],[58DD]])*G$4/G$5+G$6,2)</f>
        <v>-0.03</v>
      </c>
      <c r="P91">
        <v>0</v>
      </c>
      <c r="Q91">
        <v>36</v>
      </c>
      <c r="R91">
        <v>30.75</v>
      </c>
      <c r="S91">
        <v>82</v>
      </c>
      <c r="T91">
        <v>42</v>
      </c>
      <c r="U91">
        <v>-0.03</v>
      </c>
      <c r="W91">
        <f>DataLog_T717420_Aug11_4_59_37pm[[#This Row],[RPM '[1/MIN']]]-Table3[[#This Row],[580C]]</f>
        <v>0</v>
      </c>
      <c r="X91">
        <f>DataLog_T717420_Aug11_4_59_37pm[[#This Row],[OIL TEMP '[Â°C']]]-Table3[[#This Row],[4402]]</f>
        <v>0</v>
      </c>
      <c r="Y91">
        <f>DataLog_T717420_Aug11_4_59_37pm[[#This Row],[INTAKE TEMP '[Â°C']]]-Table3[[#This Row],[580F]]</f>
        <v>0</v>
      </c>
      <c r="Z91">
        <f>DataLog_T717420_Aug11_4_59_37pm[[#This Row],[HPFP PRES. '[BAR']]]-Table3[[#This Row],[58F0]]</f>
        <v>0</v>
      </c>
      <c r="AA91">
        <f>DataLog_T717420_Aug11_4_59_37pm[[#This Row],[COOLANT TEMP '[Â°C']]]-Table3[[#This Row],[5805]]</f>
        <v>0</v>
      </c>
      <c r="AB91">
        <f>DataLog_T717420_Aug11_4_59_37pm[[#This Row],[BOOST '[BAR']]]-Table3[[#This Row],[58DD]]</f>
        <v>0</v>
      </c>
    </row>
    <row r="92" spans="2:28" x14ac:dyDescent="0.25">
      <c r="B92" s="2" t="s">
        <v>23</v>
      </c>
      <c r="C92" s="2" t="s">
        <v>30</v>
      </c>
      <c r="D92" s="2" t="s">
        <v>25</v>
      </c>
      <c r="E92" s="2" t="s">
        <v>32</v>
      </c>
      <c r="F92" s="2" t="s">
        <v>26</v>
      </c>
      <c r="G92" s="2" t="s">
        <v>27</v>
      </c>
      <c r="I92">
        <f>HEX2DEC(_0811_173439[[#This Row],[580C]])*B$4/B$5+B$6</f>
        <v>0</v>
      </c>
      <c r="J92">
        <f>HEX2DEC(_0811_173439[[#This Row],[4402]])*C$4/C$5+C$6</f>
        <v>36</v>
      </c>
      <c r="K92">
        <f>HEX2DEC(_0811_173439[[#This Row],[580F]])*D$4/D$5+D$6</f>
        <v>30.75</v>
      </c>
      <c r="L92">
        <f>ROUND(HEX2DEC(_0811_173439[[#This Row],[58F0]])*E$4/E$5+E$6,0)</f>
        <v>82</v>
      </c>
      <c r="M92">
        <f>ROUND(HEX2DEC(_0811_173439[[#This Row],[5805]])*F$4/F$5+F$6,0)</f>
        <v>42</v>
      </c>
      <c r="N92">
        <f>ROUND(HEX2DEC(_0811_173439[[#This Row],[58DD]])*G$4/G$5+G$6,2)</f>
        <v>-0.03</v>
      </c>
      <c r="P92">
        <v>0</v>
      </c>
      <c r="Q92">
        <v>36</v>
      </c>
      <c r="R92">
        <v>30.75</v>
      </c>
      <c r="S92">
        <v>82</v>
      </c>
      <c r="T92">
        <v>42</v>
      </c>
      <c r="U92">
        <v>-0.03</v>
      </c>
      <c r="W92">
        <f>DataLog_T717420_Aug11_4_59_37pm[[#This Row],[RPM '[1/MIN']]]-Table3[[#This Row],[580C]]</f>
        <v>0</v>
      </c>
      <c r="X92">
        <f>DataLog_T717420_Aug11_4_59_37pm[[#This Row],[OIL TEMP '[Â°C']]]-Table3[[#This Row],[4402]]</f>
        <v>0</v>
      </c>
      <c r="Y92">
        <f>DataLog_T717420_Aug11_4_59_37pm[[#This Row],[INTAKE TEMP '[Â°C']]]-Table3[[#This Row],[580F]]</f>
        <v>0</v>
      </c>
      <c r="Z92">
        <f>DataLog_T717420_Aug11_4_59_37pm[[#This Row],[HPFP PRES. '[BAR']]]-Table3[[#This Row],[58F0]]</f>
        <v>0</v>
      </c>
      <c r="AA92">
        <f>DataLog_T717420_Aug11_4_59_37pm[[#This Row],[COOLANT TEMP '[Â°C']]]-Table3[[#This Row],[5805]]</f>
        <v>0</v>
      </c>
      <c r="AB92">
        <f>DataLog_T717420_Aug11_4_59_37pm[[#This Row],[BOOST '[BAR']]]-Table3[[#This Row],[58DD]]</f>
        <v>0</v>
      </c>
    </row>
    <row r="93" spans="2:28" x14ac:dyDescent="0.25">
      <c r="B93" s="2" t="s">
        <v>23</v>
      </c>
      <c r="C93" s="2" t="s">
        <v>30</v>
      </c>
      <c r="D93" s="2" t="s">
        <v>25</v>
      </c>
      <c r="E93" s="2" t="s">
        <v>33</v>
      </c>
      <c r="F93" s="2" t="s">
        <v>26</v>
      </c>
      <c r="G93" s="2" t="s">
        <v>28</v>
      </c>
      <c r="I93">
        <f>HEX2DEC(_0811_173439[[#This Row],[580C]])*B$4/B$5+B$6</f>
        <v>0</v>
      </c>
      <c r="J93">
        <f>HEX2DEC(_0811_173439[[#This Row],[4402]])*C$4/C$5+C$6</f>
        <v>36</v>
      </c>
      <c r="K93">
        <f>HEX2DEC(_0811_173439[[#This Row],[580F]])*D$4/D$5+D$6</f>
        <v>30.75</v>
      </c>
      <c r="L93">
        <f>ROUND(HEX2DEC(_0811_173439[[#This Row],[58F0]])*E$4/E$5+E$6,0)</f>
        <v>82</v>
      </c>
      <c r="M93">
        <f>ROUND(HEX2DEC(_0811_173439[[#This Row],[5805]])*F$4/F$5+F$6,0)</f>
        <v>42</v>
      </c>
      <c r="N93">
        <f>ROUND(HEX2DEC(_0811_173439[[#This Row],[58DD]])*G$4/G$5+G$6,2)</f>
        <v>-0.02</v>
      </c>
      <c r="P93">
        <v>0</v>
      </c>
      <c r="Q93">
        <v>36</v>
      </c>
      <c r="R93">
        <v>30.75</v>
      </c>
      <c r="S93">
        <v>82</v>
      </c>
      <c r="T93">
        <v>42</v>
      </c>
      <c r="U93">
        <v>-0.02</v>
      </c>
      <c r="W93">
        <f>DataLog_T717420_Aug11_4_59_37pm[[#This Row],[RPM '[1/MIN']]]-Table3[[#This Row],[580C]]</f>
        <v>0</v>
      </c>
      <c r="X93">
        <f>DataLog_T717420_Aug11_4_59_37pm[[#This Row],[OIL TEMP '[Â°C']]]-Table3[[#This Row],[4402]]</f>
        <v>0</v>
      </c>
      <c r="Y93">
        <f>DataLog_T717420_Aug11_4_59_37pm[[#This Row],[INTAKE TEMP '[Â°C']]]-Table3[[#This Row],[580F]]</f>
        <v>0</v>
      </c>
      <c r="Z93">
        <f>DataLog_T717420_Aug11_4_59_37pm[[#This Row],[HPFP PRES. '[BAR']]]-Table3[[#This Row],[58F0]]</f>
        <v>0</v>
      </c>
      <c r="AA93">
        <f>DataLog_T717420_Aug11_4_59_37pm[[#This Row],[COOLANT TEMP '[Â°C']]]-Table3[[#This Row],[5805]]</f>
        <v>0</v>
      </c>
      <c r="AB93">
        <f>DataLog_T717420_Aug11_4_59_37pm[[#This Row],[BOOST '[BAR']]]-Table3[[#This Row],[58DD]]</f>
        <v>0</v>
      </c>
    </row>
    <row r="94" spans="2:28" x14ac:dyDescent="0.25">
      <c r="B94" s="2" t="s">
        <v>23</v>
      </c>
      <c r="C94" s="2" t="s">
        <v>30</v>
      </c>
      <c r="D94" s="2" t="s">
        <v>25</v>
      </c>
      <c r="E94" s="2" t="s">
        <v>34</v>
      </c>
      <c r="F94" s="2" t="s">
        <v>26</v>
      </c>
      <c r="G94" s="2" t="s">
        <v>27</v>
      </c>
      <c r="I94">
        <f>HEX2DEC(_0811_173439[[#This Row],[580C]])*B$4/B$5+B$6</f>
        <v>0</v>
      </c>
      <c r="J94">
        <f>HEX2DEC(_0811_173439[[#This Row],[4402]])*C$4/C$5+C$6</f>
        <v>36</v>
      </c>
      <c r="K94">
        <f>HEX2DEC(_0811_173439[[#This Row],[580F]])*D$4/D$5+D$6</f>
        <v>30.75</v>
      </c>
      <c r="L94">
        <f>ROUND(HEX2DEC(_0811_173439[[#This Row],[58F0]])*E$4/E$5+E$6,0)</f>
        <v>82</v>
      </c>
      <c r="M94">
        <f>ROUND(HEX2DEC(_0811_173439[[#This Row],[5805]])*F$4/F$5+F$6,0)</f>
        <v>42</v>
      </c>
      <c r="N94">
        <f>ROUND(HEX2DEC(_0811_173439[[#This Row],[58DD]])*G$4/G$5+G$6,2)</f>
        <v>-0.03</v>
      </c>
      <c r="P94">
        <v>0</v>
      </c>
      <c r="Q94">
        <v>36</v>
      </c>
      <c r="R94">
        <v>30.75</v>
      </c>
      <c r="S94">
        <v>82</v>
      </c>
      <c r="T94">
        <v>42</v>
      </c>
      <c r="U94">
        <v>-0.03</v>
      </c>
      <c r="W94">
        <f>DataLog_T717420_Aug11_4_59_37pm[[#This Row],[RPM '[1/MIN']]]-Table3[[#This Row],[580C]]</f>
        <v>0</v>
      </c>
      <c r="X94">
        <f>DataLog_T717420_Aug11_4_59_37pm[[#This Row],[OIL TEMP '[Â°C']]]-Table3[[#This Row],[4402]]</f>
        <v>0</v>
      </c>
      <c r="Y94">
        <f>DataLog_T717420_Aug11_4_59_37pm[[#This Row],[INTAKE TEMP '[Â°C']]]-Table3[[#This Row],[580F]]</f>
        <v>0</v>
      </c>
      <c r="Z94">
        <f>DataLog_T717420_Aug11_4_59_37pm[[#This Row],[HPFP PRES. '[BAR']]]-Table3[[#This Row],[58F0]]</f>
        <v>0</v>
      </c>
      <c r="AA94">
        <f>DataLog_T717420_Aug11_4_59_37pm[[#This Row],[COOLANT TEMP '[Â°C']]]-Table3[[#This Row],[5805]]</f>
        <v>0</v>
      </c>
      <c r="AB94">
        <f>DataLog_T717420_Aug11_4_59_37pm[[#This Row],[BOOST '[BAR']]]-Table3[[#This Row],[58DD]]</f>
        <v>0</v>
      </c>
    </row>
    <row r="95" spans="2:28" x14ac:dyDescent="0.25">
      <c r="B95" s="2" t="s">
        <v>23</v>
      </c>
      <c r="C95" s="2" t="s">
        <v>30</v>
      </c>
      <c r="D95" s="2" t="s">
        <v>25</v>
      </c>
      <c r="E95" s="2" t="s">
        <v>31</v>
      </c>
      <c r="F95" s="2" t="s">
        <v>26</v>
      </c>
      <c r="G95" s="2" t="s">
        <v>27</v>
      </c>
      <c r="I95">
        <f>HEX2DEC(_0811_173439[[#This Row],[580C]])*B$4/B$5+B$6</f>
        <v>0</v>
      </c>
      <c r="J95">
        <f>HEX2DEC(_0811_173439[[#This Row],[4402]])*C$4/C$5+C$6</f>
        <v>36</v>
      </c>
      <c r="K95">
        <f>HEX2DEC(_0811_173439[[#This Row],[580F]])*D$4/D$5+D$6</f>
        <v>30.75</v>
      </c>
      <c r="L95">
        <f>ROUND(HEX2DEC(_0811_173439[[#This Row],[58F0]])*E$4/E$5+E$6,0)</f>
        <v>82</v>
      </c>
      <c r="M95">
        <f>ROUND(HEX2DEC(_0811_173439[[#This Row],[5805]])*F$4/F$5+F$6,0)</f>
        <v>42</v>
      </c>
      <c r="N95">
        <f>ROUND(HEX2DEC(_0811_173439[[#This Row],[58DD]])*G$4/G$5+G$6,2)</f>
        <v>-0.03</v>
      </c>
      <c r="P95">
        <v>0</v>
      </c>
      <c r="Q95">
        <v>36</v>
      </c>
      <c r="R95">
        <v>30.75</v>
      </c>
      <c r="S95">
        <v>82</v>
      </c>
      <c r="T95">
        <v>42</v>
      </c>
      <c r="U95">
        <v>-0.03</v>
      </c>
      <c r="W95">
        <f>DataLog_T717420_Aug11_4_59_37pm[[#This Row],[RPM '[1/MIN']]]-Table3[[#This Row],[580C]]</f>
        <v>0</v>
      </c>
      <c r="X95">
        <f>DataLog_T717420_Aug11_4_59_37pm[[#This Row],[OIL TEMP '[Â°C']]]-Table3[[#This Row],[4402]]</f>
        <v>0</v>
      </c>
      <c r="Y95">
        <f>DataLog_T717420_Aug11_4_59_37pm[[#This Row],[INTAKE TEMP '[Â°C']]]-Table3[[#This Row],[580F]]</f>
        <v>0</v>
      </c>
      <c r="Z95">
        <f>DataLog_T717420_Aug11_4_59_37pm[[#This Row],[HPFP PRES. '[BAR']]]-Table3[[#This Row],[58F0]]</f>
        <v>0</v>
      </c>
      <c r="AA95">
        <f>DataLog_T717420_Aug11_4_59_37pm[[#This Row],[COOLANT TEMP '[Â°C']]]-Table3[[#This Row],[5805]]</f>
        <v>0</v>
      </c>
      <c r="AB95">
        <f>DataLog_T717420_Aug11_4_59_37pm[[#This Row],[BOOST '[BAR']]]-Table3[[#This Row],[58DD]]</f>
        <v>0</v>
      </c>
    </row>
    <row r="96" spans="2:28" x14ac:dyDescent="0.25">
      <c r="B96" s="2" t="s">
        <v>23</v>
      </c>
      <c r="C96" s="2" t="s">
        <v>30</v>
      </c>
      <c r="D96" s="2" t="s">
        <v>25</v>
      </c>
      <c r="E96" s="2" t="s">
        <v>35</v>
      </c>
      <c r="F96" s="2" t="s">
        <v>26</v>
      </c>
      <c r="G96" s="2" t="s">
        <v>27</v>
      </c>
      <c r="I96">
        <f>HEX2DEC(_0811_173439[[#This Row],[580C]])*B$4/B$5+B$6</f>
        <v>0</v>
      </c>
      <c r="J96">
        <f>HEX2DEC(_0811_173439[[#This Row],[4402]])*C$4/C$5+C$6</f>
        <v>36</v>
      </c>
      <c r="K96">
        <f>HEX2DEC(_0811_173439[[#This Row],[580F]])*D$4/D$5+D$6</f>
        <v>30.75</v>
      </c>
      <c r="L96">
        <f>ROUND(HEX2DEC(_0811_173439[[#This Row],[58F0]])*E$4/E$5+E$6,0)</f>
        <v>82</v>
      </c>
      <c r="M96">
        <f>ROUND(HEX2DEC(_0811_173439[[#This Row],[5805]])*F$4/F$5+F$6,0)</f>
        <v>42</v>
      </c>
      <c r="N96">
        <f>ROUND(HEX2DEC(_0811_173439[[#This Row],[58DD]])*G$4/G$5+G$6,2)</f>
        <v>-0.03</v>
      </c>
      <c r="P96">
        <v>0</v>
      </c>
      <c r="Q96">
        <v>36</v>
      </c>
      <c r="R96">
        <v>30.75</v>
      </c>
      <c r="S96">
        <v>82</v>
      </c>
      <c r="T96">
        <v>42</v>
      </c>
      <c r="U96">
        <v>-0.03</v>
      </c>
      <c r="W96">
        <f>DataLog_T717420_Aug11_4_59_37pm[[#This Row],[RPM '[1/MIN']]]-Table3[[#This Row],[580C]]</f>
        <v>0</v>
      </c>
      <c r="X96">
        <f>DataLog_T717420_Aug11_4_59_37pm[[#This Row],[OIL TEMP '[Â°C']]]-Table3[[#This Row],[4402]]</f>
        <v>0</v>
      </c>
      <c r="Y96">
        <f>DataLog_T717420_Aug11_4_59_37pm[[#This Row],[INTAKE TEMP '[Â°C']]]-Table3[[#This Row],[580F]]</f>
        <v>0</v>
      </c>
      <c r="Z96">
        <f>DataLog_T717420_Aug11_4_59_37pm[[#This Row],[HPFP PRES. '[BAR']]]-Table3[[#This Row],[58F0]]</f>
        <v>0</v>
      </c>
      <c r="AA96">
        <f>DataLog_T717420_Aug11_4_59_37pm[[#This Row],[COOLANT TEMP '[Â°C']]]-Table3[[#This Row],[5805]]</f>
        <v>0</v>
      </c>
      <c r="AB96">
        <f>DataLog_T717420_Aug11_4_59_37pm[[#This Row],[BOOST '[BAR']]]-Table3[[#This Row],[58DD]]</f>
        <v>0</v>
      </c>
    </row>
    <row r="97" spans="2:28" x14ac:dyDescent="0.25">
      <c r="B97" s="2" t="s">
        <v>23</v>
      </c>
      <c r="C97" s="2" t="s">
        <v>30</v>
      </c>
      <c r="D97" s="2" t="s">
        <v>25</v>
      </c>
      <c r="E97" s="2" t="s">
        <v>35</v>
      </c>
      <c r="F97" s="2" t="s">
        <v>26</v>
      </c>
      <c r="G97" s="2" t="s">
        <v>27</v>
      </c>
      <c r="I97">
        <f>HEX2DEC(_0811_173439[[#This Row],[580C]])*B$4/B$5+B$6</f>
        <v>0</v>
      </c>
      <c r="J97">
        <f>HEX2DEC(_0811_173439[[#This Row],[4402]])*C$4/C$5+C$6</f>
        <v>36</v>
      </c>
      <c r="K97">
        <f>HEX2DEC(_0811_173439[[#This Row],[580F]])*D$4/D$5+D$6</f>
        <v>30.75</v>
      </c>
      <c r="L97">
        <f>ROUND(HEX2DEC(_0811_173439[[#This Row],[58F0]])*E$4/E$5+E$6,0)</f>
        <v>82</v>
      </c>
      <c r="M97">
        <f>ROUND(HEX2DEC(_0811_173439[[#This Row],[5805]])*F$4/F$5+F$6,0)</f>
        <v>42</v>
      </c>
      <c r="N97">
        <f>ROUND(HEX2DEC(_0811_173439[[#This Row],[58DD]])*G$4/G$5+G$6,2)</f>
        <v>-0.03</v>
      </c>
      <c r="P97">
        <v>0</v>
      </c>
      <c r="Q97">
        <v>36</v>
      </c>
      <c r="R97">
        <v>30.75</v>
      </c>
      <c r="S97">
        <v>82</v>
      </c>
      <c r="T97">
        <v>42</v>
      </c>
      <c r="U97">
        <v>-0.03</v>
      </c>
      <c r="W97">
        <f>DataLog_T717420_Aug11_4_59_37pm[[#This Row],[RPM '[1/MIN']]]-Table3[[#This Row],[580C]]</f>
        <v>0</v>
      </c>
      <c r="X97">
        <f>DataLog_T717420_Aug11_4_59_37pm[[#This Row],[OIL TEMP '[Â°C']]]-Table3[[#This Row],[4402]]</f>
        <v>0</v>
      </c>
      <c r="Y97">
        <f>DataLog_T717420_Aug11_4_59_37pm[[#This Row],[INTAKE TEMP '[Â°C']]]-Table3[[#This Row],[580F]]</f>
        <v>0</v>
      </c>
      <c r="Z97">
        <f>DataLog_T717420_Aug11_4_59_37pm[[#This Row],[HPFP PRES. '[BAR']]]-Table3[[#This Row],[58F0]]</f>
        <v>0</v>
      </c>
      <c r="AA97">
        <f>DataLog_T717420_Aug11_4_59_37pm[[#This Row],[COOLANT TEMP '[Â°C']]]-Table3[[#This Row],[5805]]</f>
        <v>0</v>
      </c>
      <c r="AB97">
        <f>DataLog_T717420_Aug11_4_59_37pm[[#This Row],[BOOST '[BAR']]]-Table3[[#This Row],[58DD]]</f>
        <v>0</v>
      </c>
    </row>
    <row r="98" spans="2:28" x14ac:dyDescent="0.25">
      <c r="B98" s="2" t="s">
        <v>23</v>
      </c>
      <c r="C98" s="2" t="s">
        <v>30</v>
      </c>
      <c r="D98" s="2" t="s">
        <v>25</v>
      </c>
      <c r="E98" s="2" t="s">
        <v>36</v>
      </c>
      <c r="F98" s="2" t="s">
        <v>26</v>
      </c>
      <c r="G98" s="2" t="s">
        <v>27</v>
      </c>
      <c r="I98">
        <f>HEX2DEC(_0811_173439[[#This Row],[580C]])*B$4/B$5+B$6</f>
        <v>0</v>
      </c>
      <c r="J98">
        <f>HEX2DEC(_0811_173439[[#This Row],[4402]])*C$4/C$5+C$6</f>
        <v>36</v>
      </c>
      <c r="K98">
        <f>HEX2DEC(_0811_173439[[#This Row],[580F]])*D$4/D$5+D$6</f>
        <v>30.75</v>
      </c>
      <c r="L98">
        <f>ROUND(HEX2DEC(_0811_173439[[#This Row],[58F0]])*E$4/E$5+E$6,0)</f>
        <v>82</v>
      </c>
      <c r="M98">
        <f>ROUND(HEX2DEC(_0811_173439[[#This Row],[5805]])*F$4/F$5+F$6,0)</f>
        <v>42</v>
      </c>
      <c r="N98">
        <f>ROUND(HEX2DEC(_0811_173439[[#This Row],[58DD]])*G$4/G$5+G$6,2)</f>
        <v>-0.03</v>
      </c>
      <c r="P98">
        <v>0</v>
      </c>
      <c r="Q98">
        <v>36</v>
      </c>
      <c r="R98">
        <v>30.75</v>
      </c>
      <c r="S98">
        <v>82</v>
      </c>
      <c r="T98">
        <v>42</v>
      </c>
      <c r="U98">
        <v>-0.03</v>
      </c>
      <c r="W98">
        <f>DataLog_T717420_Aug11_4_59_37pm[[#This Row],[RPM '[1/MIN']]]-Table3[[#This Row],[580C]]</f>
        <v>0</v>
      </c>
      <c r="X98">
        <f>DataLog_T717420_Aug11_4_59_37pm[[#This Row],[OIL TEMP '[Â°C']]]-Table3[[#This Row],[4402]]</f>
        <v>0</v>
      </c>
      <c r="Y98">
        <f>DataLog_T717420_Aug11_4_59_37pm[[#This Row],[INTAKE TEMP '[Â°C']]]-Table3[[#This Row],[580F]]</f>
        <v>0</v>
      </c>
      <c r="Z98">
        <f>DataLog_T717420_Aug11_4_59_37pm[[#This Row],[HPFP PRES. '[BAR']]]-Table3[[#This Row],[58F0]]</f>
        <v>0</v>
      </c>
      <c r="AA98">
        <f>DataLog_T717420_Aug11_4_59_37pm[[#This Row],[COOLANT TEMP '[Â°C']]]-Table3[[#This Row],[5805]]</f>
        <v>0</v>
      </c>
      <c r="AB98">
        <f>DataLog_T717420_Aug11_4_59_37pm[[#This Row],[BOOST '[BAR']]]-Table3[[#This Row],[58DD]]</f>
        <v>0</v>
      </c>
    </row>
    <row r="99" spans="2:28" x14ac:dyDescent="0.25">
      <c r="B99" s="2" t="s">
        <v>23</v>
      </c>
      <c r="C99" s="2" t="s">
        <v>30</v>
      </c>
      <c r="D99" s="2" t="s">
        <v>25</v>
      </c>
      <c r="E99" s="2" t="s">
        <v>36</v>
      </c>
      <c r="F99" s="2" t="s">
        <v>26</v>
      </c>
      <c r="G99" s="2" t="s">
        <v>28</v>
      </c>
      <c r="I99">
        <f>HEX2DEC(_0811_173439[[#This Row],[580C]])*B$4/B$5+B$6</f>
        <v>0</v>
      </c>
      <c r="J99">
        <f>HEX2DEC(_0811_173439[[#This Row],[4402]])*C$4/C$5+C$6</f>
        <v>36</v>
      </c>
      <c r="K99">
        <f>HEX2DEC(_0811_173439[[#This Row],[580F]])*D$4/D$5+D$6</f>
        <v>30.75</v>
      </c>
      <c r="L99">
        <f>ROUND(HEX2DEC(_0811_173439[[#This Row],[58F0]])*E$4/E$5+E$6,0)</f>
        <v>82</v>
      </c>
      <c r="M99">
        <f>ROUND(HEX2DEC(_0811_173439[[#This Row],[5805]])*F$4/F$5+F$6,0)</f>
        <v>42</v>
      </c>
      <c r="N99">
        <f>ROUND(HEX2DEC(_0811_173439[[#This Row],[58DD]])*G$4/G$5+G$6,2)</f>
        <v>-0.02</v>
      </c>
      <c r="P99">
        <v>0</v>
      </c>
      <c r="Q99">
        <v>36</v>
      </c>
      <c r="R99">
        <v>30.75</v>
      </c>
      <c r="S99">
        <v>82</v>
      </c>
      <c r="T99">
        <v>42</v>
      </c>
      <c r="U99">
        <v>-0.02</v>
      </c>
      <c r="W99">
        <f>DataLog_T717420_Aug11_4_59_37pm[[#This Row],[RPM '[1/MIN']]]-Table3[[#This Row],[580C]]</f>
        <v>0</v>
      </c>
      <c r="X99">
        <f>DataLog_T717420_Aug11_4_59_37pm[[#This Row],[OIL TEMP '[Â°C']]]-Table3[[#This Row],[4402]]</f>
        <v>0</v>
      </c>
      <c r="Y99">
        <f>DataLog_T717420_Aug11_4_59_37pm[[#This Row],[INTAKE TEMP '[Â°C']]]-Table3[[#This Row],[580F]]</f>
        <v>0</v>
      </c>
      <c r="Z99">
        <f>DataLog_T717420_Aug11_4_59_37pm[[#This Row],[HPFP PRES. '[BAR']]]-Table3[[#This Row],[58F0]]</f>
        <v>0</v>
      </c>
      <c r="AA99">
        <f>DataLog_T717420_Aug11_4_59_37pm[[#This Row],[COOLANT TEMP '[Â°C']]]-Table3[[#This Row],[5805]]</f>
        <v>0</v>
      </c>
      <c r="AB99">
        <f>DataLog_T717420_Aug11_4_59_37pm[[#This Row],[BOOST '[BAR']]]-Table3[[#This Row],[58DD]]</f>
        <v>0</v>
      </c>
    </row>
    <row r="100" spans="2:28" x14ac:dyDescent="0.25">
      <c r="B100" s="2" t="s">
        <v>23</v>
      </c>
      <c r="C100" s="2" t="s">
        <v>30</v>
      </c>
      <c r="D100" s="2" t="s">
        <v>25</v>
      </c>
      <c r="E100" s="2" t="s">
        <v>37</v>
      </c>
      <c r="F100" s="2" t="s">
        <v>26</v>
      </c>
      <c r="G100" s="2" t="s">
        <v>27</v>
      </c>
      <c r="I100">
        <f>HEX2DEC(_0811_173439[[#This Row],[580C]])*B$4/B$5+B$6</f>
        <v>0</v>
      </c>
      <c r="J100">
        <f>HEX2DEC(_0811_173439[[#This Row],[4402]])*C$4/C$5+C$6</f>
        <v>36</v>
      </c>
      <c r="K100">
        <f>HEX2DEC(_0811_173439[[#This Row],[580F]])*D$4/D$5+D$6</f>
        <v>30.75</v>
      </c>
      <c r="L100">
        <f>ROUND(HEX2DEC(_0811_173439[[#This Row],[58F0]])*E$4/E$5+E$6,0)</f>
        <v>82</v>
      </c>
      <c r="M100">
        <f>ROUND(HEX2DEC(_0811_173439[[#This Row],[5805]])*F$4/F$5+F$6,0)</f>
        <v>42</v>
      </c>
      <c r="N100">
        <f>ROUND(HEX2DEC(_0811_173439[[#This Row],[58DD]])*G$4/G$5+G$6,2)</f>
        <v>-0.03</v>
      </c>
      <c r="P100">
        <v>0</v>
      </c>
      <c r="Q100">
        <v>36</v>
      </c>
      <c r="R100">
        <v>30.75</v>
      </c>
      <c r="S100">
        <v>82</v>
      </c>
      <c r="T100">
        <v>42</v>
      </c>
      <c r="U100">
        <v>-0.03</v>
      </c>
      <c r="W100">
        <f>DataLog_T717420_Aug11_4_59_37pm[[#This Row],[RPM '[1/MIN']]]-Table3[[#This Row],[580C]]</f>
        <v>0</v>
      </c>
      <c r="X100">
        <f>DataLog_T717420_Aug11_4_59_37pm[[#This Row],[OIL TEMP '[Â°C']]]-Table3[[#This Row],[4402]]</f>
        <v>0</v>
      </c>
      <c r="Y100">
        <f>DataLog_T717420_Aug11_4_59_37pm[[#This Row],[INTAKE TEMP '[Â°C']]]-Table3[[#This Row],[580F]]</f>
        <v>0</v>
      </c>
      <c r="Z100">
        <f>DataLog_T717420_Aug11_4_59_37pm[[#This Row],[HPFP PRES. '[BAR']]]-Table3[[#This Row],[58F0]]</f>
        <v>0</v>
      </c>
      <c r="AA100">
        <f>DataLog_T717420_Aug11_4_59_37pm[[#This Row],[COOLANT TEMP '[Â°C']]]-Table3[[#This Row],[5805]]</f>
        <v>0</v>
      </c>
      <c r="AB100">
        <f>DataLog_T717420_Aug11_4_59_37pm[[#This Row],[BOOST '[BAR']]]-Table3[[#This Row],[58DD]]</f>
        <v>0</v>
      </c>
    </row>
    <row r="101" spans="2:28" x14ac:dyDescent="0.25">
      <c r="B101" s="2" t="s">
        <v>23</v>
      </c>
      <c r="C101" s="2" t="s">
        <v>30</v>
      </c>
      <c r="D101" s="2" t="s">
        <v>25</v>
      </c>
      <c r="E101" s="2" t="s">
        <v>38</v>
      </c>
      <c r="F101" s="2" t="s">
        <v>26</v>
      </c>
      <c r="G101" s="2" t="s">
        <v>28</v>
      </c>
      <c r="I101">
        <f>HEX2DEC(_0811_173439[[#This Row],[580C]])*B$4/B$5+B$6</f>
        <v>0</v>
      </c>
      <c r="J101">
        <f>HEX2DEC(_0811_173439[[#This Row],[4402]])*C$4/C$5+C$6</f>
        <v>36</v>
      </c>
      <c r="K101">
        <f>HEX2DEC(_0811_173439[[#This Row],[580F]])*D$4/D$5+D$6</f>
        <v>30.75</v>
      </c>
      <c r="L101">
        <f>ROUND(HEX2DEC(_0811_173439[[#This Row],[58F0]])*E$4/E$5+E$6,0)</f>
        <v>82</v>
      </c>
      <c r="M101">
        <f>ROUND(HEX2DEC(_0811_173439[[#This Row],[5805]])*F$4/F$5+F$6,0)</f>
        <v>42</v>
      </c>
      <c r="N101">
        <f>ROUND(HEX2DEC(_0811_173439[[#This Row],[58DD]])*G$4/G$5+G$6,2)</f>
        <v>-0.02</v>
      </c>
      <c r="P101">
        <v>0</v>
      </c>
      <c r="Q101">
        <v>36</v>
      </c>
      <c r="R101">
        <v>30.75</v>
      </c>
      <c r="S101">
        <v>82</v>
      </c>
      <c r="T101">
        <v>42</v>
      </c>
      <c r="U101">
        <v>-0.02</v>
      </c>
      <c r="W101">
        <f>DataLog_T717420_Aug11_4_59_37pm[[#This Row],[RPM '[1/MIN']]]-Table3[[#This Row],[580C]]</f>
        <v>0</v>
      </c>
      <c r="X101">
        <f>DataLog_T717420_Aug11_4_59_37pm[[#This Row],[OIL TEMP '[Â°C']]]-Table3[[#This Row],[4402]]</f>
        <v>0</v>
      </c>
      <c r="Y101">
        <f>DataLog_T717420_Aug11_4_59_37pm[[#This Row],[INTAKE TEMP '[Â°C']]]-Table3[[#This Row],[580F]]</f>
        <v>0</v>
      </c>
      <c r="Z101">
        <f>DataLog_T717420_Aug11_4_59_37pm[[#This Row],[HPFP PRES. '[BAR']]]-Table3[[#This Row],[58F0]]</f>
        <v>0</v>
      </c>
      <c r="AA101">
        <f>DataLog_T717420_Aug11_4_59_37pm[[#This Row],[COOLANT TEMP '[Â°C']]]-Table3[[#This Row],[5805]]</f>
        <v>0</v>
      </c>
      <c r="AB101">
        <f>DataLog_T717420_Aug11_4_59_37pm[[#This Row],[BOOST '[BAR']]]-Table3[[#This Row],[58DD]]</f>
        <v>0</v>
      </c>
    </row>
    <row r="102" spans="2:28" x14ac:dyDescent="0.25">
      <c r="B102" s="2" t="s">
        <v>23</v>
      </c>
      <c r="C102" s="2" t="s">
        <v>30</v>
      </c>
      <c r="D102" s="2" t="s">
        <v>25</v>
      </c>
      <c r="E102" s="2" t="s">
        <v>35</v>
      </c>
      <c r="F102" s="2" t="s">
        <v>26</v>
      </c>
      <c r="G102" s="2" t="s">
        <v>27</v>
      </c>
      <c r="I102">
        <f>HEX2DEC(_0811_173439[[#This Row],[580C]])*B$4/B$5+B$6</f>
        <v>0</v>
      </c>
      <c r="J102">
        <f>HEX2DEC(_0811_173439[[#This Row],[4402]])*C$4/C$5+C$6</f>
        <v>36</v>
      </c>
      <c r="K102">
        <f>HEX2DEC(_0811_173439[[#This Row],[580F]])*D$4/D$5+D$6</f>
        <v>30.75</v>
      </c>
      <c r="L102">
        <f>ROUND(HEX2DEC(_0811_173439[[#This Row],[58F0]])*E$4/E$5+E$6,0)</f>
        <v>82</v>
      </c>
      <c r="M102">
        <f>ROUND(HEX2DEC(_0811_173439[[#This Row],[5805]])*F$4/F$5+F$6,0)</f>
        <v>42</v>
      </c>
      <c r="N102">
        <f>ROUND(HEX2DEC(_0811_173439[[#This Row],[58DD]])*G$4/G$5+G$6,2)</f>
        <v>-0.03</v>
      </c>
      <c r="P102">
        <v>0</v>
      </c>
      <c r="Q102">
        <v>36</v>
      </c>
      <c r="R102">
        <v>30.75</v>
      </c>
      <c r="S102">
        <v>82</v>
      </c>
      <c r="T102">
        <v>42</v>
      </c>
      <c r="U102">
        <v>-0.03</v>
      </c>
      <c r="W102">
        <f>DataLog_T717420_Aug11_4_59_37pm[[#This Row],[RPM '[1/MIN']]]-Table3[[#This Row],[580C]]</f>
        <v>0</v>
      </c>
      <c r="X102">
        <f>DataLog_T717420_Aug11_4_59_37pm[[#This Row],[OIL TEMP '[Â°C']]]-Table3[[#This Row],[4402]]</f>
        <v>0</v>
      </c>
      <c r="Y102">
        <f>DataLog_T717420_Aug11_4_59_37pm[[#This Row],[INTAKE TEMP '[Â°C']]]-Table3[[#This Row],[580F]]</f>
        <v>0</v>
      </c>
      <c r="Z102">
        <f>DataLog_T717420_Aug11_4_59_37pm[[#This Row],[HPFP PRES. '[BAR']]]-Table3[[#This Row],[58F0]]</f>
        <v>0</v>
      </c>
      <c r="AA102">
        <f>DataLog_T717420_Aug11_4_59_37pm[[#This Row],[COOLANT TEMP '[Â°C']]]-Table3[[#This Row],[5805]]</f>
        <v>0</v>
      </c>
      <c r="AB102">
        <f>DataLog_T717420_Aug11_4_59_37pm[[#This Row],[BOOST '[BAR']]]-Table3[[#This Row],[58DD]]</f>
        <v>0</v>
      </c>
    </row>
    <row r="103" spans="2:28" x14ac:dyDescent="0.25">
      <c r="B103" s="2" t="s">
        <v>23</v>
      </c>
      <c r="C103" s="2" t="s">
        <v>30</v>
      </c>
      <c r="D103" s="2" t="s">
        <v>25</v>
      </c>
      <c r="E103" s="2" t="s">
        <v>36</v>
      </c>
      <c r="F103" s="2" t="s">
        <v>26</v>
      </c>
      <c r="G103" s="2" t="s">
        <v>28</v>
      </c>
      <c r="I103">
        <f>HEX2DEC(_0811_173439[[#This Row],[580C]])*B$4/B$5+B$6</f>
        <v>0</v>
      </c>
      <c r="J103">
        <f>HEX2DEC(_0811_173439[[#This Row],[4402]])*C$4/C$5+C$6</f>
        <v>36</v>
      </c>
      <c r="K103">
        <f>HEX2DEC(_0811_173439[[#This Row],[580F]])*D$4/D$5+D$6</f>
        <v>30.75</v>
      </c>
      <c r="L103">
        <f>ROUND(HEX2DEC(_0811_173439[[#This Row],[58F0]])*E$4/E$5+E$6,0)</f>
        <v>82</v>
      </c>
      <c r="M103">
        <f>ROUND(HEX2DEC(_0811_173439[[#This Row],[5805]])*F$4/F$5+F$6,0)</f>
        <v>42</v>
      </c>
      <c r="N103">
        <f>ROUND(HEX2DEC(_0811_173439[[#This Row],[58DD]])*G$4/G$5+G$6,2)</f>
        <v>-0.02</v>
      </c>
      <c r="P103">
        <v>0</v>
      </c>
      <c r="Q103">
        <v>36</v>
      </c>
      <c r="R103">
        <v>30.75</v>
      </c>
      <c r="S103">
        <v>82</v>
      </c>
      <c r="T103">
        <v>42</v>
      </c>
      <c r="U103">
        <v>-0.02</v>
      </c>
      <c r="W103">
        <f>DataLog_T717420_Aug11_4_59_37pm[[#This Row],[RPM '[1/MIN']]]-Table3[[#This Row],[580C]]</f>
        <v>0</v>
      </c>
      <c r="X103">
        <f>DataLog_T717420_Aug11_4_59_37pm[[#This Row],[OIL TEMP '[Â°C']]]-Table3[[#This Row],[4402]]</f>
        <v>0</v>
      </c>
      <c r="Y103">
        <f>DataLog_T717420_Aug11_4_59_37pm[[#This Row],[INTAKE TEMP '[Â°C']]]-Table3[[#This Row],[580F]]</f>
        <v>0</v>
      </c>
      <c r="Z103">
        <f>DataLog_T717420_Aug11_4_59_37pm[[#This Row],[HPFP PRES. '[BAR']]]-Table3[[#This Row],[58F0]]</f>
        <v>0</v>
      </c>
      <c r="AA103">
        <f>DataLog_T717420_Aug11_4_59_37pm[[#This Row],[COOLANT TEMP '[Â°C']]]-Table3[[#This Row],[5805]]</f>
        <v>0</v>
      </c>
      <c r="AB103">
        <f>DataLog_T717420_Aug11_4_59_37pm[[#This Row],[BOOST '[BAR']]]-Table3[[#This Row],[58DD]]</f>
        <v>0</v>
      </c>
    </row>
    <row r="104" spans="2:28" x14ac:dyDescent="0.25">
      <c r="B104" s="2" t="s">
        <v>23</v>
      </c>
      <c r="C104" s="2" t="s">
        <v>30</v>
      </c>
      <c r="D104" s="2" t="s">
        <v>25</v>
      </c>
      <c r="E104" s="2" t="s">
        <v>39</v>
      </c>
      <c r="F104" s="2" t="s">
        <v>26</v>
      </c>
      <c r="G104" s="2" t="s">
        <v>27</v>
      </c>
      <c r="I104">
        <f>HEX2DEC(_0811_173439[[#This Row],[580C]])*B$4/B$5+B$6</f>
        <v>0</v>
      </c>
      <c r="J104">
        <f>HEX2DEC(_0811_173439[[#This Row],[4402]])*C$4/C$5+C$6</f>
        <v>36</v>
      </c>
      <c r="K104">
        <f>HEX2DEC(_0811_173439[[#This Row],[580F]])*D$4/D$5+D$6</f>
        <v>30.75</v>
      </c>
      <c r="L104">
        <f>ROUND(HEX2DEC(_0811_173439[[#This Row],[58F0]])*E$4/E$5+E$6,0)</f>
        <v>82</v>
      </c>
      <c r="M104">
        <f>ROUND(HEX2DEC(_0811_173439[[#This Row],[5805]])*F$4/F$5+F$6,0)</f>
        <v>42</v>
      </c>
      <c r="N104">
        <f>ROUND(HEX2DEC(_0811_173439[[#This Row],[58DD]])*G$4/G$5+G$6,2)</f>
        <v>-0.03</v>
      </c>
      <c r="P104">
        <v>0</v>
      </c>
      <c r="Q104">
        <v>36</v>
      </c>
      <c r="R104">
        <v>30.75</v>
      </c>
      <c r="S104">
        <v>82</v>
      </c>
      <c r="T104">
        <v>42</v>
      </c>
      <c r="U104">
        <v>-0.03</v>
      </c>
      <c r="W104">
        <f>DataLog_T717420_Aug11_4_59_37pm[[#This Row],[RPM '[1/MIN']]]-Table3[[#This Row],[580C]]</f>
        <v>0</v>
      </c>
      <c r="X104">
        <f>DataLog_T717420_Aug11_4_59_37pm[[#This Row],[OIL TEMP '[Â°C']]]-Table3[[#This Row],[4402]]</f>
        <v>0</v>
      </c>
      <c r="Y104">
        <f>DataLog_T717420_Aug11_4_59_37pm[[#This Row],[INTAKE TEMP '[Â°C']]]-Table3[[#This Row],[580F]]</f>
        <v>0</v>
      </c>
      <c r="Z104">
        <f>DataLog_T717420_Aug11_4_59_37pm[[#This Row],[HPFP PRES. '[BAR']]]-Table3[[#This Row],[58F0]]</f>
        <v>0</v>
      </c>
      <c r="AA104">
        <f>DataLog_T717420_Aug11_4_59_37pm[[#This Row],[COOLANT TEMP '[Â°C']]]-Table3[[#This Row],[5805]]</f>
        <v>0</v>
      </c>
      <c r="AB104">
        <f>DataLog_T717420_Aug11_4_59_37pm[[#This Row],[BOOST '[BAR']]]-Table3[[#This Row],[58DD]]</f>
        <v>0</v>
      </c>
    </row>
    <row r="105" spans="2:28" x14ac:dyDescent="0.25">
      <c r="B105" s="2" t="s">
        <v>23</v>
      </c>
      <c r="C105" s="2" t="s">
        <v>30</v>
      </c>
      <c r="D105" s="2" t="s">
        <v>25</v>
      </c>
      <c r="E105" s="2" t="s">
        <v>35</v>
      </c>
      <c r="F105" s="2" t="s">
        <v>26</v>
      </c>
      <c r="G105" s="2" t="s">
        <v>27</v>
      </c>
      <c r="I105">
        <f>HEX2DEC(_0811_173439[[#This Row],[580C]])*B$4/B$5+B$6</f>
        <v>0</v>
      </c>
      <c r="J105">
        <f>HEX2DEC(_0811_173439[[#This Row],[4402]])*C$4/C$5+C$6</f>
        <v>36</v>
      </c>
      <c r="K105">
        <f>HEX2DEC(_0811_173439[[#This Row],[580F]])*D$4/D$5+D$6</f>
        <v>30.75</v>
      </c>
      <c r="L105">
        <f>ROUND(HEX2DEC(_0811_173439[[#This Row],[58F0]])*E$4/E$5+E$6,0)</f>
        <v>82</v>
      </c>
      <c r="M105">
        <f>ROUND(HEX2DEC(_0811_173439[[#This Row],[5805]])*F$4/F$5+F$6,0)</f>
        <v>42</v>
      </c>
      <c r="N105">
        <f>ROUND(HEX2DEC(_0811_173439[[#This Row],[58DD]])*G$4/G$5+G$6,2)</f>
        <v>-0.03</v>
      </c>
      <c r="P105">
        <v>0</v>
      </c>
      <c r="Q105">
        <v>36</v>
      </c>
      <c r="R105">
        <v>30.75</v>
      </c>
      <c r="S105">
        <v>82</v>
      </c>
      <c r="T105">
        <v>42</v>
      </c>
      <c r="U105">
        <v>-0.03</v>
      </c>
      <c r="W105">
        <f>DataLog_T717420_Aug11_4_59_37pm[[#This Row],[RPM '[1/MIN']]]-Table3[[#This Row],[580C]]</f>
        <v>0</v>
      </c>
      <c r="X105">
        <f>DataLog_T717420_Aug11_4_59_37pm[[#This Row],[OIL TEMP '[Â°C']]]-Table3[[#This Row],[4402]]</f>
        <v>0</v>
      </c>
      <c r="Y105">
        <f>DataLog_T717420_Aug11_4_59_37pm[[#This Row],[INTAKE TEMP '[Â°C']]]-Table3[[#This Row],[580F]]</f>
        <v>0</v>
      </c>
      <c r="Z105">
        <f>DataLog_T717420_Aug11_4_59_37pm[[#This Row],[HPFP PRES. '[BAR']]]-Table3[[#This Row],[58F0]]</f>
        <v>0</v>
      </c>
      <c r="AA105">
        <f>DataLog_T717420_Aug11_4_59_37pm[[#This Row],[COOLANT TEMP '[Â°C']]]-Table3[[#This Row],[5805]]</f>
        <v>0</v>
      </c>
      <c r="AB105">
        <f>DataLog_T717420_Aug11_4_59_37pm[[#This Row],[BOOST '[BAR']]]-Table3[[#This Row],[58DD]]</f>
        <v>0</v>
      </c>
    </row>
    <row r="106" spans="2:28" x14ac:dyDescent="0.25">
      <c r="B106" s="2" t="s">
        <v>23</v>
      </c>
      <c r="C106" s="2" t="s">
        <v>30</v>
      </c>
      <c r="D106" s="2" t="s">
        <v>25</v>
      </c>
      <c r="E106" s="2" t="s">
        <v>39</v>
      </c>
      <c r="F106" s="2" t="s">
        <v>26</v>
      </c>
      <c r="G106" s="2" t="s">
        <v>28</v>
      </c>
      <c r="I106">
        <f>HEX2DEC(_0811_173439[[#This Row],[580C]])*B$4/B$5+B$6</f>
        <v>0</v>
      </c>
      <c r="J106">
        <f>HEX2DEC(_0811_173439[[#This Row],[4402]])*C$4/C$5+C$6</f>
        <v>36</v>
      </c>
      <c r="K106">
        <f>HEX2DEC(_0811_173439[[#This Row],[580F]])*D$4/D$5+D$6</f>
        <v>30.75</v>
      </c>
      <c r="L106">
        <f>ROUND(HEX2DEC(_0811_173439[[#This Row],[58F0]])*E$4/E$5+E$6,0)</f>
        <v>82</v>
      </c>
      <c r="M106">
        <f>ROUND(HEX2DEC(_0811_173439[[#This Row],[5805]])*F$4/F$5+F$6,0)</f>
        <v>42</v>
      </c>
      <c r="N106">
        <f>ROUND(HEX2DEC(_0811_173439[[#This Row],[58DD]])*G$4/G$5+G$6,2)</f>
        <v>-0.02</v>
      </c>
      <c r="P106">
        <v>0</v>
      </c>
      <c r="Q106">
        <v>36</v>
      </c>
      <c r="R106">
        <v>30.75</v>
      </c>
      <c r="S106">
        <v>82</v>
      </c>
      <c r="T106">
        <v>42</v>
      </c>
      <c r="U106">
        <v>-0.02</v>
      </c>
      <c r="W106">
        <f>DataLog_T717420_Aug11_4_59_37pm[[#This Row],[RPM '[1/MIN']]]-Table3[[#This Row],[580C]]</f>
        <v>0</v>
      </c>
      <c r="X106">
        <f>DataLog_T717420_Aug11_4_59_37pm[[#This Row],[OIL TEMP '[Â°C']]]-Table3[[#This Row],[4402]]</f>
        <v>0</v>
      </c>
      <c r="Y106">
        <f>DataLog_T717420_Aug11_4_59_37pm[[#This Row],[INTAKE TEMP '[Â°C']]]-Table3[[#This Row],[580F]]</f>
        <v>0</v>
      </c>
      <c r="Z106">
        <f>DataLog_T717420_Aug11_4_59_37pm[[#This Row],[HPFP PRES. '[BAR']]]-Table3[[#This Row],[58F0]]</f>
        <v>0</v>
      </c>
      <c r="AA106">
        <f>DataLog_T717420_Aug11_4_59_37pm[[#This Row],[COOLANT TEMP '[Â°C']]]-Table3[[#This Row],[5805]]</f>
        <v>0</v>
      </c>
      <c r="AB106">
        <f>DataLog_T717420_Aug11_4_59_37pm[[#This Row],[BOOST '[BAR']]]-Table3[[#This Row],[58DD]]</f>
        <v>0</v>
      </c>
    </row>
    <row r="107" spans="2:28" x14ac:dyDescent="0.25">
      <c r="B107" s="2" t="s">
        <v>23</v>
      </c>
      <c r="C107" s="2" t="s">
        <v>30</v>
      </c>
      <c r="D107" s="2" t="s">
        <v>25</v>
      </c>
      <c r="E107" s="2" t="s">
        <v>35</v>
      </c>
      <c r="F107" s="2" t="s">
        <v>26</v>
      </c>
      <c r="G107" s="2" t="s">
        <v>27</v>
      </c>
      <c r="I107">
        <f>HEX2DEC(_0811_173439[[#This Row],[580C]])*B$4/B$5+B$6</f>
        <v>0</v>
      </c>
      <c r="J107">
        <f>HEX2DEC(_0811_173439[[#This Row],[4402]])*C$4/C$5+C$6</f>
        <v>36</v>
      </c>
      <c r="K107">
        <f>HEX2DEC(_0811_173439[[#This Row],[580F]])*D$4/D$5+D$6</f>
        <v>30.75</v>
      </c>
      <c r="L107">
        <f>ROUND(HEX2DEC(_0811_173439[[#This Row],[58F0]])*E$4/E$5+E$6,0)</f>
        <v>82</v>
      </c>
      <c r="M107">
        <f>ROUND(HEX2DEC(_0811_173439[[#This Row],[5805]])*F$4/F$5+F$6,0)</f>
        <v>42</v>
      </c>
      <c r="N107">
        <f>ROUND(HEX2DEC(_0811_173439[[#This Row],[58DD]])*G$4/G$5+G$6,2)</f>
        <v>-0.03</v>
      </c>
      <c r="P107">
        <v>0</v>
      </c>
      <c r="Q107">
        <v>36</v>
      </c>
      <c r="R107">
        <v>30.75</v>
      </c>
      <c r="S107">
        <v>82</v>
      </c>
      <c r="T107">
        <v>42</v>
      </c>
      <c r="U107">
        <v>-0.03</v>
      </c>
      <c r="W107">
        <f>DataLog_T717420_Aug11_4_59_37pm[[#This Row],[RPM '[1/MIN']]]-Table3[[#This Row],[580C]]</f>
        <v>0</v>
      </c>
      <c r="X107">
        <f>DataLog_T717420_Aug11_4_59_37pm[[#This Row],[OIL TEMP '[Â°C']]]-Table3[[#This Row],[4402]]</f>
        <v>0</v>
      </c>
      <c r="Y107">
        <f>DataLog_T717420_Aug11_4_59_37pm[[#This Row],[INTAKE TEMP '[Â°C']]]-Table3[[#This Row],[580F]]</f>
        <v>0</v>
      </c>
      <c r="Z107">
        <f>DataLog_T717420_Aug11_4_59_37pm[[#This Row],[HPFP PRES. '[BAR']]]-Table3[[#This Row],[58F0]]</f>
        <v>0</v>
      </c>
      <c r="AA107">
        <f>DataLog_T717420_Aug11_4_59_37pm[[#This Row],[COOLANT TEMP '[Â°C']]]-Table3[[#This Row],[5805]]</f>
        <v>0</v>
      </c>
      <c r="AB107">
        <f>DataLog_T717420_Aug11_4_59_37pm[[#This Row],[BOOST '[BAR']]]-Table3[[#This Row],[58DD]]</f>
        <v>0</v>
      </c>
    </row>
    <row r="108" spans="2:28" x14ac:dyDescent="0.25">
      <c r="B108" s="2" t="s">
        <v>23</v>
      </c>
      <c r="C108" s="2" t="s">
        <v>30</v>
      </c>
      <c r="D108" s="2" t="s">
        <v>25</v>
      </c>
      <c r="E108" s="2" t="s">
        <v>36</v>
      </c>
      <c r="F108" s="2" t="s">
        <v>26</v>
      </c>
      <c r="G108" s="2" t="s">
        <v>28</v>
      </c>
      <c r="I108">
        <f>HEX2DEC(_0811_173439[[#This Row],[580C]])*B$4/B$5+B$6</f>
        <v>0</v>
      </c>
      <c r="J108">
        <f>HEX2DEC(_0811_173439[[#This Row],[4402]])*C$4/C$5+C$6</f>
        <v>36</v>
      </c>
      <c r="K108">
        <f>HEX2DEC(_0811_173439[[#This Row],[580F]])*D$4/D$5+D$6</f>
        <v>30.75</v>
      </c>
      <c r="L108">
        <f>ROUND(HEX2DEC(_0811_173439[[#This Row],[58F0]])*E$4/E$5+E$6,0)</f>
        <v>82</v>
      </c>
      <c r="M108">
        <f>ROUND(HEX2DEC(_0811_173439[[#This Row],[5805]])*F$4/F$5+F$6,0)</f>
        <v>42</v>
      </c>
      <c r="N108">
        <f>ROUND(HEX2DEC(_0811_173439[[#This Row],[58DD]])*G$4/G$5+G$6,2)</f>
        <v>-0.02</v>
      </c>
      <c r="P108">
        <v>0</v>
      </c>
      <c r="Q108">
        <v>36</v>
      </c>
      <c r="R108">
        <v>30.75</v>
      </c>
      <c r="S108">
        <v>82</v>
      </c>
      <c r="T108">
        <v>42</v>
      </c>
      <c r="U108">
        <v>-0.02</v>
      </c>
      <c r="W108">
        <f>DataLog_T717420_Aug11_4_59_37pm[[#This Row],[RPM '[1/MIN']]]-Table3[[#This Row],[580C]]</f>
        <v>0</v>
      </c>
      <c r="X108">
        <f>DataLog_T717420_Aug11_4_59_37pm[[#This Row],[OIL TEMP '[Â°C']]]-Table3[[#This Row],[4402]]</f>
        <v>0</v>
      </c>
      <c r="Y108">
        <f>DataLog_T717420_Aug11_4_59_37pm[[#This Row],[INTAKE TEMP '[Â°C']]]-Table3[[#This Row],[580F]]</f>
        <v>0</v>
      </c>
      <c r="Z108">
        <f>DataLog_T717420_Aug11_4_59_37pm[[#This Row],[HPFP PRES. '[BAR']]]-Table3[[#This Row],[58F0]]</f>
        <v>0</v>
      </c>
      <c r="AA108">
        <f>DataLog_T717420_Aug11_4_59_37pm[[#This Row],[COOLANT TEMP '[Â°C']]]-Table3[[#This Row],[5805]]</f>
        <v>0</v>
      </c>
      <c r="AB108">
        <f>DataLog_T717420_Aug11_4_59_37pm[[#This Row],[BOOST '[BAR']]]-Table3[[#This Row],[58DD]]</f>
        <v>0</v>
      </c>
    </row>
    <row r="109" spans="2:28" x14ac:dyDescent="0.25">
      <c r="B109" s="2" t="s">
        <v>23</v>
      </c>
      <c r="C109" s="2" t="s">
        <v>30</v>
      </c>
      <c r="D109" s="2" t="s">
        <v>25</v>
      </c>
      <c r="E109" s="2" t="s">
        <v>38</v>
      </c>
      <c r="F109" s="2" t="s">
        <v>26</v>
      </c>
      <c r="G109" s="2" t="s">
        <v>27</v>
      </c>
      <c r="I109">
        <f>HEX2DEC(_0811_173439[[#This Row],[580C]])*B$4/B$5+B$6</f>
        <v>0</v>
      </c>
      <c r="J109">
        <f>HEX2DEC(_0811_173439[[#This Row],[4402]])*C$4/C$5+C$6</f>
        <v>36</v>
      </c>
      <c r="K109">
        <f>HEX2DEC(_0811_173439[[#This Row],[580F]])*D$4/D$5+D$6</f>
        <v>30.75</v>
      </c>
      <c r="L109">
        <f>ROUND(HEX2DEC(_0811_173439[[#This Row],[58F0]])*E$4/E$5+E$6,0)</f>
        <v>82</v>
      </c>
      <c r="M109">
        <f>ROUND(HEX2DEC(_0811_173439[[#This Row],[5805]])*F$4/F$5+F$6,0)</f>
        <v>42</v>
      </c>
      <c r="N109">
        <f>ROUND(HEX2DEC(_0811_173439[[#This Row],[58DD]])*G$4/G$5+G$6,2)</f>
        <v>-0.03</v>
      </c>
      <c r="P109">
        <v>0</v>
      </c>
      <c r="Q109">
        <v>36</v>
      </c>
      <c r="R109">
        <v>30.75</v>
      </c>
      <c r="S109">
        <v>82</v>
      </c>
      <c r="T109">
        <v>42</v>
      </c>
      <c r="U109">
        <v>-0.03</v>
      </c>
      <c r="W109">
        <f>DataLog_T717420_Aug11_4_59_37pm[[#This Row],[RPM '[1/MIN']]]-Table3[[#This Row],[580C]]</f>
        <v>0</v>
      </c>
      <c r="X109">
        <f>DataLog_T717420_Aug11_4_59_37pm[[#This Row],[OIL TEMP '[Â°C']]]-Table3[[#This Row],[4402]]</f>
        <v>0</v>
      </c>
      <c r="Y109">
        <f>DataLog_T717420_Aug11_4_59_37pm[[#This Row],[INTAKE TEMP '[Â°C']]]-Table3[[#This Row],[580F]]</f>
        <v>0</v>
      </c>
      <c r="Z109">
        <f>DataLog_T717420_Aug11_4_59_37pm[[#This Row],[HPFP PRES. '[BAR']]]-Table3[[#This Row],[58F0]]</f>
        <v>0</v>
      </c>
      <c r="AA109">
        <f>DataLog_T717420_Aug11_4_59_37pm[[#This Row],[COOLANT TEMP '[Â°C']]]-Table3[[#This Row],[5805]]</f>
        <v>0</v>
      </c>
      <c r="AB109">
        <f>DataLog_T717420_Aug11_4_59_37pm[[#This Row],[BOOST '[BAR']]]-Table3[[#This Row],[58DD]]</f>
        <v>0</v>
      </c>
    </row>
    <row r="110" spans="2:28" x14ac:dyDescent="0.25">
      <c r="B110" s="2" t="s">
        <v>23</v>
      </c>
      <c r="C110" s="2" t="s">
        <v>30</v>
      </c>
      <c r="D110" s="2" t="s">
        <v>25</v>
      </c>
      <c r="E110" s="2" t="s">
        <v>35</v>
      </c>
      <c r="F110" s="2" t="s">
        <v>26</v>
      </c>
      <c r="G110" s="2" t="s">
        <v>27</v>
      </c>
      <c r="I110">
        <f>HEX2DEC(_0811_173439[[#This Row],[580C]])*B$4/B$5+B$6</f>
        <v>0</v>
      </c>
      <c r="J110">
        <f>HEX2DEC(_0811_173439[[#This Row],[4402]])*C$4/C$5+C$6</f>
        <v>36</v>
      </c>
      <c r="K110">
        <f>HEX2DEC(_0811_173439[[#This Row],[580F]])*D$4/D$5+D$6</f>
        <v>30.75</v>
      </c>
      <c r="L110">
        <f>ROUND(HEX2DEC(_0811_173439[[#This Row],[58F0]])*E$4/E$5+E$6,0)</f>
        <v>82</v>
      </c>
      <c r="M110">
        <f>ROUND(HEX2DEC(_0811_173439[[#This Row],[5805]])*F$4/F$5+F$6,0)</f>
        <v>42</v>
      </c>
      <c r="N110">
        <f>ROUND(HEX2DEC(_0811_173439[[#This Row],[58DD]])*G$4/G$5+G$6,2)</f>
        <v>-0.03</v>
      </c>
      <c r="P110">
        <v>0</v>
      </c>
      <c r="Q110">
        <v>36</v>
      </c>
      <c r="R110">
        <v>30.75</v>
      </c>
      <c r="S110">
        <v>82</v>
      </c>
      <c r="T110">
        <v>42</v>
      </c>
      <c r="U110">
        <v>-0.03</v>
      </c>
      <c r="W110">
        <f>DataLog_T717420_Aug11_4_59_37pm[[#This Row],[RPM '[1/MIN']]]-Table3[[#This Row],[580C]]</f>
        <v>0</v>
      </c>
      <c r="X110">
        <f>DataLog_T717420_Aug11_4_59_37pm[[#This Row],[OIL TEMP '[Â°C']]]-Table3[[#This Row],[4402]]</f>
        <v>0</v>
      </c>
      <c r="Y110">
        <f>DataLog_T717420_Aug11_4_59_37pm[[#This Row],[INTAKE TEMP '[Â°C']]]-Table3[[#This Row],[580F]]</f>
        <v>0</v>
      </c>
      <c r="Z110">
        <f>DataLog_T717420_Aug11_4_59_37pm[[#This Row],[HPFP PRES. '[BAR']]]-Table3[[#This Row],[58F0]]</f>
        <v>0</v>
      </c>
      <c r="AA110">
        <f>DataLog_T717420_Aug11_4_59_37pm[[#This Row],[COOLANT TEMP '[Â°C']]]-Table3[[#This Row],[5805]]</f>
        <v>0</v>
      </c>
      <c r="AB110">
        <f>DataLog_T717420_Aug11_4_59_37pm[[#This Row],[BOOST '[BAR']]]-Table3[[#This Row],[58DD]]</f>
        <v>0</v>
      </c>
    </row>
    <row r="111" spans="2:28" x14ac:dyDescent="0.25">
      <c r="B111" s="2" t="s">
        <v>23</v>
      </c>
      <c r="C111" s="2" t="s">
        <v>30</v>
      </c>
      <c r="D111" s="2" t="s">
        <v>25</v>
      </c>
      <c r="E111" s="2" t="s">
        <v>39</v>
      </c>
      <c r="F111" s="2" t="s">
        <v>26</v>
      </c>
      <c r="G111" s="2" t="s">
        <v>28</v>
      </c>
      <c r="I111">
        <f>HEX2DEC(_0811_173439[[#This Row],[580C]])*B$4/B$5+B$6</f>
        <v>0</v>
      </c>
      <c r="J111">
        <f>HEX2DEC(_0811_173439[[#This Row],[4402]])*C$4/C$5+C$6</f>
        <v>36</v>
      </c>
      <c r="K111">
        <f>HEX2DEC(_0811_173439[[#This Row],[580F]])*D$4/D$5+D$6</f>
        <v>30.75</v>
      </c>
      <c r="L111">
        <f>ROUND(HEX2DEC(_0811_173439[[#This Row],[58F0]])*E$4/E$5+E$6,0)</f>
        <v>82</v>
      </c>
      <c r="M111">
        <f>ROUND(HEX2DEC(_0811_173439[[#This Row],[5805]])*F$4/F$5+F$6,0)</f>
        <v>42</v>
      </c>
      <c r="N111">
        <f>ROUND(HEX2DEC(_0811_173439[[#This Row],[58DD]])*G$4/G$5+G$6,2)</f>
        <v>-0.02</v>
      </c>
      <c r="P111">
        <v>0</v>
      </c>
      <c r="Q111">
        <v>36</v>
      </c>
      <c r="R111">
        <v>30.75</v>
      </c>
      <c r="S111">
        <v>82</v>
      </c>
      <c r="T111">
        <v>42</v>
      </c>
      <c r="U111">
        <v>-0.02</v>
      </c>
      <c r="W111">
        <f>DataLog_T717420_Aug11_4_59_37pm[[#This Row],[RPM '[1/MIN']]]-Table3[[#This Row],[580C]]</f>
        <v>0</v>
      </c>
      <c r="X111">
        <f>DataLog_T717420_Aug11_4_59_37pm[[#This Row],[OIL TEMP '[Â°C']]]-Table3[[#This Row],[4402]]</f>
        <v>0</v>
      </c>
      <c r="Y111">
        <f>DataLog_T717420_Aug11_4_59_37pm[[#This Row],[INTAKE TEMP '[Â°C']]]-Table3[[#This Row],[580F]]</f>
        <v>0</v>
      </c>
      <c r="Z111">
        <f>DataLog_T717420_Aug11_4_59_37pm[[#This Row],[HPFP PRES. '[BAR']]]-Table3[[#This Row],[58F0]]</f>
        <v>0</v>
      </c>
      <c r="AA111">
        <f>DataLog_T717420_Aug11_4_59_37pm[[#This Row],[COOLANT TEMP '[Â°C']]]-Table3[[#This Row],[5805]]</f>
        <v>0</v>
      </c>
      <c r="AB111">
        <f>DataLog_T717420_Aug11_4_59_37pm[[#This Row],[BOOST '[BAR']]]-Table3[[#This Row],[58DD]]</f>
        <v>0</v>
      </c>
    </row>
    <row r="112" spans="2:28" x14ac:dyDescent="0.25">
      <c r="B112" s="2" t="s">
        <v>23</v>
      </c>
      <c r="C112" s="2" t="s">
        <v>30</v>
      </c>
      <c r="D112" s="2" t="s">
        <v>25</v>
      </c>
      <c r="E112" s="2" t="s">
        <v>39</v>
      </c>
      <c r="F112" s="2" t="s">
        <v>26</v>
      </c>
      <c r="G112" s="2" t="s">
        <v>27</v>
      </c>
      <c r="I112">
        <f>HEX2DEC(_0811_173439[[#This Row],[580C]])*B$4/B$5+B$6</f>
        <v>0</v>
      </c>
      <c r="J112">
        <f>HEX2DEC(_0811_173439[[#This Row],[4402]])*C$4/C$5+C$6</f>
        <v>36</v>
      </c>
      <c r="K112">
        <f>HEX2DEC(_0811_173439[[#This Row],[580F]])*D$4/D$5+D$6</f>
        <v>30.75</v>
      </c>
      <c r="L112">
        <f>ROUND(HEX2DEC(_0811_173439[[#This Row],[58F0]])*E$4/E$5+E$6,0)</f>
        <v>82</v>
      </c>
      <c r="M112">
        <f>ROUND(HEX2DEC(_0811_173439[[#This Row],[5805]])*F$4/F$5+F$6,0)</f>
        <v>42</v>
      </c>
      <c r="N112">
        <f>ROUND(HEX2DEC(_0811_173439[[#This Row],[58DD]])*G$4/G$5+G$6,2)</f>
        <v>-0.03</v>
      </c>
      <c r="P112">
        <v>0</v>
      </c>
      <c r="Q112">
        <v>36</v>
      </c>
      <c r="R112">
        <v>30.75</v>
      </c>
      <c r="S112">
        <v>82</v>
      </c>
      <c r="T112">
        <v>42</v>
      </c>
      <c r="U112">
        <v>-0.03</v>
      </c>
      <c r="W112">
        <f>DataLog_T717420_Aug11_4_59_37pm[[#This Row],[RPM '[1/MIN']]]-Table3[[#This Row],[580C]]</f>
        <v>0</v>
      </c>
      <c r="X112">
        <f>DataLog_T717420_Aug11_4_59_37pm[[#This Row],[OIL TEMP '[Â°C']]]-Table3[[#This Row],[4402]]</f>
        <v>0</v>
      </c>
      <c r="Y112">
        <f>DataLog_T717420_Aug11_4_59_37pm[[#This Row],[INTAKE TEMP '[Â°C']]]-Table3[[#This Row],[580F]]</f>
        <v>0</v>
      </c>
      <c r="Z112">
        <f>DataLog_T717420_Aug11_4_59_37pm[[#This Row],[HPFP PRES. '[BAR']]]-Table3[[#This Row],[58F0]]</f>
        <v>0</v>
      </c>
      <c r="AA112">
        <f>DataLog_T717420_Aug11_4_59_37pm[[#This Row],[COOLANT TEMP '[Â°C']]]-Table3[[#This Row],[5805]]</f>
        <v>0</v>
      </c>
      <c r="AB112">
        <f>DataLog_T717420_Aug11_4_59_37pm[[#This Row],[BOOST '[BAR']]]-Table3[[#This Row],[58DD]]</f>
        <v>0</v>
      </c>
    </row>
    <row r="113" spans="2:28" x14ac:dyDescent="0.25">
      <c r="B113" s="2" t="s">
        <v>23</v>
      </c>
      <c r="C113" s="2" t="s">
        <v>30</v>
      </c>
      <c r="D113" s="2" t="s">
        <v>25</v>
      </c>
      <c r="E113" s="2" t="s">
        <v>39</v>
      </c>
      <c r="F113" s="2" t="s">
        <v>26</v>
      </c>
      <c r="G113" s="2" t="s">
        <v>27</v>
      </c>
      <c r="I113">
        <f>HEX2DEC(_0811_173439[[#This Row],[580C]])*B$4/B$5+B$6</f>
        <v>0</v>
      </c>
      <c r="J113">
        <f>HEX2DEC(_0811_173439[[#This Row],[4402]])*C$4/C$5+C$6</f>
        <v>36</v>
      </c>
      <c r="K113">
        <f>HEX2DEC(_0811_173439[[#This Row],[580F]])*D$4/D$5+D$6</f>
        <v>30.75</v>
      </c>
      <c r="L113">
        <f>ROUND(HEX2DEC(_0811_173439[[#This Row],[58F0]])*E$4/E$5+E$6,0)</f>
        <v>82</v>
      </c>
      <c r="M113">
        <f>ROUND(HEX2DEC(_0811_173439[[#This Row],[5805]])*F$4/F$5+F$6,0)</f>
        <v>42</v>
      </c>
      <c r="N113">
        <f>ROUND(HEX2DEC(_0811_173439[[#This Row],[58DD]])*G$4/G$5+G$6,2)</f>
        <v>-0.03</v>
      </c>
      <c r="P113">
        <v>0</v>
      </c>
      <c r="Q113">
        <v>36</v>
      </c>
      <c r="R113">
        <v>30.75</v>
      </c>
      <c r="S113">
        <v>82</v>
      </c>
      <c r="T113">
        <v>42</v>
      </c>
      <c r="U113">
        <v>-0.03</v>
      </c>
      <c r="W113">
        <f>DataLog_T717420_Aug11_4_59_37pm[[#This Row],[RPM '[1/MIN']]]-Table3[[#This Row],[580C]]</f>
        <v>0</v>
      </c>
      <c r="X113">
        <f>DataLog_T717420_Aug11_4_59_37pm[[#This Row],[OIL TEMP '[Â°C']]]-Table3[[#This Row],[4402]]</f>
        <v>0</v>
      </c>
      <c r="Y113">
        <f>DataLog_T717420_Aug11_4_59_37pm[[#This Row],[INTAKE TEMP '[Â°C']]]-Table3[[#This Row],[580F]]</f>
        <v>0</v>
      </c>
      <c r="Z113">
        <f>DataLog_T717420_Aug11_4_59_37pm[[#This Row],[HPFP PRES. '[BAR']]]-Table3[[#This Row],[58F0]]</f>
        <v>0</v>
      </c>
      <c r="AA113">
        <f>DataLog_T717420_Aug11_4_59_37pm[[#This Row],[COOLANT TEMP '[Â°C']]]-Table3[[#This Row],[5805]]</f>
        <v>0</v>
      </c>
      <c r="AB113">
        <f>DataLog_T717420_Aug11_4_59_37pm[[#This Row],[BOOST '[BAR']]]-Table3[[#This Row],[58DD]]</f>
        <v>0</v>
      </c>
    </row>
    <row r="114" spans="2:28" x14ac:dyDescent="0.25">
      <c r="B114" s="2" t="s">
        <v>23</v>
      </c>
      <c r="C114" s="2" t="s">
        <v>30</v>
      </c>
      <c r="D114" s="2" t="s">
        <v>25</v>
      </c>
      <c r="E114" s="2" t="s">
        <v>39</v>
      </c>
      <c r="F114" s="2" t="s">
        <v>26</v>
      </c>
      <c r="G114" s="2" t="s">
        <v>27</v>
      </c>
      <c r="I114">
        <f>HEX2DEC(_0811_173439[[#This Row],[580C]])*B$4/B$5+B$6</f>
        <v>0</v>
      </c>
      <c r="J114">
        <f>HEX2DEC(_0811_173439[[#This Row],[4402]])*C$4/C$5+C$6</f>
        <v>36</v>
      </c>
      <c r="K114">
        <f>HEX2DEC(_0811_173439[[#This Row],[580F]])*D$4/D$5+D$6</f>
        <v>30.75</v>
      </c>
      <c r="L114">
        <f>ROUND(HEX2DEC(_0811_173439[[#This Row],[58F0]])*E$4/E$5+E$6,0)</f>
        <v>82</v>
      </c>
      <c r="M114">
        <f>ROUND(HEX2DEC(_0811_173439[[#This Row],[5805]])*F$4/F$5+F$6,0)</f>
        <v>42</v>
      </c>
      <c r="N114">
        <f>ROUND(HEX2DEC(_0811_173439[[#This Row],[58DD]])*G$4/G$5+G$6,2)</f>
        <v>-0.03</v>
      </c>
      <c r="P114">
        <v>0</v>
      </c>
      <c r="Q114">
        <v>36</v>
      </c>
      <c r="R114">
        <v>30.75</v>
      </c>
      <c r="S114">
        <v>82</v>
      </c>
      <c r="T114">
        <v>42</v>
      </c>
      <c r="U114">
        <v>-0.03</v>
      </c>
      <c r="W114">
        <f>DataLog_T717420_Aug11_4_59_37pm[[#This Row],[RPM '[1/MIN']]]-Table3[[#This Row],[580C]]</f>
        <v>0</v>
      </c>
      <c r="X114">
        <f>DataLog_T717420_Aug11_4_59_37pm[[#This Row],[OIL TEMP '[Â°C']]]-Table3[[#This Row],[4402]]</f>
        <v>0</v>
      </c>
      <c r="Y114">
        <f>DataLog_T717420_Aug11_4_59_37pm[[#This Row],[INTAKE TEMP '[Â°C']]]-Table3[[#This Row],[580F]]</f>
        <v>0</v>
      </c>
      <c r="Z114">
        <f>DataLog_T717420_Aug11_4_59_37pm[[#This Row],[HPFP PRES. '[BAR']]]-Table3[[#This Row],[58F0]]</f>
        <v>0</v>
      </c>
      <c r="AA114">
        <f>DataLog_T717420_Aug11_4_59_37pm[[#This Row],[COOLANT TEMP '[Â°C']]]-Table3[[#This Row],[5805]]</f>
        <v>0</v>
      </c>
      <c r="AB114">
        <f>DataLog_T717420_Aug11_4_59_37pm[[#This Row],[BOOST '[BAR']]]-Table3[[#This Row],[58DD]]</f>
        <v>0</v>
      </c>
    </row>
    <row r="115" spans="2:28" x14ac:dyDescent="0.25">
      <c r="B115" s="2" t="s">
        <v>23</v>
      </c>
      <c r="C115" s="2" t="s">
        <v>30</v>
      </c>
      <c r="D115" s="2" t="s">
        <v>25</v>
      </c>
      <c r="E115" s="2" t="s">
        <v>35</v>
      </c>
      <c r="F115" s="2" t="s">
        <v>26</v>
      </c>
      <c r="G115" s="2" t="s">
        <v>27</v>
      </c>
      <c r="I115">
        <f>HEX2DEC(_0811_173439[[#This Row],[580C]])*B$4/B$5+B$6</f>
        <v>0</v>
      </c>
      <c r="J115">
        <f>HEX2DEC(_0811_173439[[#This Row],[4402]])*C$4/C$5+C$6</f>
        <v>36</v>
      </c>
      <c r="K115">
        <f>HEX2DEC(_0811_173439[[#This Row],[580F]])*D$4/D$5+D$6</f>
        <v>30.75</v>
      </c>
      <c r="L115">
        <f>ROUND(HEX2DEC(_0811_173439[[#This Row],[58F0]])*E$4/E$5+E$6,0)</f>
        <v>82</v>
      </c>
      <c r="M115">
        <f>ROUND(HEX2DEC(_0811_173439[[#This Row],[5805]])*F$4/F$5+F$6,0)</f>
        <v>42</v>
      </c>
      <c r="N115">
        <f>ROUND(HEX2DEC(_0811_173439[[#This Row],[58DD]])*G$4/G$5+G$6,2)</f>
        <v>-0.03</v>
      </c>
      <c r="P115">
        <v>0</v>
      </c>
      <c r="Q115">
        <v>36</v>
      </c>
      <c r="R115">
        <v>30.75</v>
      </c>
      <c r="S115">
        <v>82</v>
      </c>
      <c r="T115">
        <v>42</v>
      </c>
      <c r="U115">
        <v>-0.03</v>
      </c>
      <c r="W115">
        <f>DataLog_T717420_Aug11_4_59_37pm[[#This Row],[RPM '[1/MIN']]]-Table3[[#This Row],[580C]]</f>
        <v>0</v>
      </c>
      <c r="X115">
        <f>DataLog_T717420_Aug11_4_59_37pm[[#This Row],[OIL TEMP '[Â°C']]]-Table3[[#This Row],[4402]]</f>
        <v>0</v>
      </c>
      <c r="Y115">
        <f>DataLog_T717420_Aug11_4_59_37pm[[#This Row],[INTAKE TEMP '[Â°C']]]-Table3[[#This Row],[580F]]</f>
        <v>0</v>
      </c>
      <c r="Z115">
        <f>DataLog_T717420_Aug11_4_59_37pm[[#This Row],[HPFP PRES. '[BAR']]]-Table3[[#This Row],[58F0]]</f>
        <v>0</v>
      </c>
      <c r="AA115">
        <f>DataLog_T717420_Aug11_4_59_37pm[[#This Row],[COOLANT TEMP '[Â°C']]]-Table3[[#This Row],[5805]]</f>
        <v>0</v>
      </c>
      <c r="AB115">
        <f>DataLog_T717420_Aug11_4_59_37pm[[#This Row],[BOOST '[BAR']]]-Table3[[#This Row],[58DD]]</f>
        <v>0</v>
      </c>
    </row>
    <row r="116" spans="2:28" x14ac:dyDescent="0.25">
      <c r="B116" s="2" t="s">
        <v>23</v>
      </c>
      <c r="C116" s="2" t="s">
        <v>30</v>
      </c>
      <c r="D116" s="2" t="s">
        <v>25</v>
      </c>
      <c r="E116" s="2" t="s">
        <v>39</v>
      </c>
      <c r="F116" s="2" t="s">
        <v>26</v>
      </c>
      <c r="G116" s="2" t="s">
        <v>27</v>
      </c>
      <c r="I116">
        <f>HEX2DEC(_0811_173439[[#This Row],[580C]])*B$4/B$5+B$6</f>
        <v>0</v>
      </c>
      <c r="J116">
        <f>HEX2DEC(_0811_173439[[#This Row],[4402]])*C$4/C$5+C$6</f>
        <v>36</v>
      </c>
      <c r="K116">
        <f>HEX2DEC(_0811_173439[[#This Row],[580F]])*D$4/D$5+D$6</f>
        <v>30.75</v>
      </c>
      <c r="L116">
        <f>ROUND(HEX2DEC(_0811_173439[[#This Row],[58F0]])*E$4/E$5+E$6,0)</f>
        <v>82</v>
      </c>
      <c r="M116">
        <f>ROUND(HEX2DEC(_0811_173439[[#This Row],[5805]])*F$4/F$5+F$6,0)</f>
        <v>42</v>
      </c>
      <c r="N116">
        <f>ROUND(HEX2DEC(_0811_173439[[#This Row],[58DD]])*G$4/G$5+G$6,2)</f>
        <v>-0.03</v>
      </c>
      <c r="P116">
        <v>0</v>
      </c>
      <c r="Q116">
        <v>36</v>
      </c>
      <c r="R116">
        <v>30.75</v>
      </c>
      <c r="S116">
        <v>82</v>
      </c>
      <c r="T116">
        <v>42</v>
      </c>
      <c r="U116">
        <v>-0.03</v>
      </c>
      <c r="W116">
        <f>DataLog_T717420_Aug11_4_59_37pm[[#This Row],[RPM '[1/MIN']]]-Table3[[#This Row],[580C]]</f>
        <v>0</v>
      </c>
      <c r="X116">
        <f>DataLog_T717420_Aug11_4_59_37pm[[#This Row],[OIL TEMP '[Â°C']]]-Table3[[#This Row],[4402]]</f>
        <v>0</v>
      </c>
      <c r="Y116">
        <f>DataLog_T717420_Aug11_4_59_37pm[[#This Row],[INTAKE TEMP '[Â°C']]]-Table3[[#This Row],[580F]]</f>
        <v>0</v>
      </c>
      <c r="Z116">
        <f>DataLog_T717420_Aug11_4_59_37pm[[#This Row],[HPFP PRES. '[BAR']]]-Table3[[#This Row],[58F0]]</f>
        <v>0</v>
      </c>
      <c r="AA116">
        <f>DataLog_T717420_Aug11_4_59_37pm[[#This Row],[COOLANT TEMP '[Â°C']]]-Table3[[#This Row],[5805]]</f>
        <v>0</v>
      </c>
      <c r="AB116">
        <f>DataLog_T717420_Aug11_4_59_37pm[[#This Row],[BOOST '[BAR']]]-Table3[[#This Row],[58DD]]</f>
        <v>0</v>
      </c>
    </row>
    <row r="117" spans="2:28" x14ac:dyDescent="0.25">
      <c r="B117" s="2" t="s">
        <v>23</v>
      </c>
      <c r="C117" s="2" t="s">
        <v>30</v>
      </c>
      <c r="D117" s="2" t="s">
        <v>25</v>
      </c>
      <c r="E117" s="2" t="s">
        <v>39</v>
      </c>
      <c r="F117" s="2" t="s">
        <v>26</v>
      </c>
      <c r="G117" s="2" t="s">
        <v>27</v>
      </c>
      <c r="I117">
        <f>HEX2DEC(_0811_173439[[#This Row],[580C]])*B$4/B$5+B$6</f>
        <v>0</v>
      </c>
      <c r="J117">
        <f>HEX2DEC(_0811_173439[[#This Row],[4402]])*C$4/C$5+C$6</f>
        <v>36</v>
      </c>
      <c r="K117">
        <f>HEX2DEC(_0811_173439[[#This Row],[580F]])*D$4/D$5+D$6</f>
        <v>30.75</v>
      </c>
      <c r="L117">
        <f>ROUND(HEX2DEC(_0811_173439[[#This Row],[58F0]])*E$4/E$5+E$6,0)</f>
        <v>82</v>
      </c>
      <c r="M117">
        <f>ROUND(HEX2DEC(_0811_173439[[#This Row],[5805]])*F$4/F$5+F$6,0)</f>
        <v>42</v>
      </c>
      <c r="N117">
        <f>ROUND(HEX2DEC(_0811_173439[[#This Row],[58DD]])*G$4/G$5+G$6,2)</f>
        <v>-0.03</v>
      </c>
      <c r="P117">
        <v>0</v>
      </c>
      <c r="Q117">
        <v>36</v>
      </c>
      <c r="R117">
        <v>30.75</v>
      </c>
      <c r="S117">
        <v>82</v>
      </c>
      <c r="T117">
        <v>42</v>
      </c>
      <c r="U117">
        <v>-0.03</v>
      </c>
      <c r="W117">
        <f>DataLog_T717420_Aug11_4_59_37pm[[#This Row],[RPM '[1/MIN']]]-Table3[[#This Row],[580C]]</f>
        <v>0</v>
      </c>
      <c r="X117">
        <f>DataLog_T717420_Aug11_4_59_37pm[[#This Row],[OIL TEMP '[Â°C']]]-Table3[[#This Row],[4402]]</f>
        <v>0</v>
      </c>
      <c r="Y117">
        <f>DataLog_T717420_Aug11_4_59_37pm[[#This Row],[INTAKE TEMP '[Â°C']]]-Table3[[#This Row],[580F]]</f>
        <v>0</v>
      </c>
      <c r="Z117">
        <f>DataLog_T717420_Aug11_4_59_37pm[[#This Row],[HPFP PRES. '[BAR']]]-Table3[[#This Row],[58F0]]</f>
        <v>0</v>
      </c>
      <c r="AA117">
        <f>DataLog_T717420_Aug11_4_59_37pm[[#This Row],[COOLANT TEMP '[Â°C']]]-Table3[[#This Row],[5805]]</f>
        <v>0</v>
      </c>
      <c r="AB117">
        <f>DataLog_T717420_Aug11_4_59_37pm[[#This Row],[BOOST '[BAR']]]-Table3[[#This Row],[58DD]]</f>
        <v>0</v>
      </c>
    </row>
    <row r="118" spans="2:28" x14ac:dyDescent="0.25">
      <c r="B118" s="2" t="s">
        <v>23</v>
      </c>
      <c r="C118" s="2" t="s">
        <v>30</v>
      </c>
      <c r="D118" s="2" t="s">
        <v>25</v>
      </c>
      <c r="E118" s="2" t="s">
        <v>39</v>
      </c>
      <c r="F118" s="2" t="s">
        <v>26</v>
      </c>
      <c r="G118" s="2" t="s">
        <v>27</v>
      </c>
      <c r="I118">
        <f>HEX2DEC(_0811_173439[[#This Row],[580C]])*B$4/B$5+B$6</f>
        <v>0</v>
      </c>
      <c r="J118">
        <f>HEX2DEC(_0811_173439[[#This Row],[4402]])*C$4/C$5+C$6</f>
        <v>36</v>
      </c>
      <c r="K118">
        <f>HEX2DEC(_0811_173439[[#This Row],[580F]])*D$4/D$5+D$6</f>
        <v>30.75</v>
      </c>
      <c r="L118">
        <f>ROUND(HEX2DEC(_0811_173439[[#This Row],[58F0]])*E$4/E$5+E$6,0)</f>
        <v>82</v>
      </c>
      <c r="M118">
        <f>ROUND(HEX2DEC(_0811_173439[[#This Row],[5805]])*F$4/F$5+F$6,0)</f>
        <v>42</v>
      </c>
      <c r="N118">
        <f>ROUND(HEX2DEC(_0811_173439[[#This Row],[58DD]])*G$4/G$5+G$6,2)</f>
        <v>-0.03</v>
      </c>
      <c r="P118">
        <v>0</v>
      </c>
      <c r="Q118">
        <v>36</v>
      </c>
      <c r="R118">
        <v>30.75</v>
      </c>
      <c r="S118">
        <v>82</v>
      </c>
      <c r="T118">
        <v>42</v>
      </c>
      <c r="U118">
        <v>-0.03</v>
      </c>
      <c r="W118">
        <f>DataLog_T717420_Aug11_4_59_37pm[[#This Row],[RPM '[1/MIN']]]-Table3[[#This Row],[580C]]</f>
        <v>0</v>
      </c>
      <c r="X118">
        <f>DataLog_T717420_Aug11_4_59_37pm[[#This Row],[OIL TEMP '[Â°C']]]-Table3[[#This Row],[4402]]</f>
        <v>0</v>
      </c>
      <c r="Y118">
        <f>DataLog_T717420_Aug11_4_59_37pm[[#This Row],[INTAKE TEMP '[Â°C']]]-Table3[[#This Row],[580F]]</f>
        <v>0</v>
      </c>
      <c r="Z118">
        <f>DataLog_T717420_Aug11_4_59_37pm[[#This Row],[HPFP PRES. '[BAR']]]-Table3[[#This Row],[58F0]]</f>
        <v>0</v>
      </c>
      <c r="AA118">
        <f>DataLog_T717420_Aug11_4_59_37pm[[#This Row],[COOLANT TEMP '[Â°C']]]-Table3[[#This Row],[5805]]</f>
        <v>0</v>
      </c>
      <c r="AB118">
        <f>DataLog_T717420_Aug11_4_59_37pm[[#This Row],[BOOST '[BAR']]]-Table3[[#This Row],[58DD]]</f>
        <v>0</v>
      </c>
    </row>
    <row r="119" spans="2:28" x14ac:dyDescent="0.25">
      <c r="B119" s="2" t="s">
        <v>23</v>
      </c>
      <c r="C119" s="2" t="s">
        <v>30</v>
      </c>
      <c r="D119" s="2" t="s">
        <v>25</v>
      </c>
      <c r="E119" s="2" t="s">
        <v>39</v>
      </c>
      <c r="F119" s="2" t="s">
        <v>26</v>
      </c>
      <c r="G119" s="2" t="s">
        <v>27</v>
      </c>
      <c r="I119">
        <f>HEX2DEC(_0811_173439[[#This Row],[580C]])*B$4/B$5+B$6</f>
        <v>0</v>
      </c>
      <c r="J119">
        <f>HEX2DEC(_0811_173439[[#This Row],[4402]])*C$4/C$5+C$6</f>
        <v>36</v>
      </c>
      <c r="K119">
        <f>HEX2DEC(_0811_173439[[#This Row],[580F]])*D$4/D$5+D$6</f>
        <v>30.75</v>
      </c>
      <c r="L119">
        <f>ROUND(HEX2DEC(_0811_173439[[#This Row],[58F0]])*E$4/E$5+E$6,0)</f>
        <v>82</v>
      </c>
      <c r="M119">
        <f>ROUND(HEX2DEC(_0811_173439[[#This Row],[5805]])*F$4/F$5+F$6,0)</f>
        <v>42</v>
      </c>
      <c r="N119">
        <f>ROUND(HEX2DEC(_0811_173439[[#This Row],[58DD]])*G$4/G$5+G$6,2)</f>
        <v>-0.03</v>
      </c>
      <c r="P119">
        <v>0</v>
      </c>
      <c r="Q119">
        <v>36</v>
      </c>
      <c r="R119">
        <v>30.75</v>
      </c>
      <c r="S119">
        <v>82</v>
      </c>
      <c r="T119">
        <v>42</v>
      </c>
      <c r="U119">
        <v>-0.03</v>
      </c>
      <c r="W119">
        <f>DataLog_T717420_Aug11_4_59_37pm[[#This Row],[RPM '[1/MIN']]]-Table3[[#This Row],[580C]]</f>
        <v>0</v>
      </c>
      <c r="X119">
        <f>DataLog_T717420_Aug11_4_59_37pm[[#This Row],[OIL TEMP '[Â°C']]]-Table3[[#This Row],[4402]]</f>
        <v>0</v>
      </c>
      <c r="Y119">
        <f>DataLog_T717420_Aug11_4_59_37pm[[#This Row],[INTAKE TEMP '[Â°C']]]-Table3[[#This Row],[580F]]</f>
        <v>0</v>
      </c>
      <c r="Z119">
        <f>DataLog_T717420_Aug11_4_59_37pm[[#This Row],[HPFP PRES. '[BAR']]]-Table3[[#This Row],[58F0]]</f>
        <v>0</v>
      </c>
      <c r="AA119">
        <f>DataLog_T717420_Aug11_4_59_37pm[[#This Row],[COOLANT TEMP '[Â°C']]]-Table3[[#This Row],[5805]]</f>
        <v>0</v>
      </c>
      <c r="AB119">
        <f>DataLog_T717420_Aug11_4_59_37pm[[#This Row],[BOOST '[BAR']]]-Table3[[#This Row],[58DD]]</f>
        <v>0</v>
      </c>
    </row>
    <row r="120" spans="2:28" x14ac:dyDescent="0.25">
      <c r="B120" s="2" t="s">
        <v>23</v>
      </c>
      <c r="C120" s="2" t="s">
        <v>30</v>
      </c>
      <c r="D120" s="2" t="s">
        <v>25</v>
      </c>
      <c r="E120" s="2" t="s">
        <v>39</v>
      </c>
      <c r="F120" s="2" t="s">
        <v>26</v>
      </c>
      <c r="G120" s="2" t="s">
        <v>28</v>
      </c>
      <c r="I120">
        <f>HEX2DEC(_0811_173439[[#This Row],[580C]])*B$4/B$5+B$6</f>
        <v>0</v>
      </c>
      <c r="J120">
        <f>HEX2DEC(_0811_173439[[#This Row],[4402]])*C$4/C$5+C$6</f>
        <v>36</v>
      </c>
      <c r="K120">
        <f>HEX2DEC(_0811_173439[[#This Row],[580F]])*D$4/D$5+D$6</f>
        <v>30.75</v>
      </c>
      <c r="L120">
        <f>ROUND(HEX2DEC(_0811_173439[[#This Row],[58F0]])*E$4/E$5+E$6,0)</f>
        <v>82</v>
      </c>
      <c r="M120">
        <f>ROUND(HEX2DEC(_0811_173439[[#This Row],[5805]])*F$4/F$5+F$6,0)</f>
        <v>42</v>
      </c>
      <c r="N120">
        <f>ROUND(HEX2DEC(_0811_173439[[#This Row],[58DD]])*G$4/G$5+G$6,2)</f>
        <v>-0.02</v>
      </c>
      <c r="P120">
        <v>0</v>
      </c>
      <c r="Q120">
        <v>36</v>
      </c>
      <c r="R120">
        <v>30.75</v>
      </c>
      <c r="S120">
        <v>82</v>
      </c>
      <c r="T120">
        <v>42</v>
      </c>
      <c r="U120">
        <v>-0.02</v>
      </c>
      <c r="W120">
        <f>DataLog_T717420_Aug11_4_59_37pm[[#This Row],[RPM '[1/MIN']]]-Table3[[#This Row],[580C]]</f>
        <v>0</v>
      </c>
      <c r="X120">
        <f>DataLog_T717420_Aug11_4_59_37pm[[#This Row],[OIL TEMP '[Â°C']]]-Table3[[#This Row],[4402]]</f>
        <v>0</v>
      </c>
      <c r="Y120">
        <f>DataLog_T717420_Aug11_4_59_37pm[[#This Row],[INTAKE TEMP '[Â°C']]]-Table3[[#This Row],[580F]]</f>
        <v>0</v>
      </c>
      <c r="Z120">
        <f>DataLog_T717420_Aug11_4_59_37pm[[#This Row],[HPFP PRES. '[BAR']]]-Table3[[#This Row],[58F0]]</f>
        <v>0</v>
      </c>
      <c r="AA120">
        <f>DataLog_T717420_Aug11_4_59_37pm[[#This Row],[COOLANT TEMP '[Â°C']]]-Table3[[#This Row],[5805]]</f>
        <v>0</v>
      </c>
      <c r="AB120">
        <f>DataLog_T717420_Aug11_4_59_37pm[[#This Row],[BOOST '[BAR']]]-Table3[[#This Row],[58DD]]</f>
        <v>0</v>
      </c>
    </row>
    <row r="121" spans="2:28" x14ac:dyDescent="0.25">
      <c r="B121" s="2" t="s">
        <v>23</v>
      </c>
      <c r="C121" s="2" t="s">
        <v>30</v>
      </c>
      <c r="D121" s="2" t="s">
        <v>25</v>
      </c>
      <c r="E121" s="2" t="s">
        <v>39</v>
      </c>
      <c r="F121" s="2" t="s">
        <v>26</v>
      </c>
      <c r="G121" s="2" t="s">
        <v>28</v>
      </c>
      <c r="I121">
        <f>HEX2DEC(_0811_173439[[#This Row],[580C]])*B$4/B$5+B$6</f>
        <v>0</v>
      </c>
      <c r="J121">
        <f>HEX2DEC(_0811_173439[[#This Row],[4402]])*C$4/C$5+C$6</f>
        <v>36</v>
      </c>
      <c r="K121">
        <f>HEX2DEC(_0811_173439[[#This Row],[580F]])*D$4/D$5+D$6</f>
        <v>30.75</v>
      </c>
      <c r="L121">
        <f>ROUND(HEX2DEC(_0811_173439[[#This Row],[58F0]])*E$4/E$5+E$6,0)</f>
        <v>82</v>
      </c>
      <c r="M121">
        <f>ROUND(HEX2DEC(_0811_173439[[#This Row],[5805]])*F$4/F$5+F$6,0)</f>
        <v>42</v>
      </c>
      <c r="N121">
        <f>ROUND(HEX2DEC(_0811_173439[[#This Row],[58DD]])*G$4/G$5+G$6,2)</f>
        <v>-0.02</v>
      </c>
      <c r="P121">
        <v>0</v>
      </c>
      <c r="Q121">
        <v>36</v>
      </c>
      <c r="R121">
        <v>30.75</v>
      </c>
      <c r="S121">
        <v>82</v>
      </c>
      <c r="T121">
        <v>42</v>
      </c>
      <c r="U121">
        <v>-0.02</v>
      </c>
      <c r="W121">
        <f>DataLog_T717420_Aug11_4_59_37pm[[#This Row],[RPM '[1/MIN']]]-Table3[[#This Row],[580C]]</f>
        <v>0</v>
      </c>
      <c r="X121">
        <f>DataLog_T717420_Aug11_4_59_37pm[[#This Row],[OIL TEMP '[Â°C']]]-Table3[[#This Row],[4402]]</f>
        <v>0</v>
      </c>
      <c r="Y121">
        <f>DataLog_T717420_Aug11_4_59_37pm[[#This Row],[INTAKE TEMP '[Â°C']]]-Table3[[#This Row],[580F]]</f>
        <v>0</v>
      </c>
      <c r="Z121">
        <f>DataLog_T717420_Aug11_4_59_37pm[[#This Row],[HPFP PRES. '[BAR']]]-Table3[[#This Row],[58F0]]</f>
        <v>0</v>
      </c>
      <c r="AA121">
        <f>DataLog_T717420_Aug11_4_59_37pm[[#This Row],[COOLANT TEMP '[Â°C']]]-Table3[[#This Row],[5805]]</f>
        <v>0</v>
      </c>
      <c r="AB121">
        <f>DataLog_T717420_Aug11_4_59_37pm[[#This Row],[BOOST '[BAR']]]-Table3[[#This Row],[58DD]]</f>
        <v>0</v>
      </c>
    </row>
    <row r="122" spans="2:28" x14ac:dyDescent="0.25">
      <c r="B122" s="2" t="s">
        <v>23</v>
      </c>
      <c r="C122" s="2" t="s">
        <v>30</v>
      </c>
      <c r="D122" s="2" t="s">
        <v>25</v>
      </c>
      <c r="E122" s="2" t="s">
        <v>39</v>
      </c>
      <c r="F122" s="2" t="s">
        <v>26</v>
      </c>
      <c r="G122" s="2" t="s">
        <v>28</v>
      </c>
      <c r="I122">
        <f>HEX2DEC(_0811_173439[[#This Row],[580C]])*B$4/B$5+B$6</f>
        <v>0</v>
      </c>
      <c r="J122">
        <f>HEX2DEC(_0811_173439[[#This Row],[4402]])*C$4/C$5+C$6</f>
        <v>36</v>
      </c>
      <c r="K122">
        <f>HEX2DEC(_0811_173439[[#This Row],[580F]])*D$4/D$5+D$6</f>
        <v>30.75</v>
      </c>
      <c r="L122">
        <f>ROUND(HEX2DEC(_0811_173439[[#This Row],[58F0]])*E$4/E$5+E$6,0)</f>
        <v>82</v>
      </c>
      <c r="M122">
        <f>ROUND(HEX2DEC(_0811_173439[[#This Row],[5805]])*F$4/F$5+F$6,0)</f>
        <v>42</v>
      </c>
      <c r="N122">
        <f>ROUND(HEX2DEC(_0811_173439[[#This Row],[58DD]])*G$4/G$5+G$6,2)</f>
        <v>-0.02</v>
      </c>
      <c r="P122">
        <v>0</v>
      </c>
      <c r="Q122">
        <v>36</v>
      </c>
      <c r="R122">
        <v>30.75</v>
      </c>
      <c r="S122">
        <v>82</v>
      </c>
      <c r="T122">
        <v>42</v>
      </c>
      <c r="U122">
        <v>-0.02</v>
      </c>
      <c r="W122">
        <f>DataLog_T717420_Aug11_4_59_37pm[[#This Row],[RPM '[1/MIN']]]-Table3[[#This Row],[580C]]</f>
        <v>0</v>
      </c>
      <c r="X122">
        <f>DataLog_T717420_Aug11_4_59_37pm[[#This Row],[OIL TEMP '[Â°C']]]-Table3[[#This Row],[4402]]</f>
        <v>0</v>
      </c>
      <c r="Y122">
        <f>DataLog_T717420_Aug11_4_59_37pm[[#This Row],[INTAKE TEMP '[Â°C']]]-Table3[[#This Row],[580F]]</f>
        <v>0</v>
      </c>
      <c r="Z122">
        <f>DataLog_T717420_Aug11_4_59_37pm[[#This Row],[HPFP PRES. '[BAR']]]-Table3[[#This Row],[58F0]]</f>
        <v>0</v>
      </c>
      <c r="AA122">
        <f>DataLog_T717420_Aug11_4_59_37pm[[#This Row],[COOLANT TEMP '[Â°C']]]-Table3[[#This Row],[5805]]</f>
        <v>0</v>
      </c>
      <c r="AB122">
        <f>DataLog_T717420_Aug11_4_59_37pm[[#This Row],[BOOST '[BAR']]]-Table3[[#This Row],[58DD]]</f>
        <v>0</v>
      </c>
    </row>
    <row r="123" spans="2:28" x14ac:dyDescent="0.25">
      <c r="B123" s="2" t="s">
        <v>23</v>
      </c>
      <c r="C123" s="2" t="s">
        <v>30</v>
      </c>
      <c r="D123" s="2" t="s">
        <v>25</v>
      </c>
      <c r="E123" s="2" t="s">
        <v>39</v>
      </c>
      <c r="F123" s="2" t="s">
        <v>26</v>
      </c>
      <c r="G123" s="2" t="s">
        <v>28</v>
      </c>
      <c r="I123">
        <f>HEX2DEC(_0811_173439[[#This Row],[580C]])*B$4/B$5+B$6</f>
        <v>0</v>
      </c>
      <c r="J123">
        <f>HEX2DEC(_0811_173439[[#This Row],[4402]])*C$4/C$5+C$6</f>
        <v>36</v>
      </c>
      <c r="K123">
        <f>HEX2DEC(_0811_173439[[#This Row],[580F]])*D$4/D$5+D$6</f>
        <v>30.75</v>
      </c>
      <c r="L123">
        <f>ROUND(HEX2DEC(_0811_173439[[#This Row],[58F0]])*E$4/E$5+E$6,0)</f>
        <v>82</v>
      </c>
      <c r="M123">
        <f>ROUND(HEX2DEC(_0811_173439[[#This Row],[5805]])*F$4/F$5+F$6,0)</f>
        <v>42</v>
      </c>
      <c r="N123">
        <f>ROUND(HEX2DEC(_0811_173439[[#This Row],[58DD]])*G$4/G$5+G$6,2)</f>
        <v>-0.02</v>
      </c>
      <c r="P123">
        <v>0</v>
      </c>
      <c r="Q123">
        <v>36</v>
      </c>
      <c r="R123">
        <v>30.75</v>
      </c>
      <c r="S123">
        <v>82</v>
      </c>
      <c r="T123">
        <v>42</v>
      </c>
      <c r="U123">
        <v>-0.02</v>
      </c>
      <c r="W123">
        <f>DataLog_T717420_Aug11_4_59_37pm[[#This Row],[RPM '[1/MIN']]]-Table3[[#This Row],[580C]]</f>
        <v>0</v>
      </c>
      <c r="X123">
        <f>DataLog_T717420_Aug11_4_59_37pm[[#This Row],[OIL TEMP '[Â°C']]]-Table3[[#This Row],[4402]]</f>
        <v>0</v>
      </c>
      <c r="Y123">
        <f>DataLog_T717420_Aug11_4_59_37pm[[#This Row],[INTAKE TEMP '[Â°C']]]-Table3[[#This Row],[580F]]</f>
        <v>0</v>
      </c>
      <c r="Z123">
        <f>DataLog_T717420_Aug11_4_59_37pm[[#This Row],[HPFP PRES. '[BAR']]]-Table3[[#This Row],[58F0]]</f>
        <v>0</v>
      </c>
      <c r="AA123">
        <f>DataLog_T717420_Aug11_4_59_37pm[[#This Row],[COOLANT TEMP '[Â°C']]]-Table3[[#This Row],[5805]]</f>
        <v>0</v>
      </c>
      <c r="AB123">
        <f>DataLog_T717420_Aug11_4_59_37pm[[#This Row],[BOOST '[BAR']]]-Table3[[#This Row],[58DD]]</f>
        <v>0</v>
      </c>
    </row>
    <row r="124" spans="2:28" x14ac:dyDescent="0.25">
      <c r="B124" s="2" t="s">
        <v>23</v>
      </c>
      <c r="C124" s="2" t="s">
        <v>30</v>
      </c>
      <c r="D124" s="2" t="s">
        <v>25</v>
      </c>
      <c r="E124" s="2" t="s">
        <v>39</v>
      </c>
      <c r="F124" s="2" t="s">
        <v>26</v>
      </c>
      <c r="G124" s="2" t="s">
        <v>28</v>
      </c>
      <c r="I124">
        <f>HEX2DEC(_0811_173439[[#This Row],[580C]])*B$4/B$5+B$6</f>
        <v>0</v>
      </c>
      <c r="J124">
        <f>HEX2DEC(_0811_173439[[#This Row],[4402]])*C$4/C$5+C$6</f>
        <v>36</v>
      </c>
      <c r="K124">
        <f>HEX2DEC(_0811_173439[[#This Row],[580F]])*D$4/D$5+D$6</f>
        <v>30.75</v>
      </c>
      <c r="L124">
        <f>ROUND(HEX2DEC(_0811_173439[[#This Row],[58F0]])*E$4/E$5+E$6,0)</f>
        <v>82</v>
      </c>
      <c r="M124">
        <f>ROUND(HEX2DEC(_0811_173439[[#This Row],[5805]])*F$4/F$5+F$6,0)</f>
        <v>42</v>
      </c>
      <c r="N124">
        <f>ROUND(HEX2DEC(_0811_173439[[#This Row],[58DD]])*G$4/G$5+G$6,2)</f>
        <v>-0.02</v>
      </c>
      <c r="P124">
        <v>0</v>
      </c>
      <c r="Q124">
        <v>36</v>
      </c>
      <c r="R124">
        <v>30.75</v>
      </c>
      <c r="S124">
        <v>82</v>
      </c>
      <c r="T124">
        <v>42</v>
      </c>
      <c r="U124">
        <v>-0.02</v>
      </c>
      <c r="W124">
        <f>DataLog_T717420_Aug11_4_59_37pm[[#This Row],[RPM '[1/MIN']]]-Table3[[#This Row],[580C]]</f>
        <v>0</v>
      </c>
      <c r="X124">
        <f>DataLog_T717420_Aug11_4_59_37pm[[#This Row],[OIL TEMP '[Â°C']]]-Table3[[#This Row],[4402]]</f>
        <v>0</v>
      </c>
      <c r="Y124">
        <f>DataLog_T717420_Aug11_4_59_37pm[[#This Row],[INTAKE TEMP '[Â°C']]]-Table3[[#This Row],[580F]]</f>
        <v>0</v>
      </c>
      <c r="Z124">
        <f>DataLog_T717420_Aug11_4_59_37pm[[#This Row],[HPFP PRES. '[BAR']]]-Table3[[#This Row],[58F0]]</f>
        <v>0</v>
      </c>
      <c r="AA124">
        <f>DataLog_T717420_Aug11_4_59_37pm[[#This Row],[COOLANT TEMP '[Â°C']]]-Table3[[#This Row],[5805]]</f>
        <v>0</v>
      </c>
      <c r="AB124">
        <f>DataLog_T717420_Aug11_4_59_37pm[[#This Row],[BOOST '[BAR']]]-Table3[[#This Row],[58DD]]</f>
        <v>0</v>
      </c>
    </row>
    <row r="125" spans="2:28" x14ac:dyDescent="0.25">
      <c r="B125" s="2" t="s">
        <v>23</v>
      </c>
      <c r="C125" s="2" t="s">
        <v>30</v>
      </c>
      <c r="D125" s="2" t="s">
        <v>25</v>
      </c>
      <c r="E125" s="2" t="s">
        <v>39</v>
      </c>
      <c r="F125" s="2" t="s">
        <v>26</v>
      </c>
      <c r="G125" s="2" t="s">
        <v>27</v>
      </c>
      <c r="I125">
        <f>HEX2DEC(_0811_173439[[#This Row],[580C]])*B$4/B$5+B$6</f>
        <v>0</v>
      </c>
      <c r="J125">
        <f>HEX2DEC(_0811_173439[[#This Row],[4402]])*C$4/C$5+C$6</f>
        <v>36</v>
      </c>
      <c r="K125">
        <f>HEX2DEC(_0811_173439[[#This Row],[580F]])*D$4/D$5+D$6</f>
        <v>30.75</v>
      </c>
      <c r="L125">
        <f>ROUND(HEX2DEC(_0811_173439[[#This Row],[58F0]])*E$4/E$5+E$6,0)</f>
        <v>82</v>
      </c>
      <c r="M125">
        <f>ROUND(HEX2DEC(_0811_173439[[#This Row],[5805]])*F$4/F$5+F$6,0)</f>
        <v>42</v>
      </c>
      <c r="N125">
        <f>ROUND(HEX2DEC(_0811_173439[[#This Row],[58DD]])*G$4/G$5+G$6,2)</f>
        <v>-0.03</v>
      </c>
      <c r="P125">
        <v>0</v>
      </c>
      <c r="Q125">
        <v>36</v>
      </c>
      <c r="R125">
        <v>30.75</v>
      </c>
      <c r="S125">
        <v>82</v>
      </c>
      <c r="T125">
        <v>42</v>
      </c>
      <c r="U125">
        <v>-0.03</v>
      </c>
      <c r="W125">
        <f>DataLog_T717420_Aug11_4_59_37pm[[#This Row],[RPM '[1/MIN']]]-Table3[[#This Row],[580C]]</f>
        <v>0</v>
      </c>
      <c r="X125">
        <f>DataLog_T717420_Aug11_4_59_37pm[[#This Row],[OIL TEMP '[Â°C']]]-Table3[[#This Row],[4402]]</f>
        <v>0</v>
      </c>
      <c r="Y125">
        <f>DataLog_T717420_Aug11_4_59_37pm[[#This Row],[INTAKE TEMP '[Â°C']]]-Table3[[#This Row],[580F]]</f>
        <v>0</v>
      </c>
      <c r="Z125">
        <f>DataLog_T717420_Aug11_4_59_37pm[[#This Row],[HPFP PRES. '[BAR']]]-Table3[[#This Row],[58F0]]</f>
        <v>0</v>
      </c>
      <c r="AA125">
        <f>DataLog_T717420_Aug11_4_59_37pm[[#This Row],[COOLANT TEMP '[Â°C']]]-Table3[[#This Row],[5805]]</f>
        <v>0</v>
      </c>
      <c r="AB125">
        <f>DataLog_T717420_Aug11_4_59_37pm[[#This Row],[BOOST '[BAR']]]-Table3[[#This Row],[58DD]]</f>
        <v>0</v>
      </c>
    </row>
    <row r="126" spans="2:28" x14ac:dyDescent="0.25">
      <c r="B126" s="2" t="s">
        <v>23</v>
      </c>
      <c r="C126" s="2" t="s">
        <v>30</v>
      </c>
      <c r="D126" s="2" t="s">
        <v>25</v>
      </c>
      <c r="E126" s="2" t="s">
        <v>39</v>
      </c>
      <c r="F126" s="2" t="s">
        <v>26</v>
      </c>
      <c r="G126" s="2" t="s">
        <v>28</v>
      </c>
      <c r="I126">
        <f>HEX2DEC(_0811_173439[[#This Row],[580C]])*B$4/B$5+B$6</f>
        <v>0</v>
      </c>
      <c r="J126">
        <f>HEX2DEC(_0811_173439[[#This Row],[4402]])*C$4/C$5+C$6</f>
        <v>36</v>
      </c>
      <c r="K126">
        <f>HEX2DEC(_0811_173439[[#This Row],[580F]])*D$4/D$5+D$6</f>
        <v>30.75</v>
      </c>
      <c r="L126">
        <f>ROUND(HEX2DEC(_0811_173439[[#This Row],[58F0]])*E$4/E$5+E$6,0)</f>
        <v>82</v>
      </c>
      <c r="M126">
        <f>ROUND(HEX2DEC(_0811_173439[[#This Row],[5805]])*F$4/F$5+F$6,0)</f>
        <v>42</v>
      </c>
      <c r="N126">
        <f>ROUND(HEX2DEC(_0811_173439[[#This Row],[58DD]])*G$4/G$5+G$6,2)</f>
        <v>-0.02</v>
      </c>
      <c r="P126">
        <v>0</v>
      </c>
      <c r="Q126">
        <v>36</v>
      </c>
      <c r="R126">
        <v>30.75</v>
      </c>
      <c r="S126">
        <v>82</v>
      </c>
      <c r="T126">
        <v>42</v>
      </c>
      <c r="U126">
        <v>-0.02</v>
      </c>
      <c r="W126">
        <f>DataLog_T717420_Aug11_4_59_37pm[[#This Row],[RPM '[1/MIN']]]-Table3[[#This Row],[580C]]</f>
        <v>0</v>
      </c>
      <c r="X126">
        <f>DataLog_T717420_Aug11_4_59_37pm[[#This Row],[OIL TEMP '[Â°C']]]-Table3[[#This Row],[4402]]</f>
        <v>0</v>
      </c>
      <c r="Y126">
        <f>DataLog_T717420_Aug11_4_59_37pm[[#This Row],[INTAKE TEMP '[Â°C']]]-Table3[[#This Row],[580F]]</f>
        <v>0</v>
      </c>
      <c r="Z126">
        <f>DataLog_T717420_Aug11_4_59_37pm[[#This Row],[HPFP PRES. '[BAR']]]-Table3[[#This Row],[58F0]]</f>
        <v>0</v>
      </c>
      <c r="AA126">
        <f>DataLog_T717420_Aug11_4_59_37pm[[#This Row],[COOLANT TEMP '[Â°C']]]-Table3[[#This Row],[5805]]</f>
        <v>0</v>
      </c>
      <c r="AB126">
        <f>DataLog_T717420_Aug11_4_59_37pm[[#This Row],[BOOST '[BAR']]]-Table3[[#This Row],[58DD]]</f>
        <v>0</v>
      </c>
    </row>
    <row r="127" spans="2:28" x14ac:dyDescent="0.25">
      <c r="B127" s="2" t="s">
        <v>23</v>
      </c>
      <c r="C127" s="2" t="s">
        <v>30</v>
      </c>
      <c r="D127" s="2" t="s">
        <v>25</v>
      </c>
      <c r="E127" s="2" t="s">
        <v>39</v>
      </c>
      <c r="F127" s="2" t="s">
        <v>26</v>
      </c>
      <c r="G127" s="2" t="s">
        <v>28</v>
      </c>
      <c r="I127">
        <f>HEX2DEC(_0811_173439[[#This Row],[580C]])*B$4/B$5+B$6</f>
        <v>0</v>
      </c>
      <c r="J127">
        <f>HEX2DEC(_0811_173439[[#This Row],[4402]])*C$4/C$5+C$6</f>
        <v>36</v>
      </c>
      <c r="K127">
        <f>HEX2DEC(_0811_173439[[#This Row],[580F]])*D$4/D$5+D$6</f>
        <v>30.75</v>
      </c>
      <c r="L127">
        <f>ROUND(HEX2DEC(_0811_173439[[#This Row],[58F0]])*E$4/E$5+E$6,0)</f>
        <v>82</v>
      </c>
      <c r="M127">
        <f>ROUND(HEX2DEC(_0811_173439[[#This Row],[5805]])*F$4/F$5+F$6,0)</f>
        <v>42</v>
      </c>
      <c r="N127">
        <f>ROUND(HEX2DEC(_0811_173439[[#This Row],[58DD]])*G$4/G$5+G$6,2)</f>
        <v>-0.02</v>
      </c>
      <c r="P127">
        <v>0</v>
      </c>
      <c r="Q127">
        <v>36</v>
      </c>
      <c r="R127">
        <v>30.75</v>
      </c>
      <c r="S127">
        <v>82</v>
      </c>
      <c r="T127">
        <v>42</v>
      </c>
      <c r="U127">
        <v>-0.02</v>
      </c>
      <c r="W127">
        <f>DataLog_T717420_Aug11_4_59_37pm[[#This Row],[RPM '[1/MIN']]]-Table3[[#This Row],[580C]]</f>
        <v>0</v>
      </c>
      <c r="X127">
        <f>DataLog_T717420_Aug11_4_59_37pm[[#This Row],[OIL TEMP '[Â°C']]]-Table3[[#This Row],[4402]]</f>
        <v>0</v>
      </c>
      <c r="Y127">
        <f>DataLog_T717420_Aug11_4_59_37pm[[#This Row],[INTAKE TEMP '[Â°C']]]-Table3[[#This Row],[580F]]</f>
        <v>0</v>
      </c>
      <c r="Z127">
        <f>DataLog_T717420_Aug11_4_59_37pm[[#This Row],[HPFP PRES. '[BAR']]]-Table3[[#This Row],[58F0]]</f>
        <v>0</v>
      </c>
      <c r="AA127">
        <f>DataLog_T717420_Aug11_4_59_37pm[[#This Row],[COOLANT TEMP '[Â°C']]]-Table3[[#This Row],[5805]]</f>
        <v>0</v>
      </c>
      <c r="AB127">
        <f>DataLog_T717420_Aug11_4_59_37pm[[#This Row],[BOOST '[BAR']]]-Table3[[#This Row],[58DD]]</f>
        <v>0</v>
      </c>
    </row>
    <row r="128" spans="2:28" x14ac:dyDescent="0.25">
      <c r="B128" s="2" t="s">
        <v>23</v>
      </c>
      <c r="C128" s="2" t="s">
        <v>30</v>
      </c>
      <c r="D128" s="2" t="s">
        <v>25</v>
      </c>
      <c r="E128" s="2" t="s">
        <v>39</v>
      </c>
      <c r="F128" s="2" t="s">
        <v>26</v>
      </c>
      <c r="G128" s="2" t="s">
        <v>28</v>
      </c>
      <c r="I128">
        <f>HEX2DEC(_0811_173439[[#This Row],[580C]])*B$4/B$5+B$6</f>
        <v>0</v>
      </c>
      <c r="J128">
        <f>HEX2DEC(_0811_173439[[#This Row],[4402]])*C$4/C$5+C$6</f>
        <v>36</v>
      </c>
      <c r="K128">
        <f>HEX2DEC(_0811_173439[[#This Row],[580F]])*D$4/D$5+D$6</f>
        <v>30.75</v>
      </c>
      <c r="L128">
        <f>ROUND(HEX2DEC(_0811_173439[[#This Row],[58F0]])*E$4/E$5+E$6,0)</f>
        <v>82</v>
      </c>
      <c r="M128">
        <f>ROUND(HEX2DEC(_0811_173439[[#This Row],[5805]])*F$4/F$5+F$6,0)</f>
        <v>42</v>
      </c>
      <c r="N128">
        <f>ROUND(HEX2DEC(_0811_173439[[#This Row],[58DD]])*G$4/G$5+G$6,2)</f>
        <v>-0.02</v>
      </c>
      <c r="P128">
        <v>0</v>
      </c>
      <c r="Q128">
        <v>36</v>
      </c>
      <c r="R128">
        <v>30.75</v>
      </c>
      <c r="S128">
        <v>82</v>
      </c>
      <c r="T128">
        <v>42</v>
      </c>
      <c r="U128">
        <v>-0.02</v>
      </c>
      <c r="W128">
        <f>DataLog_T717420_Aug11_4_59_37pm[[#This Row],[RPM '[1/MIN']]]-Table3[[#This Row],[580C]]</f>
        <v>0</v>
      </c>
      <c r="X128">
        <f>DataLog_T717420_Aug11_4_59_37pm[[#This Row],[OIL TEMP '[Â°C']]]-Table3[[#This Row],[4402]]</f>
        <v>0</v>
      </c>
      <c r="Y128">
        <f>DataLog_T717420_Aug11_4_59_37pm[[#This Row],[INTAKE TEMP '[Â°C']]]-Table3[[#This Row],[580F]]</f>
        <v>0</v>
      </c>
      <c r="Z128">
        <f>DataLog_T717420_Aug11_4_59_37pm[[#This Row],[HPFP PRES. '[BAR']]]-Table3[[#This Row],[58F0]]</f>
        <v>0</v>
      </c>
      <c r="AA128">
        <f>DataLog_T717420_Aug11_4_59_37pm[[#This Row],[COOLANT TEMP '[Â°C']]]-Table3[[#This Row],[5805]]</f>
        <v>0</v>
      </c>
      <c r="AB128">
        <f>DataLog_T717420_Aug11_4_59_37pm[[#This Row],[BOOST '[BAR']]]-Table3[[#This Row],[58DD]]</f>
        <v>0</v>
      </c>
    </row>
    <row r="129" spans="2:28" x14ac:dyDescent="0.25">
      <c r="B129" s="2" t="s">
        <v>23</v>
      </c>
      <c r="C129" s="2" t="s">
        <v>30</v>
      </c>
      <c r="D129" s="2" t="s">
        <v>25</v>
      </c>
      <c r="E129" s="2" t="s">
        <v>39</v>
      </c>
      <c r="F129" s="2" t="s">
        <v>26</v>
      </c>
      <c r="G129" s="2" t="s">
        <v>28</v>
      </c>
      <c r="I129">
        <f>HEX2DEC(_0811_173439[[#This Row],[580C]])*B$4/B$5+B$6</f>
        <v>0</v>
      </c>
      <c r="J129">
        <f>HEX2DEC(_0811_173439[[#This Row],[4402]])*C$4/C$5+C$6</f>
        <v>36</v>
      </c>
      <c r="K129">
        <f>HEX2DEC(_0811_173439[[#This Row],[580F]])*D$4/D$5+D$6</f>
        <v>30.75</v>
      </c>
      <c r="L129">
        <f>ROUND(HEX2DEC(_0811_173439[[#This Row],[58F0]])*E$4/E$5+E$6,0)</f>
        <v>82</v>
      </c>
      <c r="M129">
        <f>ROUND(HEX2DEC(_0811_173439[[#This Row],[5805]])*F$4/F$5+F$6,0)</f>
        <v>42</v>
      </c>
      <c r="N129">
        <f>ROUND(HEX2DEC(_0811_173439[[#This Row],[58DD]])*G$4/G$5+G$6,2)</f>
        <v>-0.02</v>
      </c>
      <c r="P129">
        <v>0</v>
      </c>
      <c r="Q129">
        <v>36</v>
      </c>
      <c r="R129">
        <v>30.75</v>
      </c>
      <c r="S129">
        <v>82</v>
      </c>
      <c r="T129">
        <v>42</v>
      </c>
      <c r="U129">
        <v>-0.02</v>
      </c>
      <c r="W129">
        <f>DataLog_T717420_Aug11_4_59_37pm[[#This Row],[RPM '[1/MIN']]]-Table3[[#This Row],[580C]]</f>
        <v>0</v>
      </c>
      <c r="X129">
        <f>DataLog_T717420_Aug11_4_59_37pm[[#This Row],[OIL TEMP '[Â°C']]]-Table3[[#This Row],[4402]]</f>
        <v>0</v>
      </c>
      <c r="Y129">
        <f>DataLog_T717420_Aug11_4_59_37pm[[#This Row],[INTAKE TEMP '[Â°C']]]-Table3[[#This Row],[580F]]</f>
        <v>0</v>
      </c>
      <c r="Z129">
        <f>DataLog_T717420_Aug11_4_59_37pm[[#This Row],[HPFP PRES. '[BAR']]]-Table3[[#This Row],[58F0]]</f>
        <v>0</v>
      </c>
      <c r="AA129">
        <f>DataLog_T717420_Aug11_4_59_37pm[[#This Row],[COOLANT TEMP '[Â°C']]]-Table3[[#This Row],[5805]]</f>
        <v>0</v>
      </c>
      <c r="AB129">
        <f>DataLog_T717420_Aug11_4_59_37pm[[#This Row],[BOOST '[BAR']]]-Table3[[#This Row],[58DD]]</f>
        <v>0</v>
      </c>
    </row>
    <row r="130" spans="2:28" x14ac:dyDescent="0.25">
      <c r="B130" s="2" t="s">
        <v>23</v>
      </c>
      <c r="C130" s="2" t="s">
        <v>30</v>
      </c>
      <c r="D130" s="2" t="s">
        <v>25</v>
      </c>
      <c r="E130" s="2" t="s">
        <v>39</v>
      </c>
      <c r="F130" s="2" t="s">
        <v>26</v>
      </c>
      <c r="G130" s="2" t="s">
        <v>27</v>
      </c>
      <c r="I130">
        <f>HEX2DEC(_0811_173439[[#This Row],[580C]])*B$4/B$5+B$6</f>
        <v>0</v>
      </c>
      <c r="J130">
        <f>HEX2DEC(_0811_173439[[#This Row],[4402]])*C$4/C$5+C$6</f>
        <v>36</v>
      </c>
      <c r="K130">
        <f>HEX2DEC(_0811_173439[[#This Row],[580F]])*D$4/D$5+D$6</f>
        <v>30.75</v>
      </c>
      <c r="L130">
        <f>ROUND(HEX2DEC(_0811_173439[[#This Row],[58F0]])*E$4/E$5+E$6,0)</f>
        <v>82</v>
      </c>
      <c r="M130">
        <f>ROUND(HEX2DEC(_0811_173439[[#This Row],[5805]])*F$4/F$5+F$6,0)</f>
        <v>42</v>
      </c>
      <c r="N130">
        <f>ROUND(HEX2DEC(_0811_173439[[#This Row],[58DD]])*G$4/G$5+G$6,2)</f>
        <v>-0.03</v>
      </c>
      <c r="P130">
        <v>0</v>
      </c>
      <c r="Q130">
        <v>36</v>
      </c>
      <c r="R130">
        <v>30.75</v>
      </c>
      <c r="S130">
        <v>82</v>
      </c>
      <c r="T130">
        <v>42</v>
      </c>
      <c r="U130">
        <v>-0.03</v>
      </c>
      <c r="W130">
        <f>DataLog_T717420_Aug11_4_59_37pm[[#This Row],[RPM '[1/MIN']]]-Table3[[#This Row],[580C]]</f>
        <v>0</v>
      </c>
      <c r="X130">
        <f>DataLog_T717420_Aug11_4_59_37pm[[#This Row],[OIL TEMP '[Â°C']]]-Table3[[#This Row],[4402]]</f>
        <v>0</v>
      </c>
      <c r="Y130">
        <f>DataLog_T717420_Aug11_4_59_37pm[[#This Row],[INTAKE TEMP '[Â°C']]]-Table3[[#This Row],[580F]]</f>
        <v>0</v>
      </c>
      <c r="Z130">
        <f>DataLog_T717420_Aug11_4_59_37pm[[#This Row],[HPFP PRES. '[BAR']]]-Table3[[#This Row],[58F0]]</f>
        <v>0</v>
      </c>
      <c r="AA130">
        <f>DataLog_T717420_Aug11_4_59_37pm[[#This Row],[COOLANT TEMP '[Â°C']]]-Table3[[#This Row],[5805]]</f>
        <v>0</v>
      </c>
      <c r="AB130">
        <f>DataLog_T717420_Aug11_4_59_37pm[[#This Row],[BOOST '[BAR']]]-Table3[[#This Row],[58DD]]</f>
        <v>0</v>
      </c>
    </row>
    <row r="131" spans="2:28" x14ac:dyDescent="0.25">
      <c r="B131" s="2" t="s">
        <v>23</v>
      </c>
      <c r="C131" s="2" t="s">
        <v>30</v>
      </c>
      <c r="D131" s="2" t="s">
        <v>25</v>
      </c>
      <c r="E131" s="2" t="s">
        <v>39</v>
      </c>
      <c r="F131" s="2" t="s">
        <v>26</v>
      </c>
      <c r="G131" s="2" t="s">
        <v>27</v>
      </c>
      <c r="I131">
        <f>HEX2DEC(_0811_173439[[#This Row],[580C]])*B$4/B$5+B$6</f>
        <v>0</v>
      </c>
      <c r="J131">
        <f>HEX2DEC(_0811_173439[[#This Row],[4402]])*C$4/C$5+C$6</f>
        <v>36</v>
      </c>
      <c r="K131">
        <f>HEX2DEC(_0811_173439[[#This Row],[580F]])*D$4/D$5+D$6</f>
        <v>30.75</v>
      </c>
      <c r="L131">
        <f>ROUND(HEX2DEC(_0811_173439[[#This Row],[58F0]])*E$4/E$5+E$6,0)</f>
        <v>82</v>
      </c>
      <c r="M131">
        <f>ROUND(HEX2DEC(_0811_173439[[#This Row],[5805]])*F$4/F$5+F$6,0)</f>
        <v>42</v>
      </c>
      <c r="N131">
        <f>ROUND(HEX2DEC(_0811_173439[[#This Row],[58DD]])*G$4/G$5+G$6,2)</f>
        <v>-0.03</v>
      </c>
      <c r="P131">
        <v>0</v>
      </c>
      <c r="Q131">
        <v>36</v>
      </c>
      <c r="R131">
        <v>30.75</v>
      </c>
      <c r="S131">
        <v>82</v>
      </c>
      <c r="T131">
        <v>42</v>
      </c>
      <c r="U131">
        <v>-0.03</v>
      </c>
      <c r="W131">
        <f>DataLog_T717420_Aug11_4_59_37pm[[#This Row],[RPM '[1/MIN']]]-Table3[[#This Row],[580C]]</f>
        <v>0</v>
      </c>
      <c r="X131">
        <f>DataLog_T717420_Aug11_4_59_37pm[[#This Row],[OIL TEMP '[Â°C']]]-Table3[[#This Row],[4402]]</f>
        <v>0</v>
      </c>
      <c r="Y131">
        <f>DataLog_T717420_Aug11_4_59_37pm[[#This Row],[INTAKE TEMP '[Â°C']]]-Table3[[#This Row],[580F]]</f>
        <v>0</v>
      </c>
      <c r="Z131">
        <f>DataLog_T717420_Aug11_4_59_37pm[[#This Row],[HPFP PRES. '[BAR']]]-Table3[[#This Row],[58F0]]</f>
        <v>0</v>
      </c>
      <c r="AA131">
        <f>DataLog_T717420_Aug11_4_59_37pm[[#This Row],[COOLANT TEMP '[Â°C']]]-Table3[[#This Row],[5805]]</f>
        <v>0</v>
      </c>
      <c r="AB131">
        <f>DataLog_T717420_Aug11_4_59_37pm[[#This Row],[BOOST '[BAR']]]-Table3[[#This Row],[58DD]]</f>
        <v>0</v>
      </c>
    </row>
    <row r="132" spans="2:28" x14ac:dyDescent="0.25">
      <c r="B132" s="2" t="s">
        <v>23</v>
      </c>
      <c r="C132" s="2" t="s">
        <v>30</v>
      </c>
      <c r="D132" s="2" t="s">
        <v>25</v>
      </c>
      <c r="E132" s="2" t="s">
        <v>39</v>
      </c>
      <c r="F132" s="2" t="s">
        <v>26</v>
      </c>
      <c r="G132" s="2" t="s">
        <v>27</v>
      </c>
      <c r="I132">
        <f>HEX2DEC(_0811_173439[[#This Row],[580C]])*B$4/B$5+B$6</f>
        <v>0</v>
      </c>
      <c r="J132">
        <f>HEX2DEC(_0811_173439[[#This Row],[4402]])*C$4/C$5+C$6</f>
        <v>36</v>
      </c>
      <c r="K132">
        <f>HEX2DEC(_0811_173439[[#This Row],[580F]])*D$4/D$5+D$6</f>
        <v>30.75</v>
      </c>
      <c r="L132">
        <f>ROUND(HEX2DEC(_0811_173439[[#This Row],[58F0]])*E$4/E$5+E$6,0)</f>
        <v>82</v>
      </c>
      <c r="M132">
        <f>ROUND(HEX2DEC(_0811_173439[[#This Row],[5805]])*F$4/F$5+F$6,0)</f>
        <v>42</v>
      </c>
      <c r="N132">
        <f>ROUND(HEX2DEC(_0811_173439[[#This Row],[58DD]])*G$4/G$5+G$6,2)</f>
        <v>-0.03</v>
      </c>
      <c r="P132">
        <v>0</v>
      </c>
      <c r="Q132">
        <v>36</v>
      </c>
      <c r="R132">
        <v>30.75</v>
      </c>
      <c r="S132">
        <v>82</v>
      </c>
      <c r="T132">
        <v>42</v>
      </c>
      <c r="U132">
        <v>-0.03</v>
      </c>
      <c r="W132">
        <f>DataLog_T717420_Aug11_4_59_37pm[[#This Row],[RPM '[1/MIN']]]-Table3[[#This Row],[580C]]</f>
        <v>0</v>
      </c>
      <c r="X132">
        <f>DataLog_T717420_Aug11_4_59_37pm[[#This Row],[OIL TEMP '[Â°C']]]-Table3[[#This Row],[4402]]</f>
        <v>0</v>
      </c>
      <c r="Y132">
        <f>DataLog_T717420_Aug11_4_59_37pm[[#This Row],[INTAKE TEMP '[Â°C']]]-Table3[[#This Row],[580F]]</f>
        <v>0</v>
      </c>
      <c r="Z132">
        <f>DataLog_T717420_Aug11_4_59_37pm[[#This Row],[HPFP PRES. '[BAR']]]-Table3[[#This Row],[58F0]]</f>
        <v>0</v>
      </c>
      <c r="AA132">
        <f>DataLog_T717420_Aug11_4_59_37pm[[#This Row],[COOLANT TEMP '[Â°C']]]-Table3[[#This Row],[5805]]</f>
        <v>0</v>
      </c>
      <c r="AB132">
        <f>DataLog_T717420_Aug11_4_59_37pm[[#This Row],[BOOST '[BAR']]]-Table3[[#This Row],[58DD]]</f>
        <v>0</v>
      </c>
    </row>
    <row r="133" spans="2:28" x14ac:dyDescent="0.25">
      <c r="B133" s="2" t="s">
        <v>23</v>
      </c>
      <c r="C133" s="2" t="s">
        <v>30</v>
      </c>
      <c r="D133" s="2" t="s">
        <v>25</v>
      </c>
      <c r="E133" s="2" t="s">
        <v>39</v>
      </c>
      <c r="F133" s="2" t="s">
        <v>26</v>
      </c>
      <c r="G133" s="2" t="s">
        <v>27</v>
      </c>
      <c r="I133">
        <f>HEX2DEC(_0811_173439[[#This Row],[580C]])*B$4/B$5+B$6</f>
        <v>0</v>
      </c>
      <c r="J133">
        <f>HEX2DEC(_0811_173439[[#This Row],[4402]])*C$4/C$5+C$6</f>
        <v>36</v>
      </c>
      <c r="K133">
        <f>HEX2DEC(_0811_173439[[#This Row],[580F]])*D$4/D$5+D$6</f>
        <v>30.75</v>
      </c>
      <c r="L133">
        <f>ROUND(HEX2DEC(_0811_173439[[#This Row],[58F0]])*E$4/E$5+E$6,0)</f>
        <v>82</v>
      </c>
      <c r="M133">
        <f>ROUND(HEX2DEC(_0811_173439[[#This Row],[5805]])*F$4/F$5+F$6,0)</f>
        <v>42</v>
      </c>
      <c r="N133">
        <f>ROUND(HEX2DEC(_0811_173439[[#This Row],[58DD]])*G$4/G$5+G$6,2)</f>
        <v>-0.03</v>
      </c>
      <c r="P133">
        <v>0</v>
      </c>
      <c r="Q133">
        <v>36</v>
      </c>
      <c r="R133">
        <v>30.75</v>
      </c>
      <c r="S133">
        <v>82</v>
      </c>
      <c r="T133">
        <v>42</v>
      </c>
      <c r="U133">
        <v>-0.03</v>
      </c>
      <c r="W133">
        <f>DataLog_T717420_Aug11_4_59_37pm[[#This Row],[RPM '[1/MIN']]]-Table3[[#This Row],[580C]]</f>
        <v>0</v>
      </c>
      <c r="X133">
        <f>DataLog_T717420_Aug11_4_59_37pm[[#This Row],[OIL TEMP '[Â°C']]]-Table3[[#This Row],[4402]]</f>
        <v>0</v>
      </c>
      <c r="Y133">
        <f>DataLog_T717420_Aug11_4_59_37pm[[#This Row],[INTAKE TEMP '[Â°C']]]-Table3[[#This Row],[580F]]</f>
        <v>0</v>
      </c>
      <c r="Z133">
        <f>DataLog_T717420_Aug11_4_59_37pm[[#This Row],[HPFP PRES. '[BAR']]]-Table3[[#This Row],[58F0]]</f>
        <v>0</v>
      </c>
      <c r="AA133">
        <f>DataLog_T717420_Aug11_4_59_37pm[[#This Row],[COOLANT TEMP '[Â°C']]]-Table3[[#This Row],[5805]]</f>
        <v>0</v>
      </c>
      <c r="AB133">
        <f>DataLog_T717420_Aug11_4_59_37pm[[#This Row],[BOOST '[BAR']]]-Table3[[#This Row],[58DD]]</f>
        <v>0</v>
      </c>
    </row>
    <row r="134" spans="2:28" x14ac:dyDescent="0.25">
      <c r="B134" s="2" t="s">
        <v>23</v>
      </c>
      <c r="C134" s="2" t="s">
        <v>30</v>
      </c>
      <c r="D134" s="2" t="s">
        <v>25</v>
      </c>
      <c r="E134" s="2" t="s">
        <v>39</v>
      </c>
      <c r="F134" s="2" t="s">
        <v>26</v>
      </c>
      <c r="G134" s="2" t="s">
        <v>27</v>
      </c>
      <c r="I134">
        <f>HEX2DEC(_0811_173439[[#This Row],[580C]])*B$4/B$5+B$6</f>
        <v>0</v>
      </c>
      <c r="J134">
        <f>HEX2DEC(_0811_173439[[#This Row],[4402]])*C$4/C$5+C$6</f>
        <v>36</v>
      </c>
      <c r="K134">
        <f>HEX2DEC(_0811_173439[[#This Row],[580F]])*D$4/D$5+D$6</f>
        <v>30.75</v>
      </c>
      <c r="L134">
        <f>ROUND(HEX2DEC(_0811_173439[[#This Row],[58F0]])*E$4/E$5+E$6,0)</f>
        <v>82</v>
      </c>
      <c r="M134">
        <f>ROUND(HEX2DEC(_0811_173439[[#This Row],[5805]])*F$4/F$5+F$6,0)</f>
        <v>42</v>
      </c>
      <c r="N134">
        <f>ROUND(HEX2DEC(_0811_173439[[#This Row],[58DD]])*G$4/G$5+G$6,2)</f>
        <v>-0.03</v>
      </c>
      <c r="P134">
        <v>0</v>
      </c>
      <c r="Q134">
        <v>36</v>
      </c>
      <c r="R134">
        <v>30.75</v>
      </c>
      <c r="S134">
        <v>82</v>
      </c>
      <c r="T134">
        <v>42</v>
      </c>
      <c r="U134">
        <v>-0.03</v>
      </c>
      <c r="W134">
        <f>DataLog_T717420_Aug11_4_59_37pm[[#This Row],[RPM '[1/MIN']]]-Table3[[#This Row],[580C]]</f>
        <v>0</v>
      </c>
      <c r="X134">
        <f>DataLog_T717420_Aug11_4_59_37pm[[#This Row],[OIL TEMP '[Â°C']]]-Table3[[#This Row],[4402]]</f>
        <v>0</v>
      </c>
      <c r="Y134">
        <f>DataLog_T717420_Aug11_4_59_37pm[[#This Row],[INTAKE TEMP '[Â°C']]]-Table3[[#This Row],[580F]]</f>
        <v>0</v>
      </c>
      <c r="Z134">
        <f>DataLog_T717420_Aug11_4_59_37pm[[#This Row],[HPFP PRES. '[BAR']]]-Table3[[#This Row],[58F0]]</f>
        <v>0</v>
      </c>
      <c r="AA134">
        <f>DataLog_T717420_Aug11_4_59_37pm[[#This Row],[COOLANT TEMP '[Â°C']]]-Table3[[#This Row],[5805]]</f>
        <v>0</v>
      </c>
      <c r="AB134">
        <f>DataLog_T717420_Aug11_4_59_37pm[[#This Row],[BOOST '[BAR']]]-Table3[[#This Row],[58DD]]</f>
        <v>0</v>
      </c>
    </row>
    <row r="135" spans="2:28" x14ac:dyDescent="0.25">
      <c r="B135" s="2" t="s">
        <v>23</v>
      </c>
      <c r="C135" s="2" t="s">
        <v>30</v>
      </c>
      <c r="D135" s="2" t="s">
        <v>25</v>
      </c>
      <c r="E135" s="2" t="s">
        <v>39</v>
      </c>
      <c r="F135" s="2" t="s">
        <v>26</v>
      </c>
      <c r="G135" s="2" t="s">
        <v>27</v>
      </c>
      <c r="I135">
        <f>HEX2DEC(_0811_173439[[#This Row],[580C]])*B$4/B$5+B$6</f>
        <v>0</v>
      </c>
      <c r="J135">
        <f>HEX2DEC(_0811_173439[[#This Row],[4402]])*C$4/C$5+C$6</f>
        <v>36</v>
      </c>
      <c r="K135">
        <f>HEX2DEC(_0811_173439[[#This Row],[580F]])*D$4/D$5+D$6</f>
        <v>30.75</v>
      </c>
      <c r="L135">
        <f>ROUND(HEX2DEC(_0811_173439[[#This Row],[58F0]])*E$4/E$5+E$6,0)</f>
        <v>82</v>
      </c>
      <c r="M135">
        <f>ROUND(HEX2DEC(_0811_173439[[#This Row],[5805]])*F$4/F$5+F$6,0)</f>
        <v>42</v>
      </c>
      <c r="N135">
        <f>ROUND(HEX2DEC(_0811_173439[[#This Row],[58DD]])*G$4/G$5+G$6,2)</f>
        <v>-0.03</v>
      </c>
      <c r="P135">
        <v>0</v>
      </c>
      <c r="Q135">
        <v>36</v>
      </c>
      <c r="R135">
        <v>30.75</v>
      </c>
      <c r="S135">
        <v>82</v>
      </c>
      <c r="T135">
        <v>42</v>
      </c>
      <c r="U135">
        <v>-0.03</v>
      </c>
      <c r="W135">
        <f>DataLog_T717420_Aug11_4_59_37pm[[#This Row],[RPM '[1/MIN']]]-Table3[[#This Row],[580C]]</f>
        <v>0</v>
      </c>
      <c r="X135">
        <f>DataLog_T717420_Aug11_4_59_37pm[[#This Row],[OIL TEMP '[Â°C']]]-Table3[[#This Row],[4402]]</f>
        <v>0</v>
      </c>
      <c r="Y135">
        <f>DataLog_T717420_Aug11_4_59_37pm[[#This Row],[INTAKE TEMP '[Â°C']]]-Table3[[#This Row],[580F]]</f>
        <v>0</v>
      </c>
      <c r="Z135">
        <f>DataLog_T717420_Aug11_4_59_37pm[[#This Row],[HPFP PRES. '[BAR']]]-Table3[[#This Row],[58F0]]</f>
        <v>0</v>
      </c>
      <c r="AA135">
        <f>DataLog_T717420_Aug11_4_59_37pm[[#This Row],[COOLANT TEMP '[Â°C']]]-Table3[[#This Row],[5805]]</f>
        <v>0</v>
      </c>
      <c r="AB135">
        <f>DataLog_T717420_Aug11_4_59_37pm[[#This Row],[BOOST '[BAR']]]-Table3[[#This Row],[58DD]]</f>
        <v>0</v>
      </c>
    </row>
    <row r="136" spans="2:28" x14ac:dyDescent="0.25">
      <c r="B136" s="2" t="s">
        <v>23</v>
      </c>
      <c r="C136" s="2" t="s">
        <v>30</v>
      </c>
      <c r="D136" s="2" t="s">
        <v>25</v>
      </c>
      <c r="E136" s="2" t="s">
        <v>39</v>
      </c>
      <c r="F136" s="2" t="s">
        <v>26</v>
      </c>
      <c r="G136" s="2" t="s">
        <v>27</v>
      </c>
      <c r="I136">
        <f>HEX2DEC(_0811_173439[[#This Row],[580C]])*B$4/B$5+B$6</f>
        <v>0</v>
      </c>
      <c r="J136">
        <f>HEX2DEC(_0811_173439[[#This Row],[4402]])*C$4/C$5+C$6</f>
        <v>36</v>
      </c>
      <c r="K136">
        <f>HEX2DEC(_0811_173439[[#This Row],[580F]])*D$4/D$5+D$6</f>
        <v>30.75</v>
      </c>
      <c r="L136">
        <f>ROUND(HEX2DEC(_0811_173439[[#This Row],[58F0]])*E$4/E$5+E$6,0)</f>
        <v>82</v>
      </c>
      <c r="M136">
        <f>ROUND(HEX2DEC(_0811_173439[[#This Row],[5805]])*F$4/F$5+F$6,0)</f>
        <v>42</v>
      </c>
      <c r="N136">
        <f>ROUND(HEX2DEC(_0811_173439[[#This Row],[58DD]])*G$4/G$5+G$6,2)</f>
        <v>-0.03</v>
      </c>
      <c r="P136">
        <v>0</v>
      </c>
      <c r="Q136">
        <v>36</v>
      </c>
      <c r="R136">
        <v>30.75</v>
      </c>
      <c r="S136">
        <v>82</v>
      </c>
      <c r="T136">
        <v>42</v>
      </c>
      <c r="U136">
        <v>-0.03</v>
      </c>
      <c r="W136">
        <f>DataLog_T717420_Aug11_4_59_37pm[[#This Row],[RPM '[1/MIN']]]-Table3[[#This Row],[580C]]</f>
        <v>0</v>
      </c>
      <c r="X136">
        <f>DataLog_T717420_Aug11_4_59_37pm[[#This Row],[OIL TEMP '[Â°C']]]-Table3[[#This Row],[4402]]</f>
        <v>0</v>
      </c>
      <c r="Y136">
        <f>DataLog_T717420_Aug11_4_59_37pm[[#This Row],[INTAKE TEMP '[Â°C']]]-Table3[[#This Row],[580F]]</f>
        <v>0</v>
      </c>
      <c r="Z136">
        <f>DataLog_T717420_Aug11_4_59_37pm[[#This Row],[HPFP PRES. '[BAR']]]-Table3[[#This Row],[58F0]]</f>
        <v>0</v>
      </c>
      <c r="AA136">
        <f>DataLog_T717420_Aug11_4_59_37pm[[#This Row],[COOLANT TEMP '[Â°C']]]-Table3[[#This Row],[5805]]</f>
        <v>0</v>
      </c>
      <c r="AB136">
        <f>DataLog_T717420_Aug11_4_59_37pm[[#This Row],[BOOST '[BAR']]]-Table3[[#This Row],[58DD]]</f>
        <v>0</v>
      </c>
    </row>
    <row r="137" spans="2:28" x14ac:dyDescent="0.25">
      <c r="B137" s="2" t="s">
        <v>23</v>
      </c>
      <c r="C137" s="2" t="s">
        <v>30</v>
      </c>
      <c r="D137" s="2" t="s">
        <v>25</v>
      </c>
      <c r="E137" s="2" t="s">
        <v>39</v>
      </c>
      <c r="F137" s="2" t="s">
        <v>26</v>
      </c>
      <c r="G137" s="2" t="s">
        <v>27</v>
      </c>
      <c r="I137">
        <f>HEX2DEC(_0811_173439[[#This Row],[580C]])*B$4/B$5+B$6</f>
        <v>0</v>
      </c>
      <c r="J137">
        <f>HEX2DEC(_0811_173439[[#This Row],[4402]])*C$4/C$5+C$6</f>
        <v>36</v>
      </c>
      <c r="K137">
        <f>HEX2DEC(_0811_173439[[#This Row],[580F]])*D$4/D$5+D$6</f>
        <v>30.75</v>
      </c>
      <c r="L137">
        <f>ROUND(HEX2DEC(_0811_173439[[#This Row],[58F0]])*E$4/E$5+E$6,0)</f>
        <v>82</v>
      </c>
      <c r="M137">
        <f>ROUND(HEX2DEC(_0811_173439[[#This Row],[5805]])*F$4/F$5+F$6,0)</f>
        <v>42</v>
      </c>
      <c r="N137">
        <f>ROUND(HEX2DEC(_0811_173439[[#This Row],[58DD]])*G$4/G$5+G$6,2)</f>
        <v>-0.03</v>
      </c>
      <c r="P137">
        <v>0</v>
      </c>
      <c r="Q137">
        <v>36</v>
      </c>
      <c r="R137">
        <v>30.75</v>
      </c>
      <c r="S137">
        <v>82</v>
      </c>
      <c r="T137">
        <v>42</v>
      </c>
      <c r="U137">
        <v>-0.03</v>
      </c>
      <c r="W137">
        <f>DataLog_T717420_Aug11_4_59_37pm[[#This Row],[RPM '[1/MIN']]]-Table3[[#This Row],[580C]]</f>
        <v>0</v>
      </c>
      <c r="X137">
        <f>DataLog_T717420_Aug11_4_59_37pm[[#This Row],[OIL TEMP '[Â°C']]]-Table3[[#This Row],[4402]]</f>
        <v>0</v>
      </c>
      <c r="Y137">
        <f>DataLog_T717420_Aug11_4_59_37pm[[#This Row],[INTAKE TEMP '[Â°C']]]-Table3[[#This Row],[580F]]</f>
        <v>0</v>
      </c>
      <c r="Z137">
        <f>DataLog_T717420_Aug11_4_59_37pm[[#This Row],[HPFP PRES. '[BAR']]]-Table3[[#This Row],[58F0]]</f>
        <v>0</v>
      </c>
      <c r="AA137">
        <f>DataLog_T717420_Aug11_4_59_37pm[[#This Row],[COOLANT TEMP '[Â°C']]]-Table3[[#This Row],[5805]]</f>
        <v>0</v>
      </c>
      <c r="AB137">
        <f>DataLog_T717420_Aug11_4_59_37pm[[#This Row],[BOOST '[BAR']]]-Table3[[#This Row],[58DD]]</f>
        <v>0</v>
      </c>
    </row>
    <row r="138" spans="2:28" x14ac:dyDescent="0.25">
      <c r="B138" s="2" t="s">
        <v>23</v>
      </c>
      <c r="C138" s="2" t="s">
        <v>30</v>
      </c>
      <c r="D138" s="2" t="s">
        <v>25</v>
      </c>
      <c r="E138" s="2" t="s">
        <v>39</v>
      </c>
      <c r="F138" s="2" t="s">
        <v>26</v>
      </c>
      <c r="G138" s="2" t="s">
        <v>27</v>
      </c>
      <c r="I138">
        <f>HEX2DEC(_0811_173439[[#This Row],[580C]])*B$4/B$5+B$6</f>
        <v>0</v>
      </c>
      <c r="J138">
        <f>HEX2DEC(_0811_173439[[#This Row],[4402]])*C$4/C$5+C$6</f>
        <v>36</v>
      </c>
      <c r="K138">
        <f>HEX2DEC(_0811_173439[[#This Row],[580F]])*D$4/D$5+D$6</f>
        <v>30.75</v>
      </c>
      <c r="L138">
        <f>ROUND(HEX2DEC(_0811_173439[[#This Row],[58F0]])*E$4/E$5+E$6,0)</f>
        <v>82</v>
      </c>
      <c r="M138">
        <f>ROUND(HEX2DEC(_0811_173439[[#This Row],[5805]])*F$4/F$5+F$6,0)</f>
        <v>42</v>
      </c>
      <c r="N138">
        <f>ROUND(HEX2DEC(_0811_173439[[#This Row],[58DD]])*G$4/G$5+G$6,2)</f>
        <v>-0.03</v>
      </c>
      <c r="P138">
        <v>0</v>
      </c>
      <c r="Q138">
        <v>36</v>
      </c>
      <c r="R138">
        <v>30.75</v>
      </c>
      <c r="S138">
        <v>82</v>
      </c>
      <c r="T138">
        <v>42</v>
      </c>
      <c r="U138">
        <v>-0.03</v>
      </c>
      <c r="W138">
        <f>DataLog_T717420_Aug11_4_59_37pm[[#This Row],[RPM '[1/MIN']]]-Table3[[#This Row],[580C]]</f>
        <v>0</v>
      </c>
      <c r="X138">
        <f>DataLog_T717420_Aug11_4_59_37pm[[#This Row],[OIL TEMP '[Â°C']]]-Table3[[#This Row],[4402]]</f>
        <v>0</v>
      </c>
      <c r="Y138">
        <f>DataLog_T717420_Aug11_4_59_37pm[[#This Row],[INTAKE TEMP '[Â°C']]]-Table3[[#This Row],[580F]]</f>
        <v>0</v>
      </c>
      <c r="Z138">
        <f>DataLog_T717420_Aug11_4_59_37pm[[#This Row],[HPFP PRES. '[BAR']]]-Table3[[#This Row],[58F0]]</f>
        <v>0</v>
      </c>
      <c r="AA138">
        <f>DataLog_T717420_Aug11_4_59_37pm[[#This Row],[COOLANT TEMP '[Â°C']]]-Table3[[#This Row],[5805]]</f>
        <v>0</v>
      </c>
      <c r="AB138">
        <f>DataLog_T717420_Aug11_4_59_37pm[[#This Row],[BOOST '[BAR']]]-Table3[[#This Row],[58DD]]</f>
        <v>0</v>
      </c>
    </row>
    <row r="139" spans="2:28" x14ac:dyDescent="0.25">
      <c r="B139" s="2" t="s">
        <v>23</v>
      </c>
      <c r="C139" s="2" t="s">
        <v>30</v>
      </c>
      <c r="D139" s="2" t="s">
        <v>25</v>
      </c>
      <c r="E139" s="2" t="s">
        <v>39</v>
      </c>
      <c r="F139" s="2" t="s">
        <v>26</v>
      </c>
      <c r="G139" s="2" t="s">
        <v>28</v>
      </c>
      <c r="I139">
        <f>HEX2DEC(_0811_173439[[#This Row],[580C]])*B$4/B$5+B$6</f>
        <v>0</v>
      </c>
      <c r="J139">
        <f>HEX2DEC(_0811_173439[[#This Row],[4402]])*C$4/C$5+C$6</f>
        <v>36</v>
      </c>
      <c r="K139">
        <f>HEX2DEC(_0811_173439[[#This Row],[580F]])*D$4/D$5+D$6</f>
        <v>30.75</v>
      </c>
      <c r="L139">
        <f>ROUND(HEX2DEC(_0811_173439[[#This Row],[58F0]])*E$4/E$5+E$6,0)</f>
        <v>82</v>
      </c>
      <c r="M139">
        <f>ROUND(HEX2DEC(_0811_173439[[#This Row],[5805]])*F$4/F$5+F$6,0)</f>
        <v>42</v>
      </c>
      <c r="N139">
        <f>ROUND(HEX2DEC(_0811_173439[[#This Row],[58DD]])*G$4/G$5+G$6,2)</f>
        <v>-0.02</v>
      </c>
      <c r="P139">
        <v>0</v>
      </c>
      <c r="Q139">
        <v>36</v>
      </c>
      <c r="R139">
        <v>30.75</v>
      </c>
      <c r="S139">
        <v>82</v>
      </c>
      <c r="T139">
        <v>42</v>
      </c>
      <c r="U139">
        <v>-0.02</v>
      </c>
      <c r="W139">
        <f>DataLog_T717420_Aug11_4_59_37pm[[#This Row],[RPM '[1/MIN']]]-Table3[[#This Row],[580C]]</f>
        <v>0</v>
      </c>
      <c r="X139">
        <f>DataLog_T717420_Aug11_4_59_37pm[[#This Row],[OIL TEMP '[Â°C']]]-Table3[[#This Row],[4402]]</f>
        <v>0</v>
      </c>
      <c r="Y139">
        <f>DataLog_T717420_Aug11_4_59_37pm[[#This Row],[INTAKE TEMP '[Â°C']]]-Table3[[#This Row],[580F]]</f>
        <v>0</v>
      </c>
      <c r="Z139">
        <f>DataLog_T717420_Aug11_4_59_37pm[[#This Row],[HPFP PRES. '[BAR']]]-Table3[[#This Row],[58F0]]</f>
        <v>0</v>
      </c>
      <c r="AA139">
        <f>DataLog_T717420_Aug11_4_59_37pm[[#This Row],[COOLANT TEMP '[Â°C']]]-Table3[[#This Row],[5805]]</f>
        <v>0</v>
      </c>
      <c r="AB139">
        <f>DataLog_T717420_Aug11_4_59_37pm[[#This Row],[BOOST '[BAR']]]-Table3[[#This Row],[58DD]]</f>
        <v>0</v>
      </c>
    </row>
    <row r="140" spans="2:28" x14ac:dyDescent="0.25">
      <c r="B140" s="2" t="s">
        <v>23</v>
      </c>
      <c r="C140" s="2" t="s">
        <v>30</v>
      </c>
      <c r="D140" s="2" t="s">
        <v>25</v>
      </c>
      <c r="E140" s="2" t="s">
        <v>39</v>
      </c>
      <c r="F140" s="2" t="s">
        <v>26</v>
      </c>
      <c r="G140" s="2" t="s">
        <v>28</v>
      </c>
      <c r="I140">
        <f>HEX2DEC(_0811_173439[[#This Row],[580C]])*B$4/B$5+B$6</f>
        <v>0</v>
      </c>
      <c r="J140">
        <f>HEX2DEC(_0811_173439[[#This Row],[4402]])*C$4/C$5+C$6</f>
        <v>36</v>
      </c>
      <c r="K140">
        <f>HEX2DEC(_0811_173439[[#This Row],[580F]])*D$4/D$5+D$6</f>
        <v>30.75</v>
      </c>
      <c r="L140">
        <f>ROUND(HEX2DEC(_0811_173439[[#This Row],[58F0]])*E$4/E$5+E$6,0)</f>
        <v>82</v>
      </c>
      <c r="M140">
        <f>ROUND(HEX2DEC(_0811_173439[[#This Row],[5805]])*F$4/F$5+F$6,0)</f>
        <v>42</v>
      </c>
      <c r="N140">
        <f>ROUND(HEX2DEC(_0811_173439[[#This Row],[58DD]])*G$4/G$5+G$6,2)</f>
        <v>-0.02</v>
      </c>
      <c r="P140">
        <v>0</v>
      </c>
      <c r="Q140">
        <v>36</v>
      </c>
      <c r="R140">
        <v>30.75</v>
      </c>
      <c r="S140">
        <v>82</v>
      </c>
      <c r="T140">
        <v>42</v>
      </c>
      <c r="U140">
        <v>-0.02</v>
      </c>
      <c r="W140">
        <f>DataLog_T717420_Aug11_4_59_37pm[[#This Row],[RPM '[1/MIN']]]-Table3[[#This Row],[580C]]</f>
        <v>0</v>
      </c>
      <c r="X140">
        <f>DataLog_T717420_Aug11_4_59_37pm[[#This Row],[OIL TEMP '[Â°C']]]-Table3[[#This Row],[4402]]</f>
        <v>0</v>
      </c>
      <c r="Y140">
        <f>DataLog_T717420_Aug11_4_59_37pm[[#This Row],[INTAKE TEMP '[Â°C']]]-Table3[[#This Row],[580F]]</f>
        <v>0</v>
      </c>
      <c r="Z140">
        <f>DataLog_T717420_Aug11_4_59_37pm[[#This Row],[HPFP PRES. '[BAR']]]-Table3[[#This Row],[58F0]]</f>
        <v>0</v>
      </c>
      <c r="AA140">
        <f>DataLog_T717420_Aug11_4_59_37pm[[#This Row],[COOLANT TEMP '[Â°C']]]-Table3[[#This Row],[5805]]</f>
        <v>0</v>
      </c>
      <c r="AB140">
        <f>DataLog_T717420_Aug11_4_59_37pm[[#This Row],[BOOST '[BAR']]]-Table3[[#This Row],[58DD]]</f>
        <v>0</v>
      </c>
    </row>
    <row r="141" spans="2:28" x14ac:dyDescent="0.25">
      <c r="B141" s="2" t="s">
        <v>23</v>
      </c>
      <c r="C141" s="2" t="s">
        <v>30</v>
      </c>
      <c r="D141" s="2" t="s">
        <v>25</v>
      </c>
      <c r="E141" s="2" t="s">
        <v>39</v>
      </c>
      <c r="F141" s="2" t="s">
        <v>26</v>
      </c>
      <c r="G141" s="2" t="s">
        <v>27</v>
      </c>
      <c r="I141">
        <f>HEX2DEC(_0811_173439[[#This Row],[580C]])*B$4/B$5+B$6</f>
        <v>0</v>
      </c>
      <c r="J141">
        <f>HEX2DEC(_0811_173439[[#This Row],[4402]])*C$4/C$5+C$6</f>
        <v>36</v>
      </c>
      <c r="K141">
        <f>HEX2DEC(_0811_173439[[#This Row],[580F]])*D$4/D$5+D$6</f>
        <v>30.75</v>
      </c>
      <c r="L141">
        <f>ROUND(HEX2DEC(_0811_173439[[#This Row],[58F0]])*E$4/E$5+E$6,0)</f>
        <v>82</v>
      </c>
      <c r="M141">
        <f>ROUND(HEX2DEC(_0811_173439[[#This Row],[5805]])*F$4/F$5+F$6,0)</f>
        <v>42</v>
      </c>
      <c r="N141">
        <f>ROUND(HEX2DEC(_0811_173439[[#This Row],[58DD]])*G$4/G$5+G$6,2)</f>
        <v>-0.03</v>
      </c>
      <c r="P141">
        <v>0</v>
      </c>
      <c r="Q141">
        <v>36</v>
      </c>
      <c r="R141">
        <v>30.75</v>
      </c>
      <c r="S141">
        <v>82</v>
      </c>
      <c r="T141">
        <v>42</v>
      </c>
      <c r="U141">
        <v>-0.03</v>
      </c>
      <c r="W141">
        <f>DataLog_T717420_Aug11_4_59_37pm[[#This Row],[RPM '[1/MIN']]]-Table3[[#This Row],[580C]]</f>
        <v>0</v>
      </c>
      <c r="X141">
        <f>DataLog_T717420_Aug11_4_59_37pm[[#This Row],[OIL TEMP '[Â°C']]]-Table3[[#This Row],[4402]]</f>
        <v>0</v>
      </c>
      <c r="Y141">
        <f>DataLog_T717420_Aug11_4_59_37pm[[#This Row],[INTAKE TEMP '[Â°C']]]-Table3[[#This Row],[580F]]</f>
        <v>0</v>
      </c>
      <c r="Z141">
        <f>DataLog_T717420_Aug11_4_59_37pm[[#This Row],[HPFP PRES. '[BAR']]]-Table3[[#This Row],[58F0]]</f>
        <v>0</v>
      </c>
      <c r="AA141">
        <f>DataLog_T717420_Aug11_4_59_37pm[[#This Row],[COOLANT TEMP '[Â°C']]]-Table3[[#This Row],[5805]]</f>
        <v>0</v>
      </c>
      <c r="AB141">
        <f>DataLog_T717420_Aug11_4_59_37pm[[#This Row],[BOOST '[BAR']]]-Table3[[#This Row],[58DD]]</f>
        <v>0</v>
      </c>
    </row>
    <row r="142" spans="2:28" x14ac:dyDescent="0.25">
      <c r="B142" s="2" t="s">
        <v>23</v>
      </c>
      <c r="C142" s="2" t="s">
        <v>30</v>
      </c>
      <c r="D142" s="2" t="s">
        <v>25</v>
      </c>
      <c r="E142" s="2" t="s">
        <v>39</v>
      </c>
      <c r="F142" s="2" t="s">
        <v>26</v>
      </c>
      <c r="G142" s="2" t="s">
        <v>27</v>
      </c>
      <c r="I142">
        <f>HEX2DEC(_0811_173439[[#This Row],[580C]])*B$4/B$5+B$6</f>
        <v>0</v>
      </c>
      <c r="J142">
        <f>HEX2DEC(_0811_173439[[#This Row],[4402]])*C$4/C$5+C$6</f>
        <v>36</v>
      </c>
      <c r="K142">
        <f>HEX2DEC(_0811_173439[[#This Row],[580F]])*D$4/D$5+D$6</f>
        <v>30.75</v>
      </c>
      <c r="L142">
        <f>ROUND(HEX2DEC(_0811_173439[[#This Row],[58F0]])*E$4/E$5+E$6,0)</f>
        <v>82</v>
      </c>
      <c r="M142">
        <f>ROUND(HEX2DEC(_0811_173439[[#This Row],[5805]])*F$4/F$5+F$6,0)</f>
        <v>42</v>
      </c>
      <c r="N142">
        <f>ROUND(HEX2DEC(_0811_173439[[#This Row],[58DD]])*G$4/G$5+G$6,2)</f>
        <v>-0.03</v>
      </c>
      <c r="P142">
        <v>0</v>
      </c>
      <c r="Q142">
        <v>36</v>
      </c>
      <c r="R142">
        <v>30.75</v>
      </c>
      <c r="S142">
        <v>82</v>
      </c>
      <c r="T142">
        <v>42</v>
      </c>
      <c r="U142">
        <v>-0.03</v>
      </c>
      <c r="W142">
        <f>DataLog_T717420_Aug11_4_59_37pm[[#This Row],[RPM '[1/MIN']]]-Table3[[#This Row],[580C]]</f>
        <v>0</v>
      </c>
      <c r="X142">
        <f>DataLog_T717420_Aug11_4_59_37pm[[#This Row],[OIL TEMP '[Â°C']]]-Table3[[#This Row],[4402]]</f>
        <v>0</v>
      </c>
      <c r="Y142">
        <f>DataLog_T717420_Aug11_4_59_37pm[[#This Row],[INTAKE TEMP '[Â°C']]]-Table3[[#This Row],[580F]]</f>
        <v>0</v>
      </c>
      <c r="Z142">
        <f>DataLog_T717420_Aug11_4_59_37pm[[#This Row],[HPFP PRES. '[BAR']]]-Table3[[#This Row],[58F0]]</f>
        <v>0</v>
      </c>
      <c r="AA142">
        <f>DataLog_T717420_Aug11_4_59_37pm[[#This Row],[COOLANT TEMP '[Â°C']]]-Table3[[#This Row],[5805]]</f>
        <v>0</v>
      </c>
      <c r="AB142">
        <f>DataLog_T717420_Aug11_4_59_37pm[[#This Row],[BOOST '[BAR']]]-Table3[[#This Row],[58DD]]</f>
        <v>0</v>
      </c>
    </row>
    <row r="143" spans="2:28" x14ac:dyDescent="0.25">
      <c r="B143" s="2" t="s">
        <v>23</v>
      </c>
      <c r="C143" s="2" t="s">
        <v>30</v>
      </c>
      <c r="D143" s="2" t="s">
        <v>25</v>
      </c>
      <c r="E143" s="2" t="s">
        <v>39</v>
      </c>
      <c r="F143" s="2" t="s">
        <v>26</v>
      </c>
      <c r="G143" s="2" t="s">
        <v>27</v>
      </c>
      <c r="I143">
        <f>HEX2DEC(_0811_173439[[#This Row],[580C]])*B$4/B$5+B$6</f>
        <v>0</v>
      </c>
      <c r="J143">
        <f>HEX2DEC(_0811_173439[[#This Row],[4402]])*C$4/C$5+C$6</f>
        <v>36</v>
      </c>
      <c r="K143">
        <f>HEX2DEC(_0811_173439[[#This Row],[580F]])*D$4/D$5+D$6</f>
        <v>30.75</v>
      </c>
      <c r="L143">
        <f>ROUND(HEX2DEC(_0811_173439[[#This Row],[58F0]])*E$4/E$5+E$6,0)</f>
        <v>82</v>
      </c>
      <c r="M143">
        <f>ROUND(HEX2DEC(_0811_173439[[#This Row],[5805]])*F$4/F$5+F$6,0)</f>
        <v>42</v>
      </c>
      <c r="N143">
        <f>ROUND(HEX2DEC(_0811_173439[[#This Row],[58DD]])*G$4/G$5+G$6,2)</f>
        <v>-0.03</v>
      </c>
      <c r="P143">
        <v>0</v>
      </c>
      <c r="Q143">
        <v>36</v>
      </c>
      <c r="R143">
        <v>30.75</v>
      </c>
      <c r="S143">
        <v>82</v>
      </c>
      <c r="T143">
        <v>42</v>
      </c>
      <c r="U143">
        <v>-0.03</v>
      </c>
      <c r="W143">
        <f>DataLog_T717420_Aug11_4_59_37pm[[#This Row],[RPM '[1/MIN']]]-Table3[[#This Row],[580C]]</f>
        <v>0</v>
      </c>
      <c r="X143">
        <f>DataLog_T717420_Aug11_4_59_37pm[[#This Row],[OIL TEMP '[Â°C']]]-Table3[[#This Row],[4402]]</f>
        <v>0</v>
      </c>
      <c r="Y143">
        <f>DataLog_T717420_Aug11_4_59_37pm[[#This Row],[INTAKE TEMP '[Â°C']]]-Table3[[#This Row],[580F]]</f>
        <v>0</v>
      </c>
      <c r="Z143">
        <f>DataLog_T717420_Aug11_4_59_37pm[[#This Row],[HPFP PRES. '[BAR']]]-Table3[[#This Row],[58F0]]</f>
        <v>0</v>
      </c>
      <c r="AA143">
        <f>DataLog_T717420_Aug11_4_59_37pm[[#This Row],[COOLANT TEMP '[Â°C']]]-Table3[[#This Row],[5805]]</f>
        <v>0</v>
      </c>
      <c r="AB143">
        <f>DataLog_T717420_Aug11_4_59_37pm[[#This Row],[BOOST '[BAR']]]-Table3[[#This Row],[58DD]]</f>
        <v>0</v>
      </c>
    </row>
    <row r="144" spans="2:28" x14ac:dyDescent="0.25">
      <c r="B144" s="2" t="s">
        <v>23</v>
      </c>
      <c r="C144" s="2" t="s">
        <v>30</v>
      </c>
      <c r="D144" s="2" t="s">
        <v>25</v>
      </c>
      <c r="E144" s="2" t="s">
        <v>39</v>
      </c>
      <c r="F144" s="2" t="s">
        <v>26</v>
      </c>
      <c r="G144" s="2" t="s">
        <v>27</v>
      </c>
      <c r="I144">
        <f>HEX2DEC(_0811_173439[[#This Row],[580C]])*B$4/B$5+B$6</f>
        <v>0</v>
      </c>
      <c r="J144">
        <f>HEX2DEC(_0811_173439[[#This Row],[4402]])*C$4/C$5+C$6</f>
        <v>36</v>
      </c>
      <c r="K144">
        <f>HEX2DEC(_0811_173439[[#This Row],[580F]])*D$4/D$5+D$6</f>
        <v>30.75</v>
      </c>
      <c r="L144">
        <f>ROUND(HEX2DEC(_0811_173439[[#This Row],[58F0]])*E$4/E$5+E$6,0)</f>
        <v>82</v>
      </c>
      <c r="M144">
        <f>ROUND(HEX2DEC(_0811_173439[[#This Row],[5805]])*F$4/F$5+F$6,0)</f>
        <v>42</v>
      </c>
      <c r="N144">
        <f>ROUND(HEX2DEC(_0811_173439[[#This Row],[58DD]])*G$4/G$5+G$6,2)</f>
        <v>-0.03</v>
      </c>
      <c r="P144">
        <v>0</v>
      </c>
      <c r="Q144">
        <v>36</v>
      </c>
      <c r="R144">
        <v>30.75</v>
      </c>
      <c r="S144">
        <v>82</v>
      </c>
      <c r="T144">
        <v>42</v>
      </c>
      <c r="U144">
        <v>-0.03</v>
      </c>
      <c r="W144">
        <f>DataLog_T717420_Aug11_4_59_37pm[[#This Row],[RPM '[1/MIN']]]-Table3[[#This Row],[580C]]</f>
        <v>0</v>
      </c>
      <c r="X144">
        <f>DataLog_T717420_Aug11_4_59_37pm[[#This Row],[OIL TEMP '[Â°C']]]-Table3[[#This Row],[4402]]</f>
        <v>0</v>
      </c>
      <c r="Y144">
        <f>DataLog_T717420_Aug11_4_59_37pm[[#This Row],[INTAKE TEMP '[Â°C']]]-Table3[[#This Row],[580F]]</f>
        <v>0</v>
      </c>
      <c r="Z144">
        <f>DataLog_T717420_Aug11_4_59_37pm[[#This Row],[HPFP PRES. '[BAR']]]-Table3[[#This Row],[58F0]]</f>
        <v>0</v>
      </c>
      <c r="AA144">
        <f>DataLog_T717420_Aug11_4_59_37pm[[#This Row],[COOLANT TEMP '[Â°C']]]-Table3[[#This Row],[5805]]</f>
        <v>0</v>
      </c>
      <c r="AB144">
        <f>DataLog_T717420_Aug11_4_59_37pm[[#This Row],[BOOST '[BAR']]]-Table3[[#This Row],[58DD]]</f>
        <v>0</v>
      </c>
    </row>
    <row r="145" spans="2:28" x14ac:dyDescent="0.25">
      <c r="B145" s="2" t="s">
        <v>23</v>
      </c>
      <c r="C145" s="2" t="s">
        <v>30</v>
      </c>
      <c r="D145" s="2" t="s">
        <v>25</v>
      </c>
      <c r="E145" s="2" t="s">
        <v>39</v>
      </c>
      <c r="F145" s="2" t="s">
        <v>26</v>
      </c>
      <c r="G145" s="2" t="s">
        <v>27</v>
      </c>
      <c r="I145">
        <f>HEX2DEC(_0811_173439[[#This Row],[580C]])*B$4/B$5+B$6</f>
        <v>0</v>
      </c>
      <c r="J145">
        <f>HEX2DEC(_0811_173439[[#This Row],[4402]])*C$4/C$5+C$6</f>
        <v>36</v>
      </c>
      <c r="K145">
        <f>HEX2DEC(_0811_173439[[#This Row],[580F]])*D$4/D$5+D$6</f>
        <v>30.75</v>
      </c>
      <c r="L145">
        <f>ROUND(HEX2DEC(_0811_173439[[#This Row],[58F0]])*E$4/E$5+E$6,0)</f>
        <v>82</v>
      </c>
      <c r="M145">
        <f>ROUND(HEX2DEC(_0811_173439[[#This Row],[5805]])*F$4/F$5+F$6,0)</f>
        <v>42</v>
      </c>
      <c r="N145">
        <f>ROUND(HEX2DEC(_0811_173439[[#This Row],[58DD]])*G$4/G$5+G$6,2)</f>
        <v>-0.03</v>
      </c>
      <c r="P145">
        <v>0</v>
      </c>
      <c r="Q145">
        <v>36</v>
      </c>
      <c r="R145">
        <v>30.75</v>
      </c>
      <c r="S145">
        <v>82</v>
      </c>
      <c r="T145">
        <v>42</v>
      </c>
      <c r="U145">
        <v>-0.03</v>
      </c>
      <c r="W145">
        <f>DataLog_T717420_Aug11_4_59_37pm[[#This Row],[RPM '[1/MIN']]]-Table3[[#This Row],[580C]]</f>
        <v>0</v>
      </c>
      <c r="X145">
        <f>DataLog_T717420_Aug11_4_59_37pm[[#This Row],[OIL TEMP '[Â°C']]]-Table3[[#This Row],[4402]]</f>
        <v>0</v>
      </c>
      <c r="Y145">
        <f>DataLog_T717420_Aug11_4_59_37pm[[#This Row],[INTAKE TEMP '[Â°C']]]-Table3[[#This Row],[580F]]</f>
        <v>0</v>
      </c>
      <c r="Z145">
        <f>DataLog_T717420_Aug11_4_59_37pm[[#This Row],[HPFP PRES. '[BAR']]]-Table3[[#This Row],[58F0]]</f>
        <v>0</v>
      </c>
      <c r="AA145">
        <f>DataLog_T717420_Aug11_4_59_37pm[[#This Row],[COOLANT TEMP '[Â°C']]]-Table3[[#This Row],[5805]]</f>
        <v>0</v>
      </c>
      <c r="AB145">
        <f>DataLog_T717420_Aug11_4_59_37pm[[#This Row],[BOOST '[BAR']]]-Table3[[#This Row],[58DD]]</f>
        <v>0</v>
      </c>
    </row>
    <row r="146" spans="2:28" x14ac:dyDescent="0.25">
      <c r="B146" s="2" t="s">
        <v>23</v>
      </c>
      <c r="C146" s="2" t="s">
        <v>30</v>
      </c>
      <c r="D146" s="2" t="s">
        <v>25</v>
      </c>
      <c r="E146" s="2" t="s">
        <v>39</v>
      </c>
      <c r="F146" s="2" t="s">
        <v>26</v>
      </c>
      <c r="G146" s="2" t="s">
        <v>27</v>
      </c>
      <c r="I146">
        <f>HEX2DEC(_0811_173439[[#This Row],[580C]])*B$4/B$5+B$6</f>
        <v>0</v>
      </c>
      <c r="J146">
        <f>HEX2DEC(_0811_173439[[#This Row],[4402]])*C$4/C$5+C$6</f>
        <v>36</v>
      </c>
      <c r="K146">
        <f>HEX2DEC(_0811_173439[[#This Row],[580F]])*D$4/D$5+D$6</f>
        <v>30.75</v>
      </c>
      <c r="L146">
        <f>ROUND(HEX2DEC(_0811_173439[[#This Row],[58F0]])*E$4/E$5+E$6,0)</f>
        <v>82</v>
      </c>
      <c r="M146">
        <f>ROUND(HEX2DEC(_0811_173439[[#This Row],[5805]])*F$4/F$5+F$6,0)</f>
        <v>42</v>
      </c>
      <c r="N146">
        <f>ROUND(HEX2DEC(_0811_173439[[#This Row],[58DD]])*G$4/G$5+G$6,2)</f>
        <v>-0.03</v>
      </c>
      <c r="P146">
        <v>0</v>
      </c>
      <c r="Q146">
        <v>36</v>
      </c>
      <c r="R146">
        <v>30.75</v>
      </c>
      <c r="S146">
        <v>82</v>
      </c>
      <c r="T146">
        <v>42</v>
      </c>
      <c r="U146">
        <v>-0.03</v>
      </c>
      <c r="W146">
        <f>DataLog_T717420_Aug11_4_59_37pm[[#This Row],[RPM '[1/MIN']]]-Table3[[#This Row],[580C]]</f>
        <v>0</v>
      </c>
      <c r="X146">
        <f>DataLog_T717420_Aug11_4_59_37pm[[#This Row],[OIL TEMP '[Â°C']]]-Table3[[#This Row],[4402]]</f>
        <v>0</v>
      </c>
      <c r="Y146">
        <f>DataLog_T717420_Aug11_4_59_37pm[[#This Row],[INTAKE TEMP '[Â°C']]]-Table3[[#This Row],[580F]]</f>
        <v>0</v>
      </c>
      <c r="Z146">
        <f>DataLog_T717420_Aug11_4_59_37pm[[#This Row],[HPFP PRES. '[BAR']]]-Table3[[#This Row],[58F0]]</f>
        <v>0</v>
      </c>
      <c r="AA146">
        <f>DataLog_T717420_Aug11_4_59_37pm[[#This Row],[COOLANT TEMP '[Â°C']]]-Table3[[#This Row],[5805]]</f>
        <v>0</v>
      </c>
      <c r="AB146">
        <f>DataLog_T717420_Aug11_4_59_37pm[[#This Row],[BOOST '[BAR']]]-Table3[[#This Row],[58DD]]</f>
        <v>0</v>
      </c>
    </row>
    <row r="147" spans="2:28" x14ac:dyDescent="0.25">
      <c r="B147" s="2" t="s">
        <v>23</v>
      </c>
      <c r="C147" s="2" t="s">
        <v>30</v>
      </c>
      <c r="D147" s="2" t="s">
        <v>25</v>
      </c>
      <c r="E147" s="2" t="s">
        <v>39</v>
      </c>
      <c r="F147" s="2" t="s">
        <v>26</v>
      </c>
      <c r="G147" s="2" t="s">
        <v>27</v>
      </c>
      <c r="I147">
        <f>HEX2DEC(_0811_173439[[#This Row],[580C]])*B$4/B$5+B$6</f>
        <v>0</v>
      </c>
      <c r="J147">
        <f>HEX2DEC(_0811_173439[[#This Row],[4402]])*C$4/C$5+C$6</f>
        <v>36</v>
      </c>
      <c r="K147">
        <f>HEX2DEC(_0811_173439[[#This Row],[580F]])*D$4/D$5+D$6</f>
        <v>30.75</v>
      </c>
      <c r="L147">
        <f>ROUND(HEX2DEC(_0811_173439[[#This Row],[58F0]])*E$4/E$5+E$6,0)</f>
        <v>82</v>
      </c>
      <c r="M147">
        <f>ROUND(HEX2DEC(_0811_173439[[#This Row],[5805]])*F$4/F$5+F$6,0)</f>
        <v>42</v>
      </c>
      <c r="N147">
        <f>ROUND(HEX2DEC(_0811_173439[[#This Row],[58DD]])*G$4/G$5+G$6,2)</f>
        <v>-0.03</v>
      </c>
      <c r="P147">
        <v>0</v>
      </c>
      <c r="Q147">
        <v>36</v>
      </c>
      <c r="R147">
        <v>30.75</v>
      </c>
      <c r="S147">
        <v>82</v>
      </c>
      <c r="T147">
        <v>42</v>
      </c>
      <c r="U147">
        <v>-0.03</v>
      </c>
      <c r="W147">
        <f>DataLog_T717420_Aug11_4_59_37pm[[#This Row],[RPM '[1/MIN']]]-Table3[[#This Row],[580C]]</f>
        <v>0</v>
      </c>
      <c r="X147">
        <f>DataLog_T717420_Aug11_4_59_37pm[[#This Row],[OIL TEMP '[Â°C']]]-Table3[[#This Row],[4402]]</f>
        <v>0</v>
      </c>
      <c r="Y147">
        <f>DataLog_T717420_Aug11_4_59_37pm[[#This Row],[INTAKE TEMP '[Â°C']]]-Table3[[#This Row],[580F]]</f>
        <v>0</v>
      </c>
      <c r="Z147">
        <f>DataLog_T717420_Aug11_4_59_37pm[[#This Row],[HPFP PRES. '[BAR']]]-Table3[[#This Row],[58F0]]</f>
        <v>0</v>
      </c>
      <c r="AA147">
        <f>DataLog_T717420_Aug11_4_59_37pm[[#This Row],[COOLANT TEMP '[Â°C']]]-Table3[[#This Row],[5805]]</f>
        <v>0</v>
      </c>
      <c r="AB147">
        <f>DataLog_T717420_Aug11_4_59_37pm[[#This Row],[BOOST '[BAR']]]-Table3[[#This Row],[58DD]]</f>
        <v>0</v>
      </c>
    </row>
    <row r="148" spans="2:28" x14ac:dyDescent="0.25">
      <c r="B148" s="2" t="s">
        <v>23</v>
      </c>
      <c r="C148" s="2" t="s">
        <v>30</v>
      </c>
      <c r="D148" s="2" t="s">
        <v>25</v>
      </c>
      <c r="E148" s="2" t="s">
        <v>39</v>
      </c>
      <c r="F148" s="2" t="s">
        <v>26</v>
      </c>
      <c r="G148" s="2" t="s">
        <v>27</v>
      </c>
      <c r="I148">
        <f>HEX2DEC(_0811_173439[[#This Row],[580C]])*B$4/B$5+B$6</f>
        <v>0</v>
      </c>
      <c r="J148">
        <f>HEX2DEC(_0811_173439[[#This Row],[4402]])*C$4/C$5+C$6</f>
        <v>36</v>
      </c>
      <c r="K148">
        <f>HEX2DEC(_0811_173439[[#This Row],[580F]])*D$4/D$5+D$6</f>
        <v>30.75</v>
      </c>
      <c r="L148">
        <f>ROUND(HEX2DEC(_0811_173439[[#This Row],[58F0]])*E$4/E$5+E$6,0)</f>
        <v>82</v>
      </c>
      <c r="M148">
        <f>ROUND(HEX2DEC(_0811_173439[[#This Row],[5805]])*F$4/F$5+F$6,0)</f>
        <v>42</v>
      </c>
      <c r="N148">
        <f>ROUND(HEX2DEC(_0811_173439[[#This Row],[58DD]])*G$4/G$5+G$6,2)</f>
        <v>-0.03</v>
      </c>
      <c r="P148">
        <v>0</v>
      </c>
      <c r="Q148">
        <v>36</v>
      </c>
      <c r="R148">
        <v>30.75</v>
      </c>
      <c r="S148">
        <v>82</v>
      </c>
      <c r="T148">
        <v>42</v>
      </c>
      <c r="U148">
        <v>-0.03</v>
      </c>
      <c r="W148">
        <f>DataLog_T717420_Aug11_4_59_37pm[[#This Row],[RPM '[1/MIN']]]-Table3[[#This Row],[580C]]</f>
        <v>0</v>
      </c>
      <c r="X148">
        <f>DataLog_T717420_Aug11_4_59_37pm[[#This Row],[OIL TEMP '[Â°C']]]-Table3[[#This Row],[4402]]</f>
        <v>0</v>
      </c>
      <c r="Y148">
        <f>DataLog_T717420_Aug11_4_59_37pm[[#This Row],[INTAKE TEMP '[Â°C']]]-Table3[[#This Row],[580F]]</f>
        <v>0</v>
      </c>
      <c r="Z148">
        <f>DataLog_T717420_Aug11_4_59_37pm[[#This Row],[HPFP PRES. '[BAR']]]-Table3[[#This Row],[58F0]]</f>
        <v>0</v>
      </c>
      <c r="AA148">
        <f>DataLog_T717420_Aug11_4_59_37pm[[#This Row],[COOLANT TEMP '[Â°C']]]-Table3[[#This Row],[5805]]</f>
        <v>0</v>
      </c>
      <c r="AB148">
        <f>DataLog_T717420_Aug11_4_59_37pm[[#This Row],[BOOST '[BAR']]]-Table3[[#This Row],[58DD]]</f>
        <v>0</v>
      </c>
    </row>
    <row r="149" spans="2:28" x14ac:dyDescent="0.25">
      <c r="B149" s="2" t="s">
        <v>23</v>
      </c>
      <c r="C149" s="2" t="s">
        <v>30</v>
      </c>
      <c r="D149" s="2" t="s">
        <v>25</v>
      </c>
      <c r="E149" s="2" t="s">
        <v>39</v>
      </c>
      <c r="F149" s="2" t="s">
        <v>26</v>
      </c>
      <c r="G149" s="2" t="s">
        <v>27</v>
      </c>
      <c r="I149">
        <f>HEX2DEC(_0811_173439[[#This Row],[580C]])*B$4/B$5+B$6</f>
        <v>0</v>
      </c>
      <c r="J149">
        <f>HEX2DEC(_0811_173439[[#This Row],[4402]])*C$4/C$5+C$6</f>
        <v>36</v>
      </c>
      <c r="K149">
        <f>HEX2DEC(_0811_173439[[#This Row],[580F]])*D$4/D$5+D$6</f>
        <v>30.75</v>
      </c>
      <c r="L149">
        <f>ROUND(HEX2DEC(_0811_173439[[#This Row],[58F0]])*E$4/E$5+E$6,0)</f>
        <v>82</v>
      </c>
      <c r="M149">
        <f>ROUND(HEX2DEC(_0811_173439[[#This Row],[5805]])*F$4/F$5+F$6,0)</f>
        <v>42</v>
      </c>
      <c r="N149">
        <f>ROUND(HEX2DEC(_0811_173439[[#This Row],[58DD]])*G$4/G$5+G$6,2)</f>
        <v>-0.03</v>
      </c>
      <c r="P149">
        <v>0</v>
      </c>
      <c r="Q149">
        <v>36</v>
      </c>
      <c r="R149">
        <v>30.75</v>
      </c>
      <c r="S149">
        <v>82</v>
      </c>
      <c r="T149">
        <v>42</v>
      </c>
      <c r="U149">
        <v>-0.03</v>
      </c>
      <c r="W149">
        <f>DataLog_T717420_Aug11_4_59_37pm[[#This Row],[RPM '[1/MIN']]]-Table3[[#This Row],[580C]]</f>
        <v>0</v>
      </c>
      <c r="X149">
        <f>DataLog_T717420_Aug11_4_59_37pm[[#This Row],[OIL TEMP '[Â°C']]]-Table3[[#This Row],[4402]]</f>
        <v>0</v>
      </c>
      <c r="Y149">
        <f>DataLog_T717420_Aug11_4_59_37pm[[#This Row],[INTAKE TEMP '[Â°C']]]-Table3[[#This Row],[580F]]</f>
        <v>0</v>
      </c>
      <c r="Z149">
        <f>DataLog_T717420_Aug11_4_59_37pm[[#This Row],[HPFP PRES. '[BAR']]]-Table3[[#This Row],[58F0]]</f>
        <v>0</v>
      </c>
      <c r="AA149">
        <f>DataLog_T717420_Aug11_4_59_37pm[[#This Row],[COOLANT TEMP '[Â°C']]]-Table3[[#This Row],[5805]]</f>
        <v>0</v>
      </c>
      <c r="AB149">
        <f>DataLog_T717420_Aug11_4_59_37pm[[#This Row],[BOOST '[BAR']]]-Table3[[#This Row],[58DD]]</f>
        <v>0</v>
      </c>
    </row>
    <row r="150" spans="2:28" x14ac:dyDescent="0.25">
      <c r="B150" s="2" t="s">
        <v>23</v>
      </c>
      <c r="C150" s="2" t="s">
        <v>30</v>
      </c>
      <c r="D150" s="2" t="s">
        <v>25</v>
      </c>
      <c r="E150" s="2" t="s">
        <v>39</v>
      </c>
      <c r="F150" s="2" t="s">
        <v>26</v>
      </c>
      <c r="G150" s="2" t="s">
        <v>27</v>
      </c>
      <c r="I150">
        <f>HEX2DEC(_0811_173439[[#This Row],[580C]])*B$4/B$5+B$6</f>
        <v>0</v>
      </c>
      <c r="J150">
        <f>HEX2DEC(_0811_173439[[#This Row],[4402]])*C$4/C$5+C$6</f>
        <v>36</v>
      </c>
      <c r="K150">
        <f>HEX2DEC(_0811_173439[[#This Row],[580F]])*D$4/D$5+D$6</f>
        <v>30.75</v>
      </c>
      <c r="L150">
        <f>ROUND(HEX2DEC(_0811_173439[[#This Row],[58F0]])*E$4/E$5+E$6,0)</f>
        <v>82</v>
      </c>
      <c r="M150">
        <f>ROUND(HEX2DEC(_0811_173439[[#This Row],[5805]])*F$4/F$5+F$6,0)</f>
        <v>42</v>
      </c>
      <c r="N150">
        <f>ROUND(HEX2DEC(_0811_173439[[#This Row],[58DD]])*G$4/G$5+G$6,2)</f>
        <v>-0.03</v>
      </c>
      <c r="P150">
        <v>0</v>
      </c>
      <c r="Q150">
        <v>36</v>
      </c>
      <c r="R150">
        <v>30.75</v>
      </c>
      <c r="S150">
        <v>82</v>
      </c>
      <c r="T150">
        <v>42</v>
      </c>
      <c r="U150">
        <v>-0.03</v>
      </c>
      <c r="W150">
        <f>DataLog_T717420_Aug11_4_59_37pm[[#This Row],[RPM '[1/MIN']]]-Table3[[#This Row],[580C]]</f>
        <v>0</v>
      </c>
      <c r="X150">
        <f>DataLog_T717420_Aug11_4_59_37pm[[#This Row],[OIL TEMP '[Â°C']]]-Table3[[#This Row],[4402]]</f>
        <v>0</v>
      </c>
      <c r="Y150">
        <f>DataLog_T717420_Aug11_4_59_37pm[[#This Row],[INTAKE TEMP '[Â°C']]]-Table3[[#This Row],[580F]]</f>
        <v>0</v>
      </c>
      <c r="Z150">
        <f>DataLog_T717420_Aug11_4_59_37pm[[#This Row],[HPFP PRES. '[BAR']]]-Table3[[#This Row],[58F0]]</f>
        <v>0</v>
      </c>
      <c r="AA150">
        <f>DataLog_T717420_Aug11_4_59_37pm[[#This Row],[COOLANT TEMP '[Â°C']]]-Table3[[#This Row],[5805]]</f>
        <v>0</v>
      </c>
      <c r="AB150">
        <f>DataLog_T717420_Aug11_4_59_37pm[[#This Row],[BOOST '[BAR']]]-Table3[[#This Row],[58DD]]</f>
        <v>0</v>
      </c>
    </row>
    <row r="151" spans="2:28" x14ac:dyDescent="0.25">
      <c r="B151" s="2" t="s">
        <v>23</v>
      </c>
      <c r="C151" s="2" t="s">
        <v>30</v>
      </c>
      <c r="D151" s="2" t="s">
        <v>25</v>
      </c>
      <c r="E151" s="2" t="s">
        <v>39</v>
      </c>
      <c r="F151" s="2" t="s">
        <v>26</v>
      </c>
      <c r="G151" s="2" t="s">
        <v>27</v>
      </c>
      <c r="I151">
        <f>HEX2DEC(_0811_173439[[#This Row],[580C]])*B$4/B$5+B$6</f>
        <v>0</v>
      </c>
      <c r="J151">
        <f>HEX2DEC(_0811_173439[[#This Row],[4402]])*C$4/C$5+C$6</f>
        <v>36</v>
      </c>
      <c r="K151">
        <f>HEX2DEC(_0811_173439[[#This Row],[580F]])*D$4/D$5+D$6</f>
        <v>30.75</v>
      </c>
      <c r="L151">
        <f>ROUND(HEX2DEC(_0811_173439[[#This Row],[58F0]])*E$4/E$5+E$6,0)</f>
        <v>82</v>
      </c>
      <c r="M151">
        <f>ROUND(HEX2DEC(_0811_173439[[#This Row],[5805]])*F$4/F$5+F$6,0)</f>
        <v>42</v>
      </c>
      <c r="N151">
        <f>ROUND(HEX2DEC(_0811_173439[[#This Row],[58DD]])*G$4/G$5+G$6,2)</f>
        <v>-0.03</v>
      </c>
      <c r="P151">
        <v>0</v>
      </c>
      <c r="Q151">
        <v>36</v>
      </c>
      <c r="R151">
        <v>30.75</v>
      </c>
      <c r="S151">
        <v>82</v>
      </c>
      <c r="T151">
        <v>42</v>
      </c>
      <c r="U151">
        <v>-0.03</v>
      </c>
      <c r="W151">
        <f>DataLog_T717420_Aug11_4_59_37pm[[#This Row],[RPM '[1/MIN']]]-Table3[[#This Row],[580C]]</f>
        <v>0</v>
      </c>
      <c r="X151">
        <f>DataLog_T717420_Aug11_4_59_37pm[[#This Row],[OIL TEMP '[Â°C']]]-Table3[[#This Row],[4402]]</f>
        <v>0</v>
      </c>
      <c r="Y151">
        <f>DataLog_T717420_Aug11_4_59_37pm[[#This Row],[INTAKE TEMP '[Â°C']]]-Table3[[#This Row],[580F]]</f>
        <v>0</v>
      </c>
      <c r="Z151">
        <f>DataLog_T717420_Aug11_4_59_37pm[[#This Row],[HPFP PRES. '[BAR']]]-Table3[[#This Row],[58F0]]</f>
        <v>0</v>
      </c>
      <c r="AA151">
        <f>DataLog_T717420_Aug11_4_59_37pm[[#This Row],[COOLANT TEMP '[Â°C']]]-Table3[[#This Row],[5805]]</f>
        <v>0</v>
      </c>
      <c r="AB151">
        <f>DataLog_T717420_Aug11_4_59_37pm[[#This Row],[BOOST '[BAR']]]-Table3[[#This Row],[58DD]]</f>
        <v>0</v>
      </c>
    </row>
    <row r="152" spans="2:28" x14ac:dyDescent="0.25">
      <c r="B152" s="2" t="s">
        <v>23</v>
      </c>
      <c r="C152" s="2" t="s">
        <v>30</v>
      </c>
      <c r="D152" s="2" t="s">
        <v>25</v>
      </c>
      <c r="E152" s="2" t="s">
        <v>39</v>
      </c>
      <c r="F152" s="2" t="s">
        <v>26</v>
      </c>
      <c r="G152" s="2" t="s">
        <v>27</v>
      </c>
      <c r="I152">
        <f>HEX2DEC(_0811_173439[[#This Row],[580C]])*B$4/B$5+B$6</f>
        <v>0</v>
      </c>
      <c r="J152">
        <f>HEX2DEC(_0811_173439[[#This Row],[4402]])*C$4/C$5+C$6</f>
        <v>36</v>
      </c>
      <c r="K152">
        <f>HEX2DEC(_0811_173439[[#This Row],[580F]])*D$4/D$5+D$6</f>
        <v>30.75</v>
      </c>
      <c r="L152">
        <f>ROUND(HEX2DEC(_0811_173439[[#This Row],[58F0]])*E$4/E$5+E$6,0)</f>
        <v>82</v>
      </c>
      <c r="M152">
        <f>ROUND(HEX2DEC(_0811_173439[[#This Row],[5805]])*F$4/F$5+F$6,0)</f>
        <v>42</v>
      </c>
      <c r="N152">
        <f>ROUND(HEX2DEC(_0811_173439[[#This Row],[58DD]])*G$4/G$5+G$6,2)</f>
        <v>-0.03</v>
      </c>
      <c r="P152">
        <v>0</v>
      </c>
      <c r="Q152">
        <v>36</v>
      </c>
      <c r="R152">
        <v>30.75</v>
      </c>
      <c r="S152">
        <v>82</v>
      </c>
      <c r="T152">
        <v>42</v>
      </c>
      <c r="U152">
        <v>-0.03</v>
      </c>
      <c r="W152">
        <f>DataLog_T717420_Aug11_4_59_37pm[[#This Row],[RPM '[1/MIN']]]-Table3[[#This Row],[580C]]</f>
        <v>0</v>
      </c>
      <c r="X152">
        <f>DataLog_T717420_Aug11_4_59_37pm[[#This Row],[OIL TEMP '[Â°C']]]-Table3[[#This Row],[4402]]</f>
        <v>0</v>
      </c>
      <c r="Y152">
        <f>DataLog_T717420_Aug11_4_59_37pm[[#This Row],[INTAKE TEMP '[Â°C']]]-Table3[[#This Row],[580F]]</f>
        <v>0</v>
      </c>
      <c r="Z152">
        <f>DataLog_T717420_Aug11_4_59_37pm[[#This Row],[HPFP PRES. '[BAR']]]-Table3[[#This Row],[58F0]]</f>
        <v>0</v>
      </c>
      <c r="AA152">
        <f>DataLog_T717420_Aug11_4_59_37pm[[#This Row],[COOLANT TEMP '[Â°C']]]-Table3[[#This Row],[5805]]</f>
        <v>0</v>
      </c>
      <c r="AB152">
        <f>DataLog_T717420_Aug11_4_59_37pm[[#This Row],[BOOST '[BAR']]]-Table3[[#This Row],[58DD]]</f>
        <v>0</v>
      </c>
    </row>
    <row r="153" spans="2:28" x14ac:dyDescent="0.25">
      <c r="B153" s="2" t="s">
        <v>23</v>
      </c>
      <c r="C153" s="2" t="s">
        <v>30</v>
      </c>
      <c r="D153" s="2" t="s">
        <v>25</v>
      </c>
      <c r="E153" s="2" t="s">
        <v>39</v>
      </c>
      <c r="F153" s="2" t="s">
        <v>26</v>
      </c>
      <c r="G153" s="2" t="s">
        <v>27</v>
      </c>
      <c r="I153">
        <f>HEX2DEC(_0811_173439[[#This Row],[580C]])*B$4/B$5+B$6</f>
        <v>0</v>
      </c>
      <c r="J153">
        <f>HEX2DEC(_0811_173439[[#This Row],[4402]])*C$4/C$5+C$6</f>
        <v>36</v>
      </c>
      <c r="K153">
        <f>HEX2DEC(_0811_173439[[#This Row],[580F]])*D$4/D$5+D$6</f>
        <v>30.75</v>
      </c>
      <c r="L153">
        <f>ROUND(HEX2DEC(_0811_173439[[#This Row],[58F0]])*E$4/E$5+E$6,0)</f>
        <v>82</v>
      </c>
      <c r="M153">
        <f>ROUND(HEX2DEC(_0811_173439[[#This Row],[5805]])*F$4/F$5+F$6,0)</f>
        <v>42</v>
      </c>
      <c r="N153">
        <f>ROUND(HEX2DEC(_0811_173439[[#This Row],[58DD]])*G$4/G$5+G$6,2)</f>
        <v>-0.03</v>
      </c>
      <c r="P153">
        <v>0</v>
      </c>
      <c r="Q153">
        <v>36</v>
      </c>
      <c r="R153">
        <v>30.75</v>
      </c>
      <c r="S153">
        <v>82</v>
      </c>
      <c r="T153">
        <v>42</v>
      </c>
      <c r="U153">
        <v>-0.03</v>
      </c>
      <c r="W153">
        <f>DataLog_T717420_Aug11_4_59_37pm[[#This Row],[RPM '[1/MIN']]]-Table3[[#This Row],[580C]]</f>
        <v>0</v>
      </c>
      <c r="X153">
        <f>DataLog_T717420_Aug11_4_59_37pm[[#This Row],[OIL TEMP '[Â°C']]]-Table3[[#This Row],[4402]]</f>
        <v>0</v>
      </c>
      <c r="Y153">
        <f>DataLog_T717420_Aug11_4_59_37pm[[#This Row],[INTAKE TEMP '[Â°C']]]-Table3[[#This Row],[580F]]</f>
        <v>0</v>
      </c>
      <c r="Z153">
        <f>DataLog_T717420_Aug11_4_59_37pm[[#This Row],[HPFP PRES. '[BAR']]]-Table3[[#This Row],[58F0]]</f>
        <v>0</v>
      </c>
      <c r="AA153">
        <f>DataLog_T717420_Aug11_4_59_37pm[[#This Row],[COOLANT TEMP '[Â°C']]]-Table3[[#This Row],[5805]]</f>
        <v>0</v>
      </c>
      <c r="AB153">
        <f>DataLog_T717420_Aug11_4_59_37pm[[#This Row],[BOOST '[BAR']]]-Table3[[#This Row],[58DD]]</f>
        <v>0</v>
      </c>
    </row>
    <row r="154" spans="2:28" x14ac:dyDescent="0.25">
      <c r="B154" s="2" t="s">
        <v>23</v>
      </c>
      <c r="C154" s="2" t="s">
        <v>30</v>
      </c>
      <c r="D154" s="2" t="s">
        <v>25</v>
      </c>
      <c r="E154" s="2" t="s">
        <v>39</v>
      </c>
      <c r="F154" s="2" t="s">
        <v>26</v>
      </c>
      <c r="G154" s="2" t="s">
        <v>27</v>
      </c>
      <c r="I154">
        <f>HEX2DEC(_0811_173439[[#This Row],[580C]])*B$4/B$5+B$6</f>
        <v>0</v>
      </c>
      <c r="J154">
        <f>HEX2DEC(_0811_173439[[#This Row],[4402]])*C$4/C$5+C$6</f>
        <v>36</v>
      </c>
      <c r="K154">
        <f>HEX2DEC(_0811_173439[[#This Row],[580F]])*D$4/D$5+D$6</f>
        <v>30.75</v>
      </c>
      <c r="L154">
        <f>ROUND(HEX2DEC(_0811_173439[[#This Row],[58F0]])*E$4/E$5+E$6,0)</f>
        <v>82</v>
      </c>
      <c r="M154">
        <f>ROUND(HEX2DEC(_0811_173439[[#This Row],[5805]])*F$4/F$5+F$6,0)</f>
        <v>42</v>
      </c>
      <c r="N154">
        <f>ROUND(HEX2DEC(_0811_173439[[#This Row],[58DD]])*G$4/G$5+G$6,2)</f>
        <v>-0.03</v>
      </c>
      <c r="P154">
        <v>0</v>
      </c>
      <c r="Q154">
        <v>36</v>
      </c>
      <c r="R154">
        <v>30.75</v>
      </c>
      <c r="S154">
        <v>82</v>
      </c>
      <c r="T154">
        <v>42</v>
      </c>
      <c r="U154">
        <v>-0.03</v>
      </c>
      <c r="W154">
        <f>DataLog_T717420_Aug11_4_59_37pm[[#This Row],[RPM '[1/MIN']]]-Table3[[#This Row],[580C]]</f>
        <v>0</v>
      </c>
      <c r="X154">
        <f>DataLog_T717420_Aug11_4_59_37pm[[#This Row],[OIL TEMP '[Â°C']]]-Table3[[#This Row],[4402]]</f>
        <v>0</v>
      </c>
      <c r="Y154">
        <f>DataLog_T717420_Aug11_4_59_37pm[[#This Row],[INTAKE TEMP '[Â°C']]]-Table3[[#This Row],[580F]]</f>
        <v>0</v>
      </c>
      <c r="Z154">
        <f>DataLog_T717420_Aug11_4_59_37pm[[#This Row],[HPFP PRES. '[BAR']]]-Table3[[#This Row],[58F0]]</f>
        <v>0</v>
      </c>
      <c r="AA154">
        <f>DataLog_T717420_Aug11_4_59_37pm[[#This Row],[COOLANT TEMP '[Â°C']]]-Table3[[#This Row],[5805]]</f>
        <v>0</v>
      </c>
      <c r="AB154">
        <f>DataLog_T717420_Aug11_4_59_37pm[[#This Row],[BOOST '[BAR']]]-Table3[[#This Row],[58DD]]</f>
        <v>0</v>
      </c>
    </row>
    <row r="155" spans="2:28" x14ac:dyDescent="0.25">
      <c r="B155" s="2" t="s">
        <v>23</v>
      </c>
      <c r="C155" s="2" t="s">
        <v>30</v>
      </c>
      <c r="D155" s="2" t="s">
        <v>25</v>
      </c>
      <c r="E155" s="2" t="s">
        <v>39</v>
      </c>
      <c r="F155" s="2" t="s">
        <v>26</v>
      </c>
      <c r="G155" s="2" t="s">
        <v>28</v>
      </c>
      <c r="I155">
        <f>HEX2DEC(_0811_173439[[#This Row],[580C]])*B$4/B$5+B$6</f>
        <v>0</v>
      </c>
      <c r="J155">
        <f>HEX2DEC(_0811_173439[[#This Row],[4402]])*C$4/C$5+C$6</f>
        <v>36</v>
      </c>
      <c r="K155">
        <f>HEX2DEC(_0811_173439[[#This Row],[580F]])*D$4/D$5+D$6</f>
        <v>30.75</v>
      </c>
      <c r="L155">
        <f>ROUND(HEX2DEC(_0811_173439[[#This Row],[58F0]])*E$4/E$5+E$6,0)</f>
        <v>82</v>
      </c>
      <c r="M155">
        <f>ROUND(HEX2DEC(_0811_173439[[#This Row],[5805]])*F$4/F$5+F$6,0)</f>
        <v>42</v>
      </c>
      <c r="N155">
        <f>ROUND(HEX2DEC(_0811_173439[[#This Row],[58DD]])*G$4/G$5+G$6,2)</f>
        <v>-0.02</v>
      </c>
      <c r="P155">
        <v>0</v>
      </c>
      <c r="Q155">
        <v>36</v>
      </c>
      <c r="R155">
        <v>30.75</v>
      </c>
      <c r="S155">
        <v>82</v>
      </c>
      <c r="T155">
        <v>42</v>
      </c>
      <c r="U155">
        <v>-0.02</v>
      </c>
      <c r="W155">
        <f>DataLog_T717420_Aug11_4_59_37pm[[#This Row],[RPM '[1/MIN']]]-Table3[[#This Row],[580C]]</f>
        <v>0</v>
      </c>
      <c r="X155">
        <f>DataLog_T717420_Aug11_4_59_37pm[[#This Row],[OIL TEMP '[Â°C']]]-Table3[[#This Row],[4402]]</f>
        <v>0</v>
      </c>
      <c r="Y155">
        <f>DataLog_T717420_Aug11_4_59_37pm[[#This Row],[INTAKE TEMP '[Â°C']]]-Table3[[#This Row],[580F]]</f>
        <v>0</v>
      </c>
      <c r="Z155">
        <f>DataLog_T717420_Aug11_4_59_37pm[[#This Row],[HPFP PRES. '[BAR']]]-Table3[[#This Row],[58F0]]</f>
        <v>0</v>
      </c>
      <c r="AA155">
        <f>DataLog_T717420_Aug11_4_59_37pm[[#This Row],[COOLANT TEMP '[Â°C']]]-Table3[[#This Row],[5805]]</f>
        <v>0</v>
      </c>
      <c r="AB155">
        <f>DataLog_T717420_Aug11_4_59_37pm[[#This Row],[BOOST '[BAR']]]-Table3[[#This Row],[58DD]]</f>
        <v>0</v>
      </c>
    </row>
    <row r="156" spans="2:28" x14ac:dyDescent="0.25">
      <c r="B156" s="2" t="s">
        <v>23</v>
      </c>
      <c r="C156" s="2" t="s">
        <v>30</v>
      </c>
      <c r="D156" s="2" t="s">
        <v>25</v>
      </c>
      <c r="E156" s="2" t="s">
        <v>39</v>
      </c>
      <c r="F156" s="2" t="s">
        <v>26</v>
      </c>
      <c r="G156" s="2" t="s">
        <v>27</v>
      </c>
      <c r="I156">
        <f>HEX2DEC(_0811_173439[[#This Row],[580C]])*B$4/B$5+B$6</f>
        <v>0</v>
      </c>
      <c r="J156">
        <f>HEX2DEC(_0811_173439[[#This Row],[4402]])*C$4/C$5+C$6</f>
        <v>36</v>
      </c>
      <c r="K156">
        <f>HEX2DEC(_0811_173439[[#This Row],[580F]])*D$4/D$5+D$6</f>
        <v>30.75</v>
      </c>
      <c r="L156">
        <f>ROUND(HEX2DEC(_0811_173439[[#This Row],[58F0]])*E$4/E$5+E$6,0)</f>
        <v>82</v>
      </c>
      <c r="M156">
        <f>ROUND(HEX2DEC(_0811_173439[[#This Row],[5805]])*F$4/F$5+F$6,0)</f>
        <v>42</v>
      </c>
      <c r="N156">
        <f>ROUND(HEX2DEC(_0811_173439[[#This Row],[58DD]])*G$4/G$5+G$6,2)</f>
        <v>-0.03</v>
      </c>
      <c r="P156">
        <v>0</v>
      </c>
      <c r="Q156">
        <v>36</v>
      </c>
      <c r="R156">
        <v>30.75</v>
      </c>
      <c r="S156">
        <v>82</v>
      </c>
      <c r="T156">
        <v>42</v>
      </c>
      <c r="U156">
        <v>-0.03</v>
      </c>
      <c r="W156">
        <f>DataLog_T717420_Aug11_4_59_37pm[[#This Row],[RPM '[1/MIN']]]-Table3[[#This Row],[580C]]</f>
        <v>0</v>
      </c>
      <c r="X156">
        <f>DataLog_T717420_Aug11_4_59_37pm[[#This Row],[OIL TEMP '[Â°C']]]-Table3[[#This Row],[4402]]</f>
        <v>0</v>
      </c>
      <c r="Y156">
        <f>DataLog_T717420_Aug11_4_59_37pm[[#This Row],[INTAKE TEMP '[Â°C']]]-Table3[[#This Row],[580F]]</f>
        <v>0</v>
      </c>
      <c r="Z156">
        <f>DataLog_T717420_Aug11_4_59_37pm[[#This Row],[HPFP PRES. '[BAR']]]-Table3[[#This Row],[58F0]]</f>
        <v>0</v>
      </c>
      <c r="AA156">
        <f>DataLog_T717420_Aug11_4_59_37pm[[#This Row],[COOLANT TEMP '[Â°C']]]-Table3[[#This Row],[5805]]</f>
        <v>0</v>
      </c>
      <c r="AB156">
        <f>DataLog_T717420_Aug11_4_59_37pm[[#This Row],[BOOST '[BAR']]]-Table3[[#This Row],[58DD]]</f>
        <v>0</v>
      </c>
    </row>
    <row r="157" spans="2:28" x14ac:dyDescent="0.25">
      <c r="B157" s="2" t="s">
        <v>23</v>
      </c>
      <c r="C157" s="2" t="s">
        <v>30</v>
      </c>
      <c r="D157" s="2" t="s">
        <v>25</v>
      </c>
      <c r="E157" s="2" t="s">
        <v>39</v>
      </c>
      <c r="F157" s="2" t="s">
        <v>26</v>
      </c>
      <c r="G157" s="2" t="s">
        <v>27</v>
      </c>
      <c r="I157">
        <f>HEX2DEC(_0811_173439[[#This Row],[580C]])*B$4/B$5+B$6</f>
        <v>0</v>
      </c>
      <c r="J157">
        <f>HEX2DEC(_0811_173439[[#This Row],[4402]])*C$4/C$5+C$6</f>
        <v>36</v>
      </c>
      <c r="K157">
        <f>HEX2DEC(_0811_173439[[#This Row],[580F]])*D$4/D$5+D$6</f>
        <v>30.75</v>
      </c>
      <c r="L157">
        <f>ROUND(HEX2DEC(_0811_173439[[#This Row],[58F0]])*E$4/E$5+E$6,0)</f>
        <v>82</v>
      </c>
      <c r="M157">
        <f>ROUND(HEX2DEC(_0811_173439[[#This Row],[5805]])*F$4/F$5+F$6,0)</f>
        <v>42</v>
      </c>
      <c r="N157">
        <f>ROUND(HEX2DEC(_0811_173439[[#This Row],[58DD]])*G$4/G$5+G$6,2)</f>
        <v>-0.03</v>
      </c>
      <c r="P157">
        <v>0</v>
      </c>
      <c r="Q157">
        <v>36</v>
      </c>
      <c r="R157">
        <v>30.75</v>
      </c>
      <c r="S157">
        <v>82</v>
      </c>
      <c r="T157">
        <v>42</v>
      </c>
      <c r="U157">
        <v>-0.03</v>
      </c>
      <c r="W157">
        <f>DataLog_T717420_Aug11_4_59_37pm[[#This Row],[RPM '[1/MIN']]]-Table3[[#This Row],[580C]]</f>
        <v>0</v>
      </c>
      <c r="X157">
        <f>DataLog_T717420_Aug11_4_59_37pm[[#This Row],[OIL TEMP '[Â°C']]]-Table3[[#This Row],[4402]]</f>
        <v>0</v>
      </c>
      <c r="Y157">
        <f>DataLog_T717420_Aug11_4_59_37pm[[#This Row],[INTAKE TEMP '[Â°C']]]-Table3[[#This Row],[580F]]</f>
        <v>0</v>
      </c>
      <c r="Z157">
        <f>DataLog_T717420_Aug11_4_59_37pm[[#This Row],[HPFP PRES. '[BAR']]]-Table3[[#This Row],[58F0]]</f>
        <v>0</v>
      </c>
      <c r="AA157">
        <f>DataLog_T717420_Aug11_4_59_37pm[[#This Row],[COOLANT TEMP '[Â°C']]]-Table3[[#This Row],[5805]]</f>
        <v>0</v>
      </c>
      <c r="AB157">
        <f>DataLog_T717420_Aug11_4_59_37pm[[#This Row],[BOOST '[BAR']]]-Table3[[#This Row],[58DD]]</f>
        <v>0</v>
      </c>
    </row>
    <row r="158" spans="2:28" x14ac:dyDescent="0.25">
      <c r="B158" s="2" t="s">
        <v>23</v>
      </c>
      <c r="C158" s="2" t="s">
        <v>30</v>
      </c>
      <c r="D158" s="2" t="s">
        <v>25</v>
      </c>
      <c r="E158" s="2" t="s">
        <v>39</v>
      </c>
      <c r="F158" s="2" t="s">
        <v>26</v>
      </c>
      <c r="G158" s="2" t="s">
        <v>28</v>
      </c>
      <c r="I158">
        <f>HEX2DEC(_0811_173439[[#This Row],[580C]])*B$4/B$5+B$6</f>
        <v>0</v>
      </c>
      <c r="J158">
        <f>HEX2DEC(_0811_173439[[#This Row],[4402]])*C$4/C$5+C$6</f>
        <v>36</v>
      </c>
      <c r="K158">
        <f>HEX2DEC(_0811_173439[[#This Row],[580F]])*D$4/D$5+D$6</f>
        <v>30.75</v>
      </c>
      <c r="L158">
        <f>ROUND(HEX2DEC(_0811_173439[[#This Row],[58F0]])*E$4/E$5+E$6,0)</f>
        <v>82</v>
      </c>
      <c r="M158">
        <f>ROUND(HEX2DEC(_0811_173439[[#This Row],[5805]])*F$4/F$5+F$6,0)</f>
        <v>42</v>
      </c>
      <c r="N158">
        <f>ROUND(HEX2DEC(_0811_173439[[#This Row],[58DD]])*G$4/G$5+G$6,2)</f>
        <v>-0.02</v>
      </c>
      <c r="P158">
        <v>0</v>
      </c>
      <c r="Q158">
        <v>36</v>
      </c>
      <c r="R158">
        <v>30.75</v>
      </c>
      <c r="S158">
        <v>82</v>
      </c>
      <c r="T158">
        <v>42</v>
      </c>
      <c r="U158">
        <v>-0.02</v>
      </c>
      <c r="W158">
        <f>DataLog_T717420_Aug11_4_59_37pm[[#This Row],[RPM '[1/MIN']]]-Table3[[#This Row],[580C]]</f>
        <v>0</v>
      </c>
      <c r="X158">
        <f>DataLog_T717420_Aug11_4_59_37pm[[#This Row],[OIL TEMP '[Â°C']]]-Table3[[#This Row],[4402]]</f>
        <v>0</v>
      </c>
      <c r="Y158">
        <f>DataLog_T717420_Aug11_4_59_37pm[[#This Row],[INTAKE TEMP '[Â°C']]]-Table3[[#This Row],[580F]]</f>
        <v>0</v>
      </c>
      <c r="Z158">
        <f>DataLog_T717420_Aug11_4_59_37pm[[#This Row],[HPFP PRES. '[BAR']]]-Table3[[#This Row],[58F0]]</f>
        <v>0</v>
      </c>
      <c r="AA158">
        <f>DataLog_T717420_Aug11_4_59_37pm[[#This Row],[COOLANT TEMP '[Â°C']]]-Table3[[#This Row],[5805]]</f>
        <v>0</v>
      </c>
      <c r="AB158">
        <f>DataLog_T717420_Aug11_4_59_37pm[[#This Row],[BOOST '[BAR']]]-Table3[[#This Row],[58DD]]</f>
        <v>0</v>
      </c>
    </row>
    <row r="159" spans="2:28" x14ac:dyDescent="0.25">
      <c r="B159" s="2" t="s">
        <v>23</v>
      </c>
      <c r="C159" s="2" t="s">
        <v>30</v>
      </c>
      <c r="D159" s="2" t="s">
        <v>25</v>
      </c>
      <c r="E159" s="2" t="s">
        <v>39</v>
      </c>
      <c r="F159" s="2" t="s">
        <v>26</v>
      </c>
      <c r="G159" s="2" t="s">
        <v>27</v>
      </c>
      <c r="I159">
        <f>HEX2DEC(_0811_173439[[#This Row],[580C]])*B$4/B$5+B$6</f>
        <v>0</v>
      </c>
      <c r="J159">
        <f>HEX2DEC(_0811_173439[[#This Row],[4402]])*C$4/C$5+C$6</f>
        <v>36</v>
      </c>
      <c r="K159">
        <f>HEX2DEC(_0811_173439[[#This Row],[580F]])*D$4/D$5+D$6</f>
        <v>30.75</v>
      </c>
      <c r="L159">
        <f>ROUND(HEX2DEC(_0811_173439[[#This Row],[58F0]])*E$4/E$5+E$6,0)</f>
        <v>82</v>
      </c>
      <c r="M159">
        <f>ROUND(HEX2DEC(_0811_173439[[#This Row],[5805]])*F$4/F$5+F$6,0)</f>
        <v>42</v>
      </c>
      <c r="N159">
        <f>ROUND(HEX2DEC(_0811_173439[[#This Row],[58DD]])*G$4/G$5+G$6,2)</f>
        <v>-0.03</v>
      </c>
      <c r="P159">
        <v>0</v>
      </c>
      <c r="Q159">
        <v>36</v>
      </c>
      <c r="R159">
        <v>30.75</v>
      </c>
      <c r="S159">
        <v>82</v>
      </c>
      <c r="T159">
        <v>42</v>
      </c>
      <c r="U159">
        <v>-0.03</v>
      </c>
      <c r="W159">
        <f>DataLog_T717420_Aug11_4_59_37pm[[#This Row],[RPM '[1/MIN']]]-Table3[[#This Row],[580C]]</f>
        <v>0</v>
      </c>
      <c r="X159">
        <f>DataLog_T717420_Aug11_4_59_37pm[[#This Row],[OIL TEMP '[Â°C']]]-Table3[[#This Row],[4402]]</f>
        <v>0</v>
      </c>
      <c r="Y159">
        <f>DataLog_T717420_Aug11_4_59_37pm[[#This Row],[INTAKE TEMP '[Â°C']]]-Table3[[#This Row],[580F]]</f>
        <v>0</v>
      </c>
      <c r="Z159">
        <f>DataLog_T717420_Aug11_4_59_37pm[[#This Row],[HPFP PRES. '[BAR']]]-Table3[[#This Row],[58F0]]</f>
        <v>0</v>
      </c>
      <c r="AA159">
        <f>DataLog_T717420_Aug11_4_59_37pm[[#This Row],[COOLANT TEMP '[Â°C']]]-Table3[[#This Row],[5805]]</f>
        <v>0</v>
      </c>
      <c r="AB159">
        <f>DataLog_T717420_Aug11_4_59_37pm[[#This Row],[BOOST '[BAR']]]-Table3[[#This Row],[58DD]]</f>
        <v>0</v>
      </c>
    </row>
    <row r="160" spans="2:28" x14ac:dyDescent="0.25">
      <c r="B160" s="2" t="s">
        <v>23</v>
      </c>
      <c r="C160" s="2" t="s">
        <v>30</v>
      </c>
      <c r="D160" s="2" t="s">
        <v>25</v>
      </c>
      <c r="E160" s="2" t="s">
        <v>39</v>
      </c>
      <c r="F160" s="2" t="s">
        <v>26</v>
      </c>
      <c r="G160" s="2" t="s">
        <v>28</v>
      </c>
      <c r="I160">
        <f>HEX2DEC(_0811_173439[[#This Row],[580C]])*B$4/B$5+B$6</f>
        <v>0</v>
      </c>
      <c r="J160">
        <f>HEX2DEC(_0811_173439[[#This Row],[4402]])*C$4/C$5+C$6</f>
        <v>36</v>
      </c>
      <c r="K160">
        <f>HEX2DEC(_0811_173439[[#This Row],[580F]])*D$4/D$5+D$6</f>
        <v>30.75</v>
      </c>
      <c r="L160">
        <f>ROUND(HEX2DEC(_0811_173439[[#This Row],[58F0]])*E$4/E$5+E$6,0)</f>
        <v>82</v>
      </c>
      <c r="M160">
        <f>ROUND(HEX2DEC(_0811_173439[[#This Row],[5805]])*F$4/F$5+F$6,0)</f>
        <v>42</v>
      </c>
      <c r="N160">
        <f>ROUND(HEX2DEC(_0811_173439[[#This Row],[58DD]])*G$4/G$5+G$6,2)</f>
        <v>-0.02</v>
      </c>
      <c r="P160">
        <v>0</v>
      </c>
      <c r="Q160">
        <v>36</v>
      </c>
      <c r="R160">
        <v>30.75</v>
      </c>
      <c r="S160">
        <v>82</v>
      </c>
      <c r="T160">
        <v>42</v>
      </c>
      <c r="U160">
        <v>-0.02</v>
      </c>
      <c r="W160">
        <f>DataLog_T717420_Aug11_4_59_37pm[[#This Row],[RPM '[1/MIN']]]-Table3[[#This Row],[580C]]</f>
        <v>0</v>
      </c>
      <c r="X160">
        <f>DataLog_T717420_Aug11_4_59_37pm[[#This Row],[OIL TEMP '[Â°C']]]-Table3[[#This Row],[4402]]</f>
        <v>0</v>
      </c>
      <c r="Y160">
        <f>DataLog_T717420_Aug11_4_59_37pm[[#This Row],[INTAKE TEMP '[Â°C']]]-Table3[[#This Row],[580F]]</f>
        <v>0</v>
      </c>
      <c r="Z160">
        <f>DataLog_T717420_Aug11_4_59_37pm[[#This Row],[HPFP PRES. '[BAR']]]-Table3[[#This Row],[58F0]]</f>
        <v>0</v>
      </c>
      <c r="AA160">
        <f>DataLog_T717420_Aug11_4_59_37pm[[#This Row],[COOLANT TEMP '[Â°C']]]-Table3[[#This Row],[5805]]</f>
        <v>0</v>
      </c>
      <c r="AB160">
        <f>DataLog_T717420_Aug11_4_59_37pm[[#This Row],[BOOST '[BAR']]]-Table3[[#This Row],[58DD]]</f>
        <v>0</v>
      </c>
    </row>
    <row r="161" spans="2:28" x14ac:dyDescent="0.25">
      <c r="B161" s="2" t="s">
        <v>23</v>
      </c>
      <c r="C161" s="2" t="s">
        <v>30</v>
      </c>
      <c r="D161" s="2" t="s">
        <v>25</v>
      </c>
      <c r="E161" s="2" t="s">
        <v>39</v>
      </c>
      <c r="F161" s="2" t="s">
        <v>26</v>
      </c>
      <c r="G161" s="2" t="s">
        <v>28</v>
      </c>
      <c r="I161">
        <f>HEX2DEC(_0811_173439[[#This Row],[580C]])*B$4/B$5+B$6</f>
        <v>0</v>
      </c>
      <c r="J161">
        <f>HEX2DEC(_0811_173439[[#This Row],[4402]])*C$4/C$5+C$6</f>
        <v>36</v>
      </c>
      <c r="K161">
        <f>HEX2DEC(_0811_173439[[#This Row],[580F]])*D$4/D$5+D$6</f>
        <v>30.75</v>
      </c>
      <c r="L161">
        <f>ROUND(HEX2DEC(_0811_173439[[#This Row],[58F0]])*E$4/E$5+E$6,0)</f>
        <v>82</v>
      </c>
      <c r="M161">
        <f>ROUND(HEX2DEC(_0811_173439[[#This Row],[5805]])*F$4/F$5+F$6,0)</f>
        <v>42</v>
      </c>
      <c r="N161">
        <f>ROUND(HEX2DEC(_0811_173439[[#This Row],[58DD]])*G$4/G$5+G$6,2)</f>
        <v>-0.02</v>
      </c>
      <c r="P161">
        <v>0</v>
      </c>
      <c r="Q161">
        <v>36</v>
      </c>
      <c r="R161">
        <v>30.75</v>
      </c>
      <c r="S161">
        <v>82</v>
      </c>
      <c r="T161">
        <v>42</v>
      </c>
      <c r="U161">
        <v>-0.02</v>
      </c>
      <c r="W161">
        <f>DataLog_T717420_Aug11_4_59_37pm[[#This Row],[RPM '[1/MIN']]]-Table3[[#This Row],[580C]]</f>
        <v>0</v>
      </c>
      <c r="X161">
        <f>DataLog_T717420_Aug11_4_59_37pm[[#This Row],[OIL TEMP '[Â°C']]]-Table3[[#This Row],[4402]]</f>
        <v>0</v>
      </c>
      <c r="Y161">
        <f>DataLog_T717420_Aug11_4_59_37pm[[#This Row],[INTAKE TEMP '[Â°C']]]-Table3[[#This Row],[580F]]</f>
        <v>0</v>
      </c>
      <c r="Z161">
        <f>DataLog_T717420_Aug11_4_59_37pm[[#This Row],[HPFP PRES. '[BAR']]]-Table3[[#This Row],[58F0]]</f>
        <v>0</v>
      </c>
      <c r="AA161">
        <f>DataLog_T717420_Aug11_4_59_37pm[[#This Row],[COOLANT TEMP '[Â°C']]]-Table3[[#This Row],[5805]]</f>
        <v>0</v>
      </c>
      <c r="AB161">
        <f>DataLog_T717420_Aug11_4_59_37pm[[#This Row],[BOOST '[BAR']]]-Table3[[#This Row],[58DD]]</f>
        <v>0</v>
      </c>
    </row>
    <row r="162" spans="2:28" x14ac:dyDescent="0.25">
      <c r="B162" s="2" t="s">
        <v>23</v>
      </c>
      <c r="C162" s="2" t="s">
        <v>30</v>
      </c>
      <c r="D162" s="2" t="s">
        <v>25</v>
      </c>
      <c r="E162" s="2" t="s">
        <v>39</v>
      </c>
      <c r="F162" s="2" t="s">
        <v>26</v>
      </c>
      <c r="G162" s="2" t="s">
        <v>27</v>
      </c>
      <c r="I162">
        <f>HEX2DEC(_0811_173439[[#This Row],[580C]])*B$4/B$5+B$6</f>
        <v>0</v>
      </c>
      <c r="J162">
        <f>HEX2DEC(_0811_173439[[#This Row],[4402]])*C$4/C$5+C$6</f>
        <v>36</v>
      </c>
      <c r="K162">
        <f>HEX2DEC(_0811_173439[[#This Row],[580F]])*D$4/D$5+D$6</f>
        <v>30.75</v>
      </c>
      <c r="L162">
        <f>ROUND(HEX2DEC(_0811_173439[[#This Row],[58F0]])*E$4/E$5+E$6,0)</f>
        <v>82</v>
      </c>
      <c r="M162">
        <f>ROUND(HEX2DEC(_0811_173439[[#This Row],[5805]])*F$4/F$5+F$6,0)</f>
        <v>42</v>
      </c>
      <c r="N162">
        <f>ROUND(HEX2DEC(_0811_173439[[#This Row],[58DD]])*G$4/G$5+G$6,2)</f>
        <v>-0.03</v>
      </c>
      <c r="P162">
        <v>0</v>
      </c>
      <c r="Q162">
        <v>36</v>
      </c>
      <c r="R162">
        <v>30.75</v>
      </c>
      <c r="S162">
        <v>82</v>
      </c>
      <c r="T162">
        <v>42</v>
      </c>
      <c r="U162">
        <v>-0.03</v>
      </c>
      <c r="W162">
        <f>DataLog_T717420_Aug11_4_59_37pm[[#This Row],[RPM '[1/MIN']]]-Table3[[#This Row],[580C]]</f>
        <v>0</v>
      </c>
      <c r="X162">
        <f>DataLog_T717420_Aug11_4_59_37pm[[#This Row],[OIL TEMP '[Â°C']]]-Table3[[#This Row],[4402]]</f>
        <v>0</v>
      </c>
      <c r="Y162">
        <f>DataLog_T717420_Aug11_4_59_37pm[[#This Row],[INTAKE TEMP '[Â°C']]]-Table3[[#This Row],[580F]]</f>
        <v>0</v>
      </c>
      <c r="Z162">
        <f>DataLog_T717420_Aug11_4_59_37pm[[#This Row],[HPFP PRES. '[BAR']]]-Table3[[#This Row],[58F0]]</f>
        <v>0</v>
      </c>
      <c r="AA162">
        <f>DataLog_T717420_Aug11_4_59_37pm[[#This Row],[COOLANT TEMP '[Â°C']]]-Table3[[#This Row],[5805]]</f>
        <v>0</v>
      </c>
      <c r="AB162">
        <f>DataLog_T717420_Aug11_4_59_37pm[[#This Row],[BOOST '[BAR']]]-Table3[[#This Row],[58DD]]</f>
        <v>0</v>
      </c>
    </row>
    <row r="163" spans="2:28" x14ac:dyDescent="0.25">
      <c r="B163" s="2" t="s">
        <v>23</v>
      </c>
      <c r="C163" s="2" t="s">
        <v>30</v>
      </c>
      <c r="D163" s="2" t="s">
        <v>25</v>
      </c>
      <c r="E163" s="2" t="s">
        <v>39</v>
      </c>
      <c r="F163" s="2" t="s">
        <v>26</v>
      </c>
      <c r="G163" s="2" t="s">
        <v>27</v>
      </c>
      <c r="I163">
        <f>HEX2DEC(_0811_173439[[#This Row],[580C]])*B$4/B$5+B$6</f>
        <v>0</v>
      </c>
      <c r="J163">
        <f>HEX2DEC(_0811_173439[[#This Row],[4402]])*C$4/C$5+C$6</f>
        <v>36</v>
      </c>
      <c r="K163">
        <f>HEX2DEC(_0811_173439[[#This Row],[580F]])*D$4/D$5+D$6</f>
        <v>30.75</v>
      </c>
      <c r="L163">
        <f>ROUND(HEX2DEC(_0811_173439[[#This Row],[58F0]])*E$4/E$5+E$6,0)</f>
        <v>82</v>
      </c>
      <c r="M163">
        <f>ROUND(HEX2DEC(_0811_173439[[#This Row],[5805]])*F$4/F$5+F$6,0)</f>
        <v>42</v>
      </c>
      <c r="N163">
        <f>ROUND(HEX2DEC(_0811_173439[[#This Row],[58DD]])*G$4/G$5+G$6,2)</f>
        <v>-0.03</v>
      </c>
      <c r="P163">
        <v>0</v>
      </c>
      <c r="Q163">
        <v>36</v>
      </c>
      <c r="R163">
        <v>30.75</v>
      </c>
      <c r="S163">
        <v>82</v>
      </c>
      <c r="T163">
        <v>42</v>
      </c>
      <c r="U163">
        <v>-0.03</v>
      </c>
      <c r="W163">
        <f>DataLog_T717420_Aug11_4_59_37pm[[#This Row],[RPM '[1/MIN']]]-Table3[[#This Row],[580C]]</f>
        <v>0</v>
      </c>
      <c r="X163">
        <f>DataLog_T717420_Aug11_4_59_37pm[[#This Row],[OIL TEMP '[Â°C']]]-Table3[[#This Row],[4402]]</f>
        <v>0</v>
      </c>
      <c r="Y163">
        <f>DataLog_T717420_Aug11_4_59_37pm[[#This Row],[INTAKE TEMP '[Â°C']]]-Table3[[#This Row],[580F]]</f>
        <v>0</v>
      </c>
      <c r="Z163">
        <f>DataLog_T717420_Aug11_4_59_37pm[[#This Row],[HPFP PRES. '[BAR']]]-Table3[[#This Row],[58F0]]</f>
        <v>0</v>
      </c>
      <c r="AA163">
        <f>DataLog_T717420_Aug11_4_59_37pm[[#This Row],[COOLANT TEMP '[Â°C']]]-Table3[[#This Row],[5805]]</f>
        <v>0</v>
      </c>
      <c r="AB163">
        <f>DataLog_T717420_Aug11_4_59_37pm[[#This Row],[BOOST '[BAR']]]-Table3[[#This Row],[58DD]]</f>
        <v>0</v>
      </c>
    </row>
    <row r="164" spans="2:28" x14ac:dyDescent="0.25">
      <c r="B164" s="2" t="s">
        <v>23</v>
      </c>
      <c r="C164" s="2" t="s">
        <v>30</v>
      </c>
      <c r="D164" s="2" t="s">
        <v>25</v>
      </c>
      <c r="E164" s="2" t="s">
        <v>39</v>
      </c>
      <c r="F164" s="2" t="s">
        <v>26</v>
      </c>
      <c r="G164" s="2" t="s">
        <v>27</v>
      </c>
      <c r="I164">
        <f>HEX2DEC(_0811_173439[[#This Row],[580C]])*B$4/B$5+B$6</f>
        <v>0</v>
      </c>
      <c r="J164">
        <f>HEX2DEC(_0811_173439[[#This Row],[4402]])*C$4/C$5+C$6</f>
        <v>36</v>
      </c>
      <c r="K164">
        <f>HEX2DEC(_0811_173439[[#This Row],[580F]])*D$4/D$5+D$6</f>
        <v>30.75</v>
      </c>
      <c r="L164">
        <f>ROUND(HEX2DEC(_0811_173439[[#This Row],[58F0]])*E$4/E$5+E$6,0)</f>
        <v>82</v>
      </c>
      <c r="M164">
        <f>ROUND(HEX2DEC(_0811_173439[[#This Row],[5805]])*F$4/F$5+F$6,0)</f>
        <v>42</v>
      </c>
      <c r="N164">
        <f>ROUND(HEX2DEC(_0811_173439[[#This Row],[58DD]])*G$4/G$5+G$6,2)</f>
        <v>-0.03</v>
      </c>
      <c r="P164">
        <v>0</v>
      </c>
      <c r="Q164">
        <v>36</v>
      </c>
      <c r="R164">
        <v>30.75</v>
      </c>
      <c r="S164">
        <v>82</v>
      </c>
      <c r="T164">
        <v>42</v>
      </c>
      <c r="U164">
        <v>-0.03</v>
      </c>
      <c r="W164">
        <f>DataLog_T717420_Aug11_4_59_37pm[[#This Row],[RPM '[1/MIN']]]-Table3[[#This Row],[580C]]</f>
        <v>0</v>
      </c>
      <c r="X164">
        <f>DataLog_T717420_Aug11_4_59_37pm[[#This Row],[OIL TEMP '[Â°C']]]-Table3[[#This Row],[4402]]</f>
        <v>0</v>
      </c>
      <c r="Y164">
        <f>DataLog_T717420_Aug11_4_59_37pm[[#This Row],[INTAKE TEMP '[Â°C']]]-Table3[[#This Row],[580F]]</f>
        <v>0</v>
      </c>
      <c r="Z164">
        <f>DataLog_T717420_Aug11_4_59_37pm[[#This Row],[HPFP PRES. '[BAR']]]-Table3[[#This Row],[58F0]]</f>
        <v>0</v>
      </c>
      <c r="AA164">
        <f>DataLog_T717420_Aug11_4_59_37pm[[#This Row],[COOLANT TEMP '[Â°C']]]-Table3[[#This Row],[5805]]</f>
        <v>0</v>
      </c>
      <c r="AB164">
        <f>DataLog_T717420_Aug11_4_59_37pm[[#This Row],[BOOST '[BAR']]]-Table3[[#This Row],[58DD]]</f>
        <v>0</v>
      </c>
    </row>
    <row r="165" spans="2:28" x14ac:dyDescent="0.25">
      <c r="B165" s="2" t="s">
        <v>23</v>
      </c>
      <c r="C165" s="2" t="s">
        <v>30</v>
      </c>
      <c r="D165" s="2" t="s">
        <v>25</v>
      </c>
      <c r="E165" s="2" t="s">
        <v>39</v>
      </c>
      <c r="F165" s="2" t="s">
        <v>26</v>
      </c>
      <c r="G165" s="2" t="s">
        <v>27</v>
      </c>
      <c r="I165">
        <f>HEX2DEC(_0811_173439[[#This Row],[580C]])*B$4/B$5+B$6</f>
        <v>0</v>
      </c>
      <c r="J165">
        <f>HEX2DEC(_0811_173439[[#This Row],[4402]])*C$4/C$5+C$6</f>
        <v>36</v>
      </c>
      <c r="K165">
        <f>HEX2DEC(_0811_173439[[#This Row],[580F]])*D$4/D$5+D$6</f>
        <v>30.75</v>
      </c>
      <c r="L165">
        <f>ROUND(HEX2DEC(_0811_173439[[#This Row],[58F0]])*E$4/E$5+E$6,0)</f>
        <v>82</v>
      </c>
      <c r="M165">
        <f>ROUND(HEX2DEC(_0811_173439[[#This Row],[5805]])*F$4/F$5+F$6,0)</f>
        <v>42</v>
      </c>
      <c r="N165">
        <f>ROUND(HEX2DEC(_0811_173439[[#This Row],[58DD]])*G$4/G$5+G$6,2)</f>
        <v>-0.03</v>
      </c>
      <c r="P165">
        <v>0</v>
      </c>
      <c r="Q165">
        <v>36</v>
      </c>
      <c r="R165">
        <v>30.75</v>
      </c>
      <c r="S165">
        <v>82</v>
      </c>
      <c r="T165">
        <v>42</v>
      </c>
      <c r="U165">
        <v>-0.03</v>
      </c>
      <c r="W165">
        <f>DataLog_T717420_Aug11_4_59_37pm[[#This Row],[RPM '[1/MIN']]]-Table3[[#This Row],[580C]]</f>
        <v>0</v>
      </c>
      <c r="X165">
        <f>DataLog_T717420_Aug11_4_59_37pm[[#This Row],[OIL TEMP '[Â°C']]]-Table3[[#This Row],[4402]]</f>
        <v>0</v>
      </c>
      <c r="Y165">
        <f>DataLog_T717420_Aug11_4_59_37pm[[#This Row],[INTAKE TEMP '[Â°C']]]-Table3[[#This Row],[580F]]</f>
        <v>0</v>
      </c>
      <c r="Z165">
        <f>DataLog_T717420_Aug11_4_59_37pm[[#This Row],[HPFP PRES. '[BAR']]]-Table3[[#This Row],[58F0]]</f>
        <v>0</v>
      </c>
      <c r="AA165">
        <f>DataLog_T717420_Aug11_4_59_37pm[[#This Row],[COOLANT TEMP '[Â°C']]]-Table3[[#This Row],[5805]]</f>
        <v>0</v>
      </c>
      <c r="AB165">
        <f>DataLog_T717420_Aug11_4_59_37pm[[#This Row],[BOOST '[BAR']]]-Table3[[#This Row],[58DD]]</f>
        <v>0</v>
      </c>
    </row>
    <row r="166" spans="2:28" x14ac:dyDescent="0.25">
      <c r="B166" s="2" t="s">
        <v>23</v>
      </c>
      <c r="C166" s="2" t="s">
        <v>30</v>
      </c>
      <c r="D166" s="2" t="s">
        <v>25</v>
      </c>
      <c r="E166" s="2" t="s">
        <v>39</v>
      </c>
      <c r="F166" s="2" t="s">
        <v>26</v>
      </c>
      <c r="G166" s="2" t="s">
        <v>27</v>
      </c>
      <c r="I166">
        <f>HEX2DEC(_0811_173439[[#This Row],[580C]])*B$4/B$5+B$6</f>
        <v>0</v>
      </c>
      <c r="J166">
        <f>HEX2DEC(_0811_173439[[#This Row],[4402]])*C$4/C$5+C$6</f>
        <v>36</v>
      </c>
      <c r="K166">
        <f>HEX2DEC(_0811_173439[[#This Row],[580F]])*D$4/D$5+D$6</f>
        <v>30.75</v>
      </c>
      <c r="L166">
        <f>ROUND(HEX2DEC(_0811_173439[[#This Row],[58F0]])*E$4/E$5+E$6,0)</f>
        <v>82</v>
      </c>
      <c r="M166">
        <f>ROUND(HEX2DEC(_0811_173439[[#This Row],[5805]])*F$4/F$5+F$6,0)</f>
        <v>42</v>
      </c>
      <c r="N166">
        <f>ROUND(HEX2DEC(_0811_173439[[#This Row],[58DD]])*G$4/G$5+G$6,2)</f>
        <v>-0.03</v>
      </c>
      <c r="P166">
        <v>0</v>
      </c>
      <c r="Q166">
        <v>36</v>
      </c>
      <c r="R166">
        <v>30.75</v>
      </c>
      <c r="S166">
        <v>82</v>
      </c>
      <c r="T166">
        <v>42</v>
      </c>
      <c r="U166">
        <v>-0.03</v>
      </c>
      <c r="W166">
        <f>DataLog_T717420_Aug11_4_59_37pm[[#This Row],[RPM '[1/MIN']]]-Table3[[#This Row],[580C]]</f>
        <v>0</v>
      </c>
      <c r="X166">
        <f>DataLog_T717420_Aug11_4_59_37pm[[#This Row],[OIL TEMP '[Â°C']]]-Table3[[#This Row],[4402]]</f>
        <v>0</v>
      </c>
      <c r="Y166">
        <f>DataLog_T717420_Aug11_4_59_37pm[[#This Row],[INTAKE TEMP '[Â°C']]]-Table3[[#This Row],[580F]]</f>
        <v>0</v>
      </c>
      <c r="Z166">
        <f>DataLog_T717420_Aug11_4_59_37pm[[#This Row],[HPFP PRES. '[BAR']]]-Table3[[#This Row],[58F0]]</f>
        <v>0</v>
      </c>
      <c r="AA166">
        <f>DataLog_T717420_Aug11_4_59_37pm[[#This Row],[COOLANT TEMP '[Â°C']]]-Table3[[#This Row],[5805]]</f>
        <v>0</v>
      </c>
      <c r="AB166">
        <f>DataLog_T717420_Aug11_4_59_37pm[[#This Row],[BOOST '[BAR']]]-Table3[[#This Row],[58DD]]</f>
        <v>0</v>
      </c>
    </row>
    <row r="167" spans="2:28" x14ac:dyDescent="0.25">
      <c r="B167" s="2" t="s">
        <v>23</v>
      </c>
      <c r="C167" s="2" t="s">
        <v>30</v>
      </c>
      <c r="D167" s="2" t="s">
        <v>25</v>
      </c>
      <c r="E167" s="2" t="s">
        <v>39</v>
      </c>
      <c r="F167" s="2" t="s">
        <v>26</v>
      </c>
      <c r="G167" s="2" t="s">
        <v>28</v>
      </c>
      <c r="I167">
        <f>HEX2DEC(_0811_173439[[#This Row],[580C]])*B$4/B$5+B$6</f>
        <v>0</v>
      </c>
      <c r="J167">
        <f>HEX2DEC(_0811_173439[[#This Row],[4402]])*C$4/C$5+C$6</f>
        <v>36</v>
      </c>
      <c r="K167">
        <f>HEX2DEC(_0811_173439[[#This Row],[580F]])*D$4/D$5+D$6</f>
        <v>30.75</v>
      </c>
      <c r="L167">
        <f>ROUND(HEX2DEC(_0811_173439[[#This Row],[58F0]])*E$4/E$5+E$6,0)</f>
        <v>82</v>
      </c>
      <c r="M167">
        <f>ROUND(HEX2DEC(_0811_173439[[#This Row],[5805]])*F$4/F$5+F$6,0)</f>
        <v>42</v>
      </c>
      <c r="N167">
        <f>ROUND(HEX2DEC(_0811_173439[[#This Row],[58DD]])*G$4/G$5+G$6,2)</f>
        <v>-0.02</v>
      </c>
      <c r="P167">
        <v>0</v>
      </c>
      <c r="Q167">
        <v>36</v>
      </c>
      <c r="R167">
        <v>30.75</v>
      </c>
      <c r="S167">
        <v>82</v>
      </c>
      <c r="T167">
        <v>42</v>
      </c>
      <c r="U167">
        <v>-0.02</v>
      </c>
      <c r="W167">
        <f>DataLog_T717420_Aug11_4_59_37pm[[#This Row],[RPM '[1/MIN']]]-Table3[[#This Row],[580C]]</f>
        <v>0</v>
      </c>
      <c r="X167">
        <f>DataLog_T717420_Aug11_4_59_37pm[[#This Row],[OIL TEMP '[Â°C']]]-Table3[[#This Row],[4402]]</f>
        <v>0</v>
      </c>
      <c r="Y167">
        <f>DataLog_T717420_Aug11_4_59_37pm[[#This Row],[INTAKE TEMP '[Â°C']]]-Table3[[#This Row],[580F]]</f>
        <v>0</v>
      </c>
      <c r="Z167">
        <f>DataLog_T717420_Aug11_4_59_37pm[[#This Row],[HPFP PRES. '[BAR']]]-Table3[[#This Row],[58F0]]</f>
        <v>0</v>
      </c>
      <c r="AA167">
        <f>DataLog_T717420_Aug11_4_59_37pm[[#This Row],[COOLANT TEMP '[Â°C']]]-Table3[[#This Row],[5805]]</f>
        <v>0</v>
      </c>
      <c r="AB167">
        <f>DataLog_T717420_Aug11_4_59_37pm[[#This Row],[BOOST '[BAR']]]-Table3[[#This Row],[58DD]]</f>
        <v>0</v>
      </c>
    </row>
    <row r="168" spans="2:28" x14ac:dyDescent="0.25">
      <c r="B168" s="2" t="s">
        <v>23</v>
      </c>
      <c r="C168" s="2" t="s">
        <v>30</v>
      </c>
      <c r="D168" s="2" t="s">
        <v>25</v>
      </c>
      <c r="E168" s="2" t="s">
        <v>39</v>
      </c>
      <c r="F168" s="2" t="s">
        <v>26</v>
      </c>
      <c r="G168" s="2" t="s">
        <v>27</v>
      </c>
      <c r="I168">
        <f>HEX2DEC(_0811_173439[[#This Row],[580C]])*B$4/B$5+B$6</f>
        <v>0</v>
      </c>
      <c r="J168">
        <f>HEX2DEC(_0811_173439[[#This Row],[4402]])*C$4/C$5+C$6</f>
        <v>36</v>
      </c>
      <c r="K168">
        <f>HEX2DEC(_0811_173439[[#This Row],[580F]])*D$4/D$5+D$6</f>
        <v>30.75</v>
      </c>
      <c r="L168">
        <f>ROUND(HEX2DEC(_0811_173439[[#This Row],[58F0]])*E$4/E$5+E$6,0)</f>
        <v>82</v>
      </c>
      <c r="M168">
        <f>ROUND(HEX2DEC(_0811_173439[[#This Row],[5805]])*F$4/F$5+F$6,0)</f>
        <v>42</v>
      </c>
      <c r="N168">
        <f>ROUND(HEX2DEC(_0811_173439[[#This Row],[58DD]])*G$4/G$5+G$6,2)</f>
        <v>-0.03</v>
      </c>
      <c r="P168">
        <v>0</v>
      </c>
      <c r="Q168">
        <v>36</v>
      </c>
      <c r="R168">
        <v>30.75</v>
      </c>
      <c r="S168">
        <v>82</v>
      </c>
      <c r="T168">
        <v>42</v>
      </c>
      <c r="U168">
        <v>-0.03</v>
      </c>
      <c r="W168">
        <f>DataLog_T717420_Aug11_4_59_37pm[[#This Row],[RPM '[1/MIN']]]-Table3[[#This Row],[580C]]</f>
        <v>0</v>
      </c>
      <c r="X168">
        <f>DataLog_T717420_Aug11_4_59_37pm[[#This Row],[OIL TEMP '[Â°C']]]-Table3[[#This Row],[4402]]</f>
        <v>0</v>
      </c>
      <c r="Y168">
        <f>DataLog_T717420_Aug11_4_59_37pm[[#This Row],[INTAKE TEMP '[Â°C']]]-Table3[[#This Row],[580F]]</f>
        <v>0</v>
      </c>
      <c r="Z168">
        <f>DataLog_T717420_Aug11_4_59_37pm[[#This Row],[HPFP PRES. '[BAR']]]-Table3[[#This Row],[58F0]]</f>
        <v>0</v>
      </c>
      <c r="AA168">
        <f>DataLog_T717420_Aug11_4_59_37pm[[#This Row],[COOLANT TEMP '[Â°C']]]-Table3[[#This Row],[5805]]</f>
        <v>0</v>
      </c>
      <c r="AB168">
        <f>DataLog_T717420_Aug11_4_59_37pm[[#This Row],[BOOST '[BAR']]]-Table3[[#This Row],[58DD]]</f>
        <v>0</v>
      </c>
    </row>
    <row r="169" spans="2:28" x14ac:dyDescent="0.25">
      <c r="B169" s="2" t="s">
        <v>23</v>
      </c>
      <c r="C169" s="2" t="s">
        <v>30</v>
      </c>
      <c r="D169" s="2" t="s">
        <v>25</v>
      </c>
      <c r="E169" s="2" t="s">
        <v>39</v>
      </c>
      <c r="F169" s="2" t="s">
        <v>26</v>
      </c>
      <c r="G169" s="2" t="s">
        <v>27</v>
      </c>
      <c r="I169">
        <f>HEX2DEC(_0811_173439[[#This Row],[580C]])*B$4/B$5+B$6</f>
        <v>0</v>
      </c>
      <c r="J169">
        <f>HEX2DEC(_0811_173439[[#This Row],[4402]])*C$4/C$5+C$6</f>
        <v>36</v>
      </c>
      <c r="K169">
        <f>HEX2DEC(_0811_173439[[#This Row],[580F]])*D$4/D$5+D$6</f>
        <v>30.75</v>
      </c>
      <c r="L169">
        <f>ROUND(HEX2DEC(_0811_173439[[#This Row],[58F0]])*E$4/E$5+E$6,0)</f>
        <v>82</v>
      </c>
      <c r="M169">
        <f>ROUND(HEX2DEC(_0811_173439[[#This Row],[5805]])*F$4/F$5+F$6,0)</f>
        <v>42</v>
      </c>
      <c r="N169">
        <f>ROUND(HEX2DEC(_0811_173439[[#This Row],[58DD]])*G$4/G$5+G$6,2)</f>
        <v>-0.03</v>
      </c>
      <c r="P169">
        <v>0</v>
      </c>
      <c r="Q169">
        <v>36</v>
      </c>
      <c r="R169">
        <v>30.75</v>
      </c>
      <c r="S169">
        <v>82</v>
      </c>
      <c r="T169">
        <v>42</v>
      </c>
      <c r="U169">
        <v>-0.03</v>
      </c>
      <c r="W169">
        <f>DataLog_T717420_Aug11_4_59_37pm[[#This Row],[RPM '[1/MIN']]]-Table3[[#This Row],[580C]]</f>
        <v>0</v>
      </c>
      <c r="X169">
        <f>DataLog_T717420_Aug11_4_59_37pm[[#This Row],[OIL TEMP '[Â°C']]]-Table3[[#This Row],[4402]]</f>
        <v>0</v>
      </c>
      <c r="Y169">
        <f>DataLog_T717420_Aug11_4_59_37pm[[#This Row],[INTAKE TEMP '[Â°C']]]-Table3[[#This Row],[580F]]</f>
        <v>0</v>
      </c>
      <c r="Z169">
        <f>DataLog_T717420_Aug11_4_59_37pm[[#This Row],[HPFP PRES. '[BAR']]]-Table3[[#This Row],[58F0]]</f>
        <v>0</v>
      </c>
      <c r="AA169">
        <f>DataLog_T717420_Aug11_4_59_37pm[[#This Row],[COOLANT TEMP '[Â°C']]]-Table3[[#This Row],[5805]]</f>
        <v>0</v>
      </c>
      <c r="AB169">
        <f>DataLog_T717420_Aug11_4_59_37pm[[#This Row],[BOOST '[BAR']]]-Table3[[#This Row],[58DD]]</f>
        <v>0</v>
      </c>
    </row>
    <row r="170" spans="2:28" x14ac:dyDescent="0.25">
      <c r="B170" s="2" t="s">
        <v>23</v>
      </c>
      <c r="C170" s="2" t="s">
        <v>30</v>
      </c>
      <c r="D170" s="2" t="s">
        <v>25</v>
      </c>
      <c r="E170" s="2" t="s">
        <v>39</v>
      </c>
      <c r="F170" s="2" t="s">
        <v>26</v>
      </c>
      <c r="G170" s="2" t="s">
        <v>27</v>
      </c>
      <c r="I170">
        <f>HEX2DEC(_0811_173439[[#This Row],[580C]])*B$4/B$5+B$6</f>
        <v>0</v>
      </c>
      <c r="J170">
        <f>HEX2DEC(_0811_173439[[#This Row],[4402]])*C$4/C$5+C$6</f>
        <v>36</v>
      </c>
      <c r="K170">
        <f>HEX2DEC(_0811_173439[[#This Row],[580F]])*D$4/D$5+D$6</f>
        <v>30.75</v>
      </c>
      <c r="L170">
        <f>ROUND(HEX2DEC(_0811_173439[[#This Row],[58F0]])*E$4/E$5+E$6,0)</f>
        <v>82</v>
      </c>
      <c r="M170">
        <f>ROUND(HEX2DEC(_0811_173439[[#This Row],[5805]])*F$4/F$5+F$6,0)</f>
        <v>42</v>
      </c>
      <c r="N170">
        <f>ROUND(HEX2DEC(_0811_173439[[#This Row],[58DD]])*G$4/G$5+G$6,2)</f>
        <v>-0.03</v>
      </c>
      <c r="P170">
        <v>0</v>
      </c>
      <c r="Q170">
        <v>36</v>
      </c>
      <c r="R170">
        <v>30.75</v>
      </c>
      <c r="S170">
        <v>82</v>
      </c>
      <c r="T170">
        <v>42</v>
      </c>
      <c r="U170">
        <v>-0.03</v>
      </c>
      <c r="W170">
        <f>DataLog_T717420_Aug11_4_59_37pm[[#This Row],[RPM '[1/MIN']]]-Table3[[#This Row],[580C]]</f>
        <v>0</v>
      </c>
      <c r="X170">
        <f>DataLog_T717420_Aug11_4_59_37pm[[#This Row],[OIL TEMP '[Â°C']]]-Table3[[#This Row],[4402]]</f>
        <v>0</v>
      </c>
      <c r="Y170">
        <f>DataLog_T717420_Aug11_4_59_37pm[[#This Row],[INTAKE TEMP '[Â°C']]]-Table3[[#This Row],[580F]]</f>
        <v>0</v>
      </c>
      <c r="Z170">
        <f>DataLog_T717420_Aug11_4_59_37pm[[#This Row],[HPFP PRES. '[BAR']]]-Table3[[#This Row],[58F0]]</f>
        <v>0</v>
      </c>
      <c r="AA170">
        <f>DataLog_T717420_Aug11_4_59_37pm[[#This Row],[COOLANT TEMP '[Â°C']]]-Table3[[#This Row],[5805]]</f>
        <v>0</v>
      </c>
      <c r="AB170">
        <f>DataLog_T717420_Aug11_4_59_37pm[[#This Row],[BOOST '[BAR']]]-Table3[[#This Row],[58DD]]</f>
        <v>0</v>
      </c>
    </row>
    <row r="171" spans="2:28" x14ac:dyDescent="0.25">
      <c r="B171" s="2" t="s">
        <v>23</v>
      </c>
      <c r="C171" s="2" t="s">
        <v>30</v>
      </c>
      <c r="D171" s="2" t="s">
        <v>25</v>
      </c>
      <c r="E171" s="2" t="s">
        <v>39</v>
      </c>
      <c r="F171" s="2" t="s">
        <v>26</v>
      </c>
      <c r="G171" s="2" t="s">
        <v>27</v>
      </c>
      <c r="I171">
        <f>HEX2DEC(_0811_173439[[#This Row],[580C]])*B$4/B$5+B$6</f>
        <v>0</v>
      </c>
      <c r="J171">
        <f>HEX2DEC(_0811_173439[[#This Row],[4402]])*C$4/C$5+C$6</f>
        <v>36</v>
      </c>
      <c r="K171">
        <f>HEX2DEC(_0811_173439[[#This Row],[580F]])*D$4/D$5+D$6</f>
        <v>30.75</v>
      </c>
      <c r="L171">
        <f>ROUND(HEX2DEC(_0811_173439[[#This Row],[58F0]])*E$4/E$5+E$6,0)</f>
        <v>82</v>
      </c>
      <c r="M171">
        <f>ROUND(HEX2DEC(_0811_173439[[#This Row],[5805]])*F$4/F$5+F$6,0)</f>
        <v>42</v>
      </c>
      <c r="N171">
        <f>ROUND(HEX2DEC(_0811_173439[[#This Row],[58DD]])*G$4/G$5+G$6,2)</f>
        <v>-0.03</v>
      </c>
      <c r="P171">
        <v>0</v>
      </c>
      <c r="Q171">
        <v>36</v>
      </c>
      <c r="R171">
        <v>30.75</v>
      </c>
      <c r="S171">
        <v>82</v>
      </c>
      <c r="T171">
        <v>42</v>
      </c>
      <c r="U171">
        <v>-0.03</v>
      </c>
      <c r="W171">
        <f>DataLog_T717420_Aug11_4_59_37pm[[#This Row],[RPM '[1/MIN']]]-Table3[[#This Row],[580C]]</f>
        <v>0</v>
      </c>
      <c r="X171">
        <f>DataLog_T717420_Aug11_4_59_37pm[[#This Row],[OIL TEMP '[Â°C']]]-Table3[[#This Row],[4402]]</f>
        <v>0</v>
      </c>
      <c r="Y171">
        <f>DataLog_T717420_Aug11_4_59_37pm[[#This Row],[INTAKE TEMP '[Â°C']]]-Table3[[#This Row],[580F]]</f>
        <v>0</v>
      </c>
      <c r="Z171">
        <f>DataLog_T717420_Aug11_4_59_37pm[[#This Row],[HPFP PRES. '[BAR']]]-Table3[[#This Row],[58F0]]</f>
        <v>0</v>
      </c>
      <c r="AA171">
        <f>DataLog_T717420_Aug11_4_59_37pm[[#This Row],[COOLANT TEMP '[Â°C']]]-Table3[[#This Row],[5805]]</f>
        <v>0</v>
      </c>
      <c r="AB171">
        <f>DataLog_T717420_Aug11_4_59_37pm[[#This Row],[BOOST '[BAR']]]-Table3[[#This Row],[58DD]]</f>
        <v>0</v>
      </c>
    </row>
    <row r="172" spans="2:28" x14ac:dyDescent="0.25">
      <c r="B172" s="2" t="s">
        <v>23</v>
      </c>
      <c r="C172" s="2" t="s">
        <v>30</v>
      </c>
      <c r="D172" s="2" t="s">
        <v>25</v>
      </c>
      <c r="E172" s="2" t="s">
        <v>39</v>
      </c>
      <c r="F172" s="2" t="s">
        <v>26</v>
      </c>
      <c r="G172" s="2" t="s">
        <v>28</v>
      </c>
      <c r="I172">
        <f>HEX2DEC(_0811_173439[[#This Row],[580C]])*B$4/B$5+B$6</f>
        <v>0</v>
      </c>
      <c r="J172">
        <f>HEX2DEC(_0811_173439[[#This Row],[4402]])*C$4/C$5+C$6</f>
        <v>36</v>
      </c>
      <c r="K172">
        <f>HEX2DEC(_0811_173439[[#This Row],[580F]])*D$4/D$5+D$6</f>
        <v>30.75</v>
      </c>
      <c r="L172">
        <f>ROUND(HEX2DEC(_0811_173439[[#This Row],[58F0]])*E$4/E$5+E$6,0)</f>
        <v>82</v>
      </c>
      <c r="M172">
        <f>ROUND(HEX2DEC(_0811_173439[[#This Row],[5805]])*F$4/F$5+F$6,0)</f>
        <v>42</v>
      </c>
      <c r="N172">
        <f>ROUND(HEX2DEC(_0811_173439[[#This Row],[58DD]])*G$4/G$5+G$6,2)</f>
        <v>-0.02</v>
      </c>
      <c r="P172">
        <v>0</v>
      </c>
      <c r="Q172">
        <v>36</v>
      </c>
      <c r="R172">
        <v>30.75</v>
      </c>
      <c r="S172">
        <v>82</v>
      </c>
      <c r="T172">
        <v>42</v>
      </c>
      <c r="U172">
        <v>-0.02</v>
      </c>
      <c r="W172">
        <f>DataLog_T717420_Aug11_4_59_37pm[[#This Row],[RPM '[1/MIN']]]-Table3[[#This Row],[580C]]</f>
        <v>0</v>
      </c>
      <c r="X172">
        <f>DataLog_T717420_Aug11_4_59_37pm[[#This Row],[OIL TEMP '[Â°C']]]-Table3[[#This Row],[4402]]</f>
        <v>0</v>
      </c>
      <c r="Y172">
        <f>DataLog_T717420_Aug11_4_59_37pm[[#This Row],[INTAKE TEMP '[Â°C']]]-Table3[[#This Row],[580F]]</f>
        <v>0</v>
      </c>
      <c r="Z172">
        <f>DataLog_T717420_Aug11_4_59_37pm[[#This Row],[HPFP PRES. '[BAR']]]-Table3[[#This Row],[58F0]]</f>
        <v>0</v>
      </c>
      <c r="AA172">
        <f>DataLog_T717420_Aug11_4_59_37pm[[#This Row],[COOLANT TEMP '[Â°C']]]-Table3[[#This Row],[5805]]</f>
        <v>0</v>
      </c>
      <c r="AB172">
        <f>DataLog_T717420_Aug11_4_59_37pm[[#This Row],[BOOST '[BAR']]]-Table3[[#This Row],[58DD]]</f>
        <v>0</v>
      </c>
    </row>
    <row r="173" spans="2:28" x14ac:dyDescent="0.25">
      <c r="B173" s="2" t="s">
        <v>23</v>
      </c>
      <c r="C173" s="2" t="s">
        <v>30</v>
      </c>
      <c r="D173" s="2" t="s">
        <v>25</v>
      </c>
      <c r="E173" s="2" t="s">
        <v>39</v>
      </c>
      <c r="F173" s="2" t="s">
        <v>26</v>
      </c>
      <c r="G173" s="2" t="s">
        <v>27</v>
      </c>
      <c r="I173">
        <f>HEX2DEC(_0811_173439[[#This Row],[580C]])*B$4/B$5+B$6</f>
        <v>0</v>
      </c>
      <c r="J173">
        <f>HEX2DEC(_0811_173439[[#This Row],[4402]])*C$4/C$5+C$6</f>
        <v>36</v>
      </c>
      <c r="K173">
        <f>HEX2DEC(_0811_173439[[#This Row],[580F]])*D$4/D$5+D$6</f>
        <v>30.75</v>
      </c>
      <c r="L173">
        <f>ROUND(HEX2DEC(_0811_173439[[#This Row],[58F0]])*E$4/E$5+E$6,0)</f>
        <v>82</v>
      </c>
      <c r="M173">
        <f>ROUND(HEX2DEC(_0811_173439[[#This Row],[5805]])*F$4/F$5+F$6,0)</f>
        <v>42</v>
      </c>
      <c r="N173">
        <f>ROUND(HEX2DEC(_0811_173439[[#This Row],[58DD]])*G$4/G$5+G$6,2)</f>
        <v>-0.03</v>
      </c>
      <c r="P173">
        <v>0</v>
      </c>
      <c r="Q173">
        <v>36</v>
      </c>
      <c r="R173">
        <v>30.75</v>
      </c>
      <c r="S173">
        <v>82</v>
      </c>
      <c r="T173">
        <v>42</v>
      </c>
      <c r="U173">
        <v>-0.03</v>
      </c>
      <c r="W173">
        <f>DataLog_T717420_Aug11_4_59_37pm[[#This Row],[RPM '[1/MIN']]]-Table3[[#This Row],[580C]]</f>
        <v>0</v>
      </c>
      <c r="X173">
        <f>DataLog_T717420_Aug11_4_59_37pm[[#This Row],[OIL TEMP '[Â°C']]]-Table3[[#This Row],[4402]]</f>
        <v>0</v>
      </c>
      <c r="Y173">
        <f>DataLog_T717420_Aug11_4_59_37pm[[#This Row],[INTAKE TEMP '[Â°C']]]-Table3[[#This Row],[580F]]</f>
        <v>0</v>
      </c>
      <c r="Z173">
        <f>DataLog_T717420_Aug11_4_59_37pm[[#This Row],[HPFP PRES. '[BAR']]]-Table3[[#This Row],[58F0]]</f>
        <v>0</v>
      </c>
      <c r="AA173">
        <f>DataLog_T717420_Aug11_4_59_37pm[[#This Row],[COOLANT TEMP '[Â°C']]]-Table3[[#This Row],[5805]]</f>
        <v>0</v>
      </c>
      <c r="AB173">
        <f>DataLog_T717420_Aug11_4_59_37pm[[#This Row],[BOOST '[BAR']]]-Table3[[#This Row],[58DD]]</f>
        <v>0</v>
      </c>
    </row>
    <row r="174" spans="2:28" x14ac:dyDescent="0.25">
      <c r="B174" s="2" t="s">
        <v>23</v>
      </c>
      <c r="C174" s="2" t="s">
        <v>30</v>
      </c>
      <c r="D174" s="2" t="s">
        <v>25</v>
      </c>
      <c r="E174" s="2" t="s">
        <v>39</v>
      </c>
      <c r="F174" s="2" t="s">
        <v>26</v>
      </c>
      <c r="G174" s="2" t="s">
        <v>27</v>
      </c>
      <c r="I174">
        <f>HEX2DEC(_0811_173439[[#This Row],[580C]])*B$4/B$5+B$6</f>
        <v>0</v>
      </c>
      <c r="J174">
        <f>HEX2DEC(_0811_173439[[#This Row],[4402]])*C$4/C$5+C$6</f>
        <v>36</v>
      </c>
      <c r="K174">
        <f>HEX2DEC(_0811_173439[[#This Row],[580F]])*D$4/D$5+D$6</f>
        <v>30.75</v>
      </c>
      <c r="L174">
        <f>ROUND(HEX2DEC(_0811_173439[[#This Row],[58F0]])*E$4/E$5+E$6,0)</f>
        <v>82</v>
      </c>
      <c r="M174">
        <f>ROUND(HEX2DEC(_0811_173439[[#This Row],[5805]])*F$4/F$5+F$6,0)</f>
        <v>42</v>
      </c>
      <c r="N174">
        <f>ROUND(HEX2DEC(_0811_173439[[#This Row],[58DD]])*G$4/G$5+G$6,2)</f>
        <v>-0.03</v>
      </c>
      <c r="P174">
        <v>0</v>
      </c>
      <c r="Q174">
        <v>36</v>
      </c>
      <c r="R174">
        <v>30.75</v>
      </c>
      <c r="S174">
        <v>82</v>
      </c>
      <c r="T174">
        <v>42</v>
      </c>
      <c r="U174">
        <v>-0.03</v>
      </c>
      <c r="W174">
        <f>DataLog_T717420_Aug11_4_59_37pm[[#This Row],[RPM '[1/MIN']]]-Table3[[#This Row],[580C]]</f>
        <v>0</v>
      </c>
      <c r="X174">
        <f>DataLog_T717420_Aug11_4_59_37pm[[#This Row],[OIL TEMP '[Â°C']]]-Table3[[#This Row],[4402]]</f>
        <v>0</v>
      </c>
      <c r="Y174">
        <f>DataLog_T717420_Aug11_4_59_37pm[[#This Row],[INTAKE TEMP '[Â°C']]]-Table3[[#This Row],[580F]]</f>
        <v>0</v>
      </c>
      <c r="Z174">
        <f>DataLog_T717420_Aug11_4_59_37pm[[#This Row],[HPFP PRES. '[BAR']]]-Table3[[#This Row],[58F0]]</f>
        <v>0</v>
      </c>
      <c r="AA174">
        <f>DataLog_T717420_Aug11_4_59_37pm[[#This Row],[COOLANT TEMP '[Â°C']]]-Table3[[#This Row],[5805]]</f>
        <v>0</v>
      </c>
      <c r="AB174">
        <f>DataLog_T717420_Aug11_4_59_37pm[[#This Row],[BOOST '[BAR']]]-Table3[[#This Row],[58DD]]</f>
        <v>0</v>
      </c>
    </row>
    <row r="175" spans="2:28" x14ac:dyDescent="0.25">
      <c r="B175" s="2" t="s">
        <v>23</v>
      </c>
      <c r="C175" s="2" t="s">
        <v>30</v>
      </c>
      <c r="D175" s="2" t="s">
        <v>25</v>
      </c>
      <c r="E175" s="2" t="s">
        <v>39</v>
      </c>
      <c r="F175" s="2" t="s">
        <v>26</v>
      </c>
      <c r="G175" s="2" t="s">
        <v>27</v>
      </c>
      <c r="I175">
        <f>HEX2DEC(_0811_173439[[#This Row],[580C]])*B$4/B$5+B$6</f>
        <v>0</v>
      </c>
      <c r="J175">
        <f>HEX2DEC(_0811_173439[[#This Row],[4402]])*C$4/C$5+C$6</f>
        <v>36</v>
      </c>
      <c r="K175">
        <f>HEX2DEC(_0811_173439[[#This Row],[580F]])*D$4/D$5+D$6</f>
        <v>30.75</v>
      </c>
      <c r="L175">
        <f>ROUND(HEX2DEC(_0811_173439[[#This Row],[58F0]])*E$4/E$5+E$6,0)</f>
        <v>82</v>
      </c>
      <c r="M175">
        <f>ROUND(HEX2DEC(_0811_173439[[#This Row],[5805]])*F$4/F$5+F$6,0)</f>
        <v>42</v>
      </c>
      <c r="N175">
        <f>ROUND(HEX2DEC(_0811_173439[[#This Row],[58DD]])*G$4/G$5+G$6,2)</f>
        <v>-0.03</v>
      </c>
      <c r="P175">
        <v>0</v>
      </c>
      <c r="Q175">
        <v>36</v>
      </c>
      <c r="R175">
        <v>30.75</v>
      </c>
      <c r="S175">
        <v>82</v>
      </c>
      <c r="T175">
        <v>42</v>
      </c>
      <c r="U175">
        <v>-0.03</v>
      </c>
      <c r="W175">
        <f>DataLog_T717420_Aug11_4_59_37pm[[#This Row],[RPM '[1/MIN']]]-Table3[[#This Row],[580C]]</f>
        <v>0</v>
      </c>
      <c r="X175">
        <f>DataLog_T717420_Aug11_4_59_37pm[[#This Row],[OIL TEMP '[Â°C']]]-Table3[[#This Row],[4402]]</f>
        <v>0</v>
      </c>
      <c r="Y175">
        <f>DataLog_T717420_Aug11_4_59_37pm[[#This Row],[INTAKE TEMP '[Â°C']]]-Table3[[#This Row],[580F]]</f>
        <v>0</v>
      </c>
      <c r="Z175">
        <f>DataLog_T717420_Aug11_4_59_37pm[[#This Row],[HPFP PRES. '[BAR']]]-Table3[[#This Row],[58F0]]</f>
        <v>0</v>
      </c>
      <c r="AA175">
        <f>DataLog_T717420_Aug11_4_59_37pm[[#This Row],[COOLANT TEMP '[Â°C']]]-Table3[[#This Row],[5805]]</f>
        <v>0</v>
      </c>
      <c r="AB175">
        <f>DataLog_T717420_Aug11_4_59_37pm[[#This Row],[BOOST '[BAR']]]-Table3[[#This Row],[58DD]]</f>
        <v>0</v>
      </c>
    </row>
    <row r="176" spans="2:28" x14ac:dyDescent="0.25">
      <c r="B176" s="2" t="s">
        <v>23</v>
      </c>
      <c r="C176" s="2" t="s">
        <v>30</v>
      </c>
      <c r="D176" s="2" t="s">
        <v>25</v>
      </c>
      <c r="E176" s="2" t="s">
        <v>40</v>
      </c>
      <c r="F176" s="2" t="s">
        <v>26</v>
      </c>
      <c r="G176" s="2" t="s">
        <v>27</v>
      </c>
      <c r="I176">
        <f>HEX2DEC(_0811_173439[[#This Row],[580C]])*B$4/B$5+B$6</f>
        <v>0</v>
      </c>
      <c r="J176">
        <f>HEX2DEC(_0811_173439[[#This Row],[4402]])*C$4/C$5+C$6</f>
        <v>36</v>
      </c>
      <c r="K176">
        <f>HEX2DEC(_0811_173439[[#This Row],[580F]])*D$4/D$5+D$6</f>
        <v>30.75</v>
      </c>
      <c r="L176">
        <f>ROUND(HEX2DEC(_0811_173439[[#This Row],[58F0]])*E$4/E$5+E$6,0)</f>
        <v>82</v>
      </c>
      <c r="M176">
        <f>ROUND(HEX2DEC(_0811_173439[[#This Row],[5805]])*F$4/F$5+F$6,0)</f>
        <v>42</v>
      </c>
      <c r="N176">
        <f>ROUND(HEX2DEC(_0811_173439[[#This Row],[58DD]])*G$4/G$5+G$6,2)</f>
        <v>-0.03</v>
      </c>
      <c r="P176">
        <v>0</v>
      </c>
      <c r="Q176">
        <v>36</v>
      </c>
      <c r="R176">
        <v>30.75</v>
      </c>
      <c r="S176">
        <v>82</v>
      </c>
      <c r="T176">
        <v>42</v>
      </c>
      <c r="U176">
        <v>-0.03</v>
      </c>
      <c r="W176">
        <f>DataLog_T717420_Aug11_4_59_37pm[[#This Row],[RPM '[1/MIN']]]-Table3[[#This Row],[580C]]</f>
        <v>0</v>
      </c>
      <c r="X176">
        <f>DataLog_T717420_Aug11_4_59_37pm[[#This Row],[OIL TEMP '[Â°C']]]-Table3[[#This Row],[4402]]</f>
        <v>0</v>
      </c>
      <c r="Y176">
        <f>DataLog_T717420_Aug11_4_59_37pm[[#This Row],[INTAKE TEMP '[Â°C']]]-Table3[[#This Row],[580F]]</f>
        <v>0</v>
      </c>
      <c r="Z176">
        <f>DataLog_T717420_Aug11_4_59_37pm[[#This Row],[HPFP PRES. '[BAR']]]-Table3[[#This Row],[58F0]]</f>
        <v>0</v>
      </c>
      <c r="AA176">
        <f>DataLog_T717420_Aug11_4_59_37pm[[#This Row],[COOLANT TEMP '[Â°C']]]-Table3[[#This Row],[5805]]</f>
        <v>0</v>
      </c>
      <c r="AB176">
        <f>DataLog_T717420_Aug11_4_59_37pm[[#This Row],[BOOST '[BAR']]]-Table3[[#This Row],[58DD]]</f>
        <v>0</v>
      </c>
    </row>
    <row r="177" spans="2:28" x14ac:dyDescent="0.25">
      <c r="B177" s="2" t="s">
        <v>23</v>
      </c>
      <c r="C177" s="2" t="s">
        <v>30</v>
      </c>
      <c r="D177" s="2" t="s">
        <v>25</v>
      </c>
      <c r="E177" s="2" t="s">
        <v>39</v>
      </c>
      <c r="F177" s="2" t="s">
        <v>26</v>
      </c>
      <c r="G177" s="2" t="s">
        <v>27</v>
      </c>
      <c r="I177">
        <f>HEX2DEC(_0811_173439[[#This Row],[580C]])*B$4/B$5+B$6</f>
        <v>0</v>
      </c>
      <c r="J177">
        <f>HEX2DEC(_0811_173439[[#This Row],[4402]])*C$4/C$5+C$6</f>
        <v>36</v>
      </c>
      <c r="K177">
        <f>HEX2DEC(_0811_173439[[#This Row],[580F]])*D$4/D$5+D$6</f>
        <v>30.75</v>
      </c>
      <c r="L177">
        <f>ROUND(HEX2DEC(_0811_173439[[#This Row],[58F0]])*E$4/E$5+E$6,0)</f>
        <v>82</v>
      </c>
      <c r="M177">
        <f>ROUND(HEX2DEC(_0811_173439[[#This Row],[5805]])*F$4/F$5+F$6,0)</f>
        <v>42</v>
      </c>
      <c r="N177">
        <f>ROUND(HEX2DEC(_0811_173439[[#This Row],[58DD]])*G$4/G$5+G$6,2)</f>
        <v>-0.03</v>
      </c>
      <c r="P177">
        <v>0</v>
      </c>
      <c r="Q177">
        <v>36</v>
      </c>
      <c r="R177">
        <v>30.75</v>
      </c>
      <c r="S177">
        <v>82</v>
      </c>
      <c r="T177">
        <v>42</v>
      </c>
      <c r="U177">
        <v>-0.03</v>
      </c>
      <c r="W177">
        <f>DataLog_T717420_Aug11_4_59_37pm[[#This Row],[RPM '[1/MIN']]]-Table3[[#This Row],[580C]]</f>
        <v>0</v>
      </c>
      <c r="X177">
        <f>DataLog_T717420_Aug11_4_59_37pm[[#This Row],[OIL TEMP '[Â°C']]]-Table3[[#This Row],[4402]]</f>
        <v>0</v>
      </c>
      <c r="Y177">
        <f>DataLog_T717420_Aug11_4_59_37pm[[#This Row],[INTAKE TEMP '[Â°C']]]-Table3[[#This Row],[580F]]</f>
        <v>0</v>
      </c>
      <c r="Z177">
        <f>DataLog_T717420_Aug11_4_59_37pm[[#This Row],[HPFP PRES. '[BAR']]]-Table3[[#This Row],[58F0]]</f>
        <v>0</v>
      </c>
      <c r="AA177">
        <f>DataLog_T717420_Aug11_4_59_37pm[[#This Row],[COOLANT TEMP '[Â°C']]]-Table3[[#This Row],[5805]]</f>
        <v>0</v>
      </c>
      <c r="AB177">
        <f>DataLog_T717420_Aug11_4_59_37pm[[#This Row],[BOOST '[BAR']]]-Table3[[#This Row],[58DD]]</f>
        <v>0</v>
      </c>
    </row>
    <row r="178" spans="2:28" x14ac:dyDescent="0.25">
      <c r="B178" s="2" t="s">
        <v>23</v>
      </c>
      <c r="C178" s="2" t="s">
        <v>30</v>
      </c>
      <c r="D178" s="2" t="s">
        <v>25</v>
      </c>
      <c r="E178" s="2" t="s">
        <v>39</v>
      </c>
      <c r="F178" s="2" t="s">
        <v>26</v>
      </c>
      <c r="G178" s="2" t="s">
        <v>27</v>
      </c>
      <c r="I178">
        <f>HEX2DEC(_0811_173439[[#This Row],[580C]])*B$4/B$5+B$6</f>
        <v>0</v>
      </c>
      <c r="J178">
        <f>HEX2DEC(_0811_173439[[#This Row],[4402]])*C$4/C$5+C$6</f>
        <v>36</v>
      </c>
      <c r="K178">
        <f>HEX2DEC(_0811_173439[[#This Row],[580F]])*D$4/D$5+D$6</f>
        <v>30.75</v>
      </c>
      <c r="L178">
        <f>ROUND(HEX2DEC(_0811_173439[[#This Row],[58F0]])*E$4/E$5+E$6,0)</f>
        <v>82</v>
      </c>
      <c r="M178">
        <f>ROUND(HEX2DEC(_0811_173439[[#This Row],[5805]])*F$4/F$5+F$6,0)</f>
        <v>42</v>
      </c>
      <c r="N178">
        <f>ROUND(HEX2DEC(_0811_173439[[#This Row],[58DD]])*G$4/G$5+G$6,2)</f>
        <v>-0.03</v>
      </c>
      <c r="P178">
        <v>0</v>
      </c>
      <c r="Q178">
        <v>36</v>
      </c>
      <c r="R178">
        <v>30.75</v>
      </c>
      <c r="S178">
        <v>82</v>
      </c>
      <c r="T178">
        <v>42</v>
      </c>
      <c r="U178">
        <v>-0.03</v>
      </c>
      <c r="W178">
        <f>DataLog_T717420_Aug11_4_59_37pm[[#This Row],[RPM '[1/MIN']]]-Table3[[#This Row],[580C]]</f>
        <v>0</v>
      </c>
      <c r="X178">
        <f>DataLog_T717420_Aug11_4_59_37pm[[#This Row],[OIL TEMP '[Â°C']]]-Table3[[#This Row],[4402]]</f>
        <v>0</v>
      </c>
      <c r="Y178">
        <f>DataLog_T717420_Aug11_4_59_37pm[[#This Row],[INTAKE TEMP '[Â°C']]]-Table3[[#This Row],[580F]]</f>
        <v>0</v>
      </c>
      <c r="Z178">
        <f>DataLog_T717420_Aug11_4_59_37pm[[#This Row],[HPFP PRES. '[BAR']]]-Table3[[#This Row],[58F0]]</f>
        <v>0</v>
      </c>
      <c r="AA178">
        <f>DataLog_T717420_Aug11_4_59_37pm[[#This Row],[COOLANT TEMP '[Â°C']]]-Table3[[#This Row],[5805]]</f>
        <v>0</v>
      </c>
      <c r="AB178">
        <f>DataLog_T717420_Aug11_4_59_37pm[[#This Row],[BOOST '[BAR']]]-Table3[[#This Row],[58DD]]</f>
        <v>0</v>
      </c>
    </row>
    <row r="179" spans="2:28" x14ac:dyDescent="0.25">
      <c r="B179" s="2" t="s">
        <v>23</v>
      </c>
      <c r="C179" s="2" t="s">
        <v>30</v>
      </c>
      <c r="D179" s="2" t="s">
        <v>25</v>
      </c>
      <c r="E179" s="2" t="s">
        <v>39</v>
      </c>
      <c r="F179" s="2" t="s">
        <v>26</v>
      </c>
      <c r="G179" s="2" t="s">
        <v>28</v>
      </c>
      <c r="I179">
        <f>HEX2DEC(_0811_173439[[#This Row],[580C]])*B$4/B$5+B$6</f>
        <v>0</v>
      </c>
      <c r="J179">
        <f>HEX2DEC(_0811_173439[[#This Row],[4402]])*C$4/C$5+C$6</f>
        <v>36</v>
      </c>
      <c r="K179">
        <f>HEX2DEC(_0811_173439[[#This Row],[580F]])*D$4/D$5+D$6</f>
        <v>30.75</v>
      </c>
      <c r="L179">
        <f>ROUND(HEX2DEC(_0811_173439[[#This Row],[58F0]])*E$4/E$5+E$6,0)</f>
        <v>82</v>
      </c>
      <c r="M179">
        <f>ROUND(HEX2DEC(_0811_173439[[#This Row],[5805]])*F$4/F$5+F$6,0)</f>
        <v>42</v>
      </c>
      <c r="N179">
        <f>ROUND(HEX2DEC(_0811_173439[[#This Row],[58DD]])*G$4/G$5+G$6,2)</f>
        <v>-0.02</v>
      </c>
      <c r="P179">
        <v>0</v>
      </c>
      <c r="Q179">
        <v>36</v>
      </c>
      <c r="R179">
        <v>30.75</v>
      </c>
      <c r="S179">
        <v>82</v>
      </c>
      <c r="T179">
        <v>42</v>
      </c>
      <c r="U179">
        <v>-0.02</v>
      </c>
      <c r="W179">
        <f>DataLog_T717420_Aug11_4_59_37pm[[#This Row],[RPM '[1/MIN']]]-Table3[[#This Row],[580C]]</f>
        <v>0</v>
      </c>
      <c r="X179">
        <f>DataLog_T717420_Aug11_4_59_37pm[[#This Row],[OIL TEMP '[Â°C']]]-Table3[[#This Row],[4402]]</f>
        <v>0</v>
      </c>
      <c r="Y179">
        <f>DataLog_T717420_Aug11_4_59_37pm[[#This Row],[INTAKE TEMP '[Â°C']]]-Table3[[#This Row],[580F]]</f>
        <v>0</v>
      </c>
      <c r="Z179">
        <f>DataLog_T717420_Aug11_4_59_37pm[[#This Row],[HPFP PRES. '[BAR']]]-Table3[[#This Row],[58F0]]</f>
        <v>0</v>
      </c>
      <c r="AA179">
        <f>DataLog_T717420_Aug11_4_59_37pm[[#This Row],[COOLANT TEMP '[Â°C']]]-Table3[[#This Row],[5805]]</f>
        <v>0</v>
      </c>
      <c r="AB179">
        <f>DataLog_T717420_Aug11_4_59_37pm[[#This Row],[BOOST '[BAR']]]-Table3[[#This Row],[58DD]]</f>
        <v>0</v>
      </c>
    </row>
    <row r="180" spans="2:28" x14ac:dyDescent="0.25">
      <c r="B180" s="2" t="s">
        <v>23</v>
      </c>
      <c r="C180" s="2" t="s">
        <v>30</v>
      </c>
      <c r="D180" s="2" t="s">
        <v>25</v>
      </c>
      <c r="E180" s="2" t="s">
        <v>39</v>
      </c>
      <c r="F180" s="2" t="s">
        <v>26</v>
      </c>
      <c r="G180" s="2" t="s">
        <v>28</v>
      </c>
      <c r="I180">
        <f>HEX2DEC(_0811_173439[[#This Row],[580C]])*B$4/B$5+B$6</f>
        <v>0</v>
      </c>
      <c r="J180">
        <f>HEX2DEC(_0811_173439[[#This Row],[4402]])*C$4/C$5+C$6</f>
        <v>36</v>
      </c>
      <c r="K180">
        <f>HEX2DEC(_0811_173439[[#This Row],[580F]])*D$4/D$5+D$6</f>
        <v>30.75</v>
      </c>
      <c r="L180">
        <f>ROUND(HEX2DEC(_0811_173439[[#This Row],[58F0]])*E$4/E$5+E$6,0)</f>
        <v>82</v>
      </c>
      <c r="M180">
        <f>ROUND(HEX2DEC(_0811_173439[[#This Row],[5805]])*F$4/F$5+F$6,0)</f>
        <v>42</v>
      </c>
      <c r="N180">
        <f>ROUND(HEX2DEC(_0811_173439[[#This Row],[58DD]])*G$4/G$5+G$6,2)</f>
        <v>-0.02</v>
      </c>
      <c r="P180">
        <v>0</v>
      </c>
      <c r="Q180">
        <v>36</v>
      </c>
      <c r="R180">
        <v>30.75</v>
      </c>
      <c r="S180">
        <v>82</v>
      </c>
      <c r="T180">
        <v>42</v>
      </c>
      <c r="U180">
        <v>-0.02</v>
      </c>
      <c r="W180">
        <f>DataLog_T717420_Aug11_4_59_37pm[[#This Row],[RPM '[1/MIN']]]-Table3[[#This Row],[580C]]</f>
        <v>0</v>
      </c>
      <c r="X180">
        <f>DataLog_T717420_Aug11_4_59_37pm[[#This Row],[OIL TEMP '[Â°C']]]-Table3[[#This Row],[4402]]</f>
        <v>0</v>
      </c>
      <c r="Y180">
        <f>DataLog_T717420_Aug11_4_59_37pm[[#This Row],[INTAKE TEMP '[Â°C']]]-Table3[[#This Row],[580F]]</f>
        <v>0</v>
      </c>
      <c r="Z180">
        <f>DataLog_T717420_Aug11_4_59_37pm[[#This Row],[HPFP PRES. '[BAR']]]-Table3[[#This Row],[58F0]]</f>
        <v>0</v>
      </c>
      <c r="AA180">
        <f>DataLog_T717420_Aug11_4_59_37pm[[#This Row],[COOLANT TEMP '[Â°C']]]-Table3[[#This Row],[5805]]</f>
        <v>0</v>
      </c>
      <c r="AB180">
        <f>DataLog_T717420_Aug11_4_59_37pm[[#This Row],[BOOST '[BAR']]]-Table3[[#This Row],[58DD]]</f>
        <v>0</v>
      </c>
    </row>
    <row r="181" spans="2:28" x14ac:dyDescent="0.25">
      <c r="B181" s="2" t="s">
        <v>23</v>
      </c>
      <c r="C181" s="2" t="s">
        <v>30</v>
      </c>
      <c r="D181" s="2" t="s">
        <v>25</v>
      </c>
      <c r="E181" s="2" t="s">
        <v>39</v>
      </c>
      <c r="F181" s="2" t="s">
        <v>26</v>
      </c>
      <c r="G181" s="2" t="s">
        <v>27</v>
      </c>
      <c r="I181">
        <f>HEX2DEC(_0811_173439[[#This Row],[580C]])*B$4/B$5+B$6</f>
        <v>0</v>
      </c>
      <c r="J181">
        <f>HEX2DEC(_0811_173439[[#This Row],[4402]])*C$4/C$5+C$6</f>
        <v>36</v>
      </c>
      <c r="K181">
        <f>HEX2DEC(_0811_173439[[#This Row],[580F]])*D$4/D$5+D$6</f>
        <v>30.75</v>
      </c>
      <c r="L181">
        <f>ROUND(HEX2DEC(_0811_173439[[#This Row],[58F0]])*E$4/E$5+E$6,0)</f>
        <v>82</v>
      </c>
      <c r="M181">
        <f>ROUND(HEX2DEC(_0811_173439[[#This Row],[5805]])*F$4/F$5+F$6,0)</f>
        <v>42</v>
      </c>
      <c r="N181">
        <f>ROUND(HEX2DEC(_0811_173439[[#This Row],[58DD]])*G$4/G$5+G$6,2)</f>
        <v>-0.03</v>
      </c>
      <c r="P181">
        <v>0</v>
      </c>
      <c r="Q181">
        <v>36</v>
      </c>
      <c r="R181">
        <v>30.75</v>
      </c>
      <c r="S181">
        <v>82</v>
      </c>
      <c r="T181">
        <v>42</v>
      </c>
      <c r="U181">
        <v>-0.03</v>
      </c>
      <c r="W181">
        <f>DataLog_T717420_Aug11_4_59_37pm[[#This Row],[RPM '[1/MIN']]]-Table3[[#This Row],[580C]]</f>
        <v>0</v>
      </c>
      <c r="X181">
        <f>DataLog_T717420_Aug11_4_59_37pm[[#This Row],[OIL TEMP '[Â°C']]]-Table3[[#This Row],[4402]]</f>
        <v>0</v>
      </c>
      <c r="Y181">
        <f>DataLog_T717420_Aug11_4_59_37pm[[#This Row],[INTAKE TEMP '[Â°C']]]-Table3[[#This Row],[580F]]</f>
        <v>0</v>
      </c>
      <c r="Z181">
        <f>DataLog_T717420_Aug11_4_59_37pm[[#This Row],[HPFP PRES. '[BAR']]]-Table3[[#This Row],[58F0]]</f>
        <v>0</v>
      </c>
      <c r="AA181">
        <f>DataLog_T717420_Aug11_4_59_37pm[[#This Row],[COOLANT TEMP '[Â°C']]]-Table3[[#This Row],[5805]]</f>
        <v>0</v>
      </c>
      <c r="AB181">
        <f>DataLog_T717420_Aug11_4_59_37pm[[#This Row],[BOOST '[BAR']]]-Table3[[#This Row],[58DD]]</f>
        <v>0</v>
      </c>
    </row>
    <row r="182" spans="2:28" x14ac:dyDescent="0.25">
      <c r="B182" s="2" t="s">
        <v>23</v>
      </c>
      <c r="C182" s="2" t="s">
        <v>30</v>
      </c>
      <c r="D182" s="2" t="s">
        <v>25</v>
      </c>
      <c r="E182" s="2" t="s">
        <v>40</v>
      </c>
      <c r="F182" s="2" t="s">
        <v>26</v>
      </c>
      <c r="G182" s="2" t="s">
        <v>28</v>
      </c>
      <c r="I182">
        <f>HEX2DEC(_0811_173439[[#This Row],[580C]])*B$4/B$5+B$6</f>
        <v>0</v>
      </c>
      <c r="J182">
        <f>HEX2DEC(_0811_173439[[#This Row],[4402]])*C$4/C$5+C$6</f>
        <v>36</v>
      </c>
      <c r="K182">
        <f>HEX2DEC(_0811_173439[[#This Row],[580F]])*D$4/D$5+D$6</f>
        <v>30.75</v>
      </c>
      <c r="L182">
        <f>ROUND(HEX2DEC(_0811_173439[[#This Row],[58F0]])*E$4/E$5+E$6,0)</f>
        <v>82</v>
      </c>
      <c r="M182">
        <f>ROUND(HEX2DEC(_0811_173439[[#This Row],[5805]])*F$4/F$5+F$6,0)</f>
        <v>42</v>
      </c>
      <c r="N182">
        <f>ROUND(HEX2DEC(_0811_173439[[#This Row],[58DD]])*G$4/G$5+G$6,2)</f>
        <v>-0.02</v>
      </c>
      <c r="P182">
        <v>0</v>
      </c>
      <c r="Q182">
        <v>36</v>
      </c>
      <c r="R182">
        <v>30.75</v>
      </c>
      <c r="S182">
        <v>82</v>
      </c>
      <c r="T182">
        <v>42</v>
      </c>
      <c r="U182">
        <v>-0.02</v>
      </c>
      <c r="W182">
        <f>DataLog_T717420_Aug11_4_59_37pm[[#This Row],[RPM '[1/MIN']]]-Table3[[#This Row],[580C]]</f>
        <v>0</v>
      </c>
      <c r="X182">
        <f>DataLog_T717420_Aug11_4_59_37pm[[#This Row],[OIL TEMP '[Â°C']]]-Table3[[#This Row],[4402]]</f>
        <v>0</v>
      </c>
      <c r="Y182">
        <f>DataLog_T717420_Aug11_4_59_37pm[[#This Row],[INTAKE TEMP '[Â°C']]]-Table3[[#This Row],[580F]]</f>
        <v>0</v>
      </c>
      <c r="Z182">
        <f>DataLog_T717420_Aug11_4_59_37pm[[#This Row],[HPFP PRES. '[BAR']]]-Table3[[#This Row],[58F0]]</f>
        <v>0</v>
      </c>
      <c r="AA182">
        <f>DataLog_T717420_Aug11_4_59_37pm[[#This Row],[COOLANT TEMP '[Â°C']]]-Table3[[#This Row],[5805]]</f>
        <v>0</v>
      </c>
      <c r="AB182">
        <f>DataLog_T717420_Aug11_4_59_37pm[[#This Row],[BOOST '[BAR']]]-Table3[[#This Row],[58DD]]</f>
        <v>0</v>
      </c>
    </row>
    <row r="183" spans="2:28" x14ac:dyDescent="0.25">
      <c r="B183" s="2" t="s">
        <v>23</v>
      </c>
      <c r="C183" s="2" t="s">
        <v>30</v>
      </c>
      <c r="D183" s="2" t="s">
        <v>25</v>
      </c>
      <c r="E183" s="2" t="s">
        <v>40</v>
      </c>
      <c r="F183" s="2" t="s">
        <v>26</v>
      </c>
      <c r="G183" s="2" t="s">
        <v>27</v>
      </c>
      <c r="I183">
        <f>HEX2DEC(_0811_173439[[#This Row],[580C]])*B$4/B$5+B$6</f>
        <v>0</v>
      </c>
      <c r="J183">
        <f>HEX2DEC(_0811_173439[[#This Row],[4402]])*C$4/C$5+C$6</f>
        <v>36</v>
      </c>
      <c r="K183">
        <f>HEX2DEC(_0811_173439[[#This Row],[580F]])*D$4/D$5+D$6</f>
        <v>30.75</v>
      </c>
      <c r="L183">
        <f>ROUND(HEX2DEC(_0811_173439[[#This Row],[58F0]])*E$4/E$5+E$6,0)</f>
        <v>82</v>
      </c>
      <c r="M183">
        <f>ROUND(HEX2DEC(_0811_173439[[#This Row],[5805]])*F$4/F$5+F$6,0)</f>
        <v>42</v>
      </c>
      <c r="N183">
        <f>ROUND(HEX2DEC(_0811_173439[[#This Row],[58DD]])*G$4/G$5+G$6,2)</f>
        <v>-0.03</v>
      </c>
      <c r="P183">
        <v>0</v>
      </c>
      <c r="Q183">
        <v>36</v>
      </c>
      <c r="R183">
        <v>30.75</v>
      </c>
      <c r="S183">
        <v>82</v>
      </c>
      <c r="T183">
        <v>42</v>
      </c>
      <c r="U183">
        <v>-0.03</v>
      </c>
      <c r="W183">
        <f>DataLog_T717420_Aug11_4_59_37pm[[#This Row],[RPM '[1/MIN']]]-Table3[[#This Row],[580C]]</f>
        <v>0</v>
      </c>
      <c r="X183">
        <f>DataLog_T717420_Aug11_4_59_37pm[[#This Row],[OIL TEMP '[Â°C']]]-Table3[[#This Row],[4402]]</f>
        <v>0</v>
      </c>
      <c r="Y183">
        <f>DataLog_T717420_Aug11_4_59_37pm[[#This Row],[INTAKE TEMP '[Â°C']]]-Table3[[#This Row],[580F]]</f>
        <v>0</v>
      </c>
      <c r="Z183">
        <f>DataLog_T717420_Aug11_4_59_37pm[[#This Row],[HPFP PRES. '[BAR']]]-Table3[[#This Row],[58F0]]</f>
        <v>0</v>
      </c>
      <c r="AA183">
        <f>DataLog_T717420_Aug11_4_59_37pm[[#This Row],[COOLANT TEMP '[Â°C']]]-Table3[[#This Row],[5805]]</f>
        <v>0</v>
      </c>
      <c r="AB183">
        <f>DataLog_T717420_Aug11_4_59_37pm[[#This Row],[BOOST '[BAR']]]-Table3[[#This Row],[58DD]]</f>
        <v>0</v>
      </c>
    </row>
    <row r="184" spans="2:28" x14ac:dyDescent="0.25">
      <c r="B184" s="2" t="s">
        <v>23</v>
      </c>
      <c r="C184" s="2" t="s">
        <v>30</v>
      </c>
      <c r="D184" s="2" t="s">
        <v>25</v>
      </c>
      <c r="E184" s="2" t="s">
        <v>39</v>
      </c>
      <c r="F184" s="2" t="s">
        <v>26</v>
      </c>
      <c r="G184" s="2" t="s">
        <v>28</v>
      </c>
      <c r="I184">
        <f>HEX2DEC(_0811_173439[[#This Row],[580C]])*B$4/B$5+B$6</f>
        <v>0</v>
      </c>
      <c r="J184">
        <f>HEX2DEC(_0811_173439[[#This Row],[4402]])*C$4/C$5+C$6</f>
        <v>36</v>
      </c>
      <c r="K184">
        <f>HEX2DEC(_0811_173439[[#This Row],[580F]])*D$4/D$5+D$6</f>
        <v>30.75</v>
      </c>
      <c r="L184">
        <f>ROUND(HEX2DEC(_0811_173439[[#This Row],[58F0]])*E$4/E$5+E$6,0)</f>
        <v>82</v>
      </c>
      <c r="M184">
        <f>ROUND(HEX2DEC(_0811_173439[[#This Row],[5805]])*F$4/F$5+F$6,0)</f>
        <v>42</v>
      </c>
      <c r="N184">
        <f>ROUND(HEX2DEC(_0811_173439[[#This Row],[58DD]])*G$4/G$5+G$6,2)</f>
        <v>-0.02</v>
      </c>
      <c r="P184">
        <v>0</v>
      </c>
      <c r="Q184">
        <v>36</v>
      </c>
      <c r="R184">
        <v>30.75</v>
      </c>
      <c r="S184">
        <v>82</v>
      </c>
      <c r="T184">
        <v>42</v>
      </c>
      <c r="U184">
        <v>-0.02</v>
      </c>
      <c r="W184">
        <f>DataLog_T717420_Aug11_4_59_37pm[[#This Row],[RPM '[1/MIN']]]-Table3[[#This Row],[580C]]</f>
        <v>0</v>
      </c>
      <c r="X184">
        <f>DataLog_T717420_Aug11_4_59_37pm[[#This Row],[OIL TEMP '[Â°C']]]-Table3[[#This Row],[4402]]</f>
        <v>0</v>
      </c>
      <c r="Y184">
        <f>DataLog_T717420_Aug11_4_59_37pm[[#This Row],[INTAKE TEMP '[Â°C']]]-Table3[[#This Row],[580F]]</f>
        <v>0</v>
      </c>
      <c r="Z184">
        <f>DataLog_T717420_Aug11_4_59_37pm[[#This Row],[HPFP PRES. '[BAR']]]-Table3[[#This Row],[58F0]]</f>
        <v>0</v>
      </c>
      <c r="AA184">
        <f>DataLog_T717420_Aug11_4_59_37pm[[#This Row],[COOLANT TEMP '[Â°C']]]-Table3[[#This Row],[5805]]</f>
        <v>0</v>
      </c>
      <c r="AB184">
        <f>DataLog_T717420_Aug11_4_59_37pm[[#This Row],[BOOST '[BAR']]]-Table3[[#This Row],[58DD]]</f>
        <v>0</v>
      </c>
    </row>
    <row r="185" spans="2:28" x14ac:dyDescent="0.25">
      <c r="B185" s="2" t="s">
        <v>23</v>
      </c>
      <c r="C185" s="2" t="s">
        <v>30</v>
      </c>
      <c r="D185" s="2" t="s">
        <v>25</v>
      </c>
      <c r="E185" s="2" t="s">
        <v>40</v>
      </c>
      <c r="F185" s="2" t="s">
        <v>26</v>
      </c>
      <c r="G185" s="2" t="s">
        <v>27</v>
      </c>
      <c r="I185">
        <f>HEX2DEC(_0811_173439[[#This Row],[580C]])*B$4/B$5+B$6</f>
        <v>0</v>
      </c>
      <c r="J185">
        <f>HEX2DEC(_0811_173439[[#This Row],[4402]])*C$4/C$5+C$6</f>
        <v>36</v>
      </c>
      <c r="K185">
        <f>HEX2DEC(_0811_173439[[#This Row],[580F]])*D$4/D$5+D$6</f>
        <v>30.75</v>
      </c>
      <c r="L185">
        <f>ROUND(HEX2DEC(_0811_173439[[#This Row],[58F0]])*E$4/E$5+E$6,0)</f>
        <v>82</v>
      </c>
      <c r="M185">
        <f>ROUND(HEX2DEC(_0811_173439[[#This Row],[5805]])*F$4/F$5+F$6,0)</f>
        <v>42</v>
      </c>
      <c r="N185">
        <f>ROUND(HEX2DEC(_0811_173439[[#This Row],[58DD]])*G$4/G$5+G$6,2)</f>
        <v>-0.03</v>
      </c>
      <c r="P185">
        <v>0</v>
      </c>
      <c r="Q185">
        <v>36</v>
      </c>
      <c r="R185">
        <v>30.75</v>
      </c>
      <c r="S185">
        <v>82</v>
      </c>
      <c r="T185">
        <v>42</v>
      </c>
      <c r="U185">
        <v>-0.03</v>
      </c>
      <c r="W185">
        <f>DataLog_T717420_Aug11_4_59_37pm[[#This Row],[RPM '[1/MIN']]]-Table3[[#This Row],[580C]]</f>
        <v>0</v>
      </c>
      <c r="X185">
        <f>DataLog_T717420_Aug11_4_59_37pm[[#This Row],[OIL TEMP '[Â°C']]]-Table3[[#This Row],[4402]]</f>
        <v>0</v>
      </c>
      <c r="Y185">
        <f>DataLog_T717420_Aug11_4_59_37pm[[#This Row],[INTAKE TEMP '[Â°C']]]-Table3[[#This Row],[580F]]</f>
        <v>0</v>
      </c>
      <c r="Z185">
        <f>DataLog_T717420_Aug11_4_59_37pm[[#This Row],[HPFP PRES. '[BAR']]]-Table3[[#This Row],[58F0]]</f>
        <v>0</v>
      </c>
      <c r="AA185">
        <f>DataLog_T717420_Aug11_4_59_37pm[[#This Row],[COOLANT TEMP '[Â°C']]]-Table3[[#This Row],[5805]]</f>
        <v>0</v>
      </c>
      <c r="AB185">
        <f>DataLog_T717420_Aug11_4_59_37pm[[#This Row],[BOOST '[BAR']]]-Table3[[#This Row],[58DD]]</f>
        <v>0</v>
      </c>
    </row>
    <row r="186" spans="2:28" x14ac:dyDescent="0.25">
      <c r="B186" s="2" t="s">
        <v>23</v>
      </c>
      <c r="C186" s="2" t="s">
        <v>30</v>
      </c>
      <c r="D186" s="2" t="s">
        <v>25</v>
      </c>
      <c r="E186" s="2" t="s">
        <v>39</v>
      </c>
      <c r="F186" s="2" t="s">
        <v>26</v>
      </c>
      <c r="G186" s="2" t="s">
        <v>28</v>
      </c>
      <c r="I186">
        <f>HEX2DEC(_0811_173439[[#This Row],[580C]])*B$4/B$5+B$6</f>
        <v>0</v>
      </c>
      <c r="J186">
        <f>HEX2DEC(_0811_173439[[#This Row],[4402]])*C$4/C$5+C$6</f>
        <v>36</v>
      </c>
      <c r="K186">
        <f>HEX2DEC(_0811_173439[[#This Row],[580F]])*D$4/D$5+D$6</f>
        <v>30.75</v>
      </c>
      <c r="L186">
        <f>ROUND(HEX2DEC(_0811_173439[[#This Row],[58F0]])*E$4/E$5+E$6,0)</f>
        <v>82</v>
      </c>
      <c r="M186">
        <f>ROUND(HEX2DEC(_0811_173439[[#This Row],[5805]])*F$4/F$5+F$6,0)</f>
        <v>42</v>
      </c>
      <c r="N186">
        <f>ROUND(HEX2DEC(_0811_173439[[#This Row],[58DD]])*G$4/G$5+G$6,2)</f>
        <v>-0.02</v>
      </c>
      <c r="P186">
        <v>0</v>
      </c>
      <c r="Q186">
        <v>36</v>
      </c>
      <c r="R186">
        <v>30.75</v>
      </c>
      <c r="S186">
        <v>82</v>
      </c>
      <c r="T186">
        <v>42</v>
      </c>
      <c r="U186">
        <v>-0.02</v>
      </c>
      <c r="W186">
        <f>DataLog_T717420_Aug11_4_59_37pm[[#This Row],[RPM '[1/MIN']]]-Table3[[#This Row],[580C]]</f>
        <v>0</v>
      </c>
      <c r="X186">
        <f>DataLog_T717420_Aug11_4_59_37pm[[#This Row],[OIL TEMP '[Â°C']]]-Table3[[#This Row],[4402]]</f>
        <v>0</v>
      </c>
      <c r="Y186">
        <f>DataLog_T717420_Aug11_4_59_37pm[[#This Row],[INTAKE TEMP '[Â°C']]]-Table3[[#This Row],[580F]]</f>
        <v>0</v>
      </c>
      <c r="Z186">
        <f>DataLog_T717420_Aug11_4_59_37pm[[#This Row],[HPFP PRES. '[BAR']]]-Table3[[#This Row],[58F0]]</f>
        <v>0</v>
      </c>
      <c r="AA186">
        <f>DataLog_T717420_Aug11_4_59_37pm[[#This Row],[COOLANT TEMP '[Â°C']]]-Table3[[#This Row],[5805]]</f>
        <v>0</v>
      </c>
      <c r="AB186">
        <f>DataLog_T717420_Aug11_4_59_37pm[[#This Row],[BOOST '[BAR']]]-Table3[[#This Row],[58DD]]</f>
        <v>0</v>
      </c>
    </row>
    <row r="187" spans="2:28" x14ac:dyDescent="0.25">
      <c r="B187" s="2" t="s">
        <v>23</v>
      </c>
      <c r="C187" s="2" t="s">
        <v>30</v>
      </c>
      <c r="D187" s="2" t="s">
        <v>25</v>
      </c>
      <c r="E187" s="2" t="s">
        <v>41</v>
      </c>
      <c r="F187" s="2" t="s">
        <v>26</v>
      </c>
      <c r="G187" s="2" t="s">
        <v>27</v>
      </c>
      <c r="I187">
        <f>HEX2DEC(_0811_173439[[#This Row],[580C]])*B$4/B$5+B$6</f>
        <v>0</v>
      </c>
      <c r="J187">
        <f>HEX2DEC(_0811_173439[[#This Row],[4402]])*C$4/C$5+C$6</f>
        <v>36</v>
      </c>
      <c r="K187">
        <f>HEX2DEC(_0811_173439[[#This Row],[580F]])*D$4/D$5+D$6</f>
        <v>30.75</v>
      </c>
      <c r="L187">
        <f>ROUND(HEX2DEC(_0811_173439[[#This Row],[58F0]])*E$4/E$5+E$6,0)</f>
        <v>82</v>
      </c>
      <c r="M187">
        <f>ROUND(HEX2DEC(_0811_173439[[#This Row],[5805]])*F$4/F$5+F$6,0)</f>
        <v>42</v>
      </c>
      <c r="N187">
        <f>ROUND(HEX2DEC(_0811_173439[[#This Row],[58DD]])*G$4/G$5+G$6,2)</f>
        <v>-0.03</v>
      </c>
      <c r="P187">
        <v>0</v>
      </c>
      <c r="Q187">
        <v>36</v>
      </c>
      <c r="R187">
        <v>30.75</v>
      </c>
      <c r="S187">
        <v>82</v>
      </c>
      <c r="T187">
        <v>42</v>
      </c>
      <c r="U187">
        <v>-0.03</v>
      </c>
      <c r="W187">
        <f>DataLog_T717420_Aug11_4_59_37pm[[#This Row],[RPM '[1/MIN']]]-Table3[[#This Row],[580C]]</f>
        <v>0</v>
      </c>
      <c r="X187">
        <f>DataLog_T717420_Aug11_4_59_37pm[[#This Row],[OIL TEMP '[Â°C']]]-Table3[[#This Row],[4402]]</f>
        <v>0</v>
      </c>
      <c r="Y187">
        <f>DataLog_T717420_Aug11_4_59_37pm[[#This Row],[INTAKE TEMP '[Â°C']]]-Table3[[#This Row],[580F]]</f>
        <v>0</v>
      </c>
      <c r="Z187">
        <f>DataLog_T717420_Aug11_4_59_37pm[[#This Row],[HPFP PRES. '[BAR']]]-Table3[[#This Row],[58F0]]</f>
        <v>0</v>
      </c>
      <c r="AA187">
        <f>DataLog_T717420_Aug11_4_59_37pm[[#This Row],[COOLANT TEMP '[Â°C']]]-Table3[[#This Row],[5805]]</f>
        <v>0</v>
      </c>
      <c r="AB187">
        <f>DataLog_T717420_Aug11_4_59_37pm[[#This Row],[BOOST '[BAR']]]-Table3[[#This Row],[58DD]]</f>
        <v>0</v>
      </c>
    </row>
    <row r="188" spans="2:28" x14ac:dyDescent="0.25">
      <c r="B188" s="2" t="s">
        <v>23</v>
      </c>
      <c r="C188" s="2" t="s">
        <v>30</v>
      </c>
      <c r="D188" s="2" t="s">
        <v>25</v>
      </c>
      <c r="E188" s="2" t="s">
        <v>42</v>
      </c>
      <c r="F188" s="2" t="s">
        <v>26</v>
      </c>
      <c r="G188" s="2" t="s">
        <v>27</v>
      </c>
      <c r="I188">
        <f>HEX2DEC(_0811_173439[[#This Row],[580C]])*B$4/B$5+B$6</f>
        <v>0</v>
      </c>
      <c r="J188">
        <f>HEX2DEC(_0811_173439[[#This Row],[4402]])*C$4/C$5+C$6</f>
        <v>36</v>
      </c>
      <c r="K188">
        <f>HEX2DEC(_0811_173439[[#This Row],[580F]])*D$4/D$5+D$6</f>
        <v>30.75</v>
      </c>
      <c r="L188">
        <f>ROUND(HEX2DEC(_0811_173439[[#This Row],[58F0]])*E$4/E$5+E$6,0)</f>
        <v>82</v>
      </c>
      <c r="M188">
        <f>ROUND(HEX2DEC(_0811_173439[[#This Row],[5805]])*F$4/F$5+F$6,0)</f>
        <v>42</v>
      </c>
      <c r="N188">
        <f>ROUND(HEX2DEC(_0811_173439[[#This Row],[58DD]])*G$4/G$5+G$6,2)</f>
        <v>-0.03</v>
      </c>
      <c r="P188">
        <v>0</v>
      </c>
      <c r="Q188">
        <v>36</v>
      </c>
      <c r="R188">
        <v>30.75</v>
      </c>
      <c r="S188">
        <v>82</v>
      </c>
      <c r="T188">
        <v>42</v>
      </c>
      <c r="U188">
        <v>-0.03</v>
      </c>
      <c r="W188">
        <f>DataLog_T717420_Aug11_4_59_37pm[[#This Row],[RPM '[1/MIN']]]-Table3[[#This Row],[580C]]</f>
        <v>0</v>
      </c>
      <c r="X188">
        <f>DataLog_T717420_Aug11_4_59_37pm[[#This Row],[OIL TEMP '[Â°C']]]-Table3[[#This Row],[4402]]</f>
        <v>0</v>
      </c>
      <c r="Y188">
        <f>DataLog_T717420_Aug11_4_59_37pm[[#This Row],[INTAKE TEMP '[Â°C']]]-Table3[[#This Row],[580F]]</f>
        <v>0</v>
      </c>
      <c r="Z188">
        <f>DataLog_T717420_Aug11_4_59_37pm[[#This Row],[HPFP PRES. '[BAR']]]-Table3[[#This Row],[58F0]]</f>
        <v>0</v>
      </c>
      <c r="AA188">
        <f>DataLog_T717420_Aug11_4_59_37pm[[#This Row],[COOLANT TEMP '[Â°C']]]-Table3[[#This Row],[5805]]</f>
        <v>0</v>
      </c>
      <c r="AB188">
        <f>DataLog_T717420_Aug11_4_59_37pm[[#This Row],[BOOST '[BAR']]]-Table3[[#This Row],[58DD]]</f>
        <v>0</v>
      </c>
    </row>
    <row r="189" spans="2:28" x14ac:dyDescent="0.25">
      <c r="B189" s="2" t="s">
        <v>23</v>
      </c>
      <c r="C189" s="2" t="s">
        <v>30</v>
      </c>
      <c r="D189" s="2" t="s">
        <v>25</v>
      </c>
      <c r="E189" s="2" t="s">
        <v>43</v>
      </c>
      <c r="F189" s="2" t="s">
        <v>26</v>
      </c>
      <c r="G189" s="2" t="s">
        <v>27</v>
      </c>
      <c r="I189">
        <f>HEX2DEC(_0811_173439[[#This Row],[580C]])*B$4/B$5+B$6</f>
        <v>0</v>
      </c>
      <c r="J189">
        <f>HEX2DEC(_0811_173439[[#This Row],[4402]])*C$4/C$5+C$6</f>
        <v>36</v>
      </c>
      <c r="K189">
        <f>HEX2DEC(_0811_173439[[#This Row],[580F]])*D$4/D$5+D$6</f>
        <v>30.75</v>
      </c>
      <c r="L189">
        <f>ROUND(HEX2DEC(_0811_173439[[#This Row],[58F0]])*E$4/E$5+E$6,0)</f>
        <v>82</v>
      </c>
      <c r="M189">
        <f>ROUND(HEX2DEC(_0811_173439[[#This Row],[5805]])*F$4/F$5+F$6,0)</f>
        <v>42</v>
      </c>
      <c r="N189">
        <f>ROUND(HEX2DEC(_0811_173439[[#This Row],[58DD]])*G$4/G$5+G$6,2)</f>
        <v>-0.03</v>
      </c>
      <c r="P189">
        <v>0</v>
      </c>
      <c r="Q189">
        <v>36</v>
      </c>
      <c r="R189">
        <v>30.75</v>
      </c>
      <c r="S189">
        <v>82</v>
      </c>
      <c r="T189">
        <v>42</v>
      </c>
      <c r="U189">
        <v>-0.03</v>
      </c>
      <c r="W189">
        <f>DataLog_T717420_Aug11_4_59_37pm[[#This Row],[RPM '[1/MIN']]]-Table3[[#This Row],[580C]]</f>
        <v>0</v>
      </c>
      <c r="X189">
        <f>DataLog_T717420_Aug11_4_59_37pm[[#This Row],[OIL TEMP '[Â°C']]]-Table3[[#This Row],[4402]]</f>
        <v>0</v>
      </c>
      <c r="Y189">
        <f>DataLog_T717420_Aug11_4_59_37pm[[#This Row],[INTAKE TEMP '[Â°C']]]-Table3[[#This Row],[580F]]</f>
        <v>0</v>
      </c>
      <c r="Z189">
        <f>DataLog_T717420_Aug11_4_59_37pm[[#This Row],[HPFP PRES. '[BAR']]]-Table3[[#This Row],[58F0]]</f>
        <v>0</v>
      </c>
      <c r="AA189">
        <f>DataLog_T717420_Aug11_4_59_37pm[[#This Row],[COOLANT TEMP '[Â°C']]]-Table3[[#This Row],[5805]]</f>
        <v>0</v>
      </c>
      <c r="AB189">
        <f>DataLog_T717420_Aug11_4_59_37pm[[#This Row],[BOOST '[BAR']]]-Table3[[#This Row],[58DD]]</f>
        <v>0</v>
      </c>
    </row>
    <row r="190" spans="2:28" x14ac:dyDescent="0.25">
      <c r="B190" s="2" t="s">
        <v>23</v>
      </c>
      <c r="C190" s="2" t="s">
        <v>30</v>
      </c>
      <c r="D190" s="2" t="s">
        <v>25</v>
      </c>
      <c r="E190" s="2" t="s">
        <v>44</v>
      </c>
      <c r="F190" s="2" t="s">
        <v>26</v>
      </c>
      <c r="G190" s="2" t="s">
        <v>28</v>
      </c>
      <c r="I190">
        <f>HEX2DEC(_0811_173439[[#This Row],[580C]])*B$4/B$5+B$6</f>
        <v>0</v>
      </c>
      <c r="J190">
        <f>HEX2DEC(_0811_173439[[#This Row],[4402]])*C$4/C$5+C$6</f>
        <v>36</v>
      </c>
      <c r="K190">
        <f>HEX2DEC(_0811_173439[[#This Row],[580F]])*D$4/D$5+D$6</f>
        <v>30.75</v>
      </c>
      <c r="L190">
        <f>ROUND(HEX2DEC(_0811_173439[[#This Row],[58F0]])*E$4/E$5+E$6,0)</f>
        <v>82</v>
      </c>
      <c r="M190">
        <f>ROUND(HEX2DEC(_0811_173439[[#This Row],[5805]])*F$4/F$5+F$6,0)</f>
        <v>42</v>
      </c>
      <c r="N190">
        <f>ROUND(HEX2DEC(_0811_173439[[#This Row],[58DD]])*G$4/G$5+G$6,2)</f>
        <v>-0.02</v>
      </c>
      <c r="P190">
        <v>0</v>
      </c>
      <c r="Q190">
        <v>36</v>
      </c>
      <c r="R190">
        <v>30.75</v>
      </c>
      <c r="S190">
        <v>82</v>
      </c>
      <c r="T190">
        <v>42</v>
      </c>
      <c r="U190">
        <v>-0.02</v>
      </c>
      <c r="W190">
        <f>DataLog_T717420_Aug11_4_59_37pm[[#This Row],[RPM '[1/MIN']]]-Table3[[#This Row],[580C]]</f>
        <v>0</v>
      </c>
      <c r="X190">
        <f>DataLog_T717420_Aug11_4_59_37pm[[#This Row],[OIL TEMP '[Â°C']]]-Table3[[#This Row],[4402]]</f>
        <v>0</v>
      </c>
      <c r="Y190">
        <f>DataLog_T717420_Aug11_4_59_37pm[[#This Row],[INTAKE TEMP '[Â°C']]]-Table3[[#This Row],[580F]]</f>
        <v>0</v>
      </c>
      <c r="Z190">
        <f>DataLog_T717420_Aug11_4_59_37pm[[#This Row],[HPFP PRES. '[BAR']]]-Table3[[#This Row],[58F0]]</f>
        <v>0</v>
      </c>
      <c r="AA190">
        <f>DataLog_T717420_Aug11_4_59_37pm[[#This Row],[COOLANT TEMP '[Â°C']]]-Table3[[#This Row],[5805]]</f>
        <v>0</v>
      </c>
      <c r="AB190">
        <f>DataLog_T717420_Aug11_4_59_37pm[[#This Row],[BOOST '[BAR']]]-Table3[[#This Row],[58DD]]</f>
        <v>0</v>
      </c>
    </row>
    <row r="191" spans="2:28" x14ac:dyDescent="0.25">
      <c r="B191" s="2" t="s">
        <v>23</v>
      </c>
      <c r="C191" s="2" t="s">
        <v>30</v>
      </c>
      <c r="D191" s="2" t="s">
        <v>25</v>
      </c>
      <c r="E191" s="2" t="s">
        <v>41</v>
      </c>
      <c r="F191" s="2" t="s">
        <v>26</v>
      </c>
      <c r="G191" s="2" t="s">
        <v>27</v>
      </c>
      <c r="I191">
        <f>HEX2DEC(_0811_173439[[#This Row],[580C]])*B$4/B$5+B$6</f>
        <v>0</v>
      </c>
      <c r="J191">
        <f>HEX2DEC(_0811_173439[[#This Row],[4402]])*C$4/C$5+C$6</f>
        <v>36</v>
      </c>
      <c r="K191">
        <f>HEX2DEC(_0811_173439[[#This Row],[580F]])*D$4/D$5+D$6</f>
        <v>30.75</v>
      </c>
      <c r="L191">
        <f>ROUND(HEX2DEC(_0811_173439[[#This Row],[58F0]])*E$4/E$5+E$6,0)</f>
        <v>82</v>
      </c>
      <c r="M191">
        <f>ROUND(HEX2DEC(_0811_173439[[#This Row],[5805]])*F$4/F$5+F$6,0)</f>
        <v>42</v>
      </c>
      <c r="N191">
        <f>ROUND(HEX2DEC(_0811_173439[[#This Row],[58DD]])*G$4/G$5+G$6,2)</f>
        <v>-0.03</v>
      </c>
      <c r="P191">
        <v>0</v>
      </c>
      <c r="Q191">
        <v>36</v>
      </c>
      <c r="R191">
        <v>30.75</v>
      </c>
      <c r="S191">
        <v>82</v>
      </c>
      <c r="T191">
        <v>42</v>
      </c>
      <c r="U191">
        <v>-0.03</v>
      </c>
      <c r="W191">
        <f>DataLog_T717420_Aug11_4_59_37pm[[#This Row],[RPM '[1/MIN']]]-Table3[[#This Row],[580C]]</f>
        <v>0</v>
      </c>
      <c r="X191">
        <f>DataLog_T717420_Aug11_4_59_37pm[[#This Row],[OIL TEMP '[Â°C']]]-Table3[[#This Row],[4402]]</f>
        <v>0</v>
      </c>
      <c r="Y191">
        <f>DataLog_T717420_Aug11_4_59_37pm[[#This Row],[INTAKE TEMP '[Â°C']]]-Table3[[#This Row],[580F]]</f>
        <v>0</v>
      </c>
      <c r="Z191">
        <f>DataLog_T717420_Aug11_4_59_37pm[[#This Row],[HPFP PRES. '[BAR']]]-Table3[[#This Row],[58F0]]</f>
        <v>0</v>
      </c>
      <c r="AA191">
        <f>DataLog_T717420_Aug11_4_59_37pm[[#This Row],[COOLANT TEMP '[Â°C']]]-Table3[[#This Row],[5805]]</f>
        <v>0</v>
      </c>
      <c r="AB191">
        <f>DataLog_T717420_Aug11_4_59_37pm[[#This Row],[BOOST '[BAR']]]-Table3[[#This Row],[58DD]]</f>
        <v>0</v>
      </c>
    </row>
    <row r="192" spans="2:28" x14ac:dyDescent="0.25">
      <c r="B192" s="2" t="s">
        <v>23</v>
      </c>
      <c r="C192" s="2" t="s">
        <v>30</v>
      </c>
      <c r="D192" s="2" t="s">
        <v>25</v>
      </c>
      <c r="E192" s="2" t="s">
        <v>44</v>
      </c>
      <c r="F192" s="2" t="s">
        <v>26</v>
      </c>
      <c r="G192" s="2" t="s">
        <v>27</v>
      </c>
      <c r="I192">
        <f>HEX2DEC(_0811_173439[[#This Row],[580C]])*B$4/B$5+B$6</f>
        <v>0</v>
      </c>
      <c r="J192">
        <f>HEX2DEC(_0811_173439[[#This Row],[4402]])*C$4/C$5+C$6</f>
        <v>36</v>
      </c>
      <c r="K192">
        <f>HEX2DEC(_0811_173439[[#This Row],[580F]])*D$4/D$5+D$6</f>
        <v>30.75</v>
      </c>
      <c r="L192">
        <f>ROUND(HEX2DEC(_0811_173439[[#This Row],[58F0]])*E$4/E$5+E$6,0)</f>
        <v>82</v>
      </c>
      <c r="M192">
        <f>ROUND(HEX2DEC(_0811_173439[[#This Row],[5805]])*F$4/F$5+F$6,0)</f>
        <v>42</v>
      </c>
      <c r="N192">
        <f>ROUND(HEX2DEC(_0811_173439[[#This Row],[58DD]])*G$4/G$5+G$6,2)</f>
        <v>-0.03</v>
      </c>
      <c r="P192">
        <v>0</v>
      </c>
      <c r="Q192">
        <v>36</v>
      </c>
      <c r="R192">
        <v>30.75</v>
      </c>
      <c r="S192">
        <v>82</v>
      </c>
      <c r="T192">
        <v>42</v>
      </c>
      <c r="U192">
        <v>-0.03</v>
      </c>
      <c r="W192">
        <f>DataLog_T717420_Aug11_4_59_37pm[[#This Row],[RPM '[1/MIN']]]-Table3[[#This Row],[580C]]</f>
        <v>0</v>
      </c>
      <c r="X192">
        <f>DataLog_T717420_Aug11_4_59_37pm[[#This Row],[OIL TEMP '[Â°C']]]-Table3[[#This Row],[4402]]</f>
        <v>0</v>
      </c>
      <c r="Y192">
        <f>DataLog_T717420_Aug11_4_59_37pm[[#This Row],[INTAKE TEMP '[Â°C']]]-Table3[[#This Row],[580F]]</f>
        <v>0</v>
      </c>
      <c r="Z192">
        <f>DataLog_T717420_Aug11_4_59_37pm[[#This Row],[HPFP PRES. '[BAR']]]-Table3[[#This Row],[58F0]]</f>
        <v>0</v>
      </c>
      <c r="AA192">
        <f>DataLog_T717420_Aug11_4_59_37pm[[#This Row],[COOLANT TEMP '[Â°C']]]-Table3[[#This Row],[5805]]</f>
        <v>0</v>
      </c>
      <c r="AB192">
        <f>DataLog_T717420_Aug11_4_59_37pm[[#This Row],[BOOST '[BAR']]]-Table3[[#This Row],[58DD]]</f>
        <v>0</v>
      </c>
    </row>
    <row r="193" spans="2:28" x14ac:dyDescent="0.25">
      <c r="B193" s="2" t="s">
        <v>23</v>
      </c>
      <c r="C193" s="2" t="s">
        <v>30</v>
      </c>
      <c r="D193" s="2" t="s">
        <v>25</v>
      </c>
      <c r="E193" s="2" t="s">
        <v>45</v>
      </c>
      <c r="F193" s="2" t="s">
        <v>26</v>
      </c>
      <c r="G193" s="2" t="s">
        <v>27</v>
      </c>
      <c r="I193">
        <f>HEX2DEC(_0811_173439[[#This Row],[580C]])*B$4/B$5+B$6</f>
        <v>0</v>
      </c>
      <c r="J193">
        <f>HEX2DEC(_0811_173439[[#This Row],[4402]])*C$4/C$5+C$6</f>
        <v>36</v>
      </c>
      <c r="K193">
        <f>HEX2DEC(_0811_173439[[#This Row],[580F]])*D$4/D$5+D$6</f>
        <v>30.75</v>
      </c>
      <c r="L193">
        <f>ROUND(HEX2DEC(_0811_173439[[#This Row],[58F0]])*E$4/E$5+E$6,0)</f>
        <v>82</v>
      </c>
      <c r="M193">
        <f>ROUND(HEX2DEC(_0811_173439[[#This Row],[5805]])*F$4/F$5+F$6,0)</f>
        <v>42</v>
      </c>
      <c r="N193">
        <f>ROUND(HEX2DEC(_0811_173439[[#This Row],[58DD]])*G$4/G$5+G$6,2)</f>
        <v>-0.03</v>
      </c>
      <c r="P193">
        <v>0</v>
      </c>
      <c r="Q193">
        <v>36</v>
      </c>
      <c r="R193">
        <v>30.75</v>
      </c>
      <c r="S193">
        <v>82</v>
      </c>
      <c r="T193">
        <v>42</v>
      </c>
      <c r="U193">
        <v>-0.03</v>
      </c>
      <c r="W193">
        <f>DataLog_T717420_Aug11_4_59_37pm[[#This Row],[RPM '[1/MIN']]]-Table3[[#This Row],[580C]]</f>
        <v>0</v>
      </c>
      <c r="X193">
        <f>DataLog_T717420_Aug11_4_59_37pm[[#This Row],[OIL TEMP '[Â°C']]]-Table3[[#This Row],[4402]]</f>
        <v>0</v>
      </c>
      <c r="Y193">
        <f>DataLog_T717420_Aug11_4_59_37pm[[#This Row],[INTAKE TEMP '[Â°C']]]-Table3[[#This Row],[580F]]</f>
        <v>0</v>
      </c>
      <c r="Z193">
        <f>DataLog_T717420_Aug11_4_59_37pm[[#This Row],[HPFP PRES. '[BAR']]]-Table3[[#This Row],[58F0]]</f>
        <v>0</v>
      </c>
      <c r="AA193">
        <f>DataLog_T717420_Aug11_4_59_37pm[[#This Row],[COOLANT TEMP '[Â°C']]]-Table3[[#This Row],[5805]]</f>
        <v>0</v>
      </c>
      <c r="AB193">
        <f>DataLog_T717420_Aug11_4_59_37pm[[#This Row],[BOOST '[BAR']]]-Table3[[#This Row],[58DD]]</f>
        <v>0</v>
      </c>
    </row>
    <row r="194" spans="2:28" x14ac:dyDescent="0.25">
      <c r="B194" s="2" t="s">
        <v>23</v>
      </c>
      <c r="C194" s="2" t="s">
        <v>30</v>
      </c>
      <c r="D194" s="2" t="s">
        <v>25</v>
      </c>
      <c r="E194" s="2" t="s">
        <v>45</v>
      </c>
      <c r="F194" s="2" t="s">
        <v>26</v>
      </c>
      <c r="G194" s="2" t="s">
        <v>27</v>
      </c>
      <c r="I194">
        <f>HEX2DEC(_0811_173439[[#This Row],[580C]])*B$4/B$5+B$6</f>
        <v>0</v>
      </c>
      <c r="J194">
        <f>HEX2DEC(_0811_173439[[#This Row],[4402]])*C$4/C$5+C$6</f>
        <v>36</v>
      </c>
      <c r="K194">
        <f>HEX2DEC(_0811_173439[[#This Row],[580F]])*D$4/D$5+D$6</f>
        <v>30.75</v>
      </c>
      <c r="L194">
        <f>ROUND(HEX2DEC(_0811_173439[[#This Row],[58F0]])*E$4/E$5+E$6,0)</f>
        <v>82</v>
      </c>
      <c r="M194">
        <f>ROUND(HEX2DEC(_0811_173439[[#This Row],[5805]])*F$4/F$5+F$6,0)</f>
        <v>42</v>
      </c>
      <c r="N194">
        <f>ROUND(HEX2DEC(_0811_173439[[#This Row],[58DD]])*G$4/G$5+G$6,2)</f>
        <v>-0.03</v>
      </c>
      <c r="P194">
        <v>0</v>
      </c>
      <c r="Q194">
        <v>36</v>
      </c>
      <c r="R194">
        <v>30.75</v>
      </c>
      <c r="S194">
        <v>82</v>
      </c>
      <c r="T194">
        <v>42</v>
      </c>
      <c r="U194">
        <v>-0.03</v>
      </c>
      <c r="W194">
        <f>DataLog_T717420_Aug11_4_59_37pm[[#This Row],[RPM '[1/MIN']]]-Table3[[#This Row],[580C]]</f>
        <v>0</v>
      </c>
      <c r="X194">
        <f>DataLog_T717420_Aug11_4_59_37pm[[#This Row],[OIL TEMP '[Â°C']]]-Table3[[#This Row],[4402]]</f>
        <v>0</v>
      </c>
      <c r="Y194">
        <f>DataLog_T717420_Aug11_4_59_37pm[[#This Row],[INTAKE TEMP '[Â°C']]]-Table3[[#This Row],[580F]]</f>
        <v>0</v>
      </c>
      <c r="Z194">
        <f>DataLog_T717420_Aug11_4_59_37pm[[#This Row],[HPFP PRES. '[BAR']]]-Table3[[#This Row],[58F0]]</f>
        <v>0</v>
      </c>
      <c r="AA194">
        <f>DataLog_T717420_Aug11_4_59_37pm[[#This Row],[COOLANT TEMP '[Â°C']]]-Table3[[#This Row],[5805]]</f>
        <v>0</v>
      </c>
      <c r="AB194">
        <f>DataLog_T717420_Aug11_4_59_37pm[[#This Row],[BOOST '[BAR']]]-Table3[[#This Row],[58DD]]</f>
        <v>0</v>
      </c>
    </row>
    <row r="195" spans="2:28" x14ac:dyDescent="0.25">
      <c r="B195" s="2" t="s">
        <v>23</v>
      </c>
      <c r="C195" s="2" t="s">
        <v>30</v>
      </c>
      <c r="D195" s="2" t="s">
        <v>25</v>
      </c>
      <c r="E195" s="2" t="s">
        <v>42</v>
      </c>
      <c r="F195" s="2" t="s">
        <v>26</v>
      </c>
      <c r="G195" s="2" t="s">
        <v>27</v>
      </c>
      <c r="I195">
        <f>HEX2DEC(_0811_173439[[#This Row],[580C]])*B$4/B$5+B$6</f>
        <v>0</v>
      </c>
      <c r="J195">
        <f>HEX2DEC(_0811_173439[[#This Row],[4402]])*C$4/C$5+C$6</f>
        <v>36</v>
      </c>
      <c r="K195">
        <f>HEX2DEC(_0811_173439[[#This Row],[580F]])*D$4/D$5+D$6</f>
        <v>30.75</v>
      </c>
      <c r="L195">
        <f>ROUND(HEX2DEC(_0811_173439[[#This Row],[58F0]])*E$4/E$5+E$6,0)</f>
        <v>82</v>
      </c>
      <c r="M195">
        <f>ROUND(HEX2DEC(_0811_173439[[#This Row],[5805]])*F$4/F$5+F$6,0)</f>
        <v>42</v>
      </c>
      <c r="N195">
        <f>ROUND(HEX2DEC(_0811_173439[[#This Row],[58DD]])*G$4/G$5+G$6,2)</f>
        <v>-0.03</v>
      </c>
      <c r="P195">
        <v>0</v>
      </c>
      <c r="Q195">
        <v>36</v>
      </c>
      <c r="R195">
        <v>30.75</v>
      </c>
      <c r="S195">
        <v>82</v>
      </c>
      <c r="T195">
        <v>42</v>
      </c>
      <c r="U195">
        <v>-0.03</v>
      </c>
      <c r="W195">
        <f>DataLog_T717420_Aug11_4_59_37pm[[#This Row],[RPM '[1/MIN']]]-Table3[[#This Row],[580C]]</f>
        <v>0</v>
      </c>
      <c r="X195">
        <f>DataLog_T717420_Aug11_4_59_37pm[[#This Row],[OIL TEMP '[Â°C']]]-Table3[[#This Row],[4402]]</f>
        <v>0</v>
      </c>
      <c r="Y195">
        <f>DataLog_T717420_Aug11_4_59_37pm[[#This Row],[INTAKE TEMP '[Â°C']]]-Table3[[#This Row],[580F]]</f>
        <v>0</v>
      </c>
      <c r="Z195">
        <f>DataLog_T717420_Aug11_4_59_37pm[[#This Row],[HPFP PRES. '[BAR']]]-Table3[[#This Row],[58F0]]</f>
        <v>0</v>
      </c>
      <c r="AA195">
        <f>DataLog_T717420_Aug11_4_59_37pm[[#This Row],[COOLANT TEMP '[Â°C']]]-Table3[[#This Row],[5805]]</f>
        <v>0</v>
      </c>
      <c r="AB195">
        <f>DataLog_T717420_Aug11_4_59_37pm[[#This Row],[BOOST '[BAR']]]-Table3[[#This Row],[58DD]]</f>
        <v>0</v>
      </c>
    </row>
    <row r="196" spans="2:28" x14ac:dyDescent="0.25">
      <c r="B196" s="2" t="s">
        <v>23</v>
      </c>
      <c r="C196" s="2" t="s">
        <v>30</v>
      </c>
      <c r="D196" s="2" t="s">
        <v>25</v>
      </c>
      <c r="E196" s="2" t="s">
        <v>46</v>
      </c>
      <c r="F196" s="2" t="s">
        <v>26</v>
      </c>
      <c r="G196" s="2" t="s">
        <v>27</v>
      </c>
      <c r="I196">
        <f>HEX2DEC(_0811_173439[[#This Row],[580C]])*B$4/B$5+B$6</f>
        <v>0</v>
      </c>
      <c r="J196">
        <f>HEX2DEC(_0811_173439[[#This Row],[4402]])*C$4/C$5+C$6</f>
        <v>36</v>
      </c>
      <c r="K196">
        <f>HEX2DEC(_0811_173439[[#This Row],[580F]])*D$4/D$5+D$6</f>
        <v>30.75</v>
      </c>
      <c r="L196">
        <f>ROUND(HEX2DEC(_0811_173439[[#This Row],[58F0]])*E$4/E$5+E$6,0)</f>
        <v>82</v>
      </c>
      <c r="M196">
        <f>ROUND(HEX2DEC(_0811_173439[[#This Row],[5805]])*F$4/F$5+F$6,0)</f>
        <v>42</v>
      </c>
      <c r="N196">
        <f>ROUND(HEX2DEC(_0811_173439[[#This Row],[58DD]])*G$4/G$5+G$6,2)</f>
        <v>-0.03</v>
      </c>
      <c r="P196">
        <v>0</v>
      </c>
      <c r="Q196">
        <v>36</v>
      </c>
      <c r="R196">
        <v>30.75</v>
      </c>
      <c r="S196">
        <v>82</v>
      </c>
      <c r="T196">
        <v>42</v>
      </c>
      <c r="U196">
        <v>-0.03</v>
      </c>
      <c r="W196">
        <f>DataLog_T717420_Aug11_4_59_37pm[[#This Row],[RPM '[1/MIN']]]-Table3[[#This Row],[580C]]</f>
        <v>0</v>
      </c>
      <c r="X196">
        <f>DataLog_T717420_Aug11_4_59_37pm[[#This Row],[OIL TEMP '[Â°C']]]-Table3[[#This Row],[4402]]</f>
        <v>0</v>
      </c>
      <c r="Y196">
        <f>DataLog_T717420_Aug11_4_59_37pm[[#This Row],[INTAKE TEMP '[Â°C']]]-Table3[[#This Row],[580F]]</f>
        <v>0</v>
      </c>
      <c r="Z196">
        <f>DataLog_T717420_Aug11_4_59_37pm[[#This Row],[HPFP PRES. '[BAR']]]-Table3[[#This Row],[58F0]]</f>
        <v>0</v>
      </c>
      <c r="AA196">
        <f>DataLog_T717420_Aug11_4_59_37pm[[#This Row],[COOLANT TEMP '[Â°C']]]-Table3[[#This Row],[5805]]</f>
        <v>0</v>
      </c>
      <c r="AB196">
        <f>DataLog_T717420_Aug11_4_59_37pm[[#This Row],[BOOST '[BAR']]]-Table3[[#This Row],[58DD]]</f>
        <v>0</v>
      </c>
    </row>
    <row r="197" spans="2:28" x14ac:dyDescent="0.25">
      <c r="B197" s="2" t="s">
        <v>23</v>
      </c>
      <c r="C197" s="2" t="s">
        <v>30</v>
      </c>
      <c r="D197" s="2" t="s">
        <v>25</v>
      </c>
      <c r="E197" s="2" t="s">
        <v>45</v>
      </c>
      <c r="F197" s="2" t="s">
        <v>26</v>
      </c>
      <c r="G197" s="2" t="s">
        <v>27</v>
      </c>
      <c r="I197">
        <f>HEX2DEC(_0811_173439[[#This Row],[580C]])*B$4/B$5+B$6</f>
        <v>0</v>
      </c>
      <c r="J197">
        <f>HEX2DEC(_0811_173439[[#This Row],[4402]])*C$4/C$5+C$6</f>
        <v>36</v>
      </c>
      <c r="K197">
        <f>HEX2DEC(_0811_173439[[#This Row],[580F]])*D$4/D$5+D$6</f>
        <v>30.75</v>
      </c>
      <c r="L197">
        <f>ROUND(HEX2DEC(_0811_173439[[#This Row],[58F0]])*E$4/E$5+E$6,0)</f>
        <v>82</v>
      </c>
      <c r="M197">
        <f>ROUND(HEX2DEC(_0811_173439[[#This Row],[5805]])*F$4/F$5+F$6,0)</f>
        <v>42</v>
      </c>
      <c r="N197">
        <f>ROUND(HEX2DEC(_0811_173439[[#This Row],[58DD]])*G$4/G$5+G$6,2)</f>
        <v>-0.03</v>
      </c>
      <c r="P197">
        <v>0</v>
      </c>
      <c r="Q197">
        <v>36</v>
      </c>
      <c r="R197">
        <v>30.75</v>
      </c>
      <c r="S197">
        <v>82</v>
      </c>
      <c r="T197">
        <v>42</v>
      </c>
      <c r="U197">
        <v>-0.03</v>
      </c>
      <c r="W197">
        <f>DataLog_T717420_Aug11_4_59_37pm[[#This Row],[RPM '[1/MIN']]]-Table3[[#This Row],[580C]]</f>
        <v>0</v>
      </c>
      <c r="X197">
        <f>DataLog_T717420_Aug11_4_59_37pm[[#This Row],[OIL TEMP '[Â°C']]]-Table3[[#This Row],[4402]]</f>
        <v>0</v>
      </c>
      <c r="Y197">
        <f>DataLog_T717420_Aug11_4_59_37pm[[#This Row],[INTAKE TEMP '[Â°C']]]-Table3[[#This Row],[580F]]</f>
        <v>0</v>
      </c>
      <c r="Z197">
        <f>DataLog_T717420_Aug11_4_59_37pm[[#This Row],[HPFP PRES. '[BAR']]]-Table3[[#This Row],[58F0]]</f>
        <v>0</v>
      </c>
      <c r="AA197">
        <f>DataLog_T717420_Aug11_4_59_37pm[[#This Row],[COOLANT TEMP '[Â°C']]]-Table3[[#This Row],[5805]]</f>
        <v>0</v>
      </c>
      <c r="AB197">
        <f>DataLog_T717420_Aug11_4_59_37pm[[#This Row],[BOOST '[BAR']]]-Table3[[#This Row],[58DD]]</f>
        <v>0</v>
      </c>
    </row>
    <row r="198" spans="2:28" x14ac:dyDescent="0.25">
      <c r="B198" s="2" t="s">
        <v>23</v>
      </c>
      <c r="C198" s="2" t="s">
        <v>30</v>
      </c>
      <c r="D198" s="2" t="s">
        <v>25</v>
      </c>
      <c r="E198" s="2" t="s">
        <v>46</v>
      </c>
      <c r="F198" s="2" t="s">
        <v>26</v>
      </c>
      <c r="G198" s="2" t="s">
        <v>27</v>
      </c>
      <c r="I198">
        <f>HEX2DEC(_0811_173439[[#This Row],[580C]])*B$4/B$5+B$6</f>
        <v>0</v>
      </c>
      <c r="J198">
        <f>HEX2DEC(_0811_173439[[#This Row],[4402]])*C$4/C$5+C$6</f>
        <v>36</v>
      </c>
      <c r="K198">
        <f>HEX2DEC(_0811_173439[[#This Row],[580F]])*D$4/D$5+D$6</f>
        <v>30.75</v>
      </c>
      <c r="L198">
        <f>ROUND(HEX2DEC(_0811_173439[[#This Row],[58F0]])*E$4/E$5+E$6,0)</f>
        <v>82</v>
      </c>
      <c r="M198">
        <f>ROUND(HEX2DEC(_0811_173439[[#This Row],[5805]])*F$4/F$5+F$6,0)</f>
        <v>42</v>
      </c>
      <c r="N198">
        <f>ROUND(HEX2DEC(_0811_173439[[#This Row],[58DD]])*G$4/G$5+G$6,2)</f>
        <v>-0.03</v>
      </c>
      <c r="P198">
        <v>0</v>
      </c>
      <c r="Q198">
        <v>36</v>
      </c>
      <c r="R198">
        <v>30.75</v>
      </c>
      <c r="S198">
        <v>82</v>
      </c>
      <c r="T198">
        <v>42</v>
      </c>
      <c r="U198">
        <v>-0.03</v>
      </c>
      <c r="W198">
        <f>DataLog_T717420_Aug11_4_59_37pm[[#This Row],[RPM '[1/MIN']]]-Table3[[#This Row],[580C]]</f>
        <v>0</v>
      </c>
      <c r="X198">
        <f>DataLog_T717420_Aug11_4_59_37pm[[#This Row],[OIL TEMP '[Â°C']]]-Table3[[#This Row],[4402]]</f>
        <v>0</v>
      </c>
      <c r="Y198">
        <f>DataLog_T717420_Aug11_4_59_37pm[[#This Row],[INTAKE TEMP '[Â°C']]]-Table3[[#This Row],[580F]]</f>
        <v>0</v>
      </c>
      <c r="Z198">
        <f>DataLog_T717420_Aug11_4_59_37pm[[#This Row],[HPFP PRES. '[BAR']]]-Table3[[#This Row],[58F0]]</f>
        <v>0</v>
      </c>
      <c r="AA198">
        <f>DataLog_T717420_Aug11_4_59_37pm[[#This Row],[COOLANT TEMP '[Â°C']]]-Table3[[#This Row],[5805]]</f>
        <v>0</v>
      </c>
      <c r="AB198">
        <f>DataLog_T717420_Aug11_4_59_37pm[[#This Row],[BOOST '[BAR']]]-Table3[[#This Row],[58DD]]</f>
        <v>0</v>
      </c>
    </row>
    <row r="199" spans="2:28" x14ac:dyDescent="0.25">
      <c r="B199" s="2" t="s">
        <v>23</v>
      </c>
      <c r="C199" s="2" t="s">
        <v>30</v>
      </c>
      <c r="D199" s="2" t="s">
        <v>25</v>
      </c>
      <c r="E199" s="2" t="s">
        <v>44</v>
      </c>
      <c r="F199" s="2" t="s">
        <v>26</v>
      </c>
      <c r="G199" s="2" t="s">
        <v>28</v>
      </c>
      <c r="I199">
        <f>HEX2DEC(_0811_173439[[#This Row],[580C]])*B$4/B$5+B$6</f>
        <v>0</v>
      </c>
      <c r="J199">
        <f>HEX2DEC(_0811_173439[[#This Row],[4402]])*C$4/C$5+C$6</f>
        <v>36</v>
      </c>
      <c r="K199">
        <f>HEX2DEC(_0811_173439[[#This Row],[580F]])*D$4/D$5+D$6</f>
        <v>30.75</v>
      </c>
      <c r="L199">
        <f>ROUND(HEX2DEC(_0811_173439[[#This Row],[58F0]])*E$4/E$5+E$6,0)</f>
        <v>82</v>
      </c>
      <c r="M199">
        <f>ROUND(HEX2DEC(_0811_173439[[#This Row],[5805]])*F$4/F$5+F$6,0)</f>
        <v>42</v>
      </c>
      <c r="N199">
        <f>ROUND(HEX2DEC(_0811_173439[[#This Row],[58DD]])*G$4/G$5+G$6,2)</f>
        <v>-0.02</v>
      </c>
      <c r="P199">
        <v>0</v>
      </c>
      <c r="Q199">
        <v>36</v>
      </c>
      <c r="R199">
        <v>30.75</v>
      </c>
      <c r="S199">
        <v>82</v>
      </c>
      <c r="T199">
        <v>42</v>
      </c>
      <c r="U199">
        <v>-0.02</v>
      </c>
      <c r="W199">
        <f>DataLog_T717420_Aug11_4_59_37pm[[#This Row],[RPM '[1/MIN']]]-Table3[[#This Row],[580C]]</f>
        <v>0</v>
      </c>
      <c r="X199">
        <f>DataLog_T717420_Aug11_4_59_37pm[[#This Row],[OIL TEMP '[Â°C']]]-Table3[[#This Row],[4402]]</f>
        <v>0</v>
      </c>
      <c r="Y199">
        <f>DataLog_T717420_Aug11_4_59_37pm[[#This Row],[INTAKE TEMP '[Â°C']]]-Table3[[#This Row],[580F]]</f>
        <v>0</v>
      </c>
      <c r="Z199">
        <f>DataLog_T717420_Aug11_4_59_37pm[[#This Row],[HPFP PRES. '[BAR']]]-Table3[[#This Row],[58F0]]</f>
        <v>0</v>
      </c>
      <c r="AA199">
        <f>DataLog_T717420_Aug11_4_59_37pm[[#This Row],[COOLANT TEMP '[Â°C']]]-Table3[[#This Row],[5805]]</f>
        <v>0</v>
      </c>
      <c r="AB199">
        <f>DataLog_T717420_Aug11_4_59_37pm[[#This Row],[BOOST '[BAR']]]-Table3[[#This Row],[58DD]]</f>
        <v>0</v>
      </c>
    </row>
    <row r="200" spans="2:28" x14ac:dyDescent="0.25">
      <c r="B200" s="2" t="s">
        <v>23</v>
      </c>
      <c r="C200" s="2" t="s">
        <v>30</v>
      </c>
      <c r="D200" s="2" t="s">
        <v>25</v>
      </c>
      <c r="E200" s="2" t="s">
        <v>47</v>
      </c>
      <c r="F200" s="2" t="s">
        <v>26</v>
      </c>
      <c r="G200" s="2" t="s">
        <v>27</v>
      </c>
      <c r="I200">
        <f>HEX2DEC(_0811_173439[[#This Row],[580C]])*B$4/B$5+B$6</f>
        <v>0</v>
      </c>
      <c r="J200">
        <f>HEX2DEC(_0811_173439[[#This Row],[4402]])*C$4/C$5+C$6</f>
        <v>36</v>
      </c>
      <c r="K200">
        <f>HEX2DEC(_0811_173439[[#This Row],[580F]])*D$4/D$5+D$6</f>
        <v>30.75</v>
      </c>
      <c r="L200">
        <f>ROUND(HEX2DEC(_0811_173439[[#This Row],[58F0]])*E$4/E$5+E$6,0)</f>
        <v>82</v>
      </c>
      <c r="M200">
        <f>ROUND(HEX2DEC(_0811_173439[[#This Row],[5805]])*F$4/F$5+F$6,0)</f>
        <v>42</v>
      </c>
      <c r="N200">
        <f>ROUND(HEX2DEC(_0811_173439[[#This Row],[58DD]])*G$4/G$5+G$6,2)</f>
        <v>-0.03</v>
      </c>
      <c r="P200">
        <v>0</v>
      </c>
      <c r="Q200">
        <v>36</v>
      </c>
      <c r="R200">
        <v>30.75</v>
      </c>
      <c r="S200">
        <v>82</v>
      </c>
      <c r="T200">
        <v>42</v>
      </c>
      <c r="U200">
        <v>-0.03</v>
      </c>
      <c r="W200">
        <f>DataLog_T717420_Aug11_4_59_37pm[[#This Row],[RPM '[1/MIN']]]-Table3[[#This Row],[580C]]</f>
        <v>0</v>
      </c>
      <c r="X200">
        <f>DataLog_T717420_Aug11_4_59_37pm[[#This Row],[OIL TEMP '[Â°C']]]-Table3[[#This Row],[4402]]</f>
        <v>0</v>
      </c>
      <c r="Y200">
        <f>DataLog_T717420_Aug11_4_59_37pm[[#This Row],[INTAKE TEMP '[Â°C']]]-Table3[[#This Row],[580F]]</f>
        <v>0</v>
      </c>
      <c r="Z200">
        <f>DataLog_T717420_Aug11_4_59_37pm[[#This Row],[HPFP PRES. '[BAR']]]-Table3[[#This Row],[58F0]]</f>
        <v>0</v>
      </c>
      <c r="AA200">
        <f>DataLog_T717420_Aug11_4_59_37pm[[#This Row],[COOLANT TEMP '[Â°C']]]-Table3[[#This Row],[5805]]</f>
        <v>0</v>
      </c>
      <c r="AB200">
        <f>DataLog_T717420_Aug11_4_59_37pm[[#This Row],[BOOST '[BAR']]]-Table3[[#This Row],[58DD]]</f>
        <v>0</v>
      </c>
    </row>
    <row r="201" spans="2:28" x14ac:dyDescent="0.25">
      <c r="B201" s="2" t="s">
        <v>23</v>
      </c>
      <c r="C201" s="2" t="s">
        <v>30</v>
      </c>
      <c r="D201" s="2" t="s">
        <v>25</v>
      </c>
      <c r="E201" s="2" t="s">
        <v>45</v>
      </c>
      <c r="F201" s="2" t="s">
        <v>26</v>
      </c>
      <c r="G201" s="2" t="s">
        <v>27</v>
      </c>
      <c r="I201">
        <f>HEX2DEC(_0811_173439[[#This Row],[580C]])*B$4/B$5+B$6</f>
        <v>0</v>
      </c>
      <c r="J201">
        <f>HEX2DEC(_0811_173439[[#This Row],[4402]])*C$4/C$5+C$6</f>
        <v>36</v>
      </c>
      <c r="K201">
        <f>HEX2DEC(_0811_173439[[#This Row],[580F]])*D$4/D$5+D$6</f>
        <v>30.75</v>
      </c>
      <c r="L201">
        <f>ROUND(HEX2DEC(_0811_173439[[#This Row],[58F0]])*E$4/E$5+E$6,0)</f>
        <v>82</v>
      </c>
      <c r="M201">
        <f>ROUND(HEX2DEC(_0811_173439[[#This Row],[5805]])*F$4/F$5+F$6,0)</f>
        <v>42</v>
      </c>
      <c r="N201">
        <f>ROUND(HEX2DEC(_0811_173439[[#This Row],[58DD]])*G$4/G$5+G$6,2)</f>
        <v>-0.03</v>
      </c>
      <c r="P201">
        <v>0</v>
      </c>
      <c r="Q201">
        <v>36</v>
      </c>
      <c r="R201">
        <v>30.75</v>
      </c>
      <c r="S201">
        <v>82</v>
      </c>
      <c r="T201">
        <v>42</v>
      </c>
      <c r="U201">
        <v>-0.03</v>
      </c>
      <c r="W201">
        <f>DataLog_T717420_Aug11_4_59_37pm[[#This Row],[RPM '[1/MIN']]]-Table3[[#This Row],[580C]]</f>
        <v>0</v>
      </c>
      <c r="X201">
        <f>DataLog_T717420_Aug11_4_59_37pm[[#This Row],[OIL TEMP '[Â°C']]]-Table3[[#This Row],[4402]]</f>
        <v>0</v>
      </c>
      <c r="Y201">
        <f>DataLog_T717420_Aug11_4_59_37pm[[#This Row],[INTAKE TEMP '[Â°C']]]-Table3[[#This Row],[580F]]</f>
        <v>0</v>
      </c>
      <c r="Z201">
        <f>DataLog_T717420_Aug11_4_59_37pm[[#This Row],[HPFP PRES. '[BAR']]]-Table3[[#This Row],[58F0]]</f>
        <v>0</v>
      </c>
      <c r="AA201">
        <f>DataLog_T717420_Aug11_4_59_37pm[[#This Row],[COOLANT TEMP '[Â°C']]]-Table3[[#This Row],[5805]]</f>
        <v>0</v>
      </c>
      <c r="AB201">
        <f>DataLog_T717420_Aug11_4_59_37pm[[#This Row],[BOOST '[BAR']]]-Table3[[#This Row],[58DD]]</f>
        <v>0</v>
      </c>
    </row>
    <row r="202" spans="2:28" x14ac:dyDescent="0.25">
      <c r="B202" s="2" t="s">
        <v>23</v>
      </c>
      <c r="C202" s="2" t="s">
        <v>30</v>
      </c>
      <c r="D202" s="2" t="s">
        <v>25</v>
      </c>
      <c r="E202" s="2" t="s">
        <v>48</v>
      </c>
      <c r="F202" s="2" t="s">
        <v>26</v>
      </c>
      <c r="G202" s="2" t="s">
        <v>27</v>
      </c>
      <c r="I202">
        <f>HEX2DEC(_0811_173439[[#This Row],[580C]])*B$4/B$5+B$6</f>
        <v>0</v>
      </c>
      <c r="J202">
        <f>HEX2DEC(_0811_173439[[#This Row],[4402]])*C$4/C$5+C$6</f>
        <v>36</v>
      </c>
      <c r="K202">
        <f>HEX2DEC(_0811_173439[[#This Row],[580F]])*D$4/D$5+D$6</f>
        <v>30.75</v>
      </c>
      <c r="L202">
        <f>ROUND(HEX2DEC(_0811_173439[[#This Row],[58F0]])*E$4/E$5+E$6,0)</f>
        <v>82</v>
      </c>
      <c r="M202">
        <f>ROUND(HEX2DEC(_0811_173439[[#This Row],[5805]])*F$4/F$5+F$6,0)</f>
        <v>42</v>
      </c>
      <c r="N202">
        <f>ROUND(HEX2DEC(_0811_173439[[#This Row],[58DD]])*G$4/G$5+G$6,2)</f>
        <v>-0.03</v>
      </c>
      <c r="P202">
        <v>0</v>
      </c>
      <c r="Q202">
        <v>36</v>
      </c>
      <c r="R202">
        <v>30.75</v>
      </c>
      <c r="S202">
        <v>82</v>
      </c>
      <c r="T202">
        <v>42</v>
      </c>
      <c r="U202">
        <v>-0.03</v>
      </c>
      <c r="W202">
        <f>DataLog_T717420_Aug11_4_59_37pm[[#This Row],[RPM '[1/MIN']]]-Table3[[#This Row],[580C]]</f>
        <v>0</v>
      </c>
      <c r="X202">
        <f>DataLog_T717420_Aug11_4_59_37pm[[#This Row],[OIL TEMP '[Â°C']]]-Table3[[#This Row],[4402]]</f>
        <v>0</v>
      </c>
      <c r="Y202">
        <f>DataLog_T717420_Aug11_4_59_37pm[[#This Row],[INTAKE TEMP '[Â°C']]]-Table3[[#This Row],[580F]]</f>
        <v>0</v>
      </c>
      <c r="Z202">
        <f>DataLog_T717420_Aug11_4_59_37pm[[#This Row],[HPFP PRES. '[BAR']]]-Table3[[#This Row],[58F0]]</f>
        <v>0</v>
      </c>
      <c r="AA202">
        <f>DataLog_T717420_Aug11_4_59_37pm[[#This Row],[COOLANT TEMP '[Â°C']]]-Table3[[#This Row],[5805]]</f>
        <v>0</v>
      </c>
      <c r="AB202">
        <f>DataLog_T717420_Aug11_4_59_37pm[[#This Row],[BOOST '[BAR']]]-Table3[[#This Row],[58DD]]</f>
        <v>0</v>
      </c>
    </row>
    <row r="203" spans="2:28" x14ac:dyDescent="0.25">
      <c r="B203" s="2" t="s">
        <v>23</v>
      </c>
      <c r="C203" s="2" t="s">
        <v>30</v>
      </c>
      <c r="D203" s="2" t="s">
        <v>25</v>
      </c>
      <c r="E203" s="2" t="s">
        <v>46</v>
      </c>
      <c r="F203" s="2" t="s">
        <v>26</v>
      </c>
      <c r="G203" s="2" t="s">
        <v>27</v>
      </c>
      <c r="I203">
        <f>HEX2DEC(_0811_173439[[#This Row],[580C]])*B$4/B$5+B$6</f>
        <v>0</v>
      </c>
      <c r="J203">
        <f>HEX2DEC(_0811_173439[[#This Row],[4402]])*C$4/C$5+C$6</f>
        <v>36</v>
      </c>
      <c r="K203">
        <f>HEX2DEC(_0811_173439[[#This Row],[580F]])*D$4/D$5+D$6</f>
        <v>30.75</v>
      </c>
      <c r="L203">
        <f>ROUND(HEX2DEC(_0811_173439[[#This Row],[58F0]])*E$4/E$5+E$6,0)</f>
        <v>82</v>
      </c>
      <c r="M203">
        <f>ROUND(HEX2DEC(_0811_173439[[#This Row],[5805]])*F$4/F$5+F$6,0)</f>
        <v>42</v>
      </c>
      <c r="N203">
        <f>ROUND(HEX2DEC(_0811_173439[[#This Row],[58DD]])*G$4/G$5+G$6,2)</f>
        <v>-0.03</v>
      </c>
      <c r="P203">
        <v>0</v>
      </c>
      <c r="Q203">
        <v>36</v>
      </c>
      <c r="R203">
        <v>30.75</v>
      </c>
      <c r="S203">
        <v>82</v>
      </c>
      <c r="T203">
        <v>42</v>
      </c>
      <c r="U203">
        <v>-0.03</v>
      </c>
      <c r="W203">
        <f>DataLog_T717420_Aug11_4_59_37pm[[#This Row],[RPM '[1/MIN']]]-Table3[[#This Row],[580C]]</f>
        <v>0</v>
      </c>
      <c r="X203">
        <f>DataLog_T717420_Aug11_4_59_37pm[[#This Row],[OIL TEMP '[Â°C']]]-Table3[[#This Row],[4402]]</f>
        <v>0</v>
      </c>
      <c r="Y203">
        <f>DataLog_T717420_Aug11_4_59_37pm[[#This Row],[INTAKE TEMP '[Â°C']]]-Table3[[#This Row],[580F]]</f>
        <v>0</v>
      </c>
      <c r="Z203">
        <f>DataLog_T717420_Aug11_4_59_37pm[[#This Row],[HPFP PRES. '[BAR']]]-Table3[[#This Row],[58F0]]</f>
        <v>0</v>
      </c>
      <c r="AA203">
        <f>DataLog_T717420_Aug11_4_59_37pm[[#This Row],[COOLANT TEMP '[Â°C']]]-Table3[[#This Row],[5805]]</f>
        <v>0</v>
      </c>
      <c r="AB203">
        <f>DataLog_T717420_Aug11_4_59_37pm[[#This Row],[BOOST '[BAR']]]-Table3[[#This Row],[58DD]]</f>
        <v>0</v>
      </c>
    </row>
    <row r="204" spans="2:28" x14ac:dyDescent="0.25">
      <c r="B204" s="2" t="s">
        <v>23</v>
      </c>
      <c r="C204" s="2" t="s">
        <v>30</v>
      </c>
      <c r="D204" s="2" t="s">
        <v>25</v>
      </c>
      <c r="E204" s="2" t="s">
        <v>49</v>
      </c>
      <c r="F204" s="2" t="s">
        <v>26</v>
      </c>
      <c r="G204" s="2" t="s">
        <v>28</v>
      </c>
      <c r="I204">
        <f>HEX2DEC(_0811_173439[[#This Row],[580C]])*B$4/B$5+B$6</f>
        <v>0</v>
      </c>
      <c r="J204">
        <f>HEX2DEC(_0811_173439[[#This Row],[4402]])*C$4/C$5+C$6</f>
        <v>36</v>
      </c>
      <c r="K204">
        <f>HEX2DEC(_0811_173439[[#This Row],[580F]])*D$4/D$5+D$6</f>
        <v>30.75</v>
      </c>
      <c r="L204">
        <f>ROUND(HEX2DEC(_0811_173439[[#This Row],[58F0]])*E$4/E$5+E$6,0)</f>
        <v>82</v>
      </c>
      <c r="M204">
        <f>ROUND(HEX2DEC(_0811_173439[[#This Row],[5805]])*F$4/F$5+F$6,0)</f>
        <v>42</v>
      </c>
      <c r="N204">
        <f>ROUND(HEX2DEC(_0811_173439[[#This Row],[58DD]])*G$4/G$5+G$6,2)</f>
        <v>-0.02</v>
      </c>
      <c r="P204">
        <v>0</v>
      </c>
      <c r="Q204">
        <v>36</v>
      </c>
      <c r="R204">
        <v>30.75</v>
      </c>
      <c r="S204">
        <v>82</v>
      </c>
      <c r="T204">
        <v>42</v>
      </c>
      <c r="U204">
        <v>-0.02</v>
      </c>
      <c r="W204">
        <f>DataLog_T717420_Aug11_4_59_37pm[[#This Row],[RPM '[1/MIN']]]-Table3[[#This Row],[580C]]</f>
        <v>0</v>
      </c>
      <c r="X204">
        <f>DataLog_T717420_Aug11_4_59_37pm[[#This Row],[OIL TEMP '[Â°C']]]-Table3[[#This Row],[4402]]</f>
        <v>0</v>
      </c>
      <c r="Y204">
        <f>DataLog_T717420_Aug11_4_59_37pm[[#This Row],[INTAKE TEMP '[Â°C']]]-Table3[[#This Row],[580F]]</f>
        <v>0</v>
      </c>
      <c r="Z204">
        <f>DataLog_T717420_Aug11_4_59_37pm[[#This Row],[HPFP PRES. '[BAR']]]-Table3[[#This Row],[58F0]]</f>
        <v>0</v>
      </c>
      <c r="AA204">
        <f>DataLog_T717420_Aug11_4_59_37pm[[#This Row],[COOLANT TEMP '[Â°C']]]-Table3[[#This Row],[5805]]</f>
        <v>0</v>
      </c>
      <c r="AB204">
        <f>DataLog_T717420_Aug11_4_59_37pm[[#This Row],[BOOST '[BAR']]]-Table3[[#This Row],[58DD]]</f>
        <v>0</v>
      </c>
    </row>
    <row r="205" spans="2:28" x14ac:dyDescent="0.25">
      <c r="B205" s="2" t="s">
        <v>23</v>
      </c>
      <c r="C205" s="2" t="s">
        <v>30</v>
      </c>
      <c r="D205" s="2" t="s">
        <v>25</v>
      </c>
      <c r="E205" s="2" t="s">
        <v>49</v>
      </c>
      <c r="F205" s="2" t="s">
        <v>26</v>
      </c>
      <c r="G205" s="2" t="s">
        <v>27</v>
      </c>
      <c r="I205">
        <f>HEX2DEC(_0811_173439[[#This Row],[580C]])*B$4/B$5+B$6</f>
        <v>0</v>
      </c>
      <c r="J205">
        <f>HEX2DEC(_0811_173439[[#This Row],[4402]])*C$4/C$5+C$6</f>
        <v>36</v>
      </c>
      <c r="K205">
        <f>HEX2DEC(_0811_173439[[#This Row],[580F]])*D$4/D$5+D$6</f>
        <v>30.75</v>
      </c>
      <c r="L205">
        <f>ROUND(HEX2DEC(_0811_173439[[#This Row],[58F0]])*E$4/E$5+E$6,0)</f>
        <v>82</v>
      </c>
      <c r="M205">
        <f>ROUND(HEX2DEC(_0811_173439[[#This Row],[5805]])*F$4/F$5+F$6,0)</f>
        <v>42</v>
      </c>
      <c r="N205">
        <f>ROUND(HEX2DEC(_0811_173439[[#This Row],[58DD]])*G$4/G$5+G$6,2)</f>
        <v>-0.03</v>
      </c>
      <c r="P205">
        <v>0</v>
      </c>
      <c r="Q205">
        <v>36</v>
      </c>
      <c r="R205">
        <v>30.75</v>
      </c>
      <c r="S205">
        <v>82</v>
      </c>
      <c r="T205">
        <v>42</v>
      </c>
      <c r="U205">
        <v>-0.03</v>
      </c>
      <c r="W205">
        <f>DataLog_T717420_Aug11_4_59_37pm[[#This Row],[RPM '[1/MIN']]]-Table3[[#This Row],[580C]]</f>
        <v>0</v>
      </c>
      <c r="X205">
        <f>DataLog_T717420_Aug11_4_59_37pm[[#This Row],[OIL TEMP '[Â°C']]]-Table3[[#This Row],[4402]]</f>
        <v>0</v>
      </c>
      <c r="Y205">
        <f>DataLog_T717420_Aug11_4_59_37pm[[#This Row],[INTAKE TEMP '[Â°C']]]-Table3[[#This Row],[580F]]</f>
        <v>0</v>
      </c>
      <c r="Z205">
        <f>DataLog_T717420_Aug11_4_59_37pm[[#This Row],[HPFP PRES. '[BAR']]]-Table3[[#This Row],[58F0]]</f>
        <v>0</v>
      </c>
      <c r="AA205">
        <f>DataLog_T717420_Aug11_4_59_37pm[[#This Row],[COOLANT TEMP '[Â°C']]]-Table3[[#This Row],[5805]]</f>
        <v>0</v>
      </c>
      <c r="AB205">
        <f>DataLog_T717420_Aug11_4_59_37pm[[#This Row],[BOOST '[BAR']]]-Table3[[#This Row],[58DD]]</f>
        <v>0</v>
      </c>
    </row>
    <row r="206" spans="2:28" x14ac:dyDescent="0.25">
      <c r="B206" s="2" t="s">
        <v>23</v>
      </c>
      <c r="C206" s="2" t="s">
        <v>30</v>
      </c>
      <c r="D206" s="2" t="s">
        <v>25</v>
      </c>
      <c r="E206" s="2" t="s">
        <v>49</v>
      </c>
      <c r="F206" s="2" t="s">
        <v>26</v>
      </c>
      <c r="G206" s="2" t="s">
        <v>27</v>
      </c>
      <c r="I206">
        <f>HEX2DEC(_0811_173439[[#This Row],[580C]])*B$4/B$5+B$6</f>
        <v>0</v>
      </c>
      <c r="J206">
        <f>HEX2DEC(_0811_173439[[#This Row],[4402]])*C$4/C$5+C$6</f>
        <v>36</v>
      </c>
      <c r="K206">
        <f>HEX2DEC(_0811_173439[[#This Row],[580F]])*D$4/D$5+D$6</f>
        <v>30.75</v>
      </c>
      <c r="L206">
        <f>ROUND(HEX2DEC(_0811_173439[[#This Row],[58F0]])*E$4/E$5+E$6,0)</f>
        <v>82</v>
      </c>
      <c r="M206">
        <f>ROUND(HEX2DEC(_0811_173439[[#This Row],[5805]])*F$4/F$5+F$6,0)</f>
        <v>42</v>
      </c>
      <c r="N206">
        <f>ROUND(HEX2DEC(_0811_173439[[#This Row],[58DD]])*G$4/G$5+G$6,2)</f>
        <v>-0.03</v>
      </c>
      <c r="P206">
        <v>0</v>
      </c>
      <c r="Q206">
        <v>36</v>
      </c>
      <c r="R206">
        <v>30.75</v>
      </c>
      <c r="S206">
        <v>82</v>
      </c>
      <c r="T206">
        <v>42</v>
      </c>
      <c r="U206">
        <v>-0.03</v>
      </c>
      <c r="W206">
        <f>DataLog_T717420_Aug11_4_59_37pm[[#This Row],[RPM '[1/MIN']]]-Table3[[#This Row],[580C]]</f>
        <v>0</v>
      </c>
      <c r="X206">
        <f>DataLog_T717420_Aug11_4_59_37pm[[#This Row],[OIL TEMP '[Â°C']]]-Table3[[#This Row],[4402]]</f>
        <v>0</v>
      </c>
      <c r="Y206">
        <f>DataLog_T717420_Aug11_4_59_37pm[[#This Row],[INTAKE TEMP '[Â°C']]]-Table3[[#This Row],[580F]]</f>
        <v>0</v>
      </c>
      <c r="Z206">
        <f>DataLog_T717420_Aug11_4_59_37pm[[#This Row],[HPFP PRES. '[BAR']]]-Table3[[#This Row],[58F0]]</f>
        <v>0</v>
      </c>
      <c r="AA206">
        <f>DataLog_T717420_Aug11_4_59_37pm[[#This Row],[COOLANT TEMP '[Â°C']]]-Table3[[#This Row],[5805]]</f>
        <v>0</v>
      </c>
      <c r="AB206">
        <f>DataLog_T717420_Aug11_4_59_37pm[[#This Row],[BOOST '[BAR']]]-Table3[[#This Row],[58DD]]</f>
        <v>0</v>
      </c>
    </row>
    <row r="207" spans="2:28" x14ac:dyDescent="0.25">
      <c r="B207" s="2" t="s">
        <v>23</v>
      </c>
      <c r="C207" s="2" t="s">
        <v>30</v>
      </c>
      <c r="D207" s="2" t="s">
        <v>25</v>
      </c>
      <c r="E207" s="2" t="s">
        <v>49</v>
      </c>
      <c r="F207" s="2" t="s">
        <v>26</v>
      </c>
      <c r="G207" s="2" t="s">
        <v>27</v>
      </c>
      <c r="I207">
        <f>HEX2DEC(_0811_173439[[#This Row],[580C]])*B$4/B$5+B$6</f>
        <v>0</v>
      </c>
      <c r="J207">
        <f>HEX2DEC(_0811_173439[[#This Row],[4402]])*C$4/C$5+C$6</f>
        <v>36</v>
      </c>
      <c r="K207">
        <f>HEX2DEC(_0811_173439[[#This Row],[580F]])*D$4/D$5+D$6</f>
        <v>30.75</v>
      </c>
      <c r="L207">
        <f>ROUND(HEX2DEC(_0811_173439[[#This Row],[58F0]])*E$4/E$5+E$6,0)</f>
        <v>82</v>
      </c>
      <c r="M207">
        <f>ROUND(HEX2DEC(_0811_173439[[#This Row],[5805]])*F$4/F$5+F$6,0)</f>
        <v>42</v>
      </c>
      <c r="N207">
        <f>ROUND(HEX2DEC(_0811_173439[[#This Row],[58DD]])*G$4/G$5+G$6,2)</f>
        <v>-0.03</v>
      </c>
      <c r="P207">
        <v>0</v>
      </c>
      <c r="Q207">
        <v>36</v>
      </c>
      <c r="R207">
        <v>30.75</v>
      </c>
      <c r="S207">
        <v>82</v>
      </c>
      <c r="T207">
        <v>42</v>
      </c>
      <c r="U207">
        <v>-0.03</v>
      </c>
      <c r="W207">
        <f>DataLog_T717420_Aug11_4_59_37pm[[#This Row],[RPM '[1/MIN']]]-Table3[[#This Row],[580C]]</f>
        <v>0</v>
      </c>
      <c r="X207">
        <f>DataLog_T717420_Aug11_4_59_37pm[[#This Row],[OIL TEMP '[Â°C']]]-Table3[[#This Row],[4402]]</f>
        <v>0</v>
      </c>
      <c r="Y207">
        <f>DataLog_T717420_Aug11_4_59_37pm[[#This Row],[INTAKE TEMP '[Â°C']]]-Table3[[#This Row],[580F]]</f>
        <v>0</v>
      </c>
      <c r="Z207">
        <f>DataLog_T717420_Aug11_4_59_37pm[[#This Row],[HPFP PRES. '[BAR']]]-Table3[[#This Row],[58F0]]</f>
        <v>0</v>
      </c>
      <c r="AA207">
        <f>DataLog_T717420_Aug11_4_59_37pm[[#This Row],[COOLANT TEMP '[Â°C']]]-Table3[[#This Row],[5805]]</f>
        <v>0</v>
      </c>
      <c r="AB207">
        <f>DataLog_T717420_Aug11_4_59_37pm[[#This Row],[BOOST '[BAR']]]-Table3[[#This Row],[58DD]]</f>
        <v>0</v>
      </c>
    </row>
    <row r="208" spans="2:28" x14ac:dyDescent="0.25">
      <c r="B208" s="2" t="s">
        <v>23</v>
      </c>
      <c r="C208" s="2" t="s">
        <v>30</v>
      </c>
      <c r="D208" s="2" t="s">
        <v>25</v>
      </c>
      <c r="E208" s="2" t="s">
        <v>49</v>
      </c>
      <c r="F208" s="2" t="s">
        <v>26</v>
      </c>
      <c r="G208" s="2" t="s">
        <v>28</v>
      </c>
      <c r="I208">
        <f>HEX2DEC(_0811_173439[[#This Row],[580C]])*B$4/B$5+B$6</f>
        <v>0</v>
      </c>
      <c r="J208">
        <f>HEX2DEC(_0811_173439[[#This Row],[4402]])*C$4/C$5+C$6</f>
        <v>36</v>
      </c>
      <c r="K208">
        <f>HEX2DEC(_0811_173439[[#This Row],[580F]])*D$4/D$5+D$6</f>
        <v>30.75</v>
      </c>
      <c r="L208">
        <f>ROUND(HEX2DEC(_0811_173439[[#This Row],[58F0]])*E$4/E$5+E$6,0)</f>
        <v>82</v>
      </c>
      <c r="M208">
        <f>ROUND(HEX2DEC(_0811_173439[[#This Row],[5805]])*F$4/F$5+F$6,0)</f>
        <v>42</v>
      </c>
      <c r="N208">
        <f>ROUND(HEX2DEC(_0811_173439[[#This Row],[58DD]])*G$4/G$5+G$6,2)</f>
        <v>-0.02</v>
      </c>
      <c r="P208">
        <v>0</v>
      </c>
      <c r="Q208">
        <v>36</v>
      </c>
      <c r="R208">
        <v>30.75</v>
      </c>
      <c r="S208">
        <v>82</v>
      </c>
      <c r="T208">
        <v>42</v>
      </c>
      <c r="U208">
        <v>-0.02</v>
      </c>
      <c r="W208">
        <f>DataLog_T717420_Aug11_4_59_37pm[[#This Row],[RPM '[1/MIN']]]-Table3[[#This Row],[580C]]</f>
        <v>0</v>
      </c>
      <c r="X208">
        <f>DataLog_T717420_Aug11_4_59_37pm[[#This Row],[OIL TEMP '[Â°C']]]-Table3[[#This Row],[4402]]</f>
        <v>0</v>
      </c>
      <c r="Y208">
        <f>DataLog_T717420_Aug11_4_59_37pm[[#This Row],[INTAKE TEMP '[Â°C']]]-Table3[[#This Row],[580F]]</f>
        <v>0</v>
      </c>
      <c r="Z208">
        <f>DataLog_T717420_Aug11_4_59_37pm[[#This Row],[HPFP PRES. '[BAR']]]-Table3[[#This Row],[58F0]]</f>
        <v>0</v>
      </c>
      <c r="AA208">
        <f>DataLog_T717420_Aug11_4_59_37pm[[#This Row],[COOLANT TEMP '[Â°C']]]-Table3[[#This Row],[5805]]</f>
        <v>0</v>
      </c>
      <c r="AB208">
        <f>DataLog_T717420_Aug11_4_59_37pm[[#This Row],[BOOST '[BAR']]]-Table3[[#This Row],[58DD]]</f>
        <v>0</v>
      </c>
    </row>
    <row r="209" spans="2:28" x14ac:dyDescent="0.25">
      <c r="B209" s="2" t="s">
        <v>23</v>
      </c>
      <c r="C209" s="2" t="s">
        <v>30</v>
      </c>
      <c r="D209" s="2" t="s">
        <v>25</v>
      </c>
      <c r="E209" s="2" t="s">
        <v>49</v>
      </c>
      <c r="F209" s="2" t="s">
        <v>26</v>
      </c>
      <c r="G209" s="2" t="s">
        <v>27</v>
      </c>
      <c r="I209">
        <f>HEX2DEC(_0811_173439[[#This Row],[580C]])*B$4/B$5+B$6</f>
        <v>0</v>
      </c>
      <c r="J209">
        <f>HEX2DEC(_0811_173439[[#This Row],[4402]])*C$4/C$5+C$6</f>
        <v>36</v>
      </c>
      <c r="K209">
        <f>HEX2DEC(_0811_173439[[#This Row],[580F]])*D$4/D$5+D$6</f>
        <v>30.75</v>
      </c>
      <c r="L209">
        <f>ROUND(HEX2DEC(_0811_173439[[#This Row],[58F0]])*E$4/E$5+E$6,0)</f>
        <v>82</v>
      </c>
      <c r="M209">
        <f>ROUND(HEX2DEC(_0811_173439[[#This Row],[5805]])*F$4/F$5+F$6,0)</f>
        <v>42</v>
      </c>
      <c r="N209">
        <f>ROUND(HEX2DEC(_0811_173439[[#This Row],[58DD]])*G$4/G$5+G$6,2)</f>
        <v>-0.03</v>
      </c>
      <c r="P209">
        <v>0</v>
      </c>
      <c r="Q209">
        <v>36</v>
      </c>
      <c r="R209">
        <v>30.75</v>
      </c>
      <c r="S209">
        <v>82</v>
      </c>
      <c r="T209">
        <v>42</v>
      </c>
      <c r="U209">
        <v>-0.03</v>
      </c>
      <c r="W209">
        <f>DataLog_T717420_Aug11_4_59_37pm[[#This Row],[RPM '[1/MIN']]]-Table3[[#This Row],[580C]]</f>
        <v>0</v>
      </c>
      <c r="X209">
        <f>DataLog_T717420_Aug11_4_59_37pm[[#This Row],[OIL TEMP '[Â°C']]]-Table3[[#This Row],[4402]]</f>
        <v>0</v>
      </c>
      <c r="Y209">
        <f>DataLog_T717420_Aug11_4_59_37pm[[#This Row],[INTAKE TEMP '[Â°C']]]-Table3[[#This Row],[580F]]</f>
        <v>0</v>
      </c>
      <c r="Z209">
        <f>DataLog_T717420_Aug11_4_59_37pm[[#This Row],[HPFP PRES. '[BAR']]]-Table3[[#This Row],[58F0]]</f>
        <v>0</v>
      </c>
      <c r="AA209">
        <f>DataLog_T717420_Aug11_4_59_37pm[[#This Row],[COOLANT TEMP '[Â°C']]]-Table3[[#This Row],[5805]]</f>
        <v>0</v>
      </c>
      <c r="AB209">
        <f>DataLog_T717420_Aug11_4_59_37pm[[#This Row],[BOOST '[BAR']]]-Table3[[#This Row],[58DD]]</f>
        <v>0</v>
      </c>
    </row>
    <row r="210" spans="2:28" x14ac:dyDescent="0.25">
      <c r="B210" s="2" t="s">
        <v>23</v>
      </c>
      <c r="C210" s="2" t="s">
        <v>30</v>
      </c>
      <c r="D210" s="2" t="s">
        <v>25</v>
      </c>
      <c r="E210" s="2" t="s">
        <v>49</v>
      </c>
      <c r="F210" s="2" t="s">
        <v>26</v>
      </c>
      <c r="G210" s="2" t="s">
        <v>27</v>
      </c>
      <c r="I210">
        <f>HEX2DEC(_0811_173439[[#This Row],[580C]])*B$4/B$5+B$6</f>
        <v>0</v>
      </c>
      <c r="J210">
        <f>HEX2DEC(_0811_173439[[#This Row],[4402]])*C$4/C$5+C$6</f>
        <v>36</v>
      </c>
      <c r="K210">
        <f>HEX2DEC(_0811_173439[[#This Row],[580F]])*D$4/D$5+D$6</f>
        <v>30.75</v>
      </c>
      <c r="L210">
        <f>ROUND(HEX2DEC(_0811_173439[[#This Row],[58F0]])*E$4/E$5+E$6,0)</f>
        <v>82</v>
      </c>
      <c r="M210">
        <f>ROUND(HEX2DEC(_0811_173439[[#This Row],[5805]])*F$4/F$5+F$6,0)</f>
        <v>42</v>
      </c>
      <c r="N210">
        <f>ROUND(HEX2DEC(_0811_173439[[#This Row],[58DD]])*G$4/G$5+G$6,2)</f>
        <v>-0.03</v>
      </c>
      <c r="P210">
        <v>0</v>
      </c>
      <c r="Q210">
        <v>36</v>
      </c>
      <c r="R210">
        <v>30.75</v>
      </c>
      <c r="S210">
        <v>82</v>
      </c>
      <c r="T210">
        <v>42</v>
      </c>
      <c r="U210">
        <v>-0.03</v>
      </c>
      <c r="W210">
        <f>DataLog_T717420_Aug11_4_59_37pm[[#This Row],[RPM '[1/MIN']]]-Table3[[#This Row],[580C]]</f>
        <v>0</v>
      </c>
      <c r="X210">
        <f>DataLog_T717420_Aug11_4_59_37pm[[#This Row],[OIL TEMP '[Â°C']]]-Table3[[#This Row],[4402]]</f>
        <v>0</v>
      </c>
      <c r="Y210">
        <f>DataLog_T717420_Aug11_4_59_37pm[[#This Row],[INTAKE TEMP '[Â°C']]]-Table3[[#This Row],[580F]]</f>
        <v>0</v>
      </c>
      <c r="Z210">
        <f>DataLog_T717420_Aug11_4_59_37pm[[#This Row],[HPFP PRES. '[BAR']]]-Table3[[#This Row],[58F0]]</f>
        <v>0</v>
      </c>
      <c r="AA210">
        <f>DataLog_T717420_Aug11_4_59_37pm[[#This Row],[COOLANT TEMP '[Â°C']]]-Table3[[#This Row],[5805]]</f>
        <v>0</v>
      </c>
      <c r="AB210">
        <f>DataLog_T717420_Aug11_4_59_37pm[[#This Row],[BOOST '[BAR']]]-Table3[[#This Row],[58DD]]</f>
        <v>0</v>
      </c>
    </row>
    <row r="211" spans="2:28" x14ac:dyDescent="0.25">
      <c r="B211" s="2" t="s">
        <v>23</v>
      </c>
      <c r="C211" s="2" t="s">
        <v>30</v>
      </c>
      <c r="D211" s="2" t="s">
        <v>25</v>
      </c>
      <c r="E211" s="2" t="s">
        <v>49</v>
      </c>
      <c r="F211" s="2" t="s">
        <v>26</v>
      </c>
      <c r="G211" s="2" t="s">
        <v>27</v>
      </c>
      <c r="I211">
        <f>HEX2DEC(_0811_173439[[#This Row],[580C]])*B$4/B$5+B$6</f>
        <v>0</v>
      </c>
      <c r="J211">
        <f>HEX2DEC(_0811_173439[[#This Row],[4402]])*C$4/C$5+C$6</f>
        <v>36</v>
      </c>
      <c r="K211">
        <f>HEX2DEC(_0811_173439[[#This Row],[580F]])*D$4/D$5+D$6</f>
        <v>30.75</v>
      </c>
      <c r="L211">
        <f>ROUND(HEX2DEC(_0811_173439[[#This Row],[58F0]])*E$4/E$5+E$6,0)</f>
        <v>82</v>
      </c>
      <c r="M211">
        <f>ROUND(HEX2DEC(_0811_173439[[#This Row],[5805]])*F$4/F$5+F$6,0)</f>
        <v>42</v>
      </c>
      <c r="N211">
        <f>ROUND(HEX2DEC(_0811_173439[[#This Row],[58DD]])*G$4/G$5+G$6,2)</f>
        <v>-0.03</v>
      </c>
      <c r="P211">
        <v>0</v>
      </c>
      <c r="Q211">
        <v>36</v>
      </c>
      <c r="R211">
        <v>30.75</v>
      </c>
      <c r="S211">
        <v>82</v>
      </c>
      <c r="T211">
        <v>42</v>
      </c>
      <c r="U211">
        <v>-0.03</v>
      </c>
      <c r="W211">
        <f>DataLog_T717420_Aug11_4_59_37pm[[#This Row],[RPM '[1/MIN']]]-Table3[[#This Row],[580C]]</f>
        <v>0</v>
      </c>
      <c r="X211">
        <f>DataLog_T717420_Aug11_4_59_37pm[[#This Row],[OIL TEMP '[Â°C']]]-Table3[[#This Row],[4402]]</f>
        <v>0</v>
      </c>
      <c r="Y211">
        <f>DataLog_T717420_Aug11_4_59_37pm[[#This Row],[INTAKE TEMP '[Â°C']]]-Table3[[#This Row],[580F]]</f>
        <v>0</v>
      </c>
      <c r="Z211">
        <f>DataLog_T717420_Aug11_4_59_37pm[[#This Row],[HPFP PRES. '[BAR']]]-Table3[[#This Row],[58F0]]</f>
        <v>0</v>
      </c>
      <c r="AA211">
        <f>DataLog_T717420_Aug11_4_59_37pm[[#This Row],[COOLANT TEMP '[Â°C']]]-Table3[[#This Row],[5805]]</f>
        <v>0</v>
      </c>
      <c r="AB211">
        <f>DataLog_T717420_Aug11_4_59_37pm[[#This Row],[BOOST '[BAR']]]-Table3[[#This Row],[58DD]]</f>
        <v>0</v>
      </c>
    </row>
    <row r="212" spans="2:28" x14ac:dyDescent="0.25">
      <c r="B212" s="2" t="s">
        <v>23</v>
      </c>
      <c r="C212" s="2" t="s">
        <v>30</v>
      </c>
      <c r="D212" s="2" t="s">
        <v>25</v>
      </c>
      <c r="E212" s="2" t="s">
        <v>49</v>
      </c>
      <c r="F212" s="2" t="s">
        <v>26</v>
      </c>
      <c r="G212" s="2" t="s">
        <v>27</v>
      </c>
      <c r="I212">
        <f>HEX2DEC(_0811_173439[[#This Row],[580C]])*B$4/B$5+B$6</f>
        <v>0</v>
      </c>
      <c r="J212">
        <f>HEX2DEC(_0811_173439[[#This Row],[4402]])*C$4/C$5+C$6</f>
        <v>36</v>
      </c>
      <c r="K212">
        <f>HEX2DEC(_0811_173439[[#This Row],[580F]])*D$4/D$5+D$6</f>
        <v>30.75</v>
      </c>
      <c r="L212">
        <f>ROUND(HEX2DEC(_0811_173439[[#This Row],[58F0]])*E$4/E$5+E$6,0)</f>
        <v>82</v>
      </c>
      <c r="M212">
        <f>ROUND(HEX2DEC(_0811_173439[[#This Row],[5805]])*F$4/F$5+F$6,0)</f>
        <v>42</v>
      </c>
      <c r="N212">
        <f>ROUND(HEX2DEC(_0811_173439[[#This Row],[58DD]])*G$4/G$5+G$6,2)</f>
        <v>-0.03</v>
      </c>
      <c r="P212">
        <v>0</v>
      </c>
      <c r="Q212">
        <v>36</v>
      </c>
      <c r="R212">
        <v>30.75</v>
      </c>
      <c r="S212">
        <v>82</v>
      </c>
      <c r="T212">
        <v>42</v>
      </c>
      <c r="U212">
        <v>-0.03</v>
      </c>
      <c r="W212">
        <f>DataLog_T717420_Aug11_4_59_37pm[[#This Row],[RPM '[1/MIN']]]-Table3[[#This Row],[580C]]</f>
        <v>0</v>
      </c>
      <c r="X212">
        <f>DataLog_T717420_Aug11_4_59_37pm[[#This Row],[OIL TEMP '[Â°C']]]-Table3[[#This Row],[4402]]</f>
        <v>0</v>
      </c>
      <c r="Y212">
        <f>DataLog_T717420_Aug11_4_59_37pm[[#This Row],[INTAKE TEMP '[Â°C']]]-Table3[[#This Row],[580F]]</f>
        <v>0</v>
      </c>
      <c r="Z212">
        <f>DataLog_T717420_Aug11_4_59_37pm[[#This Row],[HPFP PRES. '[BAR']]]-Table3[[#This Row],[58F0]]</f>
        <v>0</v>
      </c>
      <c r="AA212">
        <f>DataLog_T717420_Aug11_4_59_37pm[[#This Row],[COOLANT TEMP '[Â°C']]]-Table3[[#This Row],[5805]]</f>
        <v>0</v>
      </c>
      <c r="AB212">
        <f>DataLog_T717420_Aug11_4_59_37pm[[#This Row],[BOOST '[BAR']]]-Table3[[#This Row],[58DD]]</f>
        <v>0</v>
      </c>
    </row>
    <row r="213" spans="2:28" x14ac:dyDescent="0.25">
      <c r="B213" s="2" t="s">
        <v>23</v>
      </c>
      <c r="C213" s="2" t="s">
        <v>30</v>
      </c>
      <c r="D213" s="2" t="s">
        <v>25</v>
      </c>
      <c r="E213" s="2" t="s">
        <v>49</v>
      </c>
      <c r="F213" s="2" t="s">
        <v>26</v>
      </c>
      <c r="G213" s="2" t="s">
        <v>27</v>
      </c>
      <c r="I213">
        <f>HEX2DEC(_0811_173439[[#This Row],[580C]])*B$4/B$5+B$6</f>
        <v>0</v>
      </c>
      <c r="J213">
        <f>HEX2DEC(_0811_173439[[#This Row],[4402]])*C$4/C$5+C$6</f>
        <v>36</v>
      </c>
      <c r="K213">
        <f>HEX2DEC(_0811_173439[[#This Row],[580F]])*D$4/D$5+D$6</f>
        <v>30.75</v>
      </c>
      <c r="L213">
        <f>ROUND(HEX2DEC(_0811_173439[[#This Row],[58F0]])*E$4/E$5+E$6,0)</f>
        <v>82</v>
      </c>
      <c r="M213">
        <f>ROUND(HEX2DEC(_0811_173439[[#This Row],[5805]])*F$4/F$5+F$6,0)</f>
        <v>42</v>
      </c>
      <c r="N213">
        <f>ROUND(HEX2DEC(_0811_173439[[#This Row],[58DD]])*G$4/G$5+G$6,2)</f>
        <v>-0.03</v>
      </c>
      <c r="P213">
        <v>0</v>
      </c>
      <c r="Q213">
        <v>36</v>
      </c>
      <c r="R213">
        <v>30.75</v>
      </c>
      <c r="S213">
        <v>82</v>
      </c>
      <c r="T213">
        <v>42</v>
      </c>
      <c r="U213">
        <v>-0.03</v>
      </c>
      <c r="W213">
        <f>DataLog_T717420_Aug11_4_59_37pm[[#This Row],[RPM '[1/MIN']]]-Table3[[#This Row],[580C]]</f>
        <v>0</v>
      </c>
      <c r="X213">
        <f>DataLog_T717420_Aug11_4_59_37pm[[#This Row],[OIL TEMP '[Â°C']]]-Table3[[#This Row],[4402]]</f>
        <v>0</v>
      </c>
      <c r="Y213">
        <f>DataLog_T717420_Aug11_4_59_37pm[[#This Row],[INTAKE TEMP '[Â°C']]]-Table3[[#This Row],[580F]]</f>
        <v>0</v>
      </c>
      <c r="Z213">
        <f>DataLog_T717420_Aug11_4_59_37pm[[#This Row],[HPFP PRES. '[BAR']]]-Table3[[#This Row],[58F0]]</f>
        <v>0</v>
      </c>
      <c r="AA213">
        <f>DataLog_T717420_Aug11_4_59_37pm[[#This Row],[COOLANT TEMP '[Â°C']]]-Table3[[#This Row],[5805]]</f>
        <v>0</v>
      </c>
      <c r="AB213">
        <f>DataLog_T717420_Aug11_4_59_37pm[[#This Row],[BOOST '[BAR']]]-Table3[[#This Row],[58DD]]</f>
        <v>0</v>
      </c>
    </row>
    <row r="214" spans="2:28" x14ac:dyDescent="0.25">
      <c r="B214" s="2" t="s">
        <v>23</v>
      </c>
      <c r="C214" s="2" t="s">
        <v>30</v>
      </c>
      <c r="D214" s="2" t="s">
        <v>25</v>
      </c>
      <c r="E214" s="2" t="s">
        <v>49</v>
      </c>
      <c r="F214" s="2" t="s">
        <v>26</v>
      </c>
      <c r="G214" s="2" t="s">
        <v>28</v>
      </c>
      <c r="I214">
        <f>HEX2DEC(_0811_173439[[#This Row],[580C]])*B$4/B$5+B$6</f>
        <v>0</v>
      </c>
      <c r="J214">
        <f>HEX2DEC(_0811_173439[[#This Row],[4402]])*C$4/C$5+C$6</f>
        <v>36</v>
      </c>
      <c r="K214">
        <f>HEX2DEC(_0811_173439[[#This Row],[580F]])*D$4/D$5+D$6</f>
        <v>30.75</v>
      </c>
      <c r="L214">
        <f>ROUND(HEX2DEC(_0811_173439[[#This Row],[58F0]])*E$4/E$5+E$6,0)</f>
        <v>82</v>
      </c>
      <c r="M214">
        <f>ROUND(HEX2DEC(_0811_173439[[#This Row],[5805]])*F$4/F$5+F$6,0)</f>
        <v>42</v>
      </c>
      <c r="N214">
        <f>ROUND(HEX2DEC(_0811_173439[[#This Row],[58DD]])*G$4/G$5+G$6,2)</f>
        <v>-0.02</v>
      </c>
      <c r="P214">
        <v>0</v>
      </c>
      <c r="Q214">
        <v>36</v>
      </c>
      <c r="R214">
        <v>30.75</v>
      </c>
      <c r="S214">
        <v>82</v>
      </c>
      <c r="T214">
        <v>42</v>
      </c>
      <c r="U214">
        <v>-0.02</v>
      </c>
      <c r="W214">
        <f>DataLog_T717420_Aug11_4_59_37pm[[#This Row],[RPM '[1/MIN']]]-Table3[[#This Row],[580C]]</f>
        <v>0</v>
      </c>
      <c r="X214">
        <f>DataLog_T717420_Aug11_4_59_37pm[[#This Row],[OIL TEMP '[Â°C']]]-Table3[[#This Row],[4402]]</f>
        <v>0</v>
      </c>
      <c r="Y214">
        <f>DataLog_T717420_Aug11_4_59_37pm[[#This Row],[INTAKE TEMP '[Â°C']]]-Table3[[#This Row],[580F]]</f>
        <v>0</v>
      </c>
      <c r="Z214">
        <f>DataLog_T717420_Aug11_4_59_37pm[[#This Row],[HPFP PRES. '[BAR']]]-Table3[[#This Row],[58F0]]</f>
        <v>0</v>
      </c>
      <c r="AA214">
        <f>DataLog_T717420_Aug11_4_59_37pm[[#This Row],[COOLANT TEMP '[Â°C']]]-Table3[[#This Row],[5805]]</f>
        <v>0</v>
      </c>
      <c r="AB214">
        <f>DataLog_T717420_Aug11_4_59_37pm[[#This Row],[BOOST '[BAR']]]-Table3[[#This Row],[58DD]]</f>
        <v>0</v>
      </c>
    </row>
    <row r="215" spans="2:28" x14ac:dyDescent="0.25">
      <c r="B215" s="2" t="s">
        <v>23</v>
      </c>
      <c r="C215" s="2" t="s">
        <v>30</v>
      </c>
      <c r="D215" s="2" t="s">
        <v>25</v>
      </c>
      <c r="E215" s="2" t="s">
        <v>49</v>
      </c>
      <c r="F215" s="2" t="s">
        <v>26</v>
      </c>
      <c r="G215" s="2" t="s">
        <v>27</v>
      </c>
      <c r="I215">
        <f>HEX2DEC(_0811_173439[[#This Row],[580C]])*B$4/B$5+B$6</f>
        <v>0</v>
      </c>
      <c r="J215">
        <f>HEX2DEC(_0811_173439[[#This Row],[4402]])*C$4/C$5+C$6</f>
        <v>36</v>
      </c>
      <c r="K215">
        <f>HEX2DEC(_0811_173439[[#This Row],[580F]])*D$4/D$5+D$6</f>
        <v>30.75</v>
      </c>
      <c r="L215">
        <f>ROUND(HEX2DEC(_0811_173439[[#This Row],[58F0]])*E$4/E$5+E$6,0)</f>
        <v>82</v>
      </c>
      <c r="M215">
        <f>ROUND(HEX2DEC(_0811_173439[[#This Row],[5805]])*F$4/F$5+F$6,0)</f>
        <v>42</v>
      </c>
      <c r="N215">
        <f>ROUND(HEX2DEC(_0811_173439[[#This Row],[58DD]])*G$4/G$5+G$6,2)</f>
        <v>-0.03</v>
      </c>
      <c r="P215">
        <v>0</v>
      </c>
      <c r="Q215">
        <v>36</v>
      </c>
      <c r="R215">
        <v>30.75</v>
      </c>
      <c r="S215">
        <v>82</v>
      </c>
      <c r="T215">
        <v>42</v>
      </c>
      <c r="U215">
        <v>-0.03</v>
      </c>
      <c r="W215">
        <f>DataLog_T717420_Aug11_4_59_37pm[[#This Row],[RPM '[1/MIN']]]-Table3[[#This Row],[580C]]</f>
        <v>0</v>
      </c>
      <c r="X215">
        <f>DataLog_T717420_Aug11_4_59_37pm[[#This Row],[OIL TEMP '[Â°C']]]-Table3[[#This Row],[4402]]</f>
        <v>0</v>
      </c>
      <c r="Y215">
        <f>DataLog_T717420_Aug11_4_59_37pm[[#This Row],[INTAKE TEMP '[Â°C']]]-Table3[[#This Row],[580F]]</f>
        <v>0</v>
      </c>
      <c r="Z215">
        <f>DataLog_T717420_Aug11_4_59_37pm[[#This Row],[HPFP PRES. '[BAR']]]-Table3[[#This Row],[58F0]]</f>
        <v>0</v>
      </c>
      <c r="AA215">
        <f>DataLog_T717420_Aug11_4_59_37pm[[#This Row],[COOLANT TEMP '[Â°C']]]-Table3[[#This Row],[5805]]</f>
        <v>0</v>
      </c>
      <c r="AB215">
        <f>DataLog_T717420_Aug11_4_59_37pm[[#This Row],[BOOST '[BAR']]]-Table3[[#This Row],[58DD]]</f>
        <v>0</v>
      </c>
    </row>
    <row r="216" spans="2:28" x14ac:dyDescent="0.25">
      <c r="B216" s="2" t="s">
        <v>23</v>
      </c>
      <c r="C216" s="2" t="s">
        <v>30</v>
      </c>
      <c r="D216" s="2" t="s">
        <v>25</v>
      </c>
      <c r="E216" s="2" t="s">
        <v>49</v>
      </c>
      <c r="F216" s="2" t="s">
        <v>26</v>
      </c>
      <c r="G216" s="2" t="s">
        <v>28</v>
      </c>
      <c r="I216">
        <f>HEX2DEC(_0811_173439[[#This Row],[580C]])*B$4/B$5+B$6</f>
        <v>0</v>
      </c>
      <c r="J216">
        <f>HEX2DEC(_0811_173439[[#This Row],[4402]])*C$4/C$5+C$6</f>
        <v>36</v>
      </c>
      <c r="K216">
        <f>HEX2DEC(_0811_173439[[#This Row],[580F]])*D$4/D$5+D$6</f>
        <v>30.75</v>
      </c>
      <c r="L216">
        <f>ROUND(HEX2DEC(_0811_173439[[#This Row],[58F0]])*E$4/E$5+E$6,0)</f>
        <v>82</v>
      </c>
      <c r="M216">
        <f>ROUND(HEX2DEC(_0811_173439[[#This Row],[5805]])*F$4/F$5+F$6,0)</f>
        <v>42</v>
      </c>
      <c r="N216">
        <f>ROUND(HEX2DEC(_0811_173439[[#This Row],[58DD]])*G$4/G$5+G$6,2)</f>
        <v>-0.02</v>
      </c>
      <c r="P216">
        <v>0</v>
      </c>
      <c r="Q216">
        <v>36</v>
      </c>
      <c r="R216">
        <v>30.75</v>
      </c>
      <c r="S216">
        <v>82</v>
      </c>
      <c r="T216">
        <v>42</v>
      </c>
      <c r="U216">
        <v>-0.02</v>
      </c>
      <c r="W216">
        <f>DataLog_T717420_Aug11_4_59_37pm[[#This Row],[RPM '[1/MIN']]]-Table3[[#This Row],[580C]]</f>
        <v>0</v>
      </c>
      <c r="X216">
        <f>DataLog_T717420_Aug11_4_59_37pm[[#This Row],[OIL TEMP '[Â°C']]]-Table3[[#This Row],[4402]]</f>
        <v>0</v>
      </c>
      <c r="Y216">
        <f>DataLog_T717420_Aug11_4_59_37pm[[#This Row],[INTAKE TEMP '[Â°C']]]-Table3[[#This Row],[580F]]</f>
        <v>0</v>
      </c>
      <c r="Z216">
        <f>DataLog_T717420_Aug11_4_59_37pm[[#This Row],[HPFP PRES. '[BAR']]]-Table3[[#This Row],[58F0]]</f>
        <v>0</v>
      </c>
      <c r="AA216">
        <f>DataLog_T717420_Aug11_4_59_37pm[[#This Row],[COOLANT TEMP '[Â°C']]]-Table3[[#This Row],[5805]]</f>
        <v>0</v>
      </c>
      <c r="AB216">
        <f>DataLog_T717420_Aug11_4_59_37pm[[#This Row],[BOOST '[BAR']]]-Table3[[#This Row],[58DD]]</f>
        <v>0</v>
      </c>
    </row>
    <row r="217" spans="2:28" x14ac:dyDescent="0.25">
      <c r="B217" s="2" t="s">
        <v>23</v>
      </c>
      <c r="C217" s="2" t="s">
        <v>30</v>
      </c>
      <c r="D217" s="2" t="s">
        <v>25</v>
      </c>
      <c r="E217" s="2" t="s">
        <v>49</v>
      </c>
      <c r="F217" s="2" t="s">
        <v>26</v>
      </c>
      <c r="G217" s="2" t="s">
        <v>27</v>
      </c>
      <c r="I217">
        <f>HEX2DEC(_0811_173439[[#This Row],[580C]])*B$4/B$5+B$6</f>
        <v>0</v>
      </c>
      <c r="J217">
        <f>HEX2DEC(_0811_173439[[#This Row],[4402]])*C$4/C$5+C$6</f>
        <v>36</v>
      </c>
      <c r="K217">
        <f>HEX2DEC(_0811_173439[[#This Row],[580F]])*D$4/D$5+D$6</f>
        <v>30.75</v>
      </c>
      <c r="L217">
        <f>ROUND(HEX2DEC(_0811_173439[[#This Row],[58F0]])*E$4/E$5+E$6,0)</f>
        <v>82</v>
      </c>
      <c r="M217">
        <f>ROUND(HEX2DEC(_0811_173439[[#This Row],[5805]])*F$4/F$5+F$6,0)</f>
        <v>42</v>
      </c>
      <c r="N217">
        <f>ROUND(HEX2DEC(_0811_173439[[#This Row],[58DD]])*G$4/G$5+G$6,2)</f>
        <v>-0.03</v>
      </c>
      <c r="P217">
        <v>0</v>
      </c>
      <c r="Q217">
        <v>36</v>
      </c>
      <c r="R217">
        <v>30.75</v>
      </c>
      <c r="S217">
        <v>82</v>
      </c>
      <c r="T217">
        <v>42</v>
      </c>
      <c r="U217">
        <v>-0.03</v>
      </c>
      <c r="W217">
        <f>DataLog_T717420_Aug11_4_59_37pm[[#This Row],[RPM '[1/MIN']]]-Table3[[#This Row],[580C]]</f>
        <v>0</v>
      </c>
      <c r="X217">
        <f>DataLog_T717420_Aug11_4_59_37pm[[#This Row],[OIL TEMP '[Â°C']]]-Table3[[#This Row],[4402]]</f>
        <v>0</v>
      </c>
      <c r="Y217">
        <f>DataLog_T717420_Aug11_4_59_37pm[[#This Row],[INTAKE TEMP '[Â°C']]]-Table3[[#This Row],[580F]]</f>
        <v>0</v>
      </c>
      <c r="Z217">
        <f>DataLog_T717420_Aug11_4_59_37pm[[#This Row],[HPFP PRES. '[BAR']]]-Table3[[#This Row],[58F0]]</f>
        <v>0</v>
      </c>
      <c r="AA217">
        <f>DataLog_T717420_Aug11_4_59_37pm[[#This Row],[COOLANT TEMP '[Â°C']]]-Table3[[#This Row],[5805]]</f>
        <v>0</v>
      </c>
      <c r="AB217">
        <f>DataLog_T717420_Aug11_4_59_37pm[[#This Row],[BOOST '[BAR']]]-Table3[[#This Row],[58DD]]</f>
        <v>0</v>
      </c>
    </row>
    <row r="218" spans="2:28" x14ac:dyDescent="0.25">
      <c r="B218" s="2" t="s">
        <v>23</v>
      </c>
      <c r="C218" s="2" t="s">
        <v>30</v>
      </c>
      <c r="D218" s="2" t="s">
        <v>25</v>
      </c>
      <c r="E218" s="2" t="s">
        <v>49</v>
      </c>
      <c r="F218" s="2" t="s">
        <v>26</v>
      </c>
      <c r="G218" s="2" t="s">
        <v>27</v>
      </c>
      <c r="I218">
        <f>HEX2DEC(_0811_173439[[#This Row],[580C]])*B$4/B$5+B$6</f>
        <v>0</v>
      </c>
      <c r="J218">
        <f>HEX2DEC(_0811_173439[[#This Row],[4402]])*C$4/C$5+C$6</f>
        <v>36</v>
      </c>
      <c r="K218">
        <f>HEX2DEC(_0811_173439[[#This Row],[580F]])*D$4/D$5+D$6</f>
        <v>30.75</v>
      </c>
      <c r="L218">
        <f>ROUND(HEX2DEC(_0811_173439[[#This Row],[58F0]])*E$4/E$5+E$6,0)</f>
        <v>82</v>
      </c>
      <c r="M218">
        <f>ROUND(HEX2DEC(_0811_173439[[#This Row],[5805]])*F$4/F$5+F$6,0)</f>
        <v>42</v>
      </c>
      <c r="N218">
        <f>ROUND(HEX2DEC(_0811_173439[[#This Row],[58DD]])*G$4/G$5+G$6,2)</f>
        <v>-0.03</v>
      </c>
      <c r="P218">
        <v>0</v>
      </c>
      <c r="Q218">
        <v>36</v>
      </c>
      <c r="R218">
        <v>30.75</v>
      </c>
      <c r="S218">
        <v>82</v>
      </c>
      <c r="T218">
        <v>42</v>
      </c>
      <c r="U218">
        <v>-0.03</v>
      </c>
      <c r="W218">
        <f>DataLog_T717420_Aug11_4_59_37pm[[#This Row],[RPM '[1/MIN']]]-Table3[[#This Row],[580C]]</f>
        <v>0</v>
      </c>
      <c r="X218">
        <f>DataLog_T717420_Aug11_4_59_37pm[[#This Row],[OIL TEMP '[Â°C']]]-Table3[[#This Row],[4402]]</f>
        <v>0</v>
      </c>
      <c r="Y218">
        <f>DataLog_T717420_Aug11_4_59_37pm[[#This Row],[INTAKE TEMP '[Â°C']]]-Table3[[#This Row],[580F]]</f>
        <v>0</v>
      </c>
      <c r="Z218">
        <f>DataLog_T717420_Aug11_4_59_37pm[[#This Row],[HPFP PRES. '[BAR']]]-Table3[[#This Row],[58F0]]</f>
        <v>0</v>
      </c>
      <c r="AA218">
        <f>DataLog_T717420_Aug11_4_59_37pm[[#This Row],[COOLANT TEMP '[Â°C']]]-Table3[[#This Row],[5805]]</f>
        <v>0</v>
      </c>
      <c r="AB218">
        <f>DataLog_T717420_Aug11_4_59_37pm[[#This Row],[BOOST '[BAR']]]-Table3[[#This Row],[58DD]]</f>
        <v>0</v>
      </c>
    </row>
    <row r="219" spans="2:28" x14ac:dyDescent="0.25">
      <c r="B219" s="2" t="s">
        <v>23</v>
      </c>
      <c r="C219" s="2" t="s">
        <v>30</v>
      </c>
      <c r="D219" s="2" t="s">
        <v>25</v>
      </c>
      <c r="E219" s="2" t="s">
        <v>49</v>
      </c>
      <c r="F219" s="2" t="s">
        <v>26</v>
      </c>
      <c r="G219" s="2" t="s">
        <v>27</v>
      </c>
      <c r="I219">
        <f>HEX2DEC(_0811_173439[[#This Row],[580C]])*B$4/B$5+B$6</f>
        <v>0</v>
      </c>
      <c r="J219">
        <f>HEX2DEC(_0811_173439[[#This Row],[4402]])*C$4/C$5+C$6</f>
        <v>36</v>
      </c>
      <c r="K219">
        <f>HEX2DEC(_0811_173439[[#This Row],[580F]])*D$4/D$5+D$6</f>
        <v>30.75</v>
      </c>
      <c r="L219">
        <f>ROUND(HEX2DEC(_0811_173439[[#This Row],[58F0]])*E$4/E$5+E$6,0)</f>
        <v>82</v>
      </c>
      <c r="M219">
        <f>ROUND(HEX2DEC(_0811_173439[[#This Row],[5805]])*F$4/F$5+F$6,0)</f>
        <v>42</v>
      </c>
      <c r="N219">
        <f>ROUND(HEX2DEC(_0811_173439[[#This Row],[58DD]])*G$4/G$5+G$6,2)</f>
        <v>-0.03</v>
      </c>
      <c r="P219">
        <v>0</v>
      </c>
      <c r="Q219">
        <v>36</v>
      </c>
      <c r="R219">
        <v>30.75</v>
      </c>
      <c r="S219">
        <v>82</v>
      </c>
      <c r="T219">
        <v>42</v>
      </c>
      <c r="U219">
        <v>-0.03</v>
      </c>
      <c r="W219">
        <f>DataLog_T717420_Aug11_4_59_37pm[[#This Row],[RPM '[1/MIN']]]-Table3[[#This Row],[580C]]</f>
        <v>0</v>
      </c>
      <c r="X219">
        <f>DataLog_T717420_Aug11_4_59_37pm[[#This Row],[OIL TEMP '[Â°C']]]-Table3[[#This Row],[4402]]</f>
        <v>0</v>
      </c>
      <c r="Y219">
        <f>DataLog_T717420_Aug11_4_59_37pm[[#This Row],[INTAKE TEMP '[Â°C']]]-Table3[[#This Row],[580F]]</f>
        <v>0</v>
      </c>
      <c r="Z219">
        <f>DataLog_T717420_Aug11_4_59_37pm[[#This Row],[HPFP PRES. '[BAR']]]-Table3[[#This Row],[58F0]]</f>
        <v>0</v>
      </c>
      <c r="AA219">
        <f>DataLog_T717420_Aug11_4_59_37pm[[#This Row],[COOLANT TEMP '[Â°C']]]-Table3[[#This Row],[5805]]</f>
        <v>0</v>
      </c>
      <c r="AB219">
        <f>DataLog_T717420_Aug11_4_59_37pm[[#This Row],[BOOST '[BAR']]]-Table3[[#This Row],[58DD]]</f>
        <v>0</v>
      </c>
    </row>
    <row r="220" spans="2:28" x14ac:dyDescent="0.25">
      <c r="B220" s="2" t="s">
        <v>23</v>
      </c>
      <c r="C220" s="2" t="s">
        <v>30</v>
      </c>
      <c r="D220" s="2" t="s">
        <v>25</v>
      </c>
      <c r="E220" s="2" t="s">
        <v>49</v>
      </c>
      <c r="F220" s="2" t="s">
        <v>26</v>
      </c>
      <c r="G220" s="2" t="s">
        <v>27</v>
      </c>
      <c r="I220">
        <f>HEX2DEC(_0811_173439[[#This Row],[580C]])*B$4/B$5+B$6</f>
        <v>0</v>
      </c>
      <c r="J220">
        <f>HEX2DEC(_0811_173439[[#This Row],[4402]])*C$4/C$5+C$6</f>
        <v>36</v>
      </c>
      <c r="K220">
        <f>HEX2DEC(_0811_173439[[#This Row],[580F]])*D$4/D$5+D$6</f>
        <v>30.75</v>
      </c>
      <c r="L220">
        <f>ROUND(HEX2DEC(_0811_173439[[#This Row],[58F0]])*E$4/E$5+E$6,0)</f>
        <v>82</v>
      </c>
      <c r="M220">
        <f>ROUND(HEX2DEC(_0811_173439[[#This Row],[5805]])*F$4/F$5+F$6,0)</f>
        <v>42</v>
      </c>
      <c r="N220">
        <f>ROUND(HEX2DEC(_0811_173439[[#This Row],[58DD]])*G$4/G$5+G$6,2)</f>
        <v>-0.03</v>
      </c>
      <c r="P220">
        <v>0</v>
      </c>
      <c r="Q220">
        <v>36</v>
      </c>
      <c r="R220">
        <v>30.75</v>
      </c>
      <c r="S220">
        <v>82</v>
      </c>
      <c r="T220">
        <v>42</v>
      </c>
      <c r="U220">
        <v>-0.03</v>
      </c>
      <c r="W220">
        <f>DataLog_T717420_Aug11_4_59_37pm[[#This Row],[RPM '[1/MIN']]]-Table3[[#This Row],[580C]]</f>
        <v>0</v>
      </c>
      <c r="X220">
        <f>DataLog_T717420_Aug11_4_59_37pm[[#This Row],[OIL TEMP '[Â°C']]]-Table3[[#This Row],[4402]]</f>
        <v>0</v>
      </c>
      <c r="Y220">
        <f>DataLog_T717420_Aug11_4_59_37pm[[#This Row],[INTAKE TEMP '[Â°C']]]-Table3[[#This Row],[580F]]</f>
        <v>0</v>
      </c>
      <c r="Z220">
        <f>DataLog_T717420_Aug11_4_59_37pm[[#This Row],[HPFP PRES. '[BAR']]]-Table3[[#This Row],[58F0]]</f>
        <v>0</v>
      </c>
      <c r="AA220">
        <f>DataLog_T717420_Aug11_4_59_37pm[[#This Row],[COOLANT TEMP '[Â°C']]]-Table3[[#This Row],[5805]]</f>
        <v>0</v>
      </c>
      <c r="AB220">
        <f>DataLog_T717420_Aug11_4_59_37pm[[#This Row],[BOOST '[BAR']]]-Table3[[#This Row],[58DD]]</f>
        <v>0</v>
      </c>
    </row>
    <row r="221" spans="2:28" x14ac:dyDescent="0.25">
      <c r="B221" s="2" t="s">
        <v>23</v>
      </c>
      <c r="C221" s="2" t="s">
        <v>30</v>
      </c>
      <c r="D221" s="2" t="s">
        <v>25</v>
      </c>
      <c r="E221" s="2" t="s">
        <v>49</v>
      </c>
      <c r="F221" s="2" t="s">
        <v>26</v>
      </c>
      <c r="G221" s="2" t="s">
        <v>27</v>
      </c>
      <c r="I221">
        <f>HEX2DEC(_0811_173439[[#This Row],[580C]])*B$4/B$5+B$6</f>
        <v>0</v>
      </c>
      <c r="J221">
        <f>HEX2DEC(_0811_173439[[#This Row],[4402]])*C$4/C$5+C$6</f>
        <v>36</v>
      </c>
      <c r="K221">
        <f>HEX2DEC(_0811_173439[[#This Row],[580F]])*D$4/D$5+D$6</f>
        <v>30.75</v>
      </c>
      <c r="L221">
        <f>ROUND(HEX2DEC(_0811_173439[[#This Row],[58F0]])*E$4/E$5+E$6,0)</f>
        <v>82</v>
      </c>
      <c r="M221">
        <f>ROUND(HEX2DEC(_0811_173439[[#This Row],[5805]])*F$4/F$5+F$6,0)</f>
        <v>42</v>
      </c>
      <c r="N221">
        <f>ROUND(HEX2DEC(_0811_173439[[#This Row],[58DD]])*G$4/G$5+G$6,2)</f>
        <v>-0.03</v>
      </c>
      <c r="P221">
        <v>0</v>
      </c>
      <c r="Q221">
        <v>36</v>
      </c>
      <c r="R221">
        <v>30.75</v>
      </c>
      <c r="S221">
        <v>82</v>
      </c>
      <c r="T221">
        <v>42</v>
      </c>
      <c r="U221">
        <v>-0.03</v>
      </c>
      <c r="W221">
        <f>DataLog_T717420_Aug11_4_59_37pm[[#This Row],[RPM '[1/MIN']]]-Table3[[#This Row],[580C]]</f>
        <v>0</v>
      </c>
      <c r="X221">
        <f>DataLog_T717420_Aug11_4_59_37pm[[#This Row],[OIL TEMP '[Â°C']]]-Table3[[#This Row],[4402]]</f>
        <v>0</v>
      </c>
      <c r="Y221">
        <f>DataLog_T717420_Aug11_4_59_37pm[[#This Row],[INTAKE TEMP '[Â°C']]]-Table3[[#This Row],[580F]]</f>
        <v>0</v>
      </c>
      <c r="Z221">
        <f>DataLog_T717420_Aug11_4_59_37pm[[#This Row],[HPFP PRES. '[BAR']]]-Table3[[#This Row],[58F0]]</f>
        <v>0</v>
      </c>
      <c r="AA221">
        <f>DataLog_T717420_Aug11_4_59_37pm[[#This Row],[COOLANT TEMP '[Â°C']]]-Table3[[#This Row],[5805]]</f>
        <v>0</v>
      </c>
      <c r="AB221">
        <f>DataLog_T717420_Aug11_4_59_37pm[[#This Row],[BOOST '[BAR']]]-Table3[[#This Row],[58DD]]</f>
        <v>0</v>
      </c>
    </row>
    <row r="222" spans="2:28" x14ac:dyDescent="0.25">
      <c r="B222" s="2" t="s">
        <v>23</v>
      </c>
      <c r="C222" s="2" t="s">
        <v>30</v>
      </c>
      <c r="D222" s="2" t="s">
        <v>25</v>
      </c>
      <c r="E222" s="2" t="s">
        <v>49</v>
      </c>
      <c r="F222" s="2" t="s">
        <v>26</v>
      </c>
      <c r="G222" s="2" t="s">
        <v>27</v>
      </c>
      <c r="I222">
        <f>HEX2DEC(_0811_173439[[#This Row],[580C]])*B$4/B$5+B$6</f>
        <v>0</v>
      </c>
      <c r="J222">
        <f>HEX2DEC(_0811_173439[[#This Row],[4402]])*C$4/C$5+C$6</f>
        <v>36</v>
      </c>
      <c r="K222">
        <f>HEX2DEC(_0811_173439[[#This Row],[580F]])*D$4/D$5+D$6</f>
        <v>30.75</v>
      </c>
      <c r="L222">
        <f>ROUND(HEX2DEC(_0811_173439[[#This Row],[58F0]])*E$4/E$5+E$6,0)</f>
        <v>82</v>
      </c>
      <c r="M222">
        <f>ROUND(HEX2DEC(_0811_173439[[#This Row],[5805]])*F$4/F$5+F$6,0)</f>
        <v>42</v>
      </c>
      <c r="N222">
        <f>ROUND(HEX2DEC(_0811_173439[[#This Row],[58DD]])*G$4/G$5+G$6,2)</f>
        <v>-0.03</v>
      </c>
      <c r="P222">
        <v>0</v>
      </c>
      <c r="Q222">
        <v>36</v>
      </c>
      <c r="R222">
        <v>30.75</v>
      </c>
      <c r="S222">
        <v>82</v>
      </c>
      <c r="T222">
        <v>42</v>
      </c>
      <c r="U222">
        <v>-0.03</v>
      </c>
      <c r="W222">
        <f>DataLog_T717420_Aug11_4_59_37pm[[#This Row],[RPM '[1/MIN']]]-Table3[[#This Row],[580C]]</f>
        <v>0</v>
      </c>
      <c r="X222">
        <f>DataLog_T717420_Aug11_4_59_37pm[[#This Row],[OIL TEMP '[Â°C']]]-Table3[[#This Row],[4402]]</f>
        <v>0</v>
      </c>
      <c r="Y222">
        <f>DataLog_T717420_Aug11_4_59_37pm[[#This Row],[INTAKE TEMP '[Â°C']]]-Table3[[#This Row],[580F]]</f>
        <v>0</v>
      </c>
      <c r="Z222">
        <f>DataLog_T717420_Aug11_4_59_37pm[[#This Row],[HPFP PRES. '[BAR']]]-Table3[[#This Row],[58F0]]</f>
        <v>0</v>
      </c>
      <c r="AA222">
        <f>DataLog_T717420_Aug11_4_59_37pm[[#This Row],[COOLANT TEMP '[Â°C']]]-Table3[[#This Row],[5805]]</f>
        <v>0</v>
      </c>
      <c r="AB222">
        <f>DataLog_T717420_Aug11_4_59_37pm[[#This Row],[BOOST '[BAR']]]-Table3[[#This Row],[58DD]]</f>
        <v>0</v>
      </c>
    </row>
    <row r="223" spans="2:28" x14ac:dyDescent="0.25">
      <c r="B223" s="2" t="s">
        <v>23</v>
      </c>
      <c r="C223" s="2" t="s">
        <v>30</v>
      </c>
      <c r="D223" s="2" t="s">
        <v>25</v>
      </c>
      <c r="E223" s="2" t="s">
        <v>49</v>
      </c>
      <c r="F223" s="2" t="s">
        <v>26</v>
      </c>
      <c r="G223" s="2" t="s">
        <v>28</v>
      </c>
      <c r="I223">
        <f>HEX2DEC(_0811_173439[[#This Row],[580C]])*B$4/B$5+B$6</f>
        <v>0</v>
      </c>
      <c r="J223">
        <f>HEX2DEC(_0811_173439[[#This Row],[4402]])*C$4/C$5+C$6</f>
        <v>36</v>
      </c>
      <c r="K223">
        <f>HEX2DEC(_0811_173439[[#This Row],[580F]])*D$4/D$5+D$6</f>
        <v>30.75</v>
      </c>
      <c r="L223">
        <f>ROUND(HEX2DEC(_0811_173439[[#This Row],[58F0]])*E$4/E$5+E$6,0)</f>
        <v>82</v>
      </c>
      <c r="M223">
        <f>ROUND(HEX2DEC(_0811_173439[[#This Row],[5805]])*F$4/F$5+F$6,0)</f>
        <v>42</v>
      </c>
      <c r="N223">
        <f>ROUND(HEX2DEC(_0811_173439[[#This Row],[58DD]])*G$4/G$5+G$6,2)</f>
        <v>-0.02</v>
      </c>
      <c r="P223">
        <v>0</v>
      </c>
      <c r="Q223">
        <v>36</v>
      </c>
      <c r="R223">
        <v>30.75</v>
      </c>
      <c r="S223">
        <v>82</v>
      </c>
      <c r="T223">
        <v>42</v>
      </c>
      <c r="U223">
        <v>-0.02</v>
      </c>
      <c r="W223">
        <f>DataLog_T717420_Aug11_4_59_37pm[[#This Row],[RPM '[1/MIN']]]-Table3[[#This Row],[580C]]</f>
        <v>0</v>
      </c>
      <c r="X223">
        <f>DataLog_T717420_Aug11_4_59_37pm[[#This Row],[OIL TEMP '[Â°C']]]-Table3[[#This Row],[4402]]</f>
        <v>0</v>
      </c>
      <c r="Y223">
        <f>DataLog_T717420_Aug11_4_59_37pm[[#This Row],[INTAKE TEMP '[Â°C']]]-Table3[[#This Row],[580F]]</f>
        <v>0</v>
      </c>
      <c r="Z223">
        <f>DataLog_T717420_Aug11_4_59_37pm[[#This Row],[HPFP PRES. '[BAR']]]-Table3[[#This Row],[58F0]]</f>
        <v>0</v>
      </c>
      <c r="AA223">
        <f>DataLog_T717420_Aug11_4_59_37pm[[#This Row],[COOLANT TEMP '[Â°C']]]-Table3[[#This Row],[5805]]</f>
        <v>0</v>
      </c>
      <c r="AB223">
        <f>DataLog_T717420_Aug11_4_59_37pm[[#This Row],[BOOST '[BAR']]]-Table3[[#This Row],[58DD]]</f>
        <v>0</v>
      </c>
    </row>
    <row r="224" spans="2:28" x14ac:dyDescent="0.25">
      <c r="B224" s="2" t="s">
        <v>23</v>
      </c>
      <c r="C224" s="2" t="s">
        <v>30</v>
      </c>
      <c r="D224" s="2" t="s">
        <v>25</v>
      </c>
      <c r="E224" s="2" t="s">
        <v>49</v>
      </c>
      <c r="F224" s="2" t="s">
        <v>26</v>
      </c>
      <c r="G224" s="2" t="s">
        <v>28</v>
      </c>
      <c r="I224">
        <f>HEX2DEC(_0811_173439[[#This Row],[580C]])*B$4/B$5+B$6</f>
        <v>0</v>
      </c>
      <c r="J224">
        <f>HEX2DEC(_0811_173439[[#This Row],[4402]])*C$4/C$5+C$6</f>
        <v>36</v>
      </c>
      <c r="K224">
        <f>HEX2DEC(_0811_173439[[#This Row],[580F]])*D$4/D$5+D$6</f>
        <v>30.75</v>
      </c>
      <c r="L224">
        <f>ROUND(HEX2DEC(_0811_173439[[#This Row],[58F0]])*E$4/E$5+E$6,0)</f>
        <v>82</v>
      </c>
      <c r="M224">
        <f>ROUND(HEX2DEC(_0811_173439[[#This Row],[5805]])*F$4/F$5+F$6,0)</f>
        <v>42</v>
      </c>
      <c r="N224">
        <f>ROUND(HEX2DEC(_0811_173439[[#This Row],[58DD]])*G$4/G$5+G$6,2)</f>
        <v>-0.02</v>
      </c>
      <c r="P224">
        <v>0</v>
      </c>
      <c r="Q224">
        <v>36</v>
      </c>
      <c r="R224">
        <v>30.75</v>
      </c>
      <c r="S224">
        <v>82</v>
      </c>
      <c r="T224">
        <v>42</v>
      </c>
      <c r="U224">
        <v>-0.02</v>
      </c>
      <c r="W224">
        <f>DataLog_T717420_Aug11_4_59_37pm[[#This Row],[RPM '[1/MIN']]]-Table3[[#This Row],[580C]]</f>
        <v>0</v>
      </c>
      <c r="X224">
        <f>DataLog_T717420_Aug11_4_59_37pm[[#This Row],[OIL TEMP '[Â°C']]]-Table3[[#This Row],[4402]]</f>
        <v>0</v>
      </c>
      <c r="Y224">
        <f>DataLog_T717420_Aug11_4_59_37pm[[#This Row],[INTAKE TEMP '[Â°C']]]-Table3[[#This Row],[580F]]</f>
        <v>0</v>
      </c>
      <c r="Z224">
        <f>DataLog_T717420_Aug11_4_59_37pm[[#This Row],[HPFP PRES. '[BAR']]]-Table3[[#This Row],[58F0]]</f>
        <v>0</v>
      </c>
      <c r="AA224">
        <f>DataLog_T717420_Aug11_4_59_37pm[[#This Row],[COOLANT TEMP '[Â°C']]]-Table3[[#This Row],[5805]]</f>
        <v>0</v>
      </c>
      <c r="AB224">
        <f>DataLog_T717420_Aug11_4_59_37pm[[#This Row],[BOOST '[BAR']]]-Table3[[#This Row],[58DD]]</f>
        <v>0</v>
      </c>
    </row>
    <row r="225" spans="2:28" x14ac:dyDescent="0.25">
      <c r="B225" s="2" t="s">
        <v>23</v>
      </c>
      <c r="C225" s="2" t="s">
        <v>30</v>
      </c>
      <c r="D225" s="2" t="s">
        <v>25</v>
      </c>
      <c r="E225" s="2" t="s">
        <v>49</v>
      </c>
      <c r="F225" s="2" t="s">
        <v>26</v>
      </c>
      <c r="G225" s="2" t="s">
        <v>28</v>
      </c>
      <c r="I225">
        <f>HEX2DEC(_0811_173439[[#This Row],[580C]])*B$4/B$5+B$6</f>
        <v>0</v>
      </c>
      <c r="J225">
        <f>HEX2DEC(_0811_173439[[#This Row],[4402]])*C$4/C$5+C$6</f>
        <v>36</v>
      </c>
      <c r="K225">
        <f>HEX2DEC(_0811_173439[[#This Row],[580F]])*D$4/D$5+D$6</f>
        <v>30.75</v>
      </c>
      <c r="L225">
        <f>ROUND(HEX2DEC(_0811_173439[[#This Row],[58F0]])*E$4/E$5+E$6,0)</f>
        <v>82</v>
      </c>
      <c r="M225">
        <f>ROUND(HEX2DEC(_0811_173439[[#This Row],[5805]])*F$4/F$5+F$6,0)</f>
        <v>42</v>
      </c>
      <c r="N225">
        <f>ROUND(HEX2DEC(_0811_173439[[#This Row],[58DD]])*G$4/G$5+G$6,2)</f>
        <v>-0.02</v>
      </c>
      <c r="P225">
        <v>0</v>
      </c>
      <c r="Q225">
        <v>36</v>
      </c>
      <c r="R225">
        <v>30.75</v>
      </c>
      <c r="S225">
        <v>82</v>
      </c>
      <c r="T225">
        <v>42</v>
      </c>
      <c r="U225">
        <v>-0.02</v>
      </c>
      <c r="W225">
        <f>DataLog_T717420_Aug11_4_59_37pm[[#This Row],[RPM '[1/MIN']]]-Table3[[#This Row],[580C]]</f>
        <v>0</v>
      </c>
      <c r="X225">
        <f>DataLog_T717420_Aug11_4_59_37pm[[#This Row],[OIL TEMP '[Â°C']]]-Table3[[#This Row],[4402]]</f>
        <v>0</v>
      </c>
      <c r="Y225">
        <f>DataLog_T717420_Aug11_4_59_37pm[[#This Row],[INTAKE TEMP '[Â°C']]]-Table3[[#This Row],[580F]]</f>
        <v>0</v>
      </c>
      <c r="Z225">
        <f>DataLog_T717420_Aug11_4_59_37pm[[#This Row],[HPFP PRES. '[BAR']]]-Table3[[#This Row],[58F0]]</f>
        <v>0</v>
      </c>
      <c r="AA225">
        <f>DataLog_T717420_Aug11_4_59_37pm[[#This Row],[COOLANT TEMP '[Â°C']]]-Table3[[#This Row],[5805]]</f>
        <v>0</v>
      </c>
      <c r="AB225">
        <f>DataLog_T717420_Aug11_4_59_37pm[[#This Row],[BOOST '[BAR']]]-Table3[[#This Row],[58DD]]</f>
        <v>0</v>
      </c>
    </row>
    <row r="226" spans="2:28" x14ac:dyDescent="0.25">
      <c r="B226" s="2" t="s">
        <v>23</v>
      </c>
      <c r="C226" s="2" t="s">
        <v>30</v>
      </c>
      <c r="D226" s="2" t="s">
        <v>25</v>
      </c>
      <c r="E226" s="2" t="s">
        <v>49</v>
      </c>
      <c r="F226" s="2" t="s">
        <v>26</v>
      </c>
      <c r="G226" s="2" t="s">
        <v>27</v>
      </c>
      <c r="I226">
        <f>HEX2DEC(_0811_173439[[#This Row],[580C]])*B$4/B$5+B$6</f>
        <v>0</v>
      </c>
      <c r="J226">
        <f>HEX2DEC(_0811_173439[[#This Row],[4402]])*C$4/C$5+C$6</f>
        <v>36</v>
      </c>
      <c r="K226">
        <f>HEX2DEC(_0811_173439[[#This Row],[580F]])*D$4/D$5+D$6</f>
        <v>30.75</v>
      </c>
      <c r="L226">
        <f>ROUND(HEX2DEC(_0811_173439[[#This Row],[58F0]])*E$4/E$5+E$6,0)</f>
        <v>82</v>
      </c>
      <c r="M226">
        <f>ROUND(HEX2DEC(_0811_173439[[#This Row],[5805]])*F$4/F$5+F$6,0)</f>
        <v>42</v>
      </c>
      <c r="N226">
        <f>ROUND(HEX2DEC(_0811_173439[[#This Row],[58DD]])*G$4/G$5+G$6,2)</f>
        <v>-0.03</v>
      </c>
      <c r="P226">
        <v>0</v>
      </c>
      <c r="Q226">
        <v>36</v>
      </c>
      <c r="R226">
        <v>30.75</v>
      </c>
      <c r="S226">
        <v>82</v>
      </c>
      <c r="T226">
        <v>42</v>
      </c>
      <c r="U226">
        <v>-0.03</v>
      </c>
      <c r="W226">
        <f>DataLog_T717420_Aug11_4_59_37pm[[#This Row],[RPM '[1/MIN']]]-Table3[[#This Row],[580C]]</f>
        <v>0</v>
      </c>
      <c r="X226">
        <f>DataLog_T717420_Aug11_4_59_37pm[[#This Row],[OIL TEMP '[Â°C']]]-Table3[[#This Row],[4402]]</f>
        <v>0</v>
      </c>
      <c r="Y226">
        <f>DataLog_T717420_Aug11_4_59_37pm[[#This Row],[INTAKE TEMP '[Â°C']]]-Table3[[#This Row],[580F]]</f>
        <v>0</v>
      </c>
      <c r="Z226">
        <f>DataLog_T717420_Aug11_4_59_37pm[[#This Row],[HPFP PRES. '[BAR']]]-Table3[[#This Row],[58F0]]</f>
        <v>0</v>
      </c>
      <c r="AA226">
        <f>DataLog_T717420_Aug11_4_59_37pm[[#This Row],[COOLANT TEMP '[Â°C']]]-Table3[[#This Row],[5805]]</f>
        <v>0</v>
      </c>
      <c r="AB226">
        <f>DataLog_T717420_Aug11_4_59_37pm[[#This Row],[BOOST '[BAR']]]-Table3[[#This Row],[58DD]]</f>
        <v>0</v>
      </c>
    </row>
    <row r="227" spans="2:28" x14ac:dyDescent="0.25">
      <c r="B227" s="2" t="s">
        <v>23</v>
      </c>
      <c r="C227" s="2" t="s">
        <v>30</v>
      </c>
      <c r="D227" s="2" t="s">
        <v>25</v>
      </c>
      <c r="E227" s="2" t="s">
        <v>49</v>
      </c>
      <c r="F227" s="2" t="s">
        <v>26</v>
      </c>
      <c r="G227" s="2" t="s">
        <v>28</v>
      </c>
      <c r="I227">
        <f>HEX2DEC(_0811_173439[[#This Row],[580C]])*B$4/B$5+B$6</f>
        <v>0</v>
      </c>
      <c r="J227">
        <f>HEX2DEC(_0811_173439[[#This Row],[4402]])*C$4/C$5+C$6</f>
        <v>36</v>
      </c>
      <c r="K227">
        <f>HEX2DEC(_0811_173439[[#This Row],[580F]])*D$4/D$5+D$6</f>
        <v>30.75</v>
      </c>
      <c r="L227">
        <f>ROUND(HEX2DEC(_0811_173439[[#This Row],[58F0]])*E$4/E$5+E$6,0)</f>
        <v>82</v>
      </c>
      <c r="M227">
        <f>ROUND(HEX2DEC(_0811_173439[[#This Row],[5805]])*F$4/F$5+F$6,0)</f>
        <v>42</v>
      </c>
      <c r="N227">
        <f>ROUND(HEX2DEC(_0811_173439[[#This Row],[58DD]])*G$4/G$5+G$6,2)</f>
        <v>-0.02</v>
      </c>
      <c r="P227">
        <v>0</v>
      </c>
      <c r="Q227">
        <v>36</v>
      </c>
      <c r="R227">
        <v>30.75</v>
      </c>
      <c r="S227">
        <v>82</v>
      </c>
      <c r="T227">
        <v>42</v>
      </c>
      <c r="U227">
        <v>-0.02</v>
      </c>
      <c r="W227">
        <f>DataLog_T717420_Aug11_4_59_37pm[[#This Row],[RPM '[1/MIN']]]-Table3[[#This Row],[580C]]</f>
        <v>0</v>
      </c>
      <c r="X227">
        <f>DataLog_T717420_Aug11_4_59_37pm[[#This Row],[OIL TEMP '[Â°C']]]-Table3[[#This Row],[4402]]</f>
        <v>0</v>
      </c>
      <c r="Y227">
        <f>DataLog_T717420_Aug11_4_59_37pm[[#This Row],[INTAKE TEMP '[Â°C']]]-Table3[[#This Row],[580F]]</f>
        <v>0</v>
      </c>
      <c r="Z227">
        <f>DataLog_T717420_Aug11_4_59_37pm[[#This Row],[HPFP PRES. '[BAR']]]-Table3[[#This Row],[58F0]]</f>
        <v>0</v>
      </c>
      <c r="AA227">
        <f>DataLog_T717420_Aug11_4_59_37pm[[#This Row],[COOLANT TEMP '[Â°C']]]-Table3[[#This Row],[5805]]</f>
        <v>0</v>
      </c>
      <c r="AB227">
        <f>DataLog_T717420_Aug11_4_59_37pm[[#This Row],[BOOST '[BAR']]]-Table3[[#This Row],[58DD]]</f>
        <v>0</v>
      </c>
    </row>
    <row r="228" spans="2:28" x14ac:dyDescent="0.25">
      <c r="B228" s="2" t="s">
        <v>23</v>
      </c>
      <c r="C228" s="2" t="s">
        <v>30</v>
      </c>
      <c r="D228" s="2" t="s">
        <v>25</v>
      </c>
      <c r="E228" s="2" t="s">
        <v>49</v>
      </c>
      <c r="F228" s="2" t="s">
        <v>26</v>
      </c>
      <c r="G228" s="2" t="s">
        <v>28</v>
      </c>
      <c r="I228">
        <f>HEX2DEC(_0811_173439[[#This Row],[580C]])*B$4/B$5+B$6</f>
        <v>0</v>
      </c>
      <c r="J228">
        <f>HEX2DEC(_0811_173439[[#This Row],[4402]])*C$4/C$5+C$6</f>
        <v>36</v>
      </c>
      <c r="K228">
        <f>HEX2DEC(_0811_173439[[#This Row],[580F]])*D$4/D$5+D$6</f>
        <v>30.75</v>
      </c>
      <c r="L228">
        <f>ROUND(HEX2DEC(_0811_173439[[#This Row],[58F0]])*E$4/E$5+E$6,0)</f>
        <v>82</v>
      </c>
      <c r="M228">
        <f>ROUND(HEX2DEC(_0811_173439[[#This Row],[5805]])*F$4/F$5+F$6,0)</f>
        <v>42</v>
      </c>
      <c r="N228">
        <f>ROUND(HEX2DEC(_0811_173439[[#This Row],[58DD]])*G$4/G$5+G$6,2)</f>
        <v>-0.02</v>
      </c>
      <c r="P228">
        <v>0</v>
      </c>
      <c r="Q228">
        <v>36</v>
      </c>
      <c r="R228">
        <v>30.75</v>
      </c>
      <c r="S228">
        <v>82</v>
      </c>
      <c r="T228">
        <v>42</v>
      </c>
      <c r="U228">
        <v>-0.02</v>
      </c>
      <c r="W228">
        <f>DataLog_T717420_Aug11_4_59_37pm[[#This Row],[RPM '[1/MIN']]]-Table3[[#This Row],[580C]]</f>
        <v>0</v>
      </c>
      <c r="X228">
        <f>DataLog_T717420_Aug11_4_59_37pm[[#This Row],[OIL TEMP '[Â°C']]]-Table3[[#This Row],[4402]]</f>
        <v>0</v>
      </c>
      <c r="Y228">
        <f>DataLog_T717420_Aug11_4_59_37pm[[#This Row],[INTAKE TEMP '[Â°C']]]-Table3[[#This Row],[580F]]</f>
        <v>0</v>
      </c>
      <c r="Z228">
        <f>DataLog_T717420_Aug11_4_59_37pm[[#This Row],[HPFP PRES. '[BAR']]]-Table3[[#This Row],[58F0]]</f>
        <v>0</v>
      </c>
      <c r="AA228">
        <f>DataLog_T717420_Aug11_4_59_37pm[[#This Row],[COOLANT TEMP '[Â°C']]]-Table3[[#This Row],[5805]]</f>
        <v>0</v>
      </c>
      <c r="AB228">
        <f>DataLog_T717420_Aug11_4_59_37pm[[#This Row],[BOOST '[BAR']]]-Table3[[#This Row],[58DD]]</f>
        <v>0</v>
      </c>
    </row>
    <row r="229" spans="2:28" x14ac:dyDescent="0.25">
      <c r="B229" s="2" t="s">
        <v>23</v>
      </c>
      <c r="C229" s="2" t="s">
        <v>30</v>
      </c>
      <c r="D229" s="2" t="s">
        <v>25</v>
      </c>
      <c r="E229" s="2" t="s">
        <v>49</v>
      </c>
      <c r="F229" s="2" t="s">
        <v>26</v>
      </c>
      <c r="G229" s="2" t="s">
        <v>27</v>
      </c>
      <c r="I229">
        <f>HEX2DEC(_0811_173439[[#This Row],[580C]])*B$4/B$5+B$6</f>
        <v>0</v>
      </c>
      <c r="J229">
        <f>HEX2DEC(_0811_173439[[#This Row],[4402]])*C$4/C$5+C$6</f>
        <v>36</v>
      </c>
      <c r="K229">
        <f>HEX2DEC(_0811_173439[[#This Row],[580F]])*D$4/D$5+D$6</f>
        <v>30.75</v>
      </c>
      <c r="L229">
        <f>ROUND(HEX2DEC(_0811_173439[[#This Row],[58F0]])*E$4/E$5+E$6,0)</f>
        <v>82</v>
      </c>
      <c r="M229">
        <f>ROUND(HEX2DEC(_0811_173439[[#This Row],[5805]])*F$4/F$5+F$6,0)</f>
        <v>42</v>
      </c>
      <c r="N229">
        <f>ROUND(HEX2DEC(_0811_173439[[#This Row],[58DD]])*G$4/G$5+G$6,2)</f>
        <v>-0.03</v>
      </c>
      <c r="P229">
        <v>0</v>
      </c>
      <c r="Q229">
        <v>36</v>
      </c>
      <c r="R229">
        <v>30.75</v>
      </c>
      <c r="S229">
        <v>82</v>
      </c>
      <c r="T229">
        <v>42</v>
      </c>
      <c r="U229">
        <v>-0.03</v>
      </c>
      <c r="W229">
        <f>DataLog_T717420_Aug11_4_59_37pm[[#This Row],[RPM '[1/MIN']]]-Table3[[#This Row],[580C]]</f>
        <v>0</v>
      </c>
      <c r="X229">
        <f>DataLog_T717420_Aug11_4_59_37pm[[#This Row],[OIL TEMP '[Â°C']]]-Table3[[#This Row],[4402]]</f>
        <v>0</v>
      </c>
      <c r="Y229">
        <f>DataLog_T717420_Aug11_4_59_37pm[[#This Row],[INTAKE TEMP '[Â°C']]]-Table3[[#This Row],[580F]]</f>
        <v>0</v>
      </c>
      <c r="Z229">
        <f>DataLog_T717420_Aug11_4_59_37pm[[#This Row],[HPFP PRES. '[BAR']]]-Table3[[#This Row],[58F0]]</f>
        <v>0</v>
      </c>
      <c r="AA229">
        <f>DataLog_T717420_Aug11_4_59_37pm[[#This Row],[COOLANT TEMP '[Â°C']]]-Table3[[#This Row],[5805]]</f>
        <v>0</v>
      </c>
      <c r="AB229">
        <f>DataLog_T717420_Aug11_4_59_37pm[[#This Row],[BOOST '[BAR']]]-Table3[[#This Row],[58DD]]</f>
        <v>0</v>
      </c>
    </row>
    <row r="230" spans="2:28" x14ac:dyDescent="0.25">
      <c r="B230" s="2" t="s">
        <v>23</v>
      </c>
      <c r="C230" s="2" t="s">
        <v>30</v>
      </c>
      <c r="D230" s="2" t="s">
        <v>25</v>
      </c>
      <c r="E230" s="2" t="s">
        <v>49</v>
      </c>
      <c r="F230" s="2" t="s">
        <v>26</v>
      </c>
      <c r="G230" s="2" t="s">
        <v>28</v>
      </c>
      <c r="I230">
        <f>HEX2DEC(_0811_173439[[#This Row],[580C]])*B$4/B$5+B$6</f>
        <v>0</v>
      </c>
      <c r="J230">
        <f>HEX2DEC(_0811_173439[[#This Row],[4402]])*C$4/C$5+C$6</f>
        <v>36</v>
      </c>
      <c r="K230">
        <f>HEX2DEC(_0811_173439[[#This Row],[580F]])*D$4/D$5+D$6</f>
        <v>30.75</v>
      </c>
      <c r="L230">
        <f>ROUND(HEX2DEC(_0811_173439[[#This Row],[58F0]])*E$4/E$5+E$6,0)</f>
        <v>82</v>
      </c>
      <c r="M230">
        <f>ROUND(HEX2DEC(_0811_173439[[#This Row],[5805]])*F$4/F$5+F$6,0)</f>
        <v>42</v>
      </c>
      <c r="N230">
        <f>ROUND(HEX2DEC(_0811_173439[[#This Row],[58DD]])*G$4/G$5+G$6,2)</f>
        <v>-0.02</v>
      </c>
      <c r="P230">
        <v>0</v>
      </c>
      <c r="Q230">
        <v>36</v>
      </c>
      <c r="R230">
        <v>30.75</v>
      </c>
      <c r="S230">
        <v>82</v>
      </c>
      <c r="T230">
        <v>42</v>
      </c>
      <c r="U230">
        <v>-0.02</v>
      </c>
      <c r="W230">
        <f>DataLog_T717420_Aug11_4_59_37pm[[#This Row],[RPM '[1/MIN']]]-Table3[[#This Row],[580C]]</f>
        <v>0</v>
      </c>
      <c r="X230">
        <f>DataLog_T717420_Aug11_4_59_37pm[[#This Row],[OIL TEMP '[Â°C']]]-Table3[[#This Row],[4402]]</f>
        <v>0</v>
      </c>
      <c r="Y230">
        <f>DataLog_T717420_Aug11_4_59_37pm[[#This Row],[INTAKE TEMP '[Â°C']]]-Table3[[#This Row],[580F]]</f>
        <v>0</v>
      </c>
      <c r="Z230">
        <f>DataLog_T717420_Aug11_4_59_37pm[[#This Row],[HPFP PRES. '[BAR']]]-Table3[[#This Row],[58F0]]</f>
        <v>0</v>
      </c>
      <c r="AA230">
        <f>DataLog_T717420_Aug11_4_59_37pm[[#This Row],[COOLANT TEMP '[Â°C']]]-Table3[[#This Row],[5805]]</f>
        <v>0</v>
      </c>
      <c r="AB230">
        <f>DataLog_T717420_Aug11_4_59_37pm[[#This Row],[BOOST '[BAR']]]-Table3[[#This Row],[58DD]]</f>
        <v>0</v>
      </c>
    </row>
    <row r="231" spans="2:28" x14ac:dyDescent="0.25">
      <c r="B231" s="2" t="s">
        <v>23</v>
      </c>
      <c r="C231" s="2" t="s">
        <v>30</v>
      </c>
      <c r="D231" s="2" t="s">
        <v>25</v>
      </c>
      <c r="E231" s="2" t="s">
        <v>49</v>
      </c>
      <c r="F231" s="2" t="s">
        <v>26</v>
      </c>
      <c r="G231" s="2" t="s">
        <v>28</v>
      </c>
      <c r="I231">
        <f>HEX2DEC(_0811_173439[[#This Row],[580C]])*B$4/B$5+B$6</f>
        <v>0</v>
      </c>
      <c r="J231">
        <f>HEX2DEC(_0811_173439[[#This Row],[4402]])*C$4/C$5+C$6</f>
        <v>36</v>
      </c>
      <c r="K231">
        <f>HEX2DEC(_0811_173439[[#This Row],[580F]])*D$4/D$5+D$6</f>
        <v>30.75</v>
      </c>
      <c r="L231">
        <f>ROUND(HEX2DEC(_0811_173439[[#This Row],[58F0]])*E$4/E$5+E$6,0)</f>
        <v>82</v>
      </c>
      <c r="M231">
        <f>ROUND(HEX2DEC(_0811_173439[[#This Row],[5805]])*F$4/F$5+F$6,0)</f>
        <v>42</v>
      </c>
      <c r="N231">
        <f>ROUND(HEX2DEC(_0811_173439[[#This Row],[58DD]])*G$4/G$5+G$6,2)</f>
        <v>-0.02</v>
      </c>
      <c r="P231">
        <v>0</v>
      </c>
      <c r="Q231">
        <v>36</v>
      </c>
      <c r="R231">
        <v>30.75</v>
      </c>
      <c r="S231">
        <v>82</v>
      </c>
      <c r="T231">
        <v>42</v>
      </c>
      <c r="U231">
        <v>-0.02</v>
      </c>
      <c r="W231">
        <f>DataLog_T717420_Aug11_4_59_37pm[[#This Row],[RPM '[1/MIN']]]-Table3[[#This Row],[580C]]</f>
        <v>0</v>
      </c>
      <c r="X231">
        <f>DataLog_T717420_Aug11_4_59_37pm[[#This Row],[OIL TEMP '[Â°C']]]-Table3[[#This Row],[4402]]</f>
        <v>0</v>
      </c>
      <c r="Y231">
        <f>DataLog_T717420_Aug11_4_59_37pm[[#This Row],[INTAKE TEMP '[Â°C']]]-Table3[[#This Row],[580F]]</f>
        <v>0</v>
      </c>
      <c r="Z231">
        <f>DataLog_T717420_Aug11_4_59_37pm[[#This Row],[HPFP PRES. '[BAR']]]-Table3[[#This Row],[58F0]]</f>
        <v>0</v>
      </c>
      <c r="AA231">
        <f>DataLog_T717420_Aug11_4_59_37pm[[#This Row],[COOLANT TEMP '[Â°C']]]-Table3[[#This Row],[5805]]</f>
        <v>0</v>
      </c>
      <c r="AB231">
        <f>DataLog_T717420_Aug11_4_59_37pm[[#This Row],[BOOST '[BAR']]]-Table3[[#This Row],[58DD]]</f>
        <v>0</v>
      </c>
    </row>
    <row r="232" spans="2:28" x14ac:dyDescent="0.25">
      <c r="B232" s="2" t="s">
        <v>23</v>
      </c>
      <c r="C232" s="2" t="s">
        <v>30</v>
      </c>
      <c r="D232" s="2" t="s">
        <v>25</v>
      </c>
      <c r="E232" s="2" t="s">
        <v>49</v>
      </c>
      <c r="F232" s="2" t="s">
        <v>26</v>
      </c>
      <c r="G232" s="2" t="s">
        <v>27</v>
      </c>
      <c r="I232">
        <f>HEX2DEC(_0811_173439[[#This Row],[580C]])*B$4/B$5+B$6</f>
        <v>0</v>
      </c>
      <c r="J232">
        <f>HEX2DEC(_0811_173439[[#This Row],[4402]])*C$4/C$5+C$6</f>
        <v>36</v>
      </c>
      <c r="K232">
        <f>HEX2DEC(_0811_173439[[#This Row],[580F]])*D$4/D$5+D$6</f>
        <v>30.75</v>
      </c>
      <c r="L232">
        <f>ROUND(HEX2DEC(_0811_173439[[#This Row],[58F0]])*E$4/E$5+E$6,0)</f>
        <v>82</v>
      </c>
      <c r="M232">
        <f>ROUND(HEX2DEC(_0811_173439[[#This Row],[5805]])*F$4/F$5+F$6,0)</f>
        <v>42</v>
      </c>
      <c r="N232">
        <f>ROUND(HEX2DEC(_0811_173439[[#This Row],[58DD]])*G$4/G$5+G$6,2)</f>
        <v>-0.03</v>
      </c>
      <c r="P232">
        <v>0</v>
      </c>
      <c r="Q232">
        <v>36</v>
      </c>
      <c r="R232">
        <v>30.75</v>
      </c>
      <c r="S232">
        <v>82</v>
      </c>
      <c r="T232">
        <v>42</v>
      </c>
      <c r="U232">
        <v>-0.03</v>
      </c>
      <c r="W232">
        <f>DataLog_T717420_Aug11_4_59_37pm[[#This Row],[RPM '[1/MIN']]]-Table3[[#This Row],[580C]]</f>
        <v>0</v>
      </c>
      <c r="X232">
        <f>DataLog_T717420_Aug11_4_59_37pm[[#This Row],[OIL TEMP '[Â°C']]]-Table3[[#This Row],[4402]]</f>
        <v>0</v>
      </c>
      <c r="Y232">
        <f>DataLog_T717420_Aug11_4_59_37pm[[#This Row],[INTAKE TEMP '[Â°C']]]-Table3[[#This Row],[580F]]</f>
        <v>0</v>
      </c>
      <c r="Z232">
        <f>DataLog_T717420_Aug11_4_59_37pm[[#This Row],[HPFP PRES. '[BAR']]]-Table3[[#This Row],[58F0]]</f>
        <v>0</v>
      </c>
      <c r="AA232">
        <f>DataLog_T717420_Aug11_4_59_37pm[[#This Row],[COOLANT TEMP '[Â°C']]]-Table3[[#This Row],[5805]]</f>
        <v>0</v>
      </c>
      <c r="AB232">
        <f>DataLog_T717420_Aug11_4_59_37pm[[#This Row],[BOOST '[BAR']]]-Table3[[#This Row],[58DD]]</f>
        <v>0</v>
      </c>
    </row>
    <row r="233" spans="2:28" x14ac:dyDescent="0.25">
      <c r="B233" s="2" t="s">
        <v>23</v>
      </c>
      <c r="C233" s="2" t="s">
        <v>30</v>
      </c>
      <c r="D233" s="2" t="s">
        <v>25</v>
      </c>
      <c r="E233" s="2" t="s">
        <v>49</v>
      </c>
      <c r="F233" s="2" t="s">
        <v>26</v>
      </c>
      <c r="G233" s="2" t="s">
        <v>27</v>
      </c>
      <c r="I233">
        <f>HEX2DEC(_0811_173439[[#This Row],[580C]])*B$4/B$5+B$6</f>
        <v>0</v>
      </c>
      <c r="J233">
        <f>HEX2DEC(_0811_173439[[#This Row],[4402]])*C$4/C$5+C$6</f>
        <v>36</v>
      </c>
      <c r="K233">
        <f>HEX2DEC(_0811_173439[[#This Row],[580F]])*D$4/D$5+D$6</f>
        <v>30.75</v>
      </c>
      <c r="L233">
        <f>ROUND(HEX2DEC(_0811_173439[[#This Row],[58F0]])*E$4/E$5+E$6,0)</f>
        <v>82</v>
      </c>
      <c r="M233">
        <f>ROUND(HEX2DEC(_0811_173439[[#This Row],[5805]])*F$4/F$5+F$6,0)</f>
        <v>42</v>
      </c>
      <c r="N233">
        <f>ROUND(HEX2DEC(_0811_173439[[#This Row],[58DD]])*G$4/G$5+G$6,2)</f>
        <v>-0.03</v>
      </c>
      <c r="P233">
        <v>0</v>
      </c>
      <c r="Q233">
        <v>36</v>
      </c>
      <c r="R233">
        <v>30.75</v>
      </c>
      <c r="S233">
        <v>82</v>
      </c>
      <c r="T233">
        <v>42</v>
      </c>
      <c r="U233">
        <v>-0.03</v>
      </c>
      <c r="W233">
        <f>DataLog_T717420_Aug11_4_59_37pm[[#This Row],[RPM '[1/MIN']]]-Table3[[#This Row],[580C]]</f>
        <v>0</v>
      </c>
      <c r="X233">
        <f>DataLog_T717420_Aug11_4_59_37pm[[#This Row],[OIL TEMP '[Â°C']]]-Table3[[#This Row],[4402]]</f>
        <v>0</v>
      </c>
      <c r="Y233">
        <f>DataLog_T717420_Aug11_4_59_37pm[[#This Row],[INTAKE TEMP '[Â°C']]]-Table3[[#This Row],[580F]]</f>
        <v>0</v>
      </c>
      <c r="Z233">
        <f>DataLog_T717420_Aug11_4_59_37pm[[#This Row],[HPFP PRES. '[BAR']]]-Table3[[#This Row],[58F0]]</f>
        <v>0</v>
      </c>
      <c r="AA233">
        <f>DataLog_T717420_Aug11_4_59_37pm[[#This Row],[COOLANT TEMP '[Â°C']]]-Table3[[#This Row],[5805]]</f>
        <v>0</v>
      </c>
      <c r="AB233">
        <f>DataLog_T717420_Aug11_4_59_37pm[[#This Row],[BOOST '[BAR']]]-Table3[[#This Row],[58DD]]</f>
        <v>0</v>
      </c>
    </row>
    <row r="234" spans="2:28" x14ac:dyDescent="0.25">
      <c r="B234" s="2" t="s">
        <v>23</v>
      </c>
      <c r="C234" s="2" t="s">
        <v>30</v>
      </c>
      <c r="D234" s="2" t="s">
        <v>25</v>
      </c>
      <c r="E234" s="2" t="s">
        <v>49</v>
      </c>
      <c r="F234" s="2" t="s">
        <v>26</v>
      </c>
      <c r="G234" s="2" t="s">
        <v>28</v>
      </c>
      <c r="I234">
        <f>HEX2DEC(_0811_173439[[#This Row],[580C]])*B$4/B$5+B$6</f>
        <v>0</v>
      </c>
      <c r="J234">
        <f>HEX2DEC(_0811_173439[[#This Row],[4402]])*C$4/C$5+C$6</f>
        <v>36</v>
      </c>
      <c r="K234">
        <f>HEX2DEC(_0811_173439[[#This Row],[580F]])*D$4/D$5+D$6</f>
        <v>30.75</v>
      </c>
      <c r="L234">
        <f>ROUND(HEX2DEC(_0811_173439[[#This Row],[58F0]])*E$4/E$5+E$6,0)</f>
        <v>82</v>
      </c>
      <c r="M234">
        <f>ROUND(HEX2DEC(_0811_173439[[#This Row],[5805]])*F$4/F$5+F$6,0)</f>
        <v>42</v>
      </c>
      <c r="N234">
        <f>ROUND(HEX2DEC(_0811_173439[[#This Row],[58DD]])*G$4/G$5+G$6,2)</f>
        <v>-0.02</v>
      </c>
      <c r="P234">
        <v>0</v>
      </c>
      <c r="Q234">
        <v>36</v>
      </c>
      <c r="R234">
        <v>30.75</v>
      </c>
      <c r="S234">
        <v>82</v>
      </c>
      <c r="T234">
        <v>42</v>
      </c>
      <c r="U234">
        <v>-0.02</v>
      </c>
      <c r="W234">
        <f>DataLog_T717420_Aug11_4_59_37pm[[#This Row],[RPM '[1/MIN']]]-Table3[[#This Row],[580C]]</f>
        <v>0</v>
      </c>
      <c r="X234">
        <f>DataLog_T717420_Aug11_4_59_37pm[[#This Row],[OIL TEMP '[Â°C']]]-Table3[[#This Row],[4402]]</f>
        <v>0</v>
      </c>
      <c r="Y234">
        <f>DataLog_T717420_Aug11_4_59_37pm[[#This Row],[INTAKE TEMP '[Â°C']]]-Table3[[#This Row],[580F]]</f>
        <v>0</v>
      </c>
      <c r="Z234">
        <f>DataLog_T717420_Aug11_4_59_37pm[[#This Row],[HPFP PRES. '[BAR']]]-Table3[[#This Row],[58F0]]</f>
        <v>0</v>
      </c>
      <c r="AA234">
        <f>DataLog_T717420_Aug11_4_59_37pm[[#This Row],[COOLANT TEMP '[Â°C']]]-Table3[[#This Row],[5805]]</f>
        <v>0</v>
      </c>
      <c r="AB234">
        <f>DataLog_T717420_Aug11_4_59_37pm[[#This Row],[BOOST '[BAR']]]-Table3[[#This Row],[58DD]]</f>
        <v>0</v>
      </c>
    </row>
    <row r="235" spans="2:28" x14ac:dyDescent="0.25">
      <c r="B235" s="2" t="s">
        <v>23</v>
      </c>
      <c r="C235" s="2" t="s">
        <v>30</v>
      </c>
      <c r="D235" s="2" t="s">
        <v>25</v>
      </c>
      <c r="E235" s="2" t="s">
        <v>49</v>
      </c>
      <c r="F235" s="2" t="s">
        <v>26</v>
      </c>
      <c r="G235" s="2" t="s">
        <v>27</v>
      </c>
      <c r="I235">
        <f>HEX2DEC(_0811_173439[[#This Row],[580C]])*B$4/B$5+B$6</f>
        <v>0</v>
      </c>
      <c r="J235">
        <f>HEX2DEC(_0811_173439[[#This Row],[4402]])*C$4/C$5+C$6</f>
        <v>36</v>
      </c>
      <c r="K235">
        <f>HEX2DEC(_0811_173439[[#This Row],[580F]])*D$4/D$5+D$6</f>
        <v>30.75</v>
      </c>
      <c r="L235">
        <f>ROUND(HEX2DEC(_0811_173439[[#This Row],[58F0]])*E$4/E$5+E$6,0)</f>
        <v>82</v>
      </c>
      <c r="M235">
        <f>ROUND(HEX2DEC(_0811_173439[[#This Row],[5805]])*F$4/F$5+F$6,0)</f>
        <v>42</v>
      </c>
      <c r="N235">
        <f>ROUND(HEX2DEC(_0811_173439[[#This Row],[58DD]])*G$4/G$5+G$6,2)</f>
        <v>-0.03</v>
      </c>
      <c r="P235">
        <v>0</v>
      </c>
      <c r="Q235">
        <v>36</v>
      </c>
      <c r="R235">
        <v>30.75</v>
      </c>
      <c r="S235">
        <v>82</v>
      </c>
      <c r="T235">
        <v>42</v>
      </c>
      <c r="U235">
        <v>-0.03</v>
      </c>
      <c r="W235">
        <f>DataLog_T717420_Aug11_4_59_37pm[[#This Row],[RPM '[1/MIN']]]-Table3[[#This Row],[580C]]</f>
        <v>0</v>
      </c>
      <c r="X235">
        <f>DataLog_T717420_Aug11_4_59_37pm[[#This Row],[OIL TEMP '[Â°C']]]-Table3[[#This Row],[4402]]</f>
        <v>0</v>
      </c>
      <c r="Y235">
        <f>DataLog_T717420_Aug11_4_59_37pm[[#This Row],[INTAKE TEMP '[Â°C']]]-Table3[[#This Row],[580F]]</f>
        <v>0</v>
      </c>
      <c r="Z235">
        <f>DataLog_T717420_Aug11_4_59_37pm[[#This Row],[HPFP PRES. '[BAR']]]-Table3[[#This Row],[58F0]]</f>
        <v>0</v>
      </c>
      <c r="AA235">
        <f>DataLog_T717420_Aug11_4_59_37pm[[#This Row],[COOLANT TEMP '[Â°C']]]-Table3[[#This Row],[5805]]</f>
        <v>0</v>
      </c>
      <c r="AB235">
        <f>DataLog_T717420_Aug11_4_59_37pm[[#This Row],[BOOST '[BAR']]]-Table3[[#This Row],[58DD]]</f>
        <v>0</v>
      </c>
    </row>
    <row r="236" spans="2:28" x14ac:dyDescent="0.25">
      <c r="B236" s="2" t="s">
        <v>23</v>
      </c>
      <c r="C236" s="2" t="s">
        <v>30</v>
      </c>
      <c r="D236" s="2" t="s">
        <v>25</v>
      </c>
      <c r="E236" s="2" t="s">
        <v>49</v>
      </c>
      <c r="F236" s="2" t="s">
        <v>26</v>
      </c>
      <c r="G236" s="2" t="s">
        <v>28</v>
      </c>
      <c r="I236">
        <f>HEX2DEC(_0811_173439[[#This Row],[580C]])*B$4/B$5+B$6</f>
        <v>0</v>
      </c>
      <c r="J236">
        <f>HEX2DEC(_0811_173439[[#This Row],[4402]])*C$4/C$5+C$6</f>
        <v>36</v>
      </c>
      <c r="K236">
        <f>HEX2DEC(_0811_173439[[#This Row],[580F]])*D$4/D$5+D$6</f>
        <v>30.75</v>
      </c>
      <c r="L236">
        <f>ROUND(HEX2DEC(_0811_173439[[#This Row],[58F0]])*E$4/E$5+E$6,0)</f>
        <v>82</v>
      </c>
      <c r="M236">
        <f>ROUND(HEX2DEC(_0811_173439[[#This Row],[5805]])*F$4/F$5+F$6,0)</f>
        <v>42</v>
      </c>
      <c r="N236">
        <f>ROUND(HEX2DEC(_0811_173439[[#This Row],[58DD]])*G$4/G$5+G$6,2)</f>
        <v>-0.02</v>
      </c>
      <c r="P236">
        <v>0</v>
      </c>
      <c r="Q236">
        <v>36</v>
      </c>
      <c r="R236">
        <v>30.75</v>
      </c>
      <c r="S236">
        <v>82</v>
      </c>
      <c r="T236">
        <v>42</v>
      </c>
      <c r="U236">
        <v>-0.02</v>
      </c>
      <c r="W236">
        <f>DataLog_T717420_Aug11_4_59_37pm[[#This Row],[RPM '[1/MIN']]]-Table3[[#This Row],[580C]]</f>
        <v>0</v>
      </c>
      <c r="X236">
        <f>DataLog_T717420_Aug11_4_59_37pm[[#This Row],[OIL TEMP '[Â°C']]]-Table3[[#This Row],[4402]]</f>
        <v>0</v>
      </c>
      <c r="Y236">
        <f>DataLog_T717420_Aug11_4_59_37pm[[#This Row],[INTAKE TEMP '[Â°C']]]-Table3[[#This Row],[580F]]</f>
        <v>0</v>
      </c>
      <c r="Z236">
        <f>DataLog_T717420_Aug11_4_59_37pm[[#This Row],[HPFP PRES. '[BAR']]]-Table3[[#This Row],[58F0]]</f>
        <v>0</v>
      </c>
      <c r="AA236">
        <f>DataLog_T717420_Aug11_4_59_37pm[[#This Row],[COOLANT TEMP '[Â°C']]]-Table3[[#This Row],[5805]]</f>
        <v>0</v>
      </c>
      <c r="AB236">
        <f>DataLog_T717420_Aug11_4_59_37pm[[#This Row],[BOOST '[BAR']]]-Table3[[#This Row],[58DD]]</f>
        <v>0</v>
      </c>
    </row>
    <row r="237" spans="2:28" x14ac:dyDescent="0.25">
      <c r="B237" s="2" t="s">
        <v>23</v>
      </c>
      <c r="C237" s="2" t="s">
        <v>30</v>
      </c>
      <c r="D237" s="2" t="s">
        <v>25</v>
      </c>
      <c r="E237" s="2" t="s">
        <v>49</v>
      </c>
      <c r="F237" s="2" t="s">
        <v>26</v>
      </c>
      <c r="G237" s="2" t="s">
        <v>27</v>
      </c>
      <c r="I237">
        <f>HEX2DEC(_0811_173439[[#This Row],[580C]])*B$4/B$5+B$6</f>
        <v>0</v>
      </c>
      <c r="J237">
        <f>HEX2DEC(_0811_173439[[#This Row],[4402]])*C$4/C$5+C$6</f>
        <v>36</v>
      </c>
      <c r="K237">
        <f>HEX2DEC(_0811_173439[[#This Row],[580F]])*D$4/D$5+D$6</f>
        <v>30.75</v>
      </c>
      <c r="L237">
        <f>ROUND(HEX2DEC(_0811_173439[[#This Row],[58F0]])*E$4/E$5+E$6,0)</f>
        <v>82</v>
      </c>
      <c r="M237">
        <f>ROUND(HEX2DEC(_0811_173439[[#This Row],[5805]])*F$4/F$5+F$6,0)</f>
        <v>42</v>
      </c>
      <c r="N237">
        <f>ROUND(HEX2DEC(_0811_173439[[#This Row],[58DD]])*G$4/G$5+G$6,2)</f>
        <v>-0.03</v>
      </c>
      <c r="P237">
        <v>0</v>
      </c>
      <c r="Q237">
        <v>36</v>
      </c>
      <c r="R237">
        <v>30.75</v>
      </c>
      <c r="S237">
        <v>82</v>
      </c>
      <c r="T237">
        <v>42</v>
      </c>
      <c r="U237">
        <v>-0.03</v>
      </c>
      <c r="W237">
        <f>DataLog_T717420_Aug11_4_59_37pm[[#This Row],[RPM '[1/MIN']]]-Table3[[#This Row],[580C]]</f>
        <v>0</v>
      </c>
      <c r="X237">
        <f>DataLog_T717420_Aug11_4_59_37pm[[#This Row],[OIL TEMP '[Â°C']]]-Table3[[#This Row],[4402]]</f>
        <v>0</v>
      </c>
      <c r="Y237">
        <f>DataLog_T717420_Aug11_4_59_37pm[[#This Row],[INTAKE TEMP '[Â°C']]]-Table3[[#This Row],[580F]]</f>
        <v>0</v>
      </c>
      <c r="Z237">
        <f>DataLog_T717420_Aug11_4_59_37pm[[#This Row],[HPFP PRES. '[BAR']]]-Table3[[#This Row],[58F0]]</f>
        <v>0</v>
      </c>
      <c r="AA237">
        <f>DataLog_T717420_Aug11_4_59_37pm[[#This Row],[COOLANT TEMP '[Â°C']]]-Table3[[#This Row],[5805]]</f>
        <v>0</v>
      </c>
      <c r="AB237">
        <f>DataLog_T717420_Aug11_4_59_37pm[[#This Row],[BOOST '[BAR']]]-Table3[[#This Row],[58DD]]</f>
        <v>0</v>
      </c>
    </row>
    <row r="238" spans="2:28" x14ac:dyDescent="0.25">
      <c r="B238" s="2" t="s">
        <v>23</v>
      </c>
      <c r="C238" s="2" t="s">
        <v>30</v>
      </c>
      <c r="D238" s="2" t="s">
        <v>25</v>
      </c>
      <c r="E238" s="2" t="s">
        <v>49</v>
      </c>
      <c r="F238" s="2" t="s">
        <v>26</v>
      </c>
      <c r="G238" s="2" t="s">
        <v>27</v>
      </c>
      <c r="I238">
        <f>HEX2DEC(_0811_173439[[#This Row],[580C]])*B$4/B$5+B$6</f>
        <v>0</v>
      </c>
      <c r="J238">
        <f>HEX2DEC(_0811_173439[[#This Row],[4402]])*C$4/C$5+C$6</f>
        <v>36</v>
      </c>
      <c r="K238">
        <f>HEX2DEC(_0811_173439[[#This Row],[580F]])*D$4/D$5+D$6</f>
        <v>30.75</v>
      </c>
      <c r="L238">
        <f>ROUND(HEX2DEC(_0811_173439[[#This Row],[58F0]])*E$4/E$5+E$6,0)</f>
        <v>82</v>
      </c>
      <c r="M238">
        <f>ROUND(HEX2DEC(_0811_173439[[#This Row],[5805]])*F$4/F$5+F$6,0)</f>
        <v>42</v>
      </c>
      <c r="N238">
        <f>ROUND(HEX2DEC(_0811_173439[[#This Row],[58DD]])*G$4/G$5+G$6,2)</f>
        <v>-0.03</v>
      </c>
      <c r="P238">
        <v>0</v>
      </c>
      <c r="Q238">
        <v>36</v>
      </c>
      <c r="R238">
        <v>30.75</v>
      </c>
      <c r="S238">
        <v>82</v>
      </c>
      <c r="T238">
        <v>42</v>
      </c>
      <c r="U238">
        <v>-0.03</v>
      </c>
      <c r="W238">
        <f>DataLog_T717420_Aug11_4_59_37pm[[#This Row],[RPM '[1/MIN']]]-Table3[[#This Row],[580C]]</f>
        <v>0</v>
      </c>
      <c r="X238">
        <f>DataLog_T717420_Aug11_4_59_37pm[[#This Row],[OIL TEMP '[Â°C']]]-Table3[[#This Row],[4402]]</f>
        <v>0</v>
      </c>
      <c r="Y238">
        <f>DataLog_T717420_Aug11_4_59_37pm[[#This Row],[INTAKE TEMP '[Â°C']]]-Table3[[#This Row],[580F]]</f>
        <v>0</v>
      </c>
      <c r="Z238">
        <f>DataLog_T717420_Aug11_4_59_37pm[[#This Row],[HPFP PRES. '[BAR']]]-Table3[[#This Row],[58F0]]</f>
        <v>0</v>
      </c>
      <c r="AA238">
        <f>DataLog_T717420_Aug11_4_59_37pm[[#This Row],[COOLANT TEMP '[Â°C']]]-Table3[[#This Row],[5805]]</f>
        <v>0</v>
      </c>
      <c r="AB238">
        <f>DataLog_T717420_Aug11_4_59_37pm[[#This Row],[BOOST '[BAR']]]-Table3[[#This Row],[58DD]]</f>
        <v>0</v>
      </c>
    </row>
    <row r="239" spans="2:28" x14ac:dyDescent="0.25">
      <c r="B239" s="2" t="s">
        <v>23</v>
      </c>
      <c r="C239" s="2" t="s">
        <v>30</v>
      </c>
      <c r="D239" s="2" t="s">
        <v>25</v>
      </c>
      <c r="E239" s="2" t="s">
        <v>49</v>
      </c>
      <c r="F239" s="2" t="s">
        <v>26</v>
      </c>
      <c r="G239" s="2" t="s">
        <v>28</v>
      </c>
      <c r="I239">
        <f>HEX2DEC(_0811_173439[[#This Row],[580C]])*B$4/B$5+B$6</f>
        <v>0</v>
      </c>
      <c r="J239">
        <f>HEX2DEC(_0811_173439[[#This Row],[4402]])*C$4/C$5+C$6</f>
        <v>36</v>
      </c>
      <c r="K239">
        <f>HEX2DEC(_0811_173439[[#This Row],[580F]])*D$4/D$5+D$6</f>
        <v>30.75</v>
      </c>
      <c r="L239">
        <f>ROUND(HEX2DEC(_0811_173439[[#This Row],[58F0]])*E$4/E$5+E$6,0)</f>
        <v>82</v>
      </c>
      <c r="M239">
        <f>ROUND(HEX2DEC(_0811_173439[[#This Row],[5805]])*F$4/F$5+F$6,0)</f>
        <v>42</v>
      </c>
      <c r="N239">
        <f>ROUND(HEX2DEC(_0811_173439[[#This Row],[58DD]])*G$4/G$5+G$6,2)</f>
        <v>-0.02</v>
      </c>
      <c r="P239">
        <v>0</v>
      </c>
      <c r="Q239">
        <v>36</v>
      </c>
      <c r="R239">
        <v>30.75</v>
      </c>
      <c r="S239">
        <v>82</v>
      </c>
      <c r="T239">
        <v>42</v>
      </c>
      <c r="U239">
        <v>-0.02</v>
      </c>
      <c r="W239">
        <f>DataLog_T717420_Aug11_4_59_37pm[[#This Row],[RPM '[1/MIN']]]-Table3[[#This Row],[580C]]</f>
        <v>0</v>
      </c>
      <c r="X239">
        <f>DataLog_T717420_Aug11_4_59_37pm[[#This Row],[OIL TEMP '[Â°C']]]-Table3[[#This Row],[4402]]</f>
        <v>0</v>
      </c>
      <c r="Y239">
        <f>DataLog_T717420_Aug11_4_59_37pm[[#This Row],[INTAKE TEMP '[Â°C']]]-Table3[[#This Row],[580F]]</f>
        <v>0</v>
      </c>
      <c r="Z239">
        <f>DataLog_T717420_Aug11_4_59_37pm[[#This Row],[HPFP PRES. '[BAR']]]-Table3[[#This Row],[58F0]]</f>
        <v>0</v>
      </c>
      <c r="AA239">
        <f>DataLog_T717420_Aug11_4_59_37pm[[#This Row],[COOLANT TEMP '[Â°C']]]-Table3[[#This Row],[5805]]</f>
        <v>0</v>
      </c>
      <c r="AB239">
        <f>DataLog_T717420_Aug11_4_59_37pm[[#This Row],[BOOST '[BAR']]]-Table3[[#This Row],[58DD]]</f>
        <v>0</v>
      </c>
    </row>
    <row r="240" spans="2:28" x14ac:dyDescent="0.25">
      <c r="B240" s="2" t="s">
        <v>23</v>
      </c>
      <c r="C240" s="2" t="s">
        <v>30</v>
      </c>
      <c r="D240" s="2" t="s">
        <v>25</v>
      </c>
      <c r="E240" s="2" t="s">
        <v>49</v>
      </c>
      <c r="F240" s="2" t="s">
        <v>26</v>
      </c>
      <c r="G240" s="2" t="s">
        <v>27</v>
      </c>
      <c r="I240">
        <f>HEX2DEC(_0811_173439[[#This Row],[580C]])*B$4/B$5+B$6</f>
        <v>0</v>
      </c>
      <c r="J240">
        <f>HEX2DEC(_0811_173439[[#This Row],[4402]])*C$4/C$5+C$6</f>
        <v>36</v>
      </c>
      <c r="K240">
        <f>HEX2DEC(_0811_173439[[#This Row],[580F]])*D$4/D$5+D$6</f>
        <v>30.75</v>
      </c>
      <c r="L240">
        <f>ROUND(HEX2DEC(_0811_173439[[#This Row],[58F0]])*E$4/E$5+E$6,0)</f>
        <v>82</v>
      </c>
      <c r="M240">
        <f>ROUND(HEX2DEC(_0811_173439[[#This Row],[5805]])*F$4/F$5+F$6,0)</f>
        <v>42</v>
      </c>
      <c r="N240">
        <f>ROUND(HEX2DEC(_0811_173439[[#This Row],[58DD]])*G$4/G$5+G$6,2)</f>
        <v>-0.03</v>
      </c>
      <c r="P240">
        <v>0</v>
      </c>
      <c r="Q240">
        <v>36</v>
      </c>
      <c r="R240">
        <v>30.75</v>
      </c>
      <c r="S240">
        <v>82</v>
      </c>
      <c r="T240">
        <v>42</v>
      </c>
      <c r="U240">
        <v>-0.03</v>
      </c>
      <c r="W240">
        <f>DataLog_T717420_Aug11_4_59_37pm[[#This Row],[RPM '[1/MIN']]]-Table3[[#This Row],[580C]]</f>
        <v>0</v>
      </c>
      <c r="X240">
        <f>DataLog_T717420_Aug11_4_59_37pm[[#This Row],[OIL TEMP '[Â°C']]]-Table3[[#This Row],[4402]]</f>
        <v>0</v>
      </c>
      <c r="Y240">
        <f>DataLog_T717420_Aug11_4_59_37pm[[#This Row],[INTAKE TEMP '[Â°C']]]-Table3[[#This Row],[580F]]</f>
        <v>0</v>
      </c>
      <c r="Z240">
        <f>DataLog_T717420_Aug11_4_59_37pm[[#This Row],[HPFP PRES. '[BAR']]]-Table3[[#This Row],[58F0]]</f>
        <v>0</v>
      </c>
      <c r="AA240">
        <f>DataLog_T717420_Aug11_4_59_37pm[[#This Row],[COOLANT TEMP '[Â°C']]]-Table3[[#This Row],[5805]]</f>
        <v>0</v>
      </c>
      <c r="AB240">
        <f>DataLog_T717420_Aug11_4_59_37pm[[#This Row],[BOOST '[BAR']]]-Table3[[#This Row],[58DD]]</f>
        <v>0</v>
      </c>
    </row>
    <row r="241" spans="2:28" x14ac:dyDescent="0.25">
      <c r="B241" s="2" t="s">
        <v>23</v>
      </c>
      <c r="C241" s="2" t="s">
        <v>30</v>
      </c>
      <c r="D241" s="2" t="s">
        <v>25</v>
      </c>
      <c r="E241" s="2" t="s">
        <v>49</v>
      </c>
      <c r="F241" s="2" t="s">
        <v>26</v>
      </c>
      <c r="G241" s="2" t="s">
        <v>27</v>
      </c>
      <c r="I241">
        <f>HEX2DEC(_0811_173439[[#This Row],[580C]])*B$4/B$5+B$6</f>
        <v>0</v>
      </c>
      <c r="J241">
        <f>HEX2DEC(_0811_173439[[#This Row],[4402]])*C$4/C$5+C$6</f>
        <v>36</v>
      </c>
      <c r="K241">
        <f>HEX2DEC(_0811_173439[[#This Row],[580F]])*D$4/D$5+D$6</f>
        <v>30.75</v>
      </c>
      <c r="L241">
        <f>ROUND(HEX2DEC(_0811_173439[[#This Row],[58F0]])*E$4/E$5+E$6,0)</f>
        <v>82</v>
      </c>
      <c r="M241">
        <f>ROUND(HEX2DEC(_0811_173439[[#This Row],[5805]])*F$4/F$5+F$6,0)</f>
        <v>42</v>
      </c>
      <c r="N241">
        <f>ROUND(HEX2DEC(_0811_173439[[#This Row],[58DD]])*G$4/G$5+G$6,2)</f>
        <v>-0.03</v>
      </c>
      <c r="P241">
        <v>0</v>
      </c>
      <c r="Q241">
        <v>36</v>
      </c>
      <c r="R241">
        <v>30.75</v>
      </c>
      <c r="S241">
        <v>82</v>
      </c>
      <c r="T241">
        <v>42</v>
      </c>
      <c r="U241">
        <v>-0.03</v>
      </c>
      <c r="W241">
        <f>DataLog_T717420_Aug11_4_59_37pm[[#This Row],[RPM '[1/MIN']]]-Table3[[#This Row],[580C]]</f>
        <v>0</v>
      </c>
      <c r="X241">
        <f>DataLog_T717420_Aug11_4_59_37pm[[#This Row],[OIL TEMP '[Â°C']]]-Table3[[#This Row],[4402]]</f>
        <v>0</v>
      </c>
      <c r="Y241">
        <f>DataLog_T717420_Aug11_4_59_37pm[[#This Row],[INTAKE TEMP '[Â°C']]]-Table3[[#This Row],[580F]]</f>
        <v>0</v>
      </c>
      <c r="Z241">
        <f>DataLog_T717420_Aug11_4_59_37pm[[#This Row],[HPFP PRES. '[BAR']]]-Table3[[#This Row],[58F0]]</f>
        <v>0</v>
      </c>
      <c r="AA241">
        <f>DataLog_T717420_Aug11_4_59_37pm[[#This Row],[COOLANT TEMP '[Â°C']]]-Table3[[#This Row],[5805]]</f>
        <v>0</v>
      </c>
      <c r="AB241">
        <f>DataLog_T717420_Aug11_4_59_37pm[[#This Row],[BOOST '[BAR']]]-Table3[[#This Row],[58DD]]</f>
        <v>0</v>
      </c>
    </row>
    <row r="242" spans="2:28" x14ac:dyDescent="0.25">
      <c r="B242" s="2" t="s">
        <v>23</v>
      </c>
      <c r="C242" s="2" t="s">
        <v>30</v>
      </c>
      <c r="D242" s="2" t="s">
        <v>25</v>
      </c>
      <c r="E242" s="2" t="s">
        <v>49</v>
      </c>
      <c r="F242" s="2" t="s">
        <v>26</v>
      </c>
      <c r="G242" s="2" t="s">
        <v>27</v>
      </c>
      <c r="I242">
        <f>HEX2DEC(_0811_173439[[#This Row],[580C]])*B$4/B$5+B$6</f>
        <v>0</v>
      </c>
      <c r="J242">
        <f>HEX2DEC(_0811_173439[[#This Row],[4402]])*C$4/C$5+C$6</f>
        <v>36</v>
      </c>
      <c r="K242">
        <f>HEX2DEC(_0811_173439[[#This Row],[580F]])*D$4/D$5+D$6</f>
        <v>30.75</v>
      </c>
      <c r="L242">
        <f>ROUND(HEX2DEC(_0811_173439[[#This Row],[58F0]])*E$4/E$5+E$6,0)</f>
        <v>82</v>
      </c>
      <c r="M242">
        <f>ROUND(HEX2DEC(_0811_173439[[#This Row],[5805]])*F$4/F$5+F$6,0)</f>
        <v>42</v>
      </c>
      <c r="N242">
        <f>ROUND(HEX2DEC(_0811_173439[[#This Row],[58DD]])*G$4/G$5+G$6,2)</f>
        <v>-0.03</v>
      </c>
      <c r="P242">
        <v>0</v>
      </c>
      <c r="Q242">
        <v>36</v>
      </c>
      <c r="R242">
        <v>30.75</v>
      </c>
      <c r="S242">
        <v>82</v>
      </c>
      <c r="T242">
        <v>42</v>
      </c>
      <c r="U242">
        <v>-0.03</v>
      </c>
      <c r="W242">
        <f>DataLog_T717420_Aug11_4_59_37pm[[#This Row],[RPM '[1/MIN']]]-Table3[[#This Row],[580C]]</f>
        <v>0</v>
      </c>
      <c r="X242">
        <f>DataLog_T717420_Aug11_4_59_37pm[[#This Row],[OIL TEMP '[Â°C']]]-Table3[[#This Row],[4402]]</f>
        <v>0</v>
      </c>
      <c r="Y242">
        <f>DataLog_T717420_Aug11_4_59_37pm[[#This Row],[INTAKE TEMP '[Â°C']]]-Table3[[#This Row],[580F]]</f>
        <v>0</v>
      </c>
      <c r="Z242">
        <f>DataLog_T717420_Aug11_4_59_37pm[[#This Row],[HPFP PRES. '[BAR']]]-Table3[[#This Row],[58F0]]</f>
        <v>0</v>
      </c>
      <c r="AA242">
        <f>DataLog_T717420_Aug11_4_59_37pm[[#This Row],[COOLANT TEMP '[Â°C']]]-Table3[[#This Row],[5805]]</f>
        <v>0</v>
      </c>
      <c r="AB242">
        <f>DataLog_T717420_Aug11_4_59_37pm[[#This Row],[BOOST '[BAR']]]-Table3[[#This Row],[58DD]]</f>
        <v>0</v>
      </c>
    </row>
    <row r="243" spans="2:28" x14ac:dyDescent="0.25">
      <c r="B243" s="2" t="s">
        <v>23</v>
      </c>
      <c r="C243" s="2" t="s">
        <v>30</v>
      </c>
      <c r="D243" s="2" t="s">
        <v>25</v>
      </c>
      <c r="E243" s="2" t="s">
        <v>49</v>
      </c>
      <c r="F243" s="2" t="s">
        <v>26</v>
      </c>
      <c r="G243" s="2" t="s">
        <v>27</v>
      </c>
      <c r="I243">
        <f>HEX2DEC(_0811_173439[[#This Row],[580C]])*B$4/B$5+B$6</f>
        <v>0</v>
      </c>
      <c r="J243">
        <f>HEX2DEC(_0811_173439[[#This Row],[4402]])*C$4/C$5+C$6</f>
        <v>36</v>
      </c>
      <c r="K243">
        <f>HEX2DEC(_0811_173439[[#This Row],[580F]])*D$4/D$5+D$6</f>
        <v>30.75</v>
      </c>
      <c r="L243">
        <f>ROUND(HEX2DEC(_0811_173439[[#This Row],[58F0]])*E$4/E$5+E$6,0)</f>
        <v>82</v>
      </c>
      <c r="M243">
        <f>ROUND(HEX2DEC(_0811_173439[[#This Row],[5805]])*F$4/F$5+F$6,0)</f>
        <v>42</v>
      </c>
      <c r="N243">
        <f>ROUND(HEX2DEC(_0811_173439[[#This Row],[58DD]])*G$4/G$5+G$6,2)</f>
        <v>-0.03</v>
      </c>
      <c r="P243">
        <v>0</v>
      </c>
      <c r="Q243">
        <v>36</v>
      </c>
      <c r="R243">
        <v>30.75</v>
      </c>
      <c r="S243">
        <v>82</v>
      </c>
      <c r="T243">
        <v>42</v>
      </c>
      <c r="U243">
        <v>-0.03</v>
      </c>
      <c r="W243">
        <f>DataLog_T717420_Aug11_4_59_37pm[[#This Row],[RPM '[1/MIN']]]-Table3[[#This Row],[580C]]</f>
        <v>0</v>
      </c>
      <c r="X243">
        <f>DataLog_T717420_Aug11_4_59_37pm[[#This Row],[OIL TEMP '[Â°C']]]-Table3[[#This Row],[4402]]</f>
        <v>0</v>
      </c>
      <c r="Y243">
        <f>DataLog_T717420_Aug11_4_59_37pm[[#This Row],[INTAKE TEMP '[Â°C']]]-Table3[[#This Row],[580F]]</f>
        <v>0</v>
      </c>
      <c r="Z243">
        <f>DataLog_T717420_Aug11_4_59_37pm[[#This Row],[HPFP PRES. '[BAR']]]-Table3[[#This Row],[58F0]]</f>
        <v>0</v>
      </c>
      <c r="AA243">
        <f>DataLog_T717420_Aug11_4_59_37pm[[#This Row],[COOLANT TEMP '[Â°C']]]-Table3[[#This Row],[5805]]</f>
        <v>0</v>
      </c>
      <c r="AB243">
        <f>DataLog_T717420_Aug11_4_59_37pm[[#This Row],[BOOST '[BAR']]]-Table3[[#This Row],[58DD]]</f>
        <v>0</v>
      </c>
    </row>
    <row r="244" spans="2:28" x14ac:dyDescent="0.25">
      <c r="B244" s="2" t="s">
        <v>23</v>
      </c>
      <c r="C244" s="2" t="s">
        <v>30</v>
      </c>
      <c r="D244" s="2" t="s">
        <v>25</v>
      </c>
      <c r="E244" s="2" t="s">
        <v>49</v>
      </c>
      <c r="F244" s="2" t="s">
        <v>26</v>
      </c>
      <c r="G244" s="2" t="s">
        <v>27</v>
      </c>
      <c r="I244">
        <f>HEX2DEC(_0811_173439[[#This Row],[580C]])*B$4/B$5+B$6</f>
        <v>0</v>
      </c>
      <c r="J244">
        <f>HEX2DEC(_0811_173439[[#This Row],[4402]])*C$4/C$5+C$6</f>
        <v>36</v>
      </c>
      <c r="K244">
        <f>HEX2DEC(_0811_173439[[#This Row],[580F]])*D$4/D$5+D$6</f>
        <v>30.75</v>
      </c>
      <c r="L244">
        <f>ROUND(HEX2DEC(_0811_173439[[#This Row],[58F0]])*E$4/E$5+E$6,0)</f>
        <v>82</v>
      </c>
      <c r="M244">
        <f>ROUND(HEX2DEC(_0811_173439[[#This Row],[5805]])*F$4/F$5+F$6,0)</f>
        <v>42</v>
      </c>
      <c r="N244">
        <f>ROUND(HEX2DEC(_0811_173439[[#This Row],[58DD]])*G$4/G$5+G$6,2)</f>
        <v>-0.03</v>
      </c>
      <c r="P244">
        <v>0</v>
      </c>
      <c r="Q244">
        <v>36</v>
      </c>
      <c r="R244">
        <v>30.75</v>
      </c>
      <c r="S244">
        <v>82</v>
      </c>
      <c r="T244">
        <v>42</v>
      </c>
      <c r="U244">
        <v>-0.03</v>
      </c>
      <c r="W244">
        <f>DataLog_T717420_Aug11_4_59_37pm[[#This Row],[RPM '[1/MIN']]]-Table3[[#This Row],[580C]]</f>
        <v>0</v>
      </c>
      <c r="X244">
        <f>DataLog_T717420_Aug11_4_59_37pm[[#This Row],[OIL TEMP '[Â°C']]]-Table3[[#This Row],[4402]]</f>
        <v>0</v>
      </c>
      <c r="Y244">
        <f>DataLog_T717420_Aug11_4_59_37pm[[#This Row],[INTAKE TEMP '[Â°C']]]-Table3[[#This Row],[580F]]</f>
        <v>0</v>
      </c>
      <c r="Z244">
        <f>DataLog_T717420_Aug11_4_59_37pm[[#This Row],[HPFP PRES. '[BAR']]]-Table3[[#This Row],[58F0]]</f>
        <v>0</v>
      </c>
      <c r="AA244">
        <f>DataLog_T717420_Aug11_4_59_37pm[[#This Row],[COOLANT TEMP '[Â°C']]]-Table3[[#This Row],[5805]]</f>
        <v>0</v>
      </c>
      <c r="AB244">
        <f>DataLog_T717420_Aug11_4_59_37pm[[#This Row],[BOOST '[BAR']]]-Table3[[#This Row],[58DD]]</f>
        <v>0</v>
      </c>
    </row>
    <row r="245" spans="2:28" x14ac:dyDescent="0.25">
      <c r="B245" s="2" t="s">
        <v>23</v>
      </c>
      <c r="C245" s="2" t="s">
        <v>30</v>
      </c>
      <c r="D245" s="2" t="s">
        <v>25</v>
      </c>
      <c r="E245" s="2" t="s">
        <v>49</v>
      </c>
      <c r="F245" s="2" t="s">
        <v>26</v>
      </c>
      <c r="G245" s="2" t="s">
        <v>28</v>
      </c>
      <c r="I245">
        <f>HEX2DEC(_0811_173439[[#This Row],[580C]])*B$4/B$5+B$6</f>
        <v>0</v>
      </c>
      <c r="J245">
        <f>HEX2DEC(_0811_173439[[#This Row],[4402]])*C$4/C$5+C$6</f>
        <v>36</v>
      </c>
      <c r="K245">
        <f>HEX2DEC(_0811_173439[[#This Row],[580F]])*D$4/D$5+D$6</f>
        <v>30.75</v>
      </c>
      <c r="L245">
        <f>ROUND(HEX2DEC(_0811_173439[[#This Row],[58F0]])*E$4/E$5+E$6,0)</f>
        <v>82</v>
      </c>
      <c r="M245">
        <f>ROUND(HEX2DEC(_0811_173439[[#This Row],[5805]])*F$4/F$5+F$6,0)</f>
        <v>42</v>
      </c>
      <c r="N245">
        <f>ROUND(HEX2DEC(_0811_173439[[#This Row],[58DD]])*G$4/G$5+G$6,2)</f>
        <v>-0.02</v>
      </c>
      <c r="P245">
        <v>0</v>
      </c>
      <c r="Q245">
        <v>36</v>
      </c>
      <c r="R245">
        <v>30.75</v>
      </c>
      <c r="S245">
        <v>82</v>
      </c>
      <c r="T245">
        <v>42</v>
      </c>
      <c r="U245">
        <v>-0.02</v>
      </c>
      <c r="W245">
        <f>DataLog_T717420_Aug11_4_59_37pm[[#This Row],[RPM '[1/MIN']]]-Table3[[#This Row],[580C]]</f>
        <v>0</v>
      </c>
      <c r="X245">
        <f>DataLog_T717420_Aug11_4_59_37pm[[#This Row],[OIL TEMP '[Â°C']]]-Table3[[#This Row],[4402]]</f>
        <v>0</v>
      </c>
      <c r="Y245">
        <f>DataLog_T717420_Aug11_4_59_37pm[[#This Row],[INTAKE TEMP '[Â°C']]]-Table3[[#This Row],[580F]]</f>
        <v>0</v>
      </c>
      <c r="Z245">
        <f>DataLog_T717420_Aug11_4_59_37pm[[#This Row],[HPFP PRES. '[BAR']]]-Table3[[#This Row],[58F0]]</f>
        <v>0</v>
      </c>
      <c r="AA245">
        <f>DataLog_T717420_Aug11_4_59_37pm[[#This Row],[COOLANT TEMP '[Â°C']]]-Table3[[#This Row],[5805]]</f>
        <v>0</v>
      </c>
      <c r="AB245">
        <f>DataLog_T717420_Aug11_4_59_37pm[[#This Row],[BOOST '[BAR']]]-Table3[[#This Row],[58DD]]</f>
        <v>0</v>
      </c>
    </row>
    <row r="246" spans="2:28" x14ac:dyDescent="0.25">
      <c r="B246" s="2" t="s">
        <v>23</v>
      </c>
      <c r="C246" s="2" t="s">
        <v>30</v>
      </c>
      <c r="D246" s="2" t="s">
        <v>25</v>
      </c>
      <c r="E246" s="2" t="s">
        <v>49</v>
      </c>
      <c r="F246" s="2" t="s">
        <v>26</v>
      </c>
      <c r="G246" s="2" t="s">
        <v>27</v>
      </c>
      <c r="I246">
        <f>HEX2DEC(_0811_173439[[#This Row],[580C]])*B$4/B$5+B$6</f>
        <v>0</v>
      </c>
      <c r="J246">
        <f>HEX2DEC(_0811_173439[[#This Row],[4402]])*C$4/C$5+C$6</f>
        <v>36</v>
      </c>
      <c r="K246">
        <f>HEX2DEC(_0811_173439[[#This Row],[580F]])*D$4/D$5+D$6</f>
        <v>30.75</v>
      </c>
      <c r="L246">
        <f>ROUND(HEX2DEC(_0811_173439[[#This Row],[58F0]])*E$4/E$5+E$6,0)</f>
        <v>82</v>
      </c>
      <c r="M246">
        <f>ROUND(HEX2DEC(_0811_173439[[#This Row],[5805]])*F$4/F$5+F$6,0)</f>
        <v>42</v>
      </c>
      <c r="N246">
        <f>ROUND(HEX2DEC(_0811_173439[[#This Row],[58DD]])*G$4/G$5+G$6,2)</f>
        <v>-0.03</v>
      </c>
      <c r="P246">
        <v>0</v>
      </c>
      <c r="Q246">
        <v>36</v>
      </c>
      <c r="R246">
        <v>30.75</v>
      </c>
      <c r="S246">
        <v>82</v>
      </c>
      <c r="T246">
        <v>42</v>
      </c>
      <c r="U246">
        <v>-0.03</v>
      </c>
      <c r="W246">
        <f>DataLog_T717420_Aug11_4_59_37pm[[#This Row],[RPM '[1/MIN']]]-Table3[[#This Row],[580C]]</f>
        <v>0</v>
      </c>
      <c r="X246">
        <f>DataLog_T717420_Aug11_4_59_37pm[[#This Row],[OIL TEMP '[Â°C']]]-Table3[[#This Row],[4402]]</f>
        <v>0</v>
      </c>
      <c r="Y246">
        <f>DataLog_T717420_Aug11_4_59_37pm[[#This Row],[INTAKE TEMP '[Â°C']]]-Table3[[#This Row],[580F]]</f>
        <v>0</v>
      </c>
      <c r="Z246">
        <f>DataLog_T717420_Aug11_4_59_37pm[[#This Row],[HPFP PRES. '[BAR']]]-Table3[[#This Row],[58F0]]</f>
        <v>0</v>
      </c>
      <c r="AA246">
        <f>DataLog_T717420_Aug11_4_59_37pm[[#This Row],[COOLANT TEMP '[Â°C']]]-Table3[[#This Row],[5805]]</f>
        <v>0</v>
      </c>
      <c r="AB246">
        <f>DataLog_T717420_Aug11_4_59_37pm[[#This Row],[BOOST '[BAR']]]-Table3[[#This Row],[58DD]]</f>
        <v>0</v>
      </c>
    </row>
    <row r="247" spans="2:28" x14ac:dyDescent="0.25">
      <c r="B247" s="2" t="s">
        <v>23</v>
      </c>
      <c r="C247" s="2" t="s">
        <v>30</v>
      </c>
      <c r="D247" s="2" t="s">
        <v>25</v>
      </c>
      <c r="E247" s="2" t="s">
        <v>49</v>
      </c>
      <c r="F247" s="2" t="s">
        <v>26</v>
      </c>
      <c r="G247" s="2" t="s">
        <v>27</v>
      </c>
      <c r="I247">
        <f>HEX2DEC(_0811_173439[[#This Row],[580C]])*B$4/B$5+B$6</f>
        <v>0</v>
      </c>
      <c r="J247">
        <f>HEX2DEC(_0811_173439[[#This Row],[4402]])*C$4/C$5+C$6</f>
        <v>36</v>
      </c>
      <c r="K247">
        <f>HEX2DEC(_0811_173439[[#This Row],[580F]])*D$4/D$5+D$6</f>
        <v>30.75</v>
      </c>
      <c r="L247">
        <f>ROUND(HEX2DEC(_0811_173439[[#This Row],[58F0]])*E$4/E$5+E$6,0)</f>
        <v>82</v>
      </c>
      <c r="M247">
        <f>ROUND(HEX2DEC(_0811_173439[[#This Row],[5805]])*F$4/F$5+F$6,0)</f>
        <v>42</v>
      </c>
      <c r="N247">
        <f>ROUND(HEX2DEC(_0811_173439[[#This Row],[58DD]])*G$4/G$5+G$6,2)</f>
        <v>-0.03</v>
      </c>
      <c r="P247">
        <v>0</v>
      </c>
      <c r="Q247">
        <v>36</v>
      </c>
      <c r="R247">
        <v>30.75</v>
      </c>
      <c r="S247">
        <v>82</v>
      </c>
      <c r="T247">
        <v>42</v>
      </c>
      <c r="U247">
        <v>-0.03</v>
      </c>
      <c r="W247">
        <f>DataLog_T717420_Aug11_4_59_37pm[[#This Row],[RPM '[1/MIN']]]-Table3[[#This Row],[580C]]</f>
        <v>0</v>
      </c>
      <c r="X247">
        <f>DataLog_T717420_Aug11_4_59_37pm[[#This Row],[OIL TEMP '[Â°C']]]-Table3[[#This Row],[4402]]</f>
        <v>0</v>
      </c>
      <c r="Y247">
        <f>DataLog_T717420_Aug11_4_59_37pm[[#This Row],[INTAKE TEMP '[Â°C']]]-Table3[[#This Row],[580F]]</f>
        <v>0</v>
      </c>
      <c r="Z247">
        <f>DataLog_T717420_Aug11_4_59_37pm[[#This Row],[HPFP PRES. '[BAR']]]-Table3[[#This Row],[58F0]]</f>
        <v>0</v>
      </c>
      <c r="AA247">
        <f>DataLog_T717420_Aug11_4_59_37pm[[#This Row],[COOLANT TEMP '[Â°C']]]-Table3[[#This Row],[5805]]</f>
        <v>0</v>
      </c>
      <c r="AB247">
        <f>DataLog_T717420_Aug11_4_59_37pm[[#This Row],[BOOST '[BAR']]]-Table3[[#This Row],[58DD]]</f>
        <v>0</v>
      </c>
    </row>
    <row r="248" spans="2:28" x14ac:dyDescent="0.25">
      <c r="B248" s="2" t="s">
        <v>23</v>
      </c>
      <c r="C248" s="2" t="s">
        <v>30</v>
      </c>
      <c r="D248" s="2" t="s">
        <v>25</v>
      </c>
      <c r="E248" s="2" t="s">
        <v>49</v>
      </c>
      <c r="F248" s="2" t="s">
        <v>26</v>
      </c>
      <c r="G248" s="2" t="s">
        <v>27</v>
      </c>
      <c r="I248">
        <f>HEX2DEC(_0811_173439[[#This Row],[580C]])*B$4/B$5+B$6</f>
        <v>0</v>
      </c>
      <c r="J248">
        <f>HEX2DEC(_0811_173439[[#This Row],[4402]])*C$4/C$5+C$6</f>
        <v>36</v>
      </c>
      <c r="K248">
        <f>HEX2DEC(_0811_173439[[#This Row],[580F]])*D$4/D$5+D$6</f>
        <v>30.75</v>
      </c>
      <c r="L248">
        <f>ROUND(HEX2DEC(_0811_173439[[#This Row],[58F0]])*E$4/E$5+E$6,0)</f>
        <v>82</v>
      </c>
      <c r="M248">
        <f>ROUND(HEX2DEC(_0811_173439[[#This Row],[5805]])*F$4/F$5+F$6,0)</f>
        <v>42</v>
      </c>
      <c r="N248">
        <f>ROUND(HEX2DEC(_0811_173439[[#This Row],[58DD]])*G$4/G$5+G$6,2)</f>
        <v>-0.03</v>
      </c>
      <c r="P248">
        <v>0</v>
      </c>
      <c r="Q248">
        <v>36</v>
      </c>
      <c r="R248">
        <v>30.75</v>
      </c>
      <c r="S248">
        <v>82</v>
      </c>
      <c r="T248">
        <v>42</v>
      </c>
      <c r="U248">
        <v>-0.03</v>
      </c>
      <c r="W248">
        <f>DataLog_T717420_Aug11_4_59_37pm[[#This Row],[RPM '[1/MIN']]]-Table3[[#This Row],[580C]]</f>
        <v>0</v>
      </c>
      <c r="X248">
        <f>DataLog_T717420_Aug11_4_59_37pm[[#This Row],[OIL TEMP '[Â°C']]]-Table3[[#This Row],[4402]]</f>
        <v>0</v>
      </c>
      <c r="Y248">
        <f>DataLog_T717420_Aug11_4_59_37pm[[#This Row],[INTAKE TEMP '[Â°C']]]-Table3[[#This Row],[580F]]</f>
        <v>0</v>
      </c>
      <c r="Z248">
        <f>DataLog_T717420_Aug11_4_59_37pm[[#This Row],[HPFP PRES. '[BAR']]]-Table3[[#This Row],[58F0]]</f>
        <v>0</v>
      </c>
      <c r="AA248">
        <f>DataLog_T717420_Aug11_4_59_37pm[[#This Row],[COOLANT TEMP '[Â°C']]]-Table3[[#This Row],[5805]]</f>
        <v>0</v>
      </c>
      <c r="AB248">
        <f>DataLog_T717420_Aug11_4_59_37pm[[#This Row],[BOOST '[BAR']]]-Table3[[#This Row],[58DD]]</f>
        <v>0</v>
      </c>
    </row>
    <row r="249" spans="2:28" x14ac:dyDescent="0.25">
      <c r="B249" s="2" t="s">
        <v>23</v>
      </c>
      <c r="C249" s="2" t="s">
        <v>30</v>
      </c>
      <c r="D249" s="2" t="s">
        <v>25</v>
      </c>
      <c r="E249" s="2" t="s">
        <v>49</v>
      </c>
      <c r="F249" s="2" t="s">
        <v>26</v>
      </c>
      <c r="G249" s="2" t="s">
        <v>28</v>
      </c>
      <c r="I249">
        <f>HEX2DEC(_0811_173439[[#This Row],[580C]])*B$4/B$5+B$6</f>
        <v>0</v>
      </c>
      <c r="J249">
        <f>HEX2DEC(_0811_173439[[#This Row],[4402]])*C$4/C$5+C$6</f>
        <v>36</v>
      </c>
      <c r="K249">
        <f>HEX2DEC(_0811_173439[[#This Row],[580F]])*D$4/D$5+D$6</f>
        <v>30.75</v>
      </c>
      <c r="L249">
        <f>ROUND(HEX2DEC(_0811_173439[[#This Row],[58F0]])*E$4/E$5+E$6,0)</f>
        <v>82</v>
      </c>
      <c r="M249">
        <f>ROUND(HEX2DEC(_0811_173439[[#This Row],[5805]])*F$4/F$5+F$6,0)</f>
        <v>42</v>
      </c>
      <c r="N249">
        <f>ROUND(HEX2DEC(_0811_173439[[#This Row],[58DD]])*G$4/G$5+G$6,2)</f>
        <v>-0.02</v>
      </c>
      <c r="P249">
        <v>0</v>
      </c>
      <c r="Q249">
        <v>36</v>
      </c>
      <c r="R249">
        <v>30.75</v>
      </c>
      <c r="S249">
        <v>82</v>
      </c>
      <c r="T249">
        <v>42</v>
      </c>
      <c r="U249">
        <v>-0.02</v>
      </c>
      <c r="W249">
        <f>DataLog_T717420_Aug11_4_59_37pm[[#This Row],[RPM '[1/MIN']]]-Table3[[#This Row],[580C]]</f>
        <v>0</v>
      </c>
      <c r="X249">
        <f>DataLog_T717420_Aug11_4_59_37pm[[#This Row],[OIL TEMP '[Â°C']]]-Table3[[#This Row],[4402]]</f>
        <v>0</v>
      </c>
      <c r="Y249">
        <f>DataLog_T717420_Aug11_4_59_37pm[[#This Row],[INTAKE TEMP '[Â°C']]]-Table3[[#This Row],[580F]]</f>
        <v>0</v>
      </c>
      <c r="Z249">
        <f>DataLog_T717420_Aug11_4_59_37pm[[#This Row],[HPFP PRES. '[BAR']]]-Table3[[#This Row],[58F0]]</f>
        <v>0</v>
      </c>
      <c r="AA249">
        <f>DataLog_T717420_Aug11_4_59_37pm[[#This Row],[COOLANT TEMP '[Â°C']]]-Table3[[#This Row],[5805]]</f>
        <v>0</v>
      </c>
      <c r="AB249">
        <f>DataLog_T717420_Aug11_4_59_37pm[[#This Row],[BOOST '[BAR']]]-Table3[[#This Row],[58DD]]</f>
        <v>0</v>
      </c>
    </row>
    <row r="250" spans="2:28" x14ac:dyDescent="0.25">
      <c r="B250" s="2" t="s">
        <v>23</v>
      </c>
      <c r="C250" s="2" t="s">
        <v>30</v>
      </c>
      <c r="D250" s="2" t="s">
        <v>25</v>
      </c>
      <c r="E250" s="2" t="s">
        <v>49</v>
      </c>
      <c r="F250" s="2" t="s">
        <v>26</v>
      </c>
      <c r="G250" s="2" t="s">
        <v>27</v>
      </c>
      <c r="I250">
        <f>HEX2DEC(_0811_173439[[#This Row],[580C]])*B$4/B$5+B$6</f>
        <v>0</v>
      </c>
      <c r="J250">
        <f>HEX2DEC(_0811_173439[[#This Row],[4402]])*C$4/C$5+C$6</f>
        <v>36</v>
      </c>
      <c r="K250">
        <f>HEX2DEC(_0811_173439[[#This Row],[580F]])*D$4/D$5+D$6</f>
        <v>30.75</v>
      </c>
      <c r="L250">
        <f>ROUND(HEX2DEC(_0811_173439[[#This Row],[58F0]])*E$4/E$5+E$6,0)</f>
        <v>82</v>
      </c>
      <c r="M250">
        <f>ROUND(HEX2DEC(_0811_173439[[#This Row],[5805]])*F$4/F$5+F$6,0)</f>
        <v>42</v>
      </c>
      <c r="N250">
        <f>ROUND(HEX2DEC(_0811_173439[[#This Row],[58DD]])*G$4/G$5+G$6,2)</f>
        <v>-0.03</v>
      </c>
      <c r="P250">
        <v>0</v>
      </c>
      <c r="Q250">
        <v>36</v>
      </c>
      <c r="R250">
        <v>30.75</v>
      </c>
      <c r="S250">
        <v>82</v>
      </c>
      <c r="T250">
        <v>42</v>
      </c>
      <c r="U250">
        <v>-0.03</v>
      </c>
      <c r="W250">
        <f>DataLog_T717420_Aug11_4_59_37pm[[#This Row],[RPM '[1/MIN']]]-Table3[[#This Row],[580C]]</f>
        <v>0</v>
      </c>
      <c r="X250">
        <f>DataLog_T717420_Aug11_4_59_37pm[[#This Row],[OIL TEMP '[Â°C']]]-Table3[[#This Row],[4402]]</f>
        <v>0</v>
      </c>
      <c r="Y250">
        <f>DataLog_T717420_Aug11_4_59_37pm[[#This Row],[INTAKE TEMP '[Â°C']]]-Table3[[#This Row],[580F]]</f>
        <v>0</v>
      </c>
      <c r="Z250">
        <f>DataLog_T717420_Aug11_4_59_37pm[[#This Row],[HPFP PRES. '[BAR']]]-Table3[[#This Row],[58F0]]</f>
        <v>0</v>
      </c>
      <c r="AA250">
        <f>DataLog_T717420_Aug11_4_59_37pm[[#This Row],[COOLANT TEMP '[Â°C']]]-Table3[[#This Row],[5805]]</f>
        <v>0</v>
      </c>
      <c r="AB250">
        <f>DataLog_T717420_Aug11_4_59_37pm[[#This Row],[BOOST '[BAR']]]-Table3[[#This Row],[58DD]]</f>
        <v>0</v>
      </c>
    </row>
    <row r="251" spans="2:28" x14ac:dyDescent="0.25">
      <c r="B251" s="2" t="s">
        <v>23</v>
      </c>
      <c r="C251" s="2" t="s">
        <v>30</v>
      </c>
      <c r="D251" s="2" t="s">
        <v>25</v>
      </c>
      <c r="E251" s="2" t="s">
        <v>49</v>
      </c>
      <c r="F251" s="2" t="s">
        <v>26</v>
      </c>
      <c r="G251" s="2" t="s">
        <v>27</v>
      </c>
      <c r="I251">
        <f>HEX2DEC(_0811_173439[[#This Row],[580C]])*B$4/B$5+B$6</f>
        <v>0</v>
      </c>
      <c r="J251">
        <f>HEX2DEC(_0811_173439[[#This Row],[4402]])*C$4/C$5+C$6</f>
        <v>36</v>
      </c>
      <c r="K251">
        <f>HEX2DEC(_0811_173439[[#This Row],[580F]])*D$4/D$5+D$6</f>
        <v>30.75</v>
      </c>
      <c r="L251">
        <f>ROUND(HEX2DEC(_0811_173439[[#This Row],[58F0]])*E$4/E$5+E$6,0)</f>
        <v>82</v>
      </c>
      <c r="M251">
        <f>ROUND(HEX2DEC(_0811_173439[[#This Row],[5805]])*F$4/F$5+F$6,0)</f>
        <v>42</v>
      </c>
      <c r="N251">
        <f>ROUND(HEX2DEC(_0811_173439[[#This Row],[58DD]])*G$4/G$5+G$6,2)</f>
        <v>-0.03</v>
      </c>
      <c r="P251">
        <v>0</v>
      </c>
      <c r="Q251">
        <v>36</v>
      </c>
      <c r="R251">
        <v>30.75</v>
      </c>
      <c r="S251">
        <v>82</v>
      </c>
      <c r="T251">
        <v>42</v>
      </c>
      <c r="U251">
        <v>-0.03</v>
      </c>
      <c r="W251">
        <f>DataLog_T717420_Aug11_4_59_37pm[[#This Row],[RPM '[1/MIN']]]-Table3[[#This Row],[580C]]</f>
        <v>0</v>
      </c>
      <c r="X251">
        <f>DataLog_T717420_Aug11_4_59_37pm[[#This Row],[OIL TEMP '[Â°C']]]-Table3[[#This Row],[4402]]</f>
        <v>0</v>
      </c>
      <c r="Y251">
        <f>DataLog_T717420_Aug11_4_59_37pm[[#This Row],[INTAKE TEMP '[Â°C']]]-Table3[[#This Row],[580F]]</f>
        <v>0</v>
      </c>
      <c r="Z251">
        <f>DataLog_T717420_Aug11_4_59_37pm[[#This Row],[HPFP PRES. '[BAR']]]-Table3[[#This Row],[58F0]]</f>
        <v>0</v>
      </c>
      <c r="AA251">
        <f>DataLog_T717420_Aug11_4_59_37pm[[#This Row],[COOLANT TEMP '[Â°C']]]-Table3[[#This Row],[5805]]</f>
        <v>0</v>
      </c>
      <c r="AB251">
        <f>DataLog_T717420_Aug11_4_59_37pm[[#This Row],[BOOST '[BAR']]]-Table3[[#This Row],[58DD]]</f>
        <v>0</v>
      </c>
    </row>
    <row r="252" spans="2:28" x14ac:dyDescent="0.25">
      <c r="B252" s="2" t="s">
        <v>23</v>
      </c>
      <c r="C252" s="2" t="s">
        <v>30</v>
      </c>
      <c r="D252" s="2" t="s">
        <v>25</v>
      </c>
      <c r="E252" s="2" t="s">
        <v>49</v>
      </c>
      <c r="F252" s="2" t="s">
        <v>26</v>
      </c>
      <c r="G252" s="2" t="s">
        <v>28</v>
      </c>
      <c r="I252">
        <f>HEX2DEC(_0811_173439[[#This Row],[580C]])*B$4/B$5+B$6</f>
        <v>0</v>
      </c>
      <c r="J252">
        <f>HEX2DEC(_0811_173439[[#This Row],[4402]])*C$4/C$5+C$6</f>
        <v>36</v>
      </c>
      <c r="K252">
        <f>HEX2DEC(_0811_173439[[#This Row],[580F]])*D$4/D$5+D$6</f>
        <v>30.75</v>
      </c>
      <c r="L252">
        <f>ROUND(HEX2DEC(_0811_173439[[#This Row],[58F0]])*E$4/E$5+E$6,0)</f>
        <v>82</v>
      </c>
      <c r="M252">
        <f>ROUND(HEX2DEC(_0811_173439[[#This Row],[5805]])*F$4/F$5+F$6,0)</f>
        <v>42</v>
      </c>
      <c r="N252">
        <f>ROUND(HEX2DEC(_0811_173439[[#This Row],[58DD]])*G$4/G$5+G$6,2)</f>
        <v>-0.02</v>
      </c>
      <c r="P252">
        <v>0</v>
      </c>
      <c r="Q252">
        <v>36</v>
      </c>
      <c r="R252">
        <v>30.75</v>
      </c>
      <c r="S252">
        <v>82</v>
      </c>
      <c r="T252">
        <v>42</v>
      </c>
      <c r="U252">
        <v>-0.02</v>
      </c>
      <c r="W252">
        <f>DataLog_T717420_Aug11_4_59_37pm[[#This Row],[RPM '[1/MIN']]]-Table3[[#This Row],[580C]]</f>
        <v>0</v>
      </c>
      <c r="X252">
        <f>DataLog_T717420_Aug11_4_59_37pm[[#This Row],[OIL TEMP '[Â°C']]]-Table3[[#This Row],[4402]]</f>
        <v>0</v>
      </c>
      <c r="Y252">
        <f>DataLog_T717420_Aug11_4_59_37pm[[#This Row],[INTAKE TEMP '[Â°C']]]-Table3[[#This Row],[580F]]</f>
        <v>0</v>
      </c>
      <c r="Z252">
        <f>DataLog_T717420_Aug11_4_59_37pm[[#This Row],[HPFP PRES. '[BAR']]]-Table3[[#This Row],[58F0]]</f>
        <v>0</v>
      </c>
      <c r="AA252">
        <f>DataLog_T717420_Aug11_4_59_37pm[[#This Row],[COOLANT TEMP '[Â°C']]]-Table3[[#This Row],[5805]]</f>
        <v>0</v>
      </c>
      <c r="AB252">
        <f>DataLog_T717420_Aug11_4_59_37pm[[#This Row],[BOOST '[BAR']]]-Table3[[#This Row],[58DD]]</f>
        <v>0</v>
      </c>
    </row>
    <row r="253" spans="2:28" x14ac:dyDescent="0.25">
      <c r="B253" s="2" t="s">
        <v>23</v>
      </c>
      <c r="C253" s="2" t="s">
        <v>30</v>
      </c>
      <c r="D253" s="2" t="s">
        <v>25</v>
      </c>
      <c r="E253" s="2" t="s">
        <v>49</v>
      </c>
      <c r="F253" s="2" t="s">
        <v>26</v>
      </c>
      <c r="G253" s="2" t="s">
        <v>27</v>
      </c>
      <c r="I253">
        <f>HEX2DEC(_0811_173439[[#This Row],[580C]])*B$4/B$5+B$6</f>
        <v>0</v>
      </c>
      <c r="J253">
        <f>HEX2DEC(_0811_173439[[#This Row],[4402]])*C$4/C$5+C$6</f>
        <v>36</v>
      </c>
      <c r="K253">
        <f>HEX2DEC(_0811_173439[[#This Row],[580F]])*D$4/D$5+D$6</f>
        <v>30.75</v>
      </c>
      <c r="L253">
        <f>ROUND(HEX2DEC(_0811_173439[[#This Row],[58F0]])*E$4/E$5+E$6,0)</f>
        <v>82</v>
      </c>
      <c r="M253">
        <f>ROUND(HEX2DEC(_0811_173439[[#This Row],[5805]])*F$4/F$5+F$6,0)</f>
        <v>42</v>
      </c>
      <c r="N253">
        <f>ROUND(HEX2DEC(_0811_173439[[#This Row],[58DD]])*G$4/G$5+G$6,2)</f>
        <v>-0.03</v>
      </c>
      <c r="P253">
        <v>0</v>
      </c>
      <c r="Q253">
        <v>36</v>
      </c>
      <c r="R253">
        <v>30.75</v>
      </c>
      <c r="S253">
        <v>82</v>
      </c>
      <c r="T253">
        <v>42</v>
      </c>
      <c r="U253">
        <v>-0.03</v>
      </c>
      <c r="W253">
        <f>DataLog_T717420_Aug11_4_59_37pm[[#This Row],[RPM '[1/MIN']]]-Table3[[#This Row],[580C]]</f>
        <v>0</v>
      </c>
      <c r="X253">
        <f>DataLog_T717420_Aug11_4_59_37pm[[#This Row],[OIL TEMP '[Â°C']]]-Table3[[#This Row],[4402]]</f>
        <v>0</v>
      </c>
      <c r="Y253">
        <f>DataLog_T717420_Aug11_4_59_37pm[[#This Row],[INTAKE TEMP '[Â°C']]]-Table3[[#This Row],[580F]]</f>
        <v>0</v>
      </c>
      <c r="Z253">
        <f>DataLog_T717420_Aug11_4_59_37pm[[#This Row],[HPFP PRES. '[BAR']]]-Table3[[#This Row],[58F0]]</f>
        <v>0</v>
      </c>
      <c r="AA253">
        <f>DataLog_T717420_Aug11_4_59_37pm[[#This Row],[COOLANT TEMP '[Â°C']]]-Table3[[#This Row],[5805]]</f>
        <v>0</v>
      </c>
      <c r="AB253">
        <f>DataLog_T717420_Aug11_4_59_37pm[[#This Row],[BOOST '[BAR']]]-Table3[[#This Row],[58DD]]</f>
        <v>0</v>
      </c>
    </row>
    <row r="254" spans="2:28" x14ac:dyDescent="0.25">
      <c r="B254" s="2" t="s">
        <v>23</v>
      </c>
      <c r="C254" s="2" t="s">
        <v>30</v>
      </c>
      <c r="D254" s="2" t="s">
        <v>25</v>
      </c>
      <c r="E254" s="2" t="s">
        <v>49</v>
      </c>
      <c r="F254" s="2" t="s">
        <v>26</v>
      </c>
      <c r="G254" s="2" t="s">
        <v>27</v>
      </c>
      <c r="I254">
        <f>HEX2DEC(_0811_173439[[#This Row],[580C]])*B$4/B$5+B$6</f>
        <v>0</v>
      </c>
      <c r="J254">
        <f>HEX2DEC(_0811_173439[[#This Row],[4402]])*C$4/C$5+C$6</f>
        <v>36</v>
      </c>
      <c r="K254">
        <f>HEX2DEC(_0811_173439[[#This Row],[580F]])*D$4/D$5+D$6</f>
        <v>30.75</v>
      </c>
      <c r="L254">
        <f>ROUND(HEX2DEC(_0811_173439[[#This Row],[58F0]])*E$4/E$5+E$6,0)</f>
        <v>82</v>
      </c>
      <c r="M254">
        <f>ROUND(HEX2DEC(_0811_173439[[#This Row],[5805]])*F$4/F$5+F$6,0)</f>
        <v>42</v>
      </c>
      <c r="N254">
        <f>ROUND(HEX2DEC(_0811_173439[[#This Row],[58DD]])*G$4/G$5+G$6,2)</f>
        <v>-0.03</v>
      </c>
      <c r="P254">
        <v>0</v>
      </c>
      <c r="Q254">
        <v>36</v>
      </c>
      <c r="R254">
        <v>30.75</v>
      </c>
      <c r="S254">
        <v>82</v>
      </c>
      <c r="T254">
        <v>42</v>
      </c>
      <c r="U254">
        <v>-0.03</v>
      </c>
      <c r="W254">
        <f>DataLog_T717420_Aug11_4_59_37pm[[#This Row],[RPM '[1/MIN']]]-Table3[[#This Row],[580C]]</f>
        <v>0</v>
      </c>
      <c r="X254">
        <f>DataLog_T717420_Aug11_4_59_37pm[[#This Row],[OIL TEMP '[Â°C']]]-Table3[[#This Row],[4402]]</f>
        <v>0</v>
      </c>
      <c r="Y254">
        <f>DataLog_T717420_Aug11_4_59_37pm[[#This Row],[INTAKE TEMP '[Â°C']]]-Table3[[#This Row],[580F]]</f>
        <v>0</v>
      </c>
      <c r="Z254">
        <f>DataLog_T717420_Aug11_4_59_37pm[[#This Row],[HPFP PRES. '[BAR']]]-Table3[[#This Row],[58F0]]</f>
        <v>0</v>
      </c>
      <c r="AA254">
        <f>DataLog_T717420_Aug11_4_59_37pm[[#This Row],[COOLANT TEMP '[Â°C']]]-Table3[[#This Row],[5805]]</f>
        <v>0</v>
      </c>
      <c r="AB254">
        <f>DataLog_T717420_Aug11_4_59_37pm[[#This Row],[BOOST '[BAR']]]-Table3[[#This Row],[58DD]]</f>
        <v>0</v>
      </c>
    </row>
    <row r="255" spans="2:28" x14ac:dyDescent="0.25">
      <c r="B255" s="2" t="s">
        <v>23</v>
      </c>
      <c r="C255" s="2" t="s">
        <v>30</v>
      </c>
      <c r="D255" s="2" t="s">
        <v>25</v>
      </c>
      <c r="E255" s="2" t="s">
        <v>49</v>
      </c>
      <c r="F255" s="2" t="s">
        <v>26</v>
      </c>
      <c r="G255" s="2" t="s">
        <v>27</v>
      </c>
      <c r="I255">
        <f>HEX2DEC(_0811_173439[[#This Row],[580C]])*B$4/B$5+B$6</f>
        <v>0</v>
      </c>
      <c r="J255">
        <f>HEX2DEC(_0811_173439[[#This Row],[4402]])*C$4/C$5+C$6</f>
        <v>36</v>
      </c>
      <c r="K255">
        <f>HEX2DEC(_0811_173439[[#This Row],[580F]])*D$4/D$5+D$6</f>
        <v>30.75</v>
      </c>
      <c r="L255">
        <f>ROUND(HEX2DEC(_0811_173439[[#This Row],[58F0]])*E$4/E$5+E$6,0)</f>
        <v>82</v>
      </c>
      <c r="M255">
        <f>ROUND(HEX2DEC(_0811_173439[[#This Row],[5805]])*F$4/F$5+F$6,0)</f>
        <v>42</v>
      </c>
      <c r="N255">
        <f>ROUND(HEX2DEC(_0811_173439[[#This Row],[58DD]])*G$4/G$5+G$6,2)</f>
        <v>-0.03</v>
      </c>
      <c r="P255">
        <v>0</v>
      </c>
      <c r="Q255">
        <v>36</v>
      </c>
      <c r="R255">
        <v>30.75</v>
      </c>
      <c r="S255">
        <v>82</v>
      </c>
      <c r="T255">
        <v>42</v>
      </c>
      <c r="U255">
        <v>-0.03</v>
      </c>
      <c r="W255">
        <f>DataLog_T717420_Aug11_4_59_37pm[[#This Row],[RPM '[1/MIN']]]-Table3[[#This Row],[580C]]</f>
        <v>0</v>
      </c>
      <c r="X255">
        <f>DataLog_T717420_Aug11_4_59_37pm[[#This Row],[OIL TEMP '[Â°C']]]-Table3[[#This Row],[4402]]</f>
        <v>0</v>
      </c>
      <c r="Y255">
        <f>DataLog_T717420_Aug11_4_59_37pm[[#This Row],[INTAKE TEMP '[Â°C']]]-Table3[[#This Row],[580F]]</f>
        <v>0</v>
      </c>
      <c r="Z255">
        <f>DataLog_T717420_Aug11_4_59_37pm[[#This Row],[HPFP PRES. '[BAR']]]-Table3[[#This Row],[58F0]]</f>
        <v>0</v>
      </c>
      <c r="AA255">
        <f>DataLog_T717420_Aug11_4_59_37pm[[#This Row],[COOLANT TEMP '[Â°C']]]-Table3[[#This Row],[5805]]</f>
        <v>0</v>
      </c>
      <c r="AB255">
        <f>DataLog_T717420_Aug11_4_59_37pm[[#This Row],[BOOST '[BAR']]]-Table3[[#This Row],[58DD]]</f>
        <v>0</v>
      </c>
    </row>
    <row r="256" spans="2:28" x14ac:dyDescent="0.25">
      <c r="B256" s="2" t="s">
        <v>23</v>
      </c>
      <c r="C256" s="2" t="s">
        <v>30</v>
      </c>
      <c r="D256" s="2" t="s">
        <v>25</v>
      </c>
      <c r="E256" s="2" t="s">
        <v>49</v>
      </c>
      <c r="F256" s="2" t="s">
        <v>26</v>
      </c>
      <c r="G256" s="2" t="s">
        <v>28</v>
      </c>
      <c r="I256">
        <f>HEX2DEC(_0811_173439[[#This Row],[580C]])*B$4/B$5+B$6</f>
        <v>0</v>
      </c>
      <c r="J256">
        <f>HEX2DEC(_0811_173439[[#This Row],[4402]])*C$4/C$5+C$6</f>
        <v>36</v>
      </c>
      <c r="K256">
        <f>HEX2DEC(_0811_173439[[#This Row],[580F]])*D$4/D$5+D$6</f>
        <v>30.75</v>
      </c>
      <c r="L256">
        <f>ROUND(HEX2DEC(_0811_173439[[#This Row],[58F0]])*E$4/E$5+E$6,0)</f>
        <v>82</v>
      </c>
      <c r="M256">
        <f>ROUND(HEX2DEC(_0811_173439[[#This Row],[5805]])*F$4/F$5+F$6,0)</f>
        <v>42</v>
      </c>
      <c r="N256">
        <f>ROUND(HEX2DEC(_0811_173439[[#This Row],[58DD]])*G$4/G$5+G$6,2)</f>
        <v>-0.02</v>
      </c>
      <c r="P256">
        <v>0</v>
      </c>
      <c r="Q256">
        <v>36</v>
      </c>
      <c r="R256">
        <v>30.75</v>
      </c>
      <c r="S256">
        <v>82</v>
      </c>
      <c r="T256">
        <v>42</v>
      </c>
      <c r="U256">
        <v>-0.02</v>
      </c>
      <c r="W256">
        <f>DataLog_T717420_Aug11_4_59_37pm[[#This Row],[RPM '[1/MIN']]]-Table3[[#This Row],[580C]]</f>
        <v>0</v>
      </c>
      <c r="X256">
        <f>DataLog_T717420_Aug11_4_59_37pm[[#This Row],[OIL TEMP '[Â°C']]]-Table3[[#This Row],[4402]]</f>
        <v>0</v>
      </c>
      <c r="Y256">
        <f>DataLog_T717420_Aug11_4_59_37pm[[#This Row],[INTAKE TEMP '[Â°C']]]-Table3[[#This Row],[580F]]</f>
        <v>0</v>
      </c>
      <c r="Z256">
        <f>DataLog_T717420_Aug11_4_59_37pm[[#This Row],[HPFP PRES. '[BAR']]]-Table3[[#This Row],[58F0]]</f>
        <v>0</v>
      </c>
      <c r="AA256">
        <f>DataLog_T717420_Aug11_4_59_37pm[[#This Row],[COOLANT TEMP '[Â°C']]]-Table3[[#This Row],[5805]]</f>
        <v>0</v>
      </c>
      <c r="AB256">
        <f>DataLog_T717420_Aug11_4_59_37pm[[#This Row],[BOOST '[BAR']]]-Table3[[#This Row],[58DD]]</f>
        <v>0</v>
      </c>
    </row>
    <row r="257" spans="2:28" x14ac:dyDescent="0.25">
      <c r="B257" s="2" t="s">
        <v>23</v>
      </c>
      <c r="C257" s="2" t="s">
        <v>30</v>
      </c>
      <c r="D257" s="2" t="s">
        <v>25</v>
      </c>
      <c r="E257" s="2" t="s">
        <v>49</v>
      </c>
      <c r="F257" s="2" t="s">
        <v>26</v>
      </c>
      <c r="G257" s="2" t="s">
        <v>27</v>
      </c>
      <c r="I257">
        <f>HEX2DEC(_0811_173439[[#This Row],[580C]])*B$4/B$5+B$6</f>
        <v>0</v>
      </c>
      <c r="J257">
        <f>HEX2DEC(_0811_173439[[#This Row],[4402]])*C$4/C$5+C$6</f>
        <v>36</v>
      </c>
      <c r="K257">
        <f>HEX2DEC(_0811_173439[[#This Row],[580F]])*D$4/D$5+D$6</f>
        <v>30.75</v>
      </c>
      <c r="L257">
        <f>ROUND(HEX2DEC(_0811_173439[[#This Row],[58F0]])*E$4/E$5+E$6,0)</f>
        <v>82</v>
      </c>
      <c r="M257">
        <f>ROUND(HEX2DEC(_0811_173439[[#This Row],[5805]])*F$4/F$5+F$6,0)</f>
        <v>42</v>
      </c>
      <c r="N257">
        <f>ROUND(HEX2DEC(_0811_173439[[#This Row],[58DD]])*G$4/G$5+G$6,2)</f>
        <v>-0.03</v>
      </c>
      <c r="P257">
        <v>0</v>
      </c>
      <c r="Q257">
        <v>36</v>
      </c>
      <c r="R257">
        <v>30.75</v>
      </c>
      <c r="S257">
        <v>82</v>
      </c>
      <c r="T257">
        <v>42</v>
      </c>
      <c r="U257">
        <v>-0.03</v>
      </c>
      <c r="W257">
        <f>DataLog_T717420_Aug11_4_59_37pm[[#This Row],[RPM '[1/MIN']]]-Table3[[#This Row],[580C]]</f>
        <v>0</v>
      </c>
      <c r="X257">
        <f>DataLog_T717420_Aug11_4_59_37pm[[#This Row],[OIL TEMP '[Â°C']]]-Table3[[#This Row],[4402]]</f>
        <v>0</v>
      </c>
      <c r="Y257">
        <f>DataLog_T717420_Aug11_4_59_37pm[[#This Row],[INTAKE TEMP '[Â°C']]]-Table3[[#This Row],[580F]]</f>
        <v>0</v>
      </c>
      <c r="Z257">
        <f>DataLog_T717420_Aug11_4_59_37pm[[#This Row],[HPFP PRES. '[BAR']]]-Table3[[#This Row],[58F0]]</f>
        <v>0</v>
      </c>
      <c r="AA257">
        <f>DataLog_T717420_Aug11_4_59_37pm[[#This Row],[COOLANT TEMP '[Â°C']]]-Table3[[#This Row],[5805]]</f>
        <v>0</v>
      </c>
      <c r="AB257">
        <f>DataLog_T717420_Aug11_4_59_37pm[[#This Row],[BOOST '[BAR']]]-Table3[[#This Row],[58DD]]</f>
        <v>0</v>
      </c>
    </row>
    <row r="258" spans="2:28" x14ac:dyDescent="0.25">
      <c r="B258" s="2" t="s">
        <v>23</v>
      </c>
      <c r="C258" s="2" t="s">
        <v>30</v>
      </c>
      <c r="D258" s="2" t="s">
        <v>25</v>
      </c>
      <c r="E258" s="2" t="s">
        <v>49</v>
      </c>
      <c r="F258" s="2" t="s">
        <v>26</v>
      </c>
      <c r="G258" s="2" t="s">
        <v>27</v>
      </c>
      <c r="I258">
        <f>HEX2DEC(_0811_173439[[#This Row],[580C]])*B$4/B$5+B$6</f>
        <v>0</v>
      </c>
      <c r="J258">
        <f>HEX2DEC(_0811_173439[[#This Row],[4402]])*C$4/C$5+C$6</f>
        <v>36</v>
      </c>
      <c r="K258">
        <f>HEX2DEC(_0811_173439[[#This Row],[580F]])*D$4/D$5+D$6</f>
        <v>30.75</v>
      </c>
      <c r="L258">
        <f>ROUND(HEX2DEC(_0811_173439[[#This Row],[58F0]])*E$4/E$5+E$6,0)</f>
        <v>82</v>
      </c>
      <c r="M258">
        <f>ROUND(HEX2DEC(_0811_173439[[#This Row],[5805]])*F$4/F$5+F$6,0)</f>
        <v>42</v>
      </c>
      <c r="N258">
        <f>ROUND(HEX2DEC(_0811_173439[[#This Row],[58DD]])*G$4/G$5+G$6,2)</f>
        <v>-0.03</v>
      </c>
      <c r="P258">
        <v>0</v>
      </c>
      <c r="Q258">
        <v>36</v>
      </c>
      <c r="R258">
        <v>30.75</v>
      </c>
      <c r="S258">
        <v>82</v>
      </c>
      <c r="T258">
        <v>42</v>
      </c>
      <c r="U258">
        <v>-0.03</v>
      </c>
      <c r="W258">
        <f>DataLog_T717420_Aug11_4_59_37pm[[#This Row],[RPM '[1/MIN']]]-Table3[[#This Row],[580C]]</f>
        <v>0</v>
      </c>
      <c r="X258">
        <f>DataLog_T717420_Aug11_4_59_37pm[[#This Row],[OIL TEMP '[Â°C']]]-Table3[[#This Row],[4402]]</f>
        <v>0</v>
      </c>
      <c r="Y258">
        <f>DataLog_T717420_Aug11_4_59_37pm[[#This Row],[INTAKE TEMP '[Â°C']]]-Table3[[#This Row],[580F]]</f>
        <v>0</v>
      </c>
      <c r="Z258">
        <f>DataLog_T717420_Aug11_4_59_37pm[[#This Row],[HPFP PRES. '[BAR']]]-Table3[[#This Row],[58F0]]</f>
        <v>0</v>
      </c>
      <c r="AA258">
        <f>DataLog_T717420_Aug11_4_59_37pm[[#This Row],[COOLANT TEMP '[Â°C']]]-Table3[[#This Row],[5805]]</f>
        <v>0</v>
      </c>
      <c r="AB258">
        <f>DataLog_T717420_Aug11_4_59_37pm[[#This Row],[BOOST '[BAR']]]-Table3[[#This Row],[58DD]]</f>
        <v>0</v>
      </c>
    </row>
    <row r="259" spans="2:28" x14ac:dyDescent="0.25">
      <c r="B259" s="2" t="s">
        <v>23</v>
      </c>
      <c r="C259" s="2" t="s">
        <v>30</v>
      </c>
      <c r="D259" s="2" t="s">
        <v>25</v>
      </c>
      <c r="E259" s="2" t="s">
        <v>49</v>
      </c>
      <c r="F259" s="2" t="s">
        <v>26</v>
      </c>
      <c r="G259" s="2" t="s">
        <v>27</v>
      </c>
      <c r="I259">
        <f>HEX2DEC(_0811_173439[[#This Row],[580C]])*B$4/B$5+B$6</f>
        <v>0</v>
      </c>
      <c r="J259">
        <f>HEX2DEC(_0811_173439[[#This Row],[4402]])*C$4/C$5+C$6</f>
        <v>36</v>
      </c>
      <c r="K259">
        <f>HEX2DEC(_0811_173439[[#This Row],[580F]])*D$4/D$5+D$6</f>
        <v>30.75</v>
      </c>
      <c r="L259">
        <f>ROUND(HEX2DEC(_0811_173439[[#This Row],[58F0]])*E$4/E$5+E$6,0)</f>
        <v>82</v>
      </c>
      <c r="M259">
        <f>ROUND(HEX2DEC(_0811_173439[[#This Row],[5805]])*F$4/F$5+F$6,0)</f>
        <v>42</v>
      </c>
      <c r="N259">
        <f>ROUND(HEX2DEC(_0811_173439[[#This Row],[58DD]])*G$4/G$5+G$6,2)</f>
        <v>-0.03</v>
      </c>
      <c r="P259">
        <v>0</v>
      </c>
      <c r="Q259">
        <v>36</v>
      </c>
      <c r="R259">
        <v>30.75</v>
      </c>
      <c r="S259">
        <v>82</v>
      </c>
      <c r="T259">
        <v>42</v>
      </c>
      <c r="U259">
        <v>-0.03</v>
      </c>
      <c r="W259">
        <f>DataLog_T717420_Aug11_4_59_37pm[[#This Row],[RPM '[1/MIN']]]-Table3[[#This Row],[580C]]</f>
        <v>0</v>
      </c>
      <c r="X259">
        <f>DataLog_T717420_Aug11_4_59_37pm[[#This Row],[OIL TEMP '[Â°C']]]-Table3[[#This Row],[4402]]</f>
        <v>0</v>
      </c>
      <c r="Y259">
        <f>DataLog_T717420_Aug11_4_59_37pm[[#This Row],[INTAKE TEMP '[Â°C']]]-Table3[[#This Row],[580F]]</f>
        <v>0</v>
      </c>
      <c r="Z259">
        <f>DataLog_T717420_Aug11_4_59_37pm[[#This Row],[HPFP PRES. '[BAR']]]-Table3[[#This Row],[58F0]]</f>
        <v>0</v>
      </c>
      <c r="AA259">
        <f>DataLog_T717420_Aug11_4_59_37pm[[#This Row],[COOLANT TEMP '[Â°C']]]-Table3[[#This Row],[5805]]</f>
        <v>0</v>
      </c>
      <c r="AB259">
        <f>DataLog_T717420_Aug11_4_59_37pm[[#This Row],[BOOST '[BAR']]]-Table3[[#This Row],[58DD]]</f>
        <v>0</v>
      </c>
    </row>
    <row r="260" spans="2:28" x14ac:dyDescent="0.25">
      <c r="B260" s="2" t="s">
        <v>50</v>
      </c>
      <c r="C260" s="2" t="s">
        <v>30</v>
      </c>
      <c r="D260" s="2" t="s">
        <v>25</v>
      </c>
      <c r="E260" s="2" t="s">
        <v>49</v>
      </c>
      <c r="F260" s="2" t="s">
        <v>26</v>
      </c>
      <c r="G260" s="2" t="s">
        <v>27</v>
      </c>
      <c r="I260">
        <f>HEX2DEC(_0811_173439[[#This Row],[580C]])*B$4/B$5+B$6</f>
        <v>40</v>
      </c>
      <c r="J260">
        <f>HEX2DEC(_0811_173439[[#This Row],[4402]])*C$4/C$5+C$6</f>
        <v>36</v>
      </c>
      <c r="K260">
        <f>HEX2DEC(_0811_173439[[#This Row],[580F]])*D$4/D$5+D$6</f>
        <v>30.75</v>
      </c>
      <c r="L260">
        <f>ROUND(HEX2DEC(_0811_173439[[#This Row],[58F0]])*E$4/E$5+E$6,0)</f>
        <v>82</v>
      </c>
      <c r="M260">
        <f>ROUND(HEX2DEC(_0811_173439[[#This Row],[5805]])*F$4/F$5+F$6,0)</f>
        <v>42</v>
      </c>
      <c r="N260">
        <f>ROUND(HEX2DEC(_0811_173439[[#This Row],[58DD]])*G$4/G$5+G$6,2)</f>
        <v>-0.03</v>
      </c>
      <c r="P260">
        <v>40</v>
      </c>
      <c r="Q260">
        <v>36</v>
      </c>
      <c r="R260">
        <v>30.75</v>
      </c>
      <c r="S260">
        <v>82</v>
      </c>
      <c r="T260">
        <v>42</v>
      </c>
      <c r="U260">
        <v>-0.03</v>
      </c>
      <c r="W260">
        <f>DataLog_T717420_Aug11_4_59_37pm[[#This Row],[RPM '[1/MIN']]]-Table3[[#This Row],[580C]]</f>
        <v>0</v>
      </c>
      <c r="X260">
        <f>DataLog_T717420_Aug11_4_59_37pm[[#This Row],[OIL TEMP '[Â°C']]]-Table3[[#This Row],[4402]]</f>
        <v>0</v>
      </c>
      <c r="Y260">
        <f>DataLog_T717420_Aug11_4_59_37pm[[#This Row],[INTAKE TEMP '[Â°C']]]-Table3[[#This Row],[580F]]</f>
        <v>0</v>
      </c>
      <c r="Z260">
        <f>DataLog_T717420_Aug11_4_59_37pm[[#This Row],[HPFP PRES. '[BAR']]]-Table3[[#This Row],[58F0]]</f>
        <v>0</v>
      </c>
      <c r="AA260">
        <f>DataLog_T717420_Aug11_4_59_37pm[[#This Row],[COOLANT TEMP '[Â°C']]]-Table3[[#This Row],[5805]]</f>
        <v>0</v>
      </c>
      <c r="AB260">
        <f>DataLog_T717420_Aug11_4_59_37pm[[#This Row],[BOOST '[BAR']]]-Table3[[#This Row],[58DD]]</f>
        <v>0</v>
      </c>
    </row>
    <row r="261" spans="2:28" x14ac:dyDescent="0.25">
      <c r="B261" s="2" t="s">
        <v>51</v>
      </c>
      <c r="C261" s="2" t="s">
        <v>30</v>
      </c>
      <c r="D261" s="2" t="s">
        <v>25</v>
      </c>
      <c r="E261" s="2" t="s">
        <v>49</v>
      </c>
      <c r="F261" s="2" t="s">
        <v>26</v>
      </c>
      <c r="G261" s="2" t="s">
        <v>27</v>
      </c>
      <c r="I261">
        <f>HEX2DEC(_0811_173439[[#This Row],[580C]])*B$4/B$5+B$6</f>
        <v>80</v>
      </c>
      <c r="J261">
        <f>HEX2DEC(_0811_173439[[#This Row],[4402]])*C$4/C$5+C$6</f>
        <v>36</v>
      </c>
      <c r="K261">
        <f>HEX2DEC(_0811_173439[[#This Row],[580F]])*D$4/D$5+D$6</f>
        <v>30.75</v>
      </c>
      <c r="L261">
        <f>ROUND(HEX2DEC(_0811_173439[[#This Row],[58F0]])*E$4/E$5+E$6,0)</f>
        <v>82</v>
      </c>
      <c r="M261">
        <f>ROUND(HEX2DEC(_0811_173439[[#This Row],[5805]])*F$4/F$5+F$6,0)</f>
        <v>42</v>
      </c>
      <c r="N261">
        <f>ROUND(HEX2DEC(_0811_173439[[#This Row],[58DD]])*G$4/G$5+G$6,2)</f>
        <v>-0.03</v>
      </c>
      <c r="P261">
        <v>80</v>
      </c>
      <c r="Q261">
        <v>36</v>
      </c>
      <c r="R261">
        <v>30.75</v>
      </c>
      <c r="S261">
        <v>82</v>
      </c>
      <c r="T261">
        <v>42</v>
      </c>
      <c r="U261">
        <v>-0.03</v>
      </c>
      <c r="W261">
        <f>DataLog_T717420_Aug11_4_59_37pm[[#This Row],[RPM '[1/MIN']]]-Table3[[#This Row],[580C]]</f>
        <v>0</v>
      </c>
      <c r="X261">
        <f>DataLog_T717420_Aug11_4_59_37pm[[#This Row],[OIL TEMP '[Â°C']]]-Table3[[#This Row],[4402]]</f>
        <v>0</v>
      </c>
      <c r="Y261">
        <f>DataLog_T717420_Aug11_4_59_37pm[[#This Row],[INTAKE TEMP '[Â°C']]]-Table3[[#This Row],[580F]]</f>
        <v>0</v>
      </c>
      <c r="Z261">
        <f>DataLog_T717420_Aug11_4_59_37pm[[#This Row],[HPFP PRES. '[BAR']]]-Table3[[#This Row],[58F0]]</f>
        <v>0</v>
      </c>
      <c r="AA261">
        <f>DataLog_T717420_Aug11_4_59_37pm[[#This Row],[COOLANT TEMP '[Â°C']]]-Table3[[#This Row],[5805]]</f>
        <v>0</v>
      </c>
      <c r="AB261">
        <f>DataLog_T717420_Aug11_4_59_37pm[[#This Row],[BOOST '[BAR']]]-Table3[[#This Row],[58DD]]</f>
        <v>0</v>
      </c>
    </row>
    <row r="262" spans="2:28" x14ac:dyDescent="0.25">
      <c r="B262" s="2" t="s">
        <v>51</v>
      </c>
      <c r="C262" s="2" t="s">
        <v>30</v>
      </c>
      <c r="D262" s="2" t="s">
        <v>25</v>
      </c>
      <c r="E262" s="2" t="s">
        <v>49</v>
      </c>
      <c r="F262" s="2" t="s">
        <v>26</v>
      </c>
      <c r="G262" s="2" t="s">
        <v>27</v>
      </c>
      <c r="I262">
        <f>HEX2DEC(_0811_173439[[#This Row],[580C]])*B$4/B$5+B$6</f>
        <v>80</v>
      </c>
      <c r="J262">
        <f>HEX2DEC(_0811_173439[[#This Row],[4402]])*C$4/C$5+C$6</f>
        <v>36</v>
      </c>
      <c r="K262">
        <f>HEX2DEC(_0811_173439[[#This Row],[580F]])*D$4/D$5+D$6</f>
        <v>30.75</v>
      </c>
      <c r="L262">
        <f>ROUND(HEX2DEC(_0811_173439[[#This Row],[58F0]])*E$4/E$5+E$6,0)</f>
        <v>82</v>
      </c>
      <c r="M262">
        <f>ROUND(HEX2DEC(_0811_173439[[#This Row],[5805]])*F$4/F$5+F$6,0)</f>
        <v>42</v>
      </c>
      <c r="N262">
        <f>ROUND(HEX2DEC(_0811_173439[[#This Row],[58DD]])*G$4/G$5+G$6,2)</f>
        <v>-0.03</v>
      </c>
      <c r="P262">
        <v>80</v>
      </c>
      <c r="Q262">
        <v>36</v>
      </c>
      <c r="R262">
        <v>30.75</v>
      </c>
      <c r="S262">
        <v>82</v>
      </c>
      <c r="T262">
        <v>42</v>
      </c>
      <c r="U262">
        <v>-0.03</v>
      </c>
      <c r="W262">
        <f>DataLog_T717420_Aug11_4_59_37pm[[#This Row],[RPM '[1/MIN']]]-Table3[[#This Row],[580C]]</f>
        <v>0</v>
      </c>
      <c r="X262">
        <f>DataLog_T717420_Aug11_4_59_37pm[[#This Row],[OIL TEMP '[Â°C']]]-Table3[[#This Row],[4402]]</f>
        <v>0</v>
      </c>
      <c r="Y262">
        <f>DataLog_T717420_Aug11_4_59_37pm[[#This Row],[INTAKE TEMP '[Â°C']]]-Table3[[#This Row],[580F]]</f>
        <v>0</v>
      </c>
      <c r="Z262">
        <f>DataLog_T717420_Aug11_4_59_37pm[[#This Row],[HPFP PRES. '[BAR']]]-Table3[[#This Row],[58F0]]</f>
        <v>0</v>
      </c>
      <c r="AA262">
        <f>DataLog_T717420_Aug11_4_59_37pm[[#This Row],[COOLANT TEMP '[Â°C']]]-Table3[[#This Row],[5805]]</f>
        <v>0</v>
      </c>
      <c r="AB262">
        <f>DataLog_T717420_Aug11_4_59_37pm[[#This Row],[BOOST '[BAR']]]-Table3[[#This Row],[58DD]]</f>
        <v>0</v>
      </c>
    </row>
    <row r="263" spans="2:28" x14ac:dyDescent="0.25">
      <c r="B263" s="2" t="s">
        <v>52</v>
      </c>
      <c r="C263" s="2" t="s">
        <v>30</v>
      </c>
      <c r="D263" s="2" t="s">
        <v>25</v>
      </c>
      <c r="E263" s="2" t="s">
        <v>49</v>
      </c>
      <c r="F263" s="2" t="s">
        <v>26</v>
      </c>
      <c r="G263" s="2" t="s">
        <v>27</v>
      </c>
      <c r="I263">
        <f>HEX2DEC(_0811_173439[[#This Row],[580C]])*B$4/B$5+B$6</f>
        <v>120</v>
      </c>
      <c r="J263">
        <f>HEX2DEC(_0811_173439[[#This Row],[4402]])*C$4/C$5+C$6</f>
        <v>36</v>
      </c>
      <c r="K263">
        <f>HEX2DEC(_0811_173439[[#This Row],[580F]])*D$4/D$5+D$6</f>
        <v>30.75</v>
      </c>
      <c r="L263">
        <f>ROUND(HEX2DEC(_0811_173439[[#This Row],[58F0]])*E$4/E$5+E$6,0)</f>
        <v>82</v>
      </c>
      <c r="M263">
        <f>ROUND(HEX2DEC(_0811_173439[[#This Row],[5805]])*F$4/F$5+F$6,0)</f>
        <v>42</v>
      </c>
      <c r="N263">
        <f>ROUND(HEX2DEC(_0811_173439[[#This Row],[58DD]])*G$4/G$5+G$6,2)</f>
        <v>-0.03</v>
      </c>
      <c r="P263">
        <v>120</v>
      </c>
      <c r="Q263">
        <v>36</v>
      </c>
      <c r="R263">
        <v>30.75</v>
      </c>
      <c r="S263">
        <v>82</v>
      </c>
      <c r="T263">
        <v>42</v>
      </c>
      <c r="U263">
        <v>-0.03</v>
      </c>
      <c r="W263">
        <f>DataLog_T717420_Aug11_4_59_37pm[[#This Row],[RPM '[1/MIN']]]-Table3[[#This Row],[580C]]</f>
        <v>0</v>
      </c>
      <c r="X263">
        <f>DataLog_T717420_Aug11_4_59_37pm[[#This Row],[OIL TEMP '[Â°C']]]-Table3[[#This Row],[4402]]</f>
        <v>0</v>
      </c>
      <c r="Y263">
        <f>DataLog_T717420_Aug11_4_59_37pm[[#This Row],[INTAKE TEMP '[Â°C']]]-Table3[[#This Row],[580F]]</f>
        <v>0</v>
      </c>
      <c r="Z263">
        <f>DataLog_T717420_Aug11_4_59_37pm[[#This Row],[HPFP PRES. '[BAR']]]-Table3[[#This Row],[58F0]]</f>
        <v>0</v>
      </c>
      <c r="AA263">
        <f>DataLog_T717420_Aug11_4_59_37pm[[#This Row],[COOLANT TEMP '[Â°C']]]-Table3[[#This Row],[5805]]</f>
        <v>0</v>
      </c>
      <c r="AB263">
        <f>DataLog_T717420_Aug11_4_59_37pm[[#This Row],[BOOST '[BAR']]]-Table3[[#This Row],[58DD]]</f>
        <v>0</v>
      </c>
    </row>
    <row r="264" spans="2:28" x14ac:dyDescent="0.25">
      <c r="B264" s="2" t="s">
        <v>52</v>
      </c>
      <c r="C264" s="2" t="s">
        <v>30</v>
      </c>
      <c r="D264" s="2" t="s">
        <v>25</v>
      </c>
      <c r="E264" s="2" t="s">
        <v>49</v>
      </c>
      <c r="F264" s="2" t="s">
        <v>26</v>
      </c>
      <c r="G264" s="2" t="s">
        <v>53</v>
      </c>
      <c r="I264">
        <f>HEX2DEC(_0811_173439[[#This Row],[580C]])*B$4/B$5+B$6</f>
        <v>120</v>
      </c>
      <c r="J264">
        <f>HEX2DEC(_0811_173439[[#This Row],[4402]])*C$4/C$5+C$6</f>
        <v>36</v>
      </c>
      <c r="K264">
        <f>HEX2DEC(_0811_173439[[#This Row],[580F]])*D$4/D$5+D$6</f>
        <v>30.75</v>
      </c>
      <c r="L264">
        <f>ROUND(HEX2DEC(_0811_173439[[#This Row],[58F0]])*E$4/E$5+E$6,0)</f>
        <v>82</v>
      </c>
      <c r="M264">
        <f>ROUND(HEX2DEC(_0811_173439[[#This Row],[5805]])*F$4/F$5+F$6,0)</f>
        <v>42</v>
      </c>
      <c r="N264">
        <f>ROUND(HEX2DEC(_0811_173439[[#This Row],[58DD]])*G$4/G$5+G$6,2)</f>
        <v>-0.03</v>
      </c>
      <c r="P264">
        <v>120</v>
      </c>
      <c r="Q264">
        <v>36</v>
      </c>
      <c r="R264">
        <v>30.75</v>
      </c>
      <c r="S264">
        <v>82</v>
      </c>
      <c r="T264">
        <v>42</v>
      </c>
      <c r="U264">
        <v>-0.03</v>
      </c>
      <c r="W264">
        <f>DataLog_T717420_Aug11_4_59_37pm[[#This Row],[RPM '[1/MIN']]]-Table3[[#This Row],[580C]]</f>
        <v>0</v>
      </c>
      <c r="X264">
        <f>DataLog_T717420_Aug11_4_59_37pm[[#This Row],[OIL TEMP '[Â°C']]]-Table3[[#This Row],[4402]]</f>
        <v>0</v>
      </c>
      <c r="Y264">
        <f>DataLog_T717420_Aug11_4_59_37pm[[#This Row],[INTAKE TEMP '[Â°C']]]-Table3[[#This Row],[580F]]</f>
        <v>0</v>
      </c>
      <c r="Z264">
        <f>DataLog_T717420_Aug11_4_59_37pm[[#This Row],[HPFP PRES. '[BAR']]]-Table3[[#This Row],[58F0]]</f>
        <v>0</v>
      </c>
      <c r="AA264">
        <f>DataLog_T717420_Aug11_4_59_37pm[[#This Row],[COOLANT TEMP '[Â°C']]]-Table3[[#This Row],[5805]]</f>
        <v>0</v>
      </c>
      <c r="AB264">
        <f>DataLog_T717420_Aug11_4_59_37pm[[#This Row],[BOOST '[BAR']]]-Table3[[#This Row],[58DD]]</f>
        <v>0</v>
      </c>
    </row>
    <row r="265" spans="2:28" x14ac:dyDescent="0.25">
      <c r="B265" s="2" t="s">
        <v>52</v>
      </c>
      <c r="C265" s="2" t="s">
        <v>30</v>
      </c>
      <c r="D265" s="2" t="s">
        <v>25</v>
      </c>
      <c r="E265" s="2" t="s">
        <v>54</v>
      </c>
      <c r="F265" s="2" t="s">
        <v>26</v>
      </c>
      <c r="G265" s="2" t="s">
        <v>53</v>
      </c>
      <c r="I265">
        <f>HEX2DEC(_0811_173439[[#This Row],[580C]])*B$4/B$5+B$6</f>
        <v>120</v>
      </c>
      <c r="J265">
        <f>HEX2DEC(_0811_173439[[#This Row],[4402]])*C$4/C$5+C$6</f>
        <v>36</v>
      </c>
      <c r="K265">
        <f>HEX2DEC(_0811_173439[[#This Row],[580F]])*D$4/D$5+D$6</f>
        <v>30.75</v>
      </c>
      <c r="L265">
        <f>ROUND(HEX2DEC(_0811_173439[[#This Row],[58F0]])*E$4/E$5+E$6,0)</f>
        <v>86</v>
      </c>
      <c r="M265">
        <f>ROUND(HEX2DEC(_0811_173439[[#This Row],[5805]])*F$4/F$5+F$6,0)</f>
        <v>42</v>
      </c>
      <c r="N265">
        <f>ROUND(HEX2DEC(_0811_173439[[#This Row],[58DD]])*G$4/G$5+G$6,2)</f>
        <v>-0.03</v>
      </c>
      <c r="P265">
        <v>120</v>
      </c>
      <c r="Q265">
        <v>36</v>
      </c>
      <c r="R265">
        <v>30.75</v>
      </c>
      <c r="S265">
        <v>86</v>
      </c>
      <c r="T265">
        <v>42</v>
      </c>
      <c r="U265">
        <v>-0.03</v>
      </c>
      <c r="W265">
        <f>DataLog_T717420_Aug11_4_59_37pm[[#This Row],[RPM '[1/MIN']]]-Table3[[#This Row],[580C]]</f>
        <v>0</v>
      </c>
      <c r="X265">
        <f>DataLog_T717420_Aug11_4_59_37pm[[#This Row],[OIL TEMP '[Â°C']]]-Table3[[#This Row],[4402]]</f>
        <v>0</v>
      </c>
      <c r="Y265">
        <f>DataLog_T717420_Aug11_4_59_37pm[[#This Row],[INTAKE TEMP '[Â°C']]]-Table3[[#This Row],[580F]]</f>
        <v>0</v>
      </c>
      <c r="Z265">
        <f>DataLog_T717420_Aug11_4_59_37pm[[#This Row],[HPFP PRES. '[BAR']]]-Table3[[#This Row],[58F0]]</f>
        <v>0</v>
      </c>
      <c r="AA265">
        <f>DataLog_T717420_Aug11_4_59_37pm[[#This Row],[COOLANT TEMP '[Â°C']]]-Table3[[#This Row],[5805]]</f>
        <v>0</v>
      </c>
      <c r="AB265">
        <f>DataLog_T717420_Aug11_4_59_37pm[[#This Row],[BOOST '[BAR']]]-Table3[[#This Row],[58DD]]</f>
        <v>0</v>
      </c>
    </row>
    <row r="266" spans="2:28" x14ac:dyDescent="0.25">
      <c r="B266" s="2" t="s">
        <v>52</v>
      </c>
      <c r="C266" s="2" t="s">
        <v>30</v>
      </c>
      <c r="D266" s="2" t="s">
        <v>25</v>
      </c>
      <c r="E266" s="2" t="s">
        <v>55</v>
      </c>
      <c r="F266" s="2" t="s">
        <v>26</v>
      </c>
      <c r="G266" s="2" t="s">
        <v>53</v>
      </c>
      <c r="I266">
        <f>HEX2DEC(_0811_173439[[#This Row],[580C]])*B$4/B$5+B$6</f>
        <v>120</v>
      </c>
      <c r="J266">
        <f>HEX2DEC(_0811_173439[[#This Row],[4402]])*C$4/C$5+C$6</f>
        <v>36</v>
      </c>
      <c r="K266">
        <f>HEX2DEC(_0811_173439[[#This Row],[580F]])*D$4/D$5+D$6</f>
        <v>30.75</v>
      </c>
      <c r="L266">
        <f>ROUND(HEX2DEC(_0811_173439[[#This Row],[58F0]])*E$4/E$5+E$6,0)</f>
        <v>94</v>
      </c>
      <c r="M266">
        <f>ROUND(HEX2DEC(_0811_173439[[#This Row],[5805]])*F$4/F$5+F$6,0)</f>
        <v>42</v>
      </c>
      <c r="N266">
        <f>ROUND(HEX2DEC(_0811_173439[[#This Row],[58DD]])*G$4/G$5+G$6,2)</f>
        <v>-0.03</v>
      </c>
      <c r="P266">
        <v>120</v>
      </c>
      <c r="Q266">
        <v>36</v>
      </c>
      <c r="R266">
        <v>30.75</v>
      </c>
      <c r="S266">
        <v>94</v>
      </c>
      <c r="T266">
        <v>42</v>
      </c>
      <c r="U266">
        <v>-0.03</v>
      </c>
      <c r="W266">
        <f>DataLog_T717420_Aug11_4_59_37pm[[#This Row],[RPM '[1/MIN']]]-Table3[[#This Row],[580C]]</f>
        <v>0</v>
      </c>
      <c r="X266">
        <f>DataLog_T717420_Aug11_4_59_37pm[[#This Row],[OIL TEMP '[Â°C']]]-Table3[[#This Row],[4402]]</f>
        <v>0</v>
      </c>
      <c r="Y266">
        <f>DataLog_T717420_Aug11_4_59_37pm[[#This Row],[INTAKE TEMP '[Â°C']]]-Table3[[#This Row],[580F]]</f>
        <v>0</v>
      </c>
      <c r="Z266">
        <f>DataLog_T717420_Aug11_4_59_37pm[[#This Row],[HPFP PRES. '[BAR']]]-Table3[[#This Row],[58F0]]</f>
        <v>0</v>
      </c>
      <c r="AA266">
        <f>DataLog_T717420_Aug11_4_59_37pm[[#This Row],[COOLANT TEMP '[Â°C']]]-Table3[[#This Row],[5805]]</f>
        <v>0</v>
      </c>
      <c r="AB266">
        <f>DataLog_T717420_Aug11_4_59_37pm[[#This Row],[BOOST '[BAR']]]-Table3[[#This Row],[58DD]]</f>
        <v>0</v>
      </c>
    </row>
    <row r="267" spans="2:28" x14ac:dyDescent="0.25">
      <c r="B267" s="2" t="s">
        <v>56</v>
      </c>
      <c r="C267" s="2" t="s">
        <v>30</v>
      </c>
      <c r="D267" s="2" t="s">
        <v>25</v>
      </c>
      <c r="E267" s="2" t="s">
        <v>57</v>
      </c>
      <c r="F267" s="2" t="s">
        <v>26</v>
      </c>
      <c r="G267" s="2" t="s">
        <v>58</v>
      </c>
      <c r="I267">
        <f>HEX2DEC(_0811_173439[[#This Row],[580C]])*B$4/B$5+B$6</f>
        <v>160</v>
      </c>
      <c r="J267">
        <f>HEX2DEC(_0811_173439[[#This Row],[4402]])*C$4/C$5+C$6</f>
        <v>36</v>
      </c>
      <c r="K267">
        <f>HEX2DEC(_0811_173439[[#This Row],[580F]])*D$4/D$5+D$6</f>
        <v>30.75</v>
      </c>
      <c r="L267">
        <f>ROUND(HEX2DEC(_0811_173439[[#This Row],[58F0]])*E$4/E$5+E$6,0)</f>
        <v>94</v>
      </c>
      <c r="M267">
        <f>ROUND(HEX2DEC(_0811_173439[[#This Row],[5805]])*F$4/F$5+F$6,0)</f>
        <v>42</v>
      </c>
      <c r="N267">
        <f>ROUND(HEX2DEC(_0811_173439[[#This Row],[58DD]])*G$4/G$5+G$6,2)</f>
        <v>-0.03</v>
      </c>
      <c r="P267">
        <v>160</v>
      </c>
      <c r="Q267">
        <v>36</v>
      </c>
      <c r="R267">
        <v>30.75</v>
      </c>
      <c r="S267">
        <v>94</v>
      </c>
      <c r="T267">
        <v>42</v>
      </c>
      <c r="U267">
        <v>-0.03</v>
      </c>
      <c r="W267">
        <f>DataLog_T717420_Aug11_4_59_37pm[[#This Row],[RPM '[1/MIN']]]-Table3[[#This Row],[580C]]</f>
        <v>0</v>
      </c>
      <c r="X267">
        <f>DataLog_T717420_Aug11_4_59_37pm[[#This Row],[OIL TEMP '[Â°C']]]-Table3[[#This Row],[4402]]</f>
        <v>0</v>
      </c>
      <c r="Y267">
        <f>DataLog_T717420_Aug11_4_59_37pm[[#This Row],[INTAKE TEMP '[Â°C']]]-Table3[[#This Row],[580F]]</f>
        <v>0</v>
      </c>
      <c r="Z267">
        <f>DataLog_T717420_Aug11_4_59_37pm[[#This Row],[HPFP PRES. '[BAR']]]-Table3[[#This Row],[58F0]]</f>
        <v>0</v>
      </c>
      <c r="AA267">
        <f>DataLog_T717420_Aug11_4_59_37pm[[#This Row],[COOLANT TEMP '[Â°C']]]-Table3[[#This Row],[5805]]</f>
        <v>0</v>
      </c>
      <c r="AB267">
        <f>DataLog_T717420_Aug11_4_59_37pm[[#This Row],[BOOST '[BAR']]]-Table3[[#This Row],[58DD]]</f>
        <v>0</v>
      </c>
    </row>
    <row r="268" spans="2:28" x14ac:dyDescent="0.25">
      <c r="B268" s="2" t="s">
        <v>56</v>
      </c>
      <c r="C268" s="2" t="s">
        <v>30</v>
      </c>
      <c r="D268" s="2" t="s">
        <v>25</v>
      </c>
      <c r="E268" s="2" t="s">
        <v>59</v>
      </c>
      <c r="F268" s="2" t="s">
        <v>26</v>
      </c>
      <c r="G268" s="2" t="s">
        <v>58</v>
      </c>
      <c r="I268">
        <f>HEX2DEC(_0811_173439[[#This Row],[580C]])*B$4/B$5+B$6</f>
        <v>160</v>
      </c>
      <c r="J268">
        <f>HEX2DEC(_0811_173439[[#This Row],[4402]])*C$4/C$5+C$6</f>
        <v>36</v>
      </c>
      <c r="K268">
        <f>HEX2DEC(_0811_173439[[#This Row],[580F]])*D$4/D$5+D$6</f>
        <v>30.75</v>
      </c>
      <c r="L268">
        <f>ROUND(HEX2DEC(_0811_173439[[#This Row],[58F0]])*E$4/E$5+E$6,0)</f>
        <v>88</v>
      </c>
      <c r="M268">
        <f>ROUND(HEX2DEC(_0811_173439[[#This Row],[5805]])*F$4/F$5+F$6,0)</f>
        <v>42</v>
      </c>
      <c r="N268">
        <f>ROUND(HEX2DEC(_0811_173439[[#This Row],[58DD]])*G$4/G$5+G$6,2)</f>
        <v>-0.03</v>
      </c>
      <c r="P268">
        <v>160</v>
      </c>
      <c r="Q268">
        <v>36</v>
      </c>
      <c r="R268">
        <v>30.75</v>
      </c>
      <c r="S268">
        <v>88</v>
      </c>
      <c r="T268">
        <v>42</v>
      </c>
      <c r="U268">
        <v>-0.03</v>
      </c>
      <c r="W268">
        <f>DataLog_T717420_Aug11_4_59_37pm[[#This Row],[RPM '[1/MIN']]]-Table3[[#This Row],[580C]]</f>
        <v>0</v>
      </c>
      <c r="X268">
        <f>DataLog_T717420_Aug11_4_59_37pm[[#This Row],[OIL TEMP '[Â°C']]]-Table3[[#This Row],[4402]]</f>
        <v>0</v>
      </c>
      <c r="Y268">
        <f>DataLog_T717420_Aug11_4_59_37pm[[#This Row],[INTAKE TEMP '[Â°C']]]-Table3[[#This Row],[580F]]</f>
        <v>0</v>
      </c>
      <c r="Z268">
        <f>DataLog_T717420_Aug11_4_59_37pm[[#This Row],[HPFP PRES. '[BAR']]]-Table3[[#This Row],[58F0]]</f>
        <v>0</v>
      </c>
      <c r="AA268">
        <f>DataLog_T717420_Aug11_4_59_37pm[[#This Row],[COOLANT TEMP '[Â°C']]]-Table3[[#This Row],[5805]]</f>
        <v>0</v>
      </c>
      <c r="AB268">
        <f>DataLog_T717420_Aug11_4_59_37pm[[#This Row],[BOOST '[BAR']]]-Table3[[#This Row],[58DD]]</f>
        <v>0</v>
      </c>
    </row>
    <row r="269" spans="2:28" x14ac:dyDescent="0.25">
      <c r="B269" s="2" t="s">
        <v>56</v>
      </c>
      <c r="C269" s="2" t="s">
        <v>30</v>
      </c>
      <c r="D269" s="2" t="s">
        <v>25</v>
      </c>
      <c r="E269" s="2" t="s">
        <v>60</v>
      </c>
      <c r="F269" s="2" t="s">
        <v>26</v>
      </c>
      <c r="G269" s="2" t="s">
        <v>58</v>
      </c>
      <c r="I269">
        <f>HEX2DEC(_0811_173439[[#This Row],[580C]])*B$4/B$5+B$6</f>
        <v>160</v>
      </c>
      <c r="J269">
        <f>HEX2DEC(_0811_173439[[#This Row],[4402]])*C$4/C$5+C$6</f>
        <v>36</v>
      </c>
      <c r="K269">
        <f>HEX2DEC(_0811_173439[[#This Row],[580F]])*D$4/D$5+D$6</f>
        <v>30.75</v>
      </c>
      <c r="L269">
        <f>ROUND(HEX2DEC(_0811_173439[[#This Row],[58F0]])*E$4/E$5+E$6,0)</f>
        <v>90</v>
      </c>
      <c r="M269">
        <f>ROUND(HEX2DEC(_0811_173439[[#This Row],[5805]])*F$4/F$5+F$6,0)</f>
        <v>42</v>
      </c>
      <c r="N269">
        <f>ROUND(HEX2DEC(_0811_173439[[#This Row],[58DD]])*G$4/G$5+G$6,2)</f>
        <v>-0.03</v>
      </c>
      <c r="P269">
        <v>160</v>
      </c>
      <c r="Q269">
        <v>36</v>
      </c>
      <c r="R269">
        <v>30.75</v>
      </c>
      <c r="S269">
        <v>90</v>
      </c>
      <c r="T269">
        <v>42</v>
      </c>
      <c r="U269">
        <v>-0.03</v>
      </c>
      <c r="W269">
        <f>DataLog_T717420_Aug11_4_59_37pm[[#This Row],[RPM '[1/MIN']]]-Table3[[#This Row],[580C]]</f>
        <v>0</v>
      </c>
      <c r="X269">
        <f>DataLog_T717420_Aug11_4_59_37pm[[#This Row],[OIL TEMP '[Â°C']]]-Table3[[#This Row],[4402]]</f>
        <v>0</v>
      </c>
      <c r="Y269">
        <f>DataLog_T717420_Aug11_4_59_37pm[[#This Row],[INTAKE TEMP '[Â°C']]]-Table3[[#This Row],[580F]]</f>
        <v>0</v>
      </c>
      <c r="Z269">
        <f>DataLog_T717420_Aug11_4_59_37pm[[#This Row],[HPFP PRES. '[BAR']]]-Table3[[#This Row],[58F0]]</f>
        <v>0</v>
      </c>
      <c r="AA269">
        <f>DataLog_T717420_Aug11_4_59_37pm[[#This Row],[COOLANT TEMP '[Â°C']]]-Table3[[#This Row],[5805]]</f>
        <v>0</v>
      </c>
      <c r="AB269">
        <f>DataLog_T717420_Aug11_4_59_37pm[[#This Row],[BOOST '[BAR']]]-Table3[[#This Row],[58DD]]</f>
        <v>0</v>
      </c>
    </row>
    <row r="270" spans="2:28" x14ac:dyDescent="0.25">
      <c r="B270" s="2" t="s">
        <v>61</v>
      </c>
      <c r="C270" s="2" t="s">
        <v>30</v>
      </c>
      <c r="D270" s="2" t="s">
        <v>25</v>
      </c>
      <c r="E270" s="2" t="s">
        <v>62</v>
      </c>
      <c r="F270" s="2" t="s">
        <v>26</v>
      </c>
      <c r="G270" s="2" t="s">
        <v>58</v>
      </c>
      <c r="I270">
        <f>HEX2DEC(_0811_173439[[#This Row],[580C]])*B$4/B$5+B$6</f>
        <v>280</v>
      </c>
      <c r="J270">
        <f>HEX2DEC(_0811_173439[[#This Row],[4402]])*C$4/C$5+C$6</f>
        <v>36</v>
      </c>
      <c r="K270">
        <f>HEX2DEC(_0811_173439[[#This Row],[580F]])*D$4/D$5+D$6</f>
        <v>30.75</v>
      </c>
      <c r="L270">
        <f>ROUND(HEX2DEC(_0811_173439[[#This Row],[58F0]])*E$4/E$5+E$6,0)</f>
        <v>104</v>
      </c>
      <c r="M270">
        <f>ROUND(HEX2DEC(_0811_173439[[#This Row],[5805]])*F$4/F$5+F$6,0)</f>
        <v>42</v>
      </c>
      <c r="N270">
        <f>ROUND(HEX2DEC(_0811_173439[[#This Row],[58DD]])*G$4/G$5+G$6,2)</f>
        <v>-0.03</v>
      </c>
      <c r="P270">
        <v>280</v>
      </c>
      <c r="Q270">
        <v>36</v>
      </c>
      <c r="R270">
        <v>30.75</v>
      </c>
      <c r="S270">
        <v>104</v>
      </c>
      <c r="T270">
        <v>42</v>
      </c>
      <c r="U270">
        <v>-0.03</v>
      </c>
      <c r="W270">
        <f>DataLog_T717420_Aug11_4_59_37pm[[#This Row],[RPM '[1/MIN']]]-Table3[[#This Row],[580C]]</f>
        <v>0</v>
      </c>
      <c r="X270">
        <f>DataLog_T717420_Aug11_4_59_37pm[[#This Row],[OIL TEMP '[Â°C']]]-Table3[[#This Row],[4402]]</f>
        <v>0</v>
      </c>
      <c r="Y270">
        <f>DataLog_T717420_Aug11_4_59_37pm[[#This Row],[INTAKE TEMP '[Â°C']]]-Table3[[#This Row],[580F]]</f>
        <v>0</v>
      </c>
      <c r="Z270">
        <f>DataLog_T717420_Aug11_4_59_37pm[[#This Row],[HPFP PRES. '[BAR']]]-Table3[[#This Row],[58F0]]</f>
        <v>0</v>
      </c>
      <c r="AA270">
        <f>DataLog_T717420_Aug11_4_59_37pm[[#This Row],[COOLANT TEMP '[Â°C']]]-Table3[[#This Row],[5805]]</f>
        <v>0</v>
      </c>
      <c r="AB270">
        <f>DataLog_T717420_Aug11_4_59_37pm[[#This Row],[BOOST '[BAR']]]-Table3[[#This Row],[58DD]]</f>
        <v>0</v>
      </c>
    </row>
    <row r="271" spans="2:28" x14ac:dyDescent="0.25">
      <c r="B271" s="2" t="s">
        <v>63</v>
      </c>
      <c r="C271" s="2" t="s">
        <v>30</v>
      </c>
      <c r="D271" s="2" t="s">
        <v>25</v>
      </c>
      <c r="E271" s="2" t="s">
        <v>64</v>
      </c>
      <c r="F271" s="2" t="s">
        <v>26</v>
      </c>
      <c r="G271" s="2" t="s">
        <v>65</v>
      </c>
      <c r="I271">
        <f>HEX2DEC(_0811_173439[[#This Row],[580C]])*B$4/B$5+B$6</f>
        <v>520</v>
      </c>
      <c r="J271">
        <f>HEX2DEC(_0811_173439[[#This Row],[4402]])*C$4/C$5+C$6</f>
        <v>36</v>
      </c>
      <c r="K271">
        <f>HEX2DEC(_0811_173439[[#This Row],[580F]])*D$4/D$5+D$6</f>
        <v>30.75</v>
      </c>
      <c r="L271">
        <f>ROUND(HEX2DEC(_0811_173439[[#This Row],[58F0]])*E$4/E$5+E$6,0)</f>
        <v>111</v>
      </c>
      <c r="M271">
        <f>ROUND(HEX2DEC(_0811_173439[[#This Row],[5805]])*F$4/F$5+F$6,0)</f>
        <v>42</v>
      </c>
      <c r="N271">
        <f>ROUND(HEX2DEC(_0811_173439[[#This Row],[58DD]])*G$4/G$5+G$6,2)</f>
        <v>-0.03</v>
      </c>
      <c r="P271">
        <v>520</v>
      </c>
      <c r="Q271">
        <v>36</v>
      </c>
      <c r="R271">
        <v>30.75</v>
      </c>
      <c r="S271">
        <v>111</v>
      </c>
      <c r="T271">
        <v>42</v>
      </c>
      <c r="U271">
        <v>-0.03</v>
      </c>
      <c r="W271">
        <f>DataLog_T717420_Aug11_4_59_37pm[[#This Row],[RPM '[1/MIN']]]-Table3[[#This Row],[580C]]</f>
        <v>0</v>
      </c>
      <c r="X271">
        <f>DataLog_T717420_Aug11_4_59_37pm[[#This Row],[OIL TEMP '[Â°C']]]-Table3[[#This Row],[4402]]</f>
        <v>0</v>
      </c>
      <c r="Y271">
        <f>DataLog_T717420_Aug11_4_59_37pm[[#This Row],[INTAKE TEMP '[Â°C']]]-Table3[[#This Row],[580F]]</f>
        <v>0</v>
      </c>
      <c r="Z271">
        <f>DataLog_T717420_Aug11_4_59_37pm[[#This Row],[HPFP PRES. '[BAR']]]-Table3[[#This Row],[58F0]]</f>
        <v>0</v>
      </c>
      <c r="AA271">
        <f>DataLog_T717420_Aug11_4_59_37pm[[#This Row],[COOLANT TEMP '[Â°C']]]-Table3[[#This Row],[5805]]</f>
        <v>0</v>
      </c>
      <c r="AB271">
        <f>DataLog_T717420_Aug11_4_59_37pm[[#This Row],[BOOST '[BAR']]]-Table3[[#This Row],[58DD]]</f>
        <v>0</v>
      </c>
    </row>
    <row r="272" spans="2:28" x14ac:dyDescent="0.25">
      <c r="B272" s="2" t="s">
        <v>66</v>
      </c>
      <c r="C272" s="2" t="s">
        <v>30</v>
      </c>
      <c r="D272" s="2" t="s">
        <v>25</v>
      </c>
      <c r="E272" s="2" t="s">
        <v>67</v>
      </c>
      <c r="F272" s="2" t="s">
        <v>26</v>
      </c>
      <c r="G272" s="2" t="s">
        <v>68</v>
      </c>
      <c r="I272">
        <f>HEX2DEC(_0811_173439[[#This Row],[580C]])*B$4/B$5+B$6</f>
        <v>680</v>
      </c>
      <c r="J272">
        <f>HEX2DEC(_0811_173439[[#This Row],[4402]])*C$4/C$5+C$6</f>
        <v>36</v>
      </c>
      <c r="K272">
        <f>HEX2DEC(_0811_173439[[#This Row],[580F]])*D$4/D$5+D$6</f>
        <v>30.75</v>
      </c>
      <c r="L272">
        <f>ROUND(HEX2DEC(_0811_173439[[#This Row],[58F0]])*E$4/E$5+E$6,0)</f>
        <v>116</v>
      </c>
      <c r="M272">
        <f>ROUND(HEX2DEC(_0811_173439[[#This Row],[5805]])*F$4/F$5+F$6,0)</f>
        <v>42</v>
      </c>
      <c r="N272">
        <f>ROUND(HEX2DEC(_0811_173439[[#This Row],[58DD]])*G$4/G$5+G$6,2)</f>
        <v>-0.03</v>
      </c>
      <c r="P272">
        <v>680</v>
      </c>
      <c r="Q272">
        <v>36</v>
      </c>
      <c r="R272">
        <v>30.75</v>
      </c>
      <c r="S272">
        <v>116</v>
      </c>
      <c r="T272">
        <v>42</v>
      </c>
      <c r="U272">
        <v>-0.03</v>
      </c>
      <c r="W272">
        <f>DataLog_T717420_Aug11_4_59_37pm[[#This Row],[RPM '[1/MIN']]]-Table3[[#This Row],[580C]]</f>
        <v>0</v>
      </c>
      <c r="X272">
        <f>DataLog_T717420_Aug11_4_59_37pm[[#This Row],[OIL TEMP '[Â°C']]]-Table3[[#This Row],[4402]]</f>
        <v>0</v>
      </c>
      <c r="Y272">
        <f>DataLog_T717420_Aug11_4_59_37pm[[#This Row],[INTAKE TEMP '[Â°C']]]-Table3[[#This Row],[580F]]</f>
        <v>0</v>
      </c>
      <c r="Z272">
        <f>DataLog_T717420_Aug11_4_59_37pm[[#This Row],[HPFP PRES. '[BAR']]]-Table3[[#This Row],[58F0]]</f>
        <v>0</v>
      </c>
      <c r="AA272">
        <f>DataLog_T717420_Aug11_4_59_37pm[[#This Row],[COOLANT TEMP '[Â°C']]]-Table3[[#This Row],[5805]]</f>
        <v>0</v>
      </c>
      <c r="AB272">
        <f>DataLog_T717420_Aug11_4_59_37pm[[#This Row],[BOOST '[BAR']]]-Table3[[#This Row],[58DD]]</f>
        <v>0</v>
      </c>
    </row>
    <row r="273" spans="2:28" x14ac:dyDescent="0.25">
      <c r="B273" s="2" t="s">
        <v>69</v>
      </c>
      <c r="C273" s="2" t="s">
        <v>30</v>
      </c>
      <c r="D273" s="2" t="s">
        <v>25</v>
      </c>
      <c r="E273" s="2" t="s">
        <v>70</v>
      </c>
      <c r="F273" s="2" t="s">
        <v>26</v>
      </c>
      <c r="G273" s="2" t="s">
        <v>71</v>
      </c>
      <c r="I273">
        <f>HEX2DEC(_0811_173439[[#This Row],[580C]])*B$4/B$5+B$6</f>
        <v>920</v>
      </c>
      <c r="J273">
        <f>HEX2DEC(_0811_173439[[#This Row],[4402]])*C$4/C$5+C$6</f>
        <v>36</v>
      </c>
      <c r="K273">
        <f>HEX2DEC(_0811_173439[[#This Row],[580F]])*D$4/D$5+D$6</f>
        <v>30.75</v>
      </c>
      <c r="L273">
        <f>ROUND(HEX2DEC(_0811_173439[[#This Row],[58F0]])*E$4/E$5+E$6,0)</f>
        <v>109</v>
      </c>
      <c r="M273">
        <f>ROUND(HEX2DEC(_0811_173439[[#This Row],[5805]])*F$4/F$5+F$6,0)</f>
        <v>42</v>
      </c>
      <c r="N273">
        <f>ROUND(HEX2DEC(_0811_173439[[#This Row],[58DD]])*G$4/G$5+G$6,2)</f>
        <v>-0.03</v>
      </c>
      <c r="P273">
        <v>920</v>
      </c>
      <c r="Q273">
        <v>36</v>
      </c>
      <c r="R273">
        <v>30.75</v>
      </c>
      <c r="S273">
        <v>109</v>
      </c>
      <c r="T273">
        <v>42</v>
      </c>
      <c r="U273">
        <v>-0.03</v>
      </c>
      <c r="W273">
        <f>DataLog_T717420_Aug11_4_59_37pm[[#This Row],[RPM '[1/MIN']]]-Table3[[#This Row],[580C]]</f>
        <v>0</v>
      </c>
      <c r="X273">
        <f>DataLog_T717420_Aug11_4_59_37pm[[#This Row],[OIL TEMP '[Â°C']]]-Table3[[#This Row],[4402]]</f>
        <v>0</v>
      </c>
      <c r="Y273">
        <f>DataLog_T717420_Aug11_4_59_37pm[[#This Row],[INTAKE TEMP '[Â°C']]]-Table3[[#This Row],[580F]]</f>
        <v>0</v>
      </c>
      <c r="Z273">
        <f>DataLog_T717420_Aug11_4_59_37pm[[#This Row],[HPFP PRES. '[BAR']]]-Table3[[#This Row],[58F0]]</f>
        <v>0</v>
      </c>
      <c r="AA273">
        <f>DataLog_T717420_Aug11_4_59_37pm[[#This Row],[COOLANT TEMP '[Â°C']]]-Table3[[#This Row],[5805]]</f>
        <v>0</v>
      </c>
      <c r="AB273">
        <f>DataLog_T717420_Aug11_4_59_37pm[[#This Row],[BOOST '[BAR']]]-Table3[[#This Row],[58DD]]</f>
        <v>0</v>
      </c>
    </row>
    <row r="274" spans="2:28" x14ac:dyDescent="0.25">
      <c r="B274" s="2" t="s">
        <v>72</v>
      </c>
      <c r="C274" s="2" t="s">
        <v>30</v>
      </c>
      <c r="D274" s="2" t="s">
        <v>25</v>
      </c>
      <c r="E274" s="2" t="s">
        <v>73</v>
      </c>
      <c r="F274" s="2" t="s">
        <v>26</v>
      </c>
      <c r="G274" s="2" t="s">
        <v>74</v>
      </c>
      <c r="I274">
        <f>HEX2DEC(_0811_173439[[#This Row],[580C]])*B$4/B$5+B$6</f>
        <v>1120</v>
      </c>
      <c r="J274">
        <f>HEX2DEC(_0811_173439[[#This Row],[4402]])*C$4/C$5+C$6</f>
        <v>36</v>
      </c>
      <c r="K274">
        <f>HEX2DEC(_0811_173439[[#This Row],[580F]])*D$4/D$5+D$6</f>
        <v>30.75</v>
      </c>
      <c r="L274">
        <f>ROUND(HEX2DEC(_0811_173439[[#This Row],[58F0]])*E$4/E$5+E$6,0)</f>
        <v>99</v>
      </c>
      <c r="M274">
        <f>ROUND(HEX2DEC(_0811_173439[[#This Row],[5805]])*F$4/F$5+F$6,0)</f>
        <v>42</v>
      </c>
      <c r="N274">
        <f>ROUND(HEX2DEC(_0811_173439[[#This Row],[58DD]])*G$4/G$5+G$6,2)</f>
        <v>-0.03</v>
      </c>
      <c r="P274">
        <v>1120</v>
      </c>
      <c r="Q274">
        <v>36</v>
      </c>
      <c r="R274">
        <v>30.75</v>
      </c>
      <c r="S274">
        <v>99</v>
      </c>
      <c r="T274">
        <v>42</v>
      </c>
      <c r="U274">
        <v>-0.04</v>
      </c>
      <c r="W274">
        <f>DataLog_T717420_Aug11_4_59_37pm[[#This Row],[RPM '[1/MIN']]]-Table3[[#This Row],[580C]]</f>
        <v>0</v>
      </c>
      <c r="X274">
        <f>DataLog_T717420_Aug11_4_59_37pm[[#This Row],[OIL TEMP '[Â°C']]]-Table3[[#This Row],[4402]]</f>
        <v>0</v>
      </c>
      <c r="Y274">
        <f>DataLog_T717420_Aug11_4_59_37pm[[#This Row],[INTAKE TEMP '[Â°C']]]-Table3[[#This Row],[580F]]</f>
        <v>0</v>
      </c>
      <c r="Z274">
        <f>DataLog_T717420_Aug11_4_59_37pm[[#This Row],[HPFP PRES. '[BAR']]]-Table3[[#This Row],[58F0]]</f>
        <v>0</v>
      </c>
      <c r="AA274">
        <f>DataLog_T717420_Aug11_4_59_37pm[[#This Row],[COOLANT TEMP '[Â°C']]]-Table3[[#This Row],[5805]]</f>
        <v>0</v>
      </c>
      <c r="AB274">
        <f>DataLog_T717420_Aug11_4_59_37pm[[#This Row],[BOOST '[BAR']]]-Table3[[#This Row],[58DD]]</f>
        <v>-1.0000000000000002E-2</v>
      </c>
    </row>
    <row r="275" spans="2:28" x14ac:dyDescent="0.25">
      <c r="B275" s="2" t="s">
        <v>75</v>
      </c>
      <c r="C275" s="2" t="s">
        <v>30</v>
      </c>
      <c r="D275" s="2" t="s">
        <v>25</v>
      </c>
      <c r="E275" s="2" t="s">
        <v>76</v>
      </c>
      <c r="F275" s="2" t="s">
        <v>26</v>
      </c>
      <c r="G275" s="2" t="s">
        <v>77</v>
      </c>
      <c r="I275">
        <f>HEX2DEC(_0811_173439[[#This Row],[580C]])*B$4/B$5+B$6</f>
        <v>1280</v>
      </c>
      <c r="J275">
        <f>HEX2DEC(_0811_173439[[#This Row],[4402]])*C$4/C$5+C$6</f>
        <v>36</v>
      </c>
      <c r="K275">
        <f>HEX2DEC(_0811_173439[[#This Row],[580F]])*D$4/D$5+D$6</f>
        <v>30.75</v>
      </c>
      <c r="L275">
        <f>ROUND(HEX2DEC(_0811_173439[[#This Row],[58F0]])*E$4/E$5+E$6,0)</f>
        <v>91</v>
      </c>
      <c r="M275">
        <f>ROUND(HEX2DEC(_0811_173439[[#This Row],[5805]])*F$4/F$5+F$6,0)</f>
        <v>42</v>
      </c>
      <c r="N275">
        <f>ROUND(HEX2DEC(_0811_173439[[#This Row],[58DD]])*G$4/G$5+G$6,2)</f>
        <v>-0.03</v>
      </c>
      <c r="P275">
        <v>1280</v>
      </c>
      <c r="Q275">
        <v>36</v>
      </c>
      <c r="R275">
        <v>30.75</v>
      </c>
      <c r="S275">
        <v>91</v>
      </c>
      <c r="T275">
        <v>42</v>
      </c>
      <c r="U275">
        <v>-0.03</v>
      </c>
      <c r="W275">
        <f>DataLog_T717420_Aug11_4_59_37pm[[#This Row],[RPM '[1/MIN']]]-Table3[[#This Row],[580C]]</f>
        <v>0</v>
      </c>
      <c r="X275">
        <f>DataLog_T717420_Aug11_4_59_37pm[[#This Row],[OIL TEMP '[Â°C']]]-Table3[[#This Row],[4402]]</f>
        <v>0</v>
      </c>
      <c r="Y275">
        <f>DataLog_T717420_Aug11_4_59_37pm[[#This Row],[INTAKE TEMP '[Â°C']]]-Table3[[#This Row],[580F]]</f>
        <v>0</v>
      </c>
      <c r="Z275">
        <f>DataLog_T717420_Aug11_4_59_37pm[[#This Row],[HPFP PRES. '[BAR']]]-Table3[[#This Row],[58F0]]</f>
        <v>0</v>
      </c>
      <c r="AA275">
        <f>DataLog_T717420_Aug11_4_59_37pm[[#This Row],[COOLANT TEMP '[Â°C']]]-Table3[[#This Row],[5805]]</f>
        <v>0</v>
      </c>
      <c r="AB275">
        <f>DataLog_T717420_Aug11_4_59_37pm[[#This Row],[BOOST '[BAR']]]-Table3[[#This Row],[58DD]]</f>
        <v>0</v>
      </c>
    </row>
    <row r="276" spans="2:28" x14ac:dyDescent="0.25">
      <c r="B276" s="2" t="s">
        <v>78</v>
      </c>
      <c r="C276" s="2" t="s">
        <v>30</v>
      </c>
      <c r="D276" s="2" t="s">
        <v>25</v>
      </c>
      <c r="E276" s="2" t="s">
        <v>79</v>
      </c>
      <c r="F276" s="2" t="s">
        <v>26</v>
      </c>
      <c r="G276" s="2" t="s">
        <v>80</v>
      </c>
      <c r="I276">
        <f>HEX2DEC(_0811_173439[[#This Row],[580C]])*B$4/B$5+B$6</f>
        <v>1360</v>
      </c>
      <c r="J276">
        <f>HEX2DEC(_0811_173439[[#This Row],[4402]])*C$4/C$5+C$6</f>
        <v>36</v>
      </c>
      <c r="K276">
        <f>HEX2DEC(_0811_173439[[#This Row],[580F]])*D$4/D$5+D$6</f>
        <v>30.75</v>
      </c>
      <c r="L276">
        <f>ROUND(HEX2DEC(_0811_173439[[#This Row],[58F0]])*E$4/E$5+E$6,0)</f>
        <v>84</v>
      </c>
      <c r="M276">
        <f>ROUND(HEX2DEC(_0811_173439[[#This Row],[5805]])*F$4/F$5+F$6,0)</f>
        <v>42</v>
      </c>
      <c r="N276">
        <f>ROUND(HEX2DEC(_0811_173439[[#This Row],[58DD]])*G$4/G$5+G$6,2)</f>
        <v>-0.03</v>
      </c>
      <c r="P276">
        <v>1360</v>
      </c>
      <c r="Q276">
        <v>36</v>
      </c>
      <c r="R276">
        <v>30.75</v>
      </c>
      <c r="S276">
        <v>84</v>
      </c>
      <c r="T276">
        <v>42</v>
      </c>
      <c r="U276">
        <v>-0.03</v>
      </c>
      <c r="W276">
        <f>DataLog_T717420_Aug11_4_59_37pm[[#This Row],[RPM '[1/MIN']]]-Table3[[#This Row],[580C]]</f>
        <v>0</v>
      </c>
      <c r="X276">
        <f>DataLog_T717420_Aug11_4_59_37pm[[#This Row],[OIL TEMP '[Â°C']]]-Table3[[#This Row],[4402]]</f>
        <v>0</v>
      </c>
      <c r="Y276">
        <f>DataLog_T717420_Aug11_4_59_37pm[[#This Row],[INTAKE TEMP '[Â°C']]]-Table3[[#This Row],[580F]]</f>
        <v>0</v>
      </c>
      <c r="Z276">
        <f>DataLog_T717420_Aug11_4_59_37pm[[#This Row],[HPFP PRES. '[BAR']]]-Table3[[#This Row],[58F0]]</f>
        <v>0</v>
      </c>
      <c r="AA276">
        <f>DataLog_T717420_Aug11_4_59_37pm[[#This Row],[COOLANT TEMP '[Â°C']]]-Table3[[#This Row],[5805]]</f>
        <v>0</v>
      </c>
      <c r="AB276">
        <f>DataLog_T717420_Aug11_4_59_37pm[[#This Row],[BOOST '[BAR']]]-Table3[[#This Row],[58DD]]</f>
        <v>0</v>
      </c>
    </row>
    <row r="277" spans="2:28" x14ac:dyDescent="0.25">
      <c r="B277" s="2" t="s">
        <v>81</v>
      </c>
      <c r="C277" s="2" t="s">
        <v>30</v>
      </c>
      <c r="D277" s="2" t="s">
        <v>25</v>
      </c>
      <c r="E277" s="2" t="s">
        <v>82</v>
      </c>
      <c r="F277" s="2" t="s">
        <v>26</v>
      </c>
      <c r="G277" s="2" t="s">
        <v>83</v>
      </c>
      <c r="I277">
        <f>HEX2DEC(_0811_173439[[#This Row],[580C]])*B$4/B$5+B$6</f>
        <v>1400</v>
      </c>
      <c r="J277">
        <f>HEX2DEC(_0811_173439[[#This Row],[4402]])*C$4/C$5+C$6</f>
        <v>36</v>
      </c>
      <c r="K277">
        <f>HEX2DEC(_0811_173439[[#This Row],[580F]])*D$4/D$5+D$6</f>
        <v>30.75</v>
      </c>
      <c r="L277">
        <f>ROUND(HEX2DEC(_0811_173439[[#This Row],[58F0]])*E$4/E$5+E$6,0)</f>
        <v>78</v>
      </c>
      <c r="M277">
        <f>ROUND(HEX2DEC(_0811_173439[[#This Row],[5805]])*F$4/F$5+F$6,0)</f>
        <v>42</v>
      </c>
      <c r="N277">
        <f>ROUND(HEX2DEC(_0811_173439[[#This Row],[58DD]])*G$4/G$5+G$6,2)</f>
        <v>-0.03</v>
      </c>
      <c r="P277">
        <v>1400</v>
      </c>
      <c r="Q277">
        <v>36</v>
      </c>
      <c r="R277">
        <v>30.75</v>
      </c>
      <c r="S277">
        <v>78</v>
      </c>
      <c r="T277">
        <v>42</v>
      </c>
      <c r="U277">
        <v>-0.03</v>
      </c>
      <c r="W277">
        <f>DataLog_T717420_Aug11_4_59_37pm[[#This Row],[RPM '[1/MIN']]]-Table3[[#This Row],[580C]]</f>
        <v>0</v>
      </c>
      <c r="X277">
        <f>DataLog_T717420_Aug11_4_59_37pm[[#This Row],[OIL TEMP '[Â°C']]]-Table3[[#This Row],[4402]]</f>
        <v>0</v>
      </c>
      <c r="Y277">
        <f>DataLog_T717420_Aug11_4_59_37pm[[#This Row],[INTAKE TEMP '[Â°C']]]-Table3[[#This Row],[580F]]</f>
        <v>0</v>
      </c>
      <c r="Z277">
        <f>DataLog_T717420_Aug11_4_59_37pm[[#This Row],[HPFP PRES. '[BAR']]]-Table3[[#This Row],[58F0]]</f>
        <v>0</v>
      </c>
      <c r="AA277">
        <f>DataLog_T717420_Aug11_4_59_37pm[[#This Row],[COOLANT TEMP '[Â°C']]]-Table3[[#This Row],[5805]]</f>
        <v>0</v>
      </c>
      <c r="AB277">
        <f>DataLog_T717420_Aug11_4_59_37pm[[#This Row],[BOOST '[BAR']]]-Table3[[#This Row],[58DD]]</f>
        <v>0</v>
      </c>
    </row>
    <row r="278" spans="2:28" x14ac:dyDescent="0.25">
      <c r="B278" s="2" t="s">
        <v>84</v>
      </c>
      <c r="C278" s="2" t="s">
        <v>30</v>
      </c>
      <c r="D278" s="2" t="s">
        <v>25</v>
      </c>
      <c r="E278" s="2" t="s">
        <v>85</v>
      </c>
      <c r="F278" s="2" t="s">
        <v>26</v>
      </c>
      <c r="G278" s="2" t="s">
        <v>86</v>
      </c>
      <c r="I278">
        <f>HEX2DEC(_0811_173439[[#This Row],[580C]])*B$4/B$5+B$6</f>
        <v>1440</v>
      </c>
      <c r="J278">
        <f>HEX2DEC(_0811_173439[[#This Row],[4402]])*C$4/C$5+C$6</f>
        <v>36</v>
      </c>
      <c r="K278">
        <f>HEX2DEC(_0811_173439[[#This Row],[580F]])*D$4/D$5+D$6</f>
        <v>30.75</v>
      </c>
      <c r="L278">
        <f>ROUND(HEX2DEC(_0811_173439[[#This Row],[58F0]])*E$4/E$5+E$6,0)</f>
        <v>74</v>
      </c>
      <c r="M278">
        <f>ROUND(HEX2DEC(_0811_173439[[#This Row],[5805]])*F$4/F$5+F$6,0)</f>
        <v>42</v>
      </c>
      <c r="N278">
        <f>ROUND(HEX2DEC(_0811_173439[[#This Row],[58DD]])*G$4/G$5+G$6,2)</f>
        <v>-0.03</v>
      </c>
      <c r="P278">
        <v>1440</v>
      </c>
      <c r="Q278">
        <v>36</v>
      </c>
      <c r="R278">
        <v>30.75</v>
      </c>
      <c r="S278">
        <v>74</v>
      </c>
      <c r="T278">
        <v>42</v>
      </c>
      <c r="U278">
        <v>-0.03</v>
      </c>
      <c r="W278">
        <f>DataLog_T717420_Aug11_4_59_37pm[[#This Row],[RPM '[1/MIN']]]-Table3[[#This Row],[580C]]</f>
        <v>0</v>
      </c>
      <c r="X278">
        <f>DataLog_T717420_Aug11_4_59_37pm[[#This Row],[OIL TEMP '[Â°C']]]-Table3[[#This Row],[4402]]</f>
        <v>0</v>
      </c>
      <c r="Y278">
        <f>DataLog_T717420_Aug11_4_59_37pm[[#This Row],[INTAKE TEMP '[Â°C']]]-Table3[[#This Row],[580F]]</f>
        <v>0</v>
      </c>
      <c r="Z278">
        <f>DataLog_T717420_Aug11_4_59_37pm[[#This Row],[HPFP PRES. '[BAR']]]-Table3[[#This Row],[58F0]]</f>
        <v>0</v>
      </c>
      <c r="AA278">
        <f>DataLog_T717420_Aug11_4_59_37pm[[#This Row],[COOLANT TEMP '[Â°C']]]-Table3[[#This Row],[5805]]</f>
        <v>0</v>
      </c>
      <c r="AB278">
        <f>DataLog_T717420_Aug11_4_59_37pm[[#This Row],[BOOST '[BAR']]]-Table3[[#This Row],[58DD]]</f>
        <v>0</v>
      </c>
    </row>
    <row r="279" spans="2:28" x14ac:dyDescent="0.25">
      <c r="B279" s="2" t="s">
        <v>84</v>
      </c>
      <c r="C279" s="2" t="s">
        <v>30</v>
      </c>
      <c r="D279" s="2" t="s">
        <v>25</v>
      </c>
      <c r="E279" s="2" t="s">
        <v>87</v>
      </c>
      <c r="F279" s="2" t="s">
        <v>26</v>
      </c>
      <c r="G279" s="2" t="s">
        <v>27</v>
      </c>
      <c r="I279">
        <f>HEX2DEC(_0811_173439[[#This Row],[580C]])*B$4/B$5+B$6</f>
        <v>1440</v>
      </c>
      <c r="J279">
        <f>HEX2DEC(_0811_173439[[#This Row],[4402]])*C$4/C$5+C$6</f>
        <v>36</v>
      </c>
      <c r="K279">
        <f>HEX2DEC(_0811_173439[[#This Row],[580F]])*D$4/D$5+D$6</f>
        <v>30.75</v>
      </c>
      <c r="L279">
        <f>ROUND(HEX2DEC(_0811_173439[[#This Row],[58F0]])*E$4/E$5+E$6,0)</f>
        <v>72</v>
      </c>
      <c r="M279">
        <f>ROUND(HEX2DEC(_0811_173439[[#This Row],[5805]])*F$4/F$5+F$6,0)</f>
        <v>42</v>
      </c>
      <c r="N279">
        <f>ROUND(HEX2DEC(_0811_173439[[#This Row],[58DD]])*G$4/G$5+G$6,2)</f>
        <v>-0.03</v>
      </c>
      <c r="P279">
        <v>1440</v>
      </c>
      <c r="Q279">
        <v>36</v>
      </c>
      <c r="R279">
        <v>30.75</v>
      </c>
      <c r="S279">
        <v>72</v>
      </c>
      <c r="T279">
        <v>42</v>
      </c>
      <c r="U279">
        <v>-0.03</v>
      </c>
      <c r="W279">
        <f>DataLog_T717420_Aug11_4_59_37pm[[#This Row],[RPM '[1/MIN']]]-Table3[[#This Row],[580C]]</f>
        <v>0</v>
      </c>
      <c r="X279">
        <f>DataLog_T717420_Aug11_4_59_37pm[[#This Row],[OIL TEMP '[Â°C']]]-Table3[[#This Row],[4402]]</f>
        <v>0</v>
      </c>
      <c r="Y279">
        <f>DataLog_T717420_Aug11_4_59_37pm[[#This Row],[INTAKE TEMP '[Â°C']]]-Table3[[#This Row],[580F]]</f>
        <v>0</v>
      </c>
      <c r="Z279">
        <f>DataLog_T717420_Aug11_4_59_37pm[[#This Row],[HPFP PRES. '[BAR']]]-Table3[[#This Row],[58F0]]</f>
        <v>0</v>
      </c>
      <c r="AA279">
        <f>DataLog_T717420_Aug11_4_59_37pm[[#This Row],[COOLANT TEMP '[Â°C']]]-Table3[[#This Row],[5805]]</f>
        <v>0</v>
      </c>
      <c r="AB279">
        <f>DataLog_T717420_Aug11_4_59_37pm[[#This Row],[BOOST '[BAR']]]-Table3[[#This Row],[58DD]]</f>
        <v>0</v>
      </c>
    </row>
    <row r="280" spans="2:28" x14ac:dyDescent="0.25">
      <c r="B280" s="2" t="s">
        <v>88</v>
      </c>
      <c r="C280" s="2" t="s">
        <v>30</v>
      </c>
      <c r="D280" s="2" t="s">
        <v>25</v>
      </c>
      <c r="E280" s="2" t="s">
        <v>89</v>
      </c>
      <c r="F280" s="2" t="s">
        <v>26</v>
      </c>
      <c r="G280" s="2" t="s">
        <v>90</v>
      </c>
      <c r="I280">
        <f>HEX2DEC(_0811_173439[[#This Row],[580C]])*B$4/B$5+B$6</f>
        <v>1480</v>
      </c>
      <c r="J280">
        <f>HEX2DEC(_0811_173439[[#This Row],[4402]])*C$4/C$5+C$6</f>
        <v>36</v>
      </c>
      <c r="K280">
        <f>HEX2DEC(_0811_173439[[#This Row],[580F]])*D$4/D$5+D$6</f>
        <v>30.75</v>
      </c>
      <c r="L280">
        <f>ROUND(HEX2DEC(_0811_173439[[#This Row],[58F0]])*E$4/E$5+E$6,0)</f>
        <v>72</v>
      </c>
      <c r="M280">
        <f>ROUND(HEX2DEC(_0811_173439[[#This Row],[5805]])*F$4/F$5+F$6,0)</f>
        <v>42</v>
      </c>
      <c r="N280">
        <f>ROUND(HEX2DEC(_0811_173439[[#This Row],[58DD]])*G$4/G$5+G$6,2)</f>
        <v>-0.03</v>
      </c>
      <c r="P280">
        <v>1480</v>
      </c>
      <c r="Q280">
        <v>36</v>
      </c>
      <c r="R280">
        <v>30.75</v>
      </c>
      <c r="S280">
        <v>72</v>
      </c>
      <c r="T280">
        <v>42</v>
      </c>
      <c r="U280">
        <v>-0.03</v>
      </c>
      <c r="W280">
        <f>DataLog_T717420_Aug11_4_59_37pm[[#This Row],[RPM '[1/MIN']]]-Table3[[#This Row],[580C]]</f>
        <v>0</v>
      </c>
      <c r="X280">
        <f>DataLog_T717420_Aug11_4_59_37pm[[#This Row],[OIL TEMP '[Â°C']]]-Table3[[#This Row],[4402]]</f>
        <v>0</v>
      </c>
      <c r="Y280">
        <f>DataLog_T717420_Aug11_4_59_37pm[[#This Row],[INTAKE TEMP '[Â°C']]]-Table3[[#This Row],[580F]]</f>
        <v>0</v>
      </c>
      <c r="Z280">
        <f>DataLog_T717420_Aug11_4_59_37pm[[#This Row],[HPFP PRES. '[BAR']]]-Table3[[#This Row],[58F0]]</f>
        <v>0</v>
      </c>
      <c r="AA280">
        <f>DataLog_T717420_Aug11_4_59_37pm[[#This Row],[COOLANT TEMP '[Â°C']]]-Table3[[#This Row],[5805]]</f>
        <v>0</v>
      </c>
      <c r="AB280">
        <f>DataLog_T717420_Aug11_4_59_37pm[[#This Row],[BOOST '[BAR']]]-Table3[[#This Row],[58DD]]</f>
        <v>0</v>
      </c>
    </row>
    <row r="281" spans="2:28" x14ac:dyDescent="0.25">
      <c r="B281" s="2" t="s">
        <v>88</v>
      </c>
      <c r="C281" s="2" t="s">
        <v>30</v>
      </c>
      <c r="D281" s="2" t="s">
        <v>25</v>
      </c>
      <c r="E281" s="2" t="s">
        <v>91</v>
      </c>
      <c r="F281" s="2" t="s">
        <v>26</v>
      </c>
      <c r="G281" s="2" t="s">
        <v>92</v>
      </c>
      <c r="I281">
        <f>HEX2DEC(_0811_173439[[#This Row],[580C]])*B$4/B$5+B$6</f>
        <v>1480</v>
      </c>
      <c r="J281">
        <f>HEX2DEC(_0811_173439[[#This Row],[4402]])*C$4/C$5+C$6</f>
        <v>36</v>
      </c>
      <c r="K281">
        <f>HEX2DEC(_0811_173439[[#This Row],[580F]])*D$4/D$5+D$6</f>
        <v>30.75</v>
      </c>
      <c r="L281">
        <f>ROUND(HEX2DEC(_0811_173439[[#This Row],[58F0]])*E$4/E$5+E$6,0)</f>
        <v>71</v>
      </c>
      <c r="M281">
        <f>ROUND(HEX2DEC(_0811_173439[[#This Row],[5805]])*F$4/F$5+F$6,0)</f>
        <v>42</v>
      </c>
      <c r="N281">
        <f>ROUND(HEX2DEC(_0811_173439[[#This Row],[58DD]])*G$4/G$5+G$6,2)</f>
        <v>-0.03</v>
      </c>
      <c r="P281">
        <v>1480</v>
      </c>
      <c r="Q281">
        <v>36</v>
      </c>
      <c r="R281">
        <v>30.75</v>
      </c>
      <c r="S281">
        <v>71</v>
      </c>
      <c r="T281">
        <v>42</v>
      </c>
      <c r="U281">
        <v>-0.03</v>
      </c>
      <c r="W281">
        <f>DataLog_T717420_Aug11_4_59_37pm[[#This Row],[RPM '[1/MIN']]]-Table3[[#This Row],[580C]]</f>
        <v>0</v>
      </c>
      <c r="X281">
        <f>DataLog_T717420_Aug11_4_59_37pm[[#This Row],[OIL TEMP '[Â°C']]]-Table3[[#This Row],[4402]]</f>
        <v>0</v>
      </c>
      <c r="Y281">
        <f>DataLog_T717420_Aug11_4_59_37pm[[#This Row],[INTAKE TEMP '[Â°C']]]-Table3[[#This Row],[580F]]</f>
        <v>0</v>
      </c>
      <c r="Z281">
        <f>DataLog_T717420_Aug11_4_59_37pm[[#This Row],[HPFP PRES. '[BAR']]]-Table3[[#This Row],[58F0]]</f>
        <v>0</v>
      </c>
      <c r="AA281">
        <f>DataLog_T717420_Aug11_4_59_37pm[[#This Row],[COOLANT TEMP '[Â°C']]]-Table3[[#This Row],[5805]]</f>
        <v>0</v>
      </c>
      <c r="AB281">
        <f>DataLog_T717420_Aug11_4_59_37pm[[#This Row],[BOOST '[BAR']]]-Table3[[#This Row],[58DD]]</f>
        <v>0</v>
      </c>
    </row>
    <row r="282" spans="2:28" x14ac:dyDescent="0.25">
      <c r="B282" s="2" t="s">
        <v>88</v>
      </c>
      <c r="C282" s="2" t="s">
        <v>30</v>
      </c>
      <c r="D282" s="2" t="s">
        <v>25</v>
      </c>
      <c r="E282" s="2" t="s">
        <v>93</v>
      </c>
      <c r="F282" s="2" t="s">
        <v>26</v>
      </c>
      <c r="G282" s="2" t="s">
        <v>58</v>
      </c>
      <c r="I282">
        <f>HEX2DEC(_0811_173439[[#This Row],[580C]])*B$4/B$5+B$6</f>
        <v>1480</v>
      </c>
      <c r="J282">
        <f>HEX2DEC(_0811_173439[[#This Row],[4402]])*C$4/C$5+C$6</f>
        <v>36</v>
      </c>
      <c r="K282">
        <f>HEX2DEC(_0811_173439[[#This Row],[580F]])*D$4/D$5+D$6</f>
        <v>30.75</v>
      </c>
      <c r="L282">
        <f>ROUND(HEX2DEC(_0811_173439[[#This Row],[58F0]])*E$4/E$5+E$6,0)</f>
        <v>70</v>
      </c>
      <c r="M282">
        <f>ROUND(HEX2DEC(_0811_173439[[#This Row],[5805]])*F$4/F$5+F$6,0)</f>
        <v>42</v>
      </c>
      <c r="N282">
        <f>ROUND(HEX2DEC(_0811_173439[[#This Row],[58DD]])*G$4/G$5+G$6,2)</f>
        <v>-0.03</v>
      </c>
      <c r="P282">
        <v>1480</v>
      </c>
      <c r="Q282">
        <v>36</v>
      </c>
      <c r="R282">
        <v>30.75</v>
      </c>
      <c r="S282">
        <v>70</v>
      </c>
      <c r="T282">
        <v>42</v>
      </c>
      <c r="U282">
        <v>-0.03</v>
      </c>
      <c r="W282">
        <f>DataLog_T717420_Aug11_4_59_37pm[[#This Row],[RPM '[1/MIN']]]-Table3[[#This Row],[580C]]</f>
        <v>0</v>
      </c>
      <c r="X282">
        <f>DataLog_T717420_Aug11_4_59_37pm[[#This Row],[OIL TEMP '[Â°C']]]-Table3[[#This Row],[4402]]</f>
        <v>0</v>
      </c>
      <c r="Y282">
        <f>DataLog_T717420_Aug11_4_59_37pm[[#This Row],[INTAKE TEMP '[Â°C']]]-Table3[[#This Row],[580F]]</f>
        <v>0</v>
      </c>
      <c r="Z282">
        <f>DataLog_T717420_Aug11_4_59_37pm[[#This Row],[HPFP PRES. '[BAR']]]-Table3[[#This Row],[58F0]]</f>
        <v>0</v>
      </c>
      <c r="AA282">
        <f>DataLog_T717420_Aug11_4_59_37pm[[#This Row],[COOLANT TEMP '[Â°C']]]-Table3[[#This Row],[5805]]</f>
        <v>0</v>
      </c>
      <c r="AB282">
        <f>DataLog_T717420_Aug11_4_59_37pm[[#This Row],[BOOST '[BAR']]]-Table3[[#This Row],[58DD]]</f>
        <v>0</v>
      </c>
    </row>
    <row r="283" spans="2:28" x14ac:dyDescent="0.25">
      <c r="B283" s="2" t="s">
        <v>88</v>
      </c>
      <c r="C283" s="2" t="s">
        <v>30</v>
      </c>
      <c r="D283" s="2" t="s">
        <v>25</v>
      </c>
      <c r="E283" s="2" t="s">
        <v>94</v>
      </c>
      <c r="F283" s="2" t="s">
        <v>26</v>
      </c>
      <c r="G283" s="2" t="s">
        <v>90</v>
      </c>
      <c r="I283">
        <f>HEX2DEC(_0811_173439[[#This Row],[580C]])*B$4/B$5+B$6</f>
        <v>1480</v>
      </c>
      <c r="J283">
        <f>HEX2DEC(_0811_173439[[#This Row],[4402]])*C$4/C$5+C$6</f>
        <v>36</v>
      </c>
      <c r="K283">
        <f>HEX2DEC(_0811_173439[[#This Row],[580F]])*D$4/D$5+D$6</f>
        <v>30.75</v>
      </c>
      <c r="L283">
        <f>ROUND(HEX2DEC(_0811_173439[[#This Row],[58F0]])*E$4/E$5+E$6,0)</f>
        <v>69</v>
      </c>
      <c r="M283">
        <f>ROUND(HEX2DEC(_0811_173439[[#This Row],[5805]])*F$4/F$5+F$6,0)</f>
        <v>42</v>
      </c>
      <c r="N283">
        <f>ROUND(HEX2DEC(_0811_173439[[#This Row],[58DD]])*G$4/G$5+G$6,2)</f>
        <v>-0.03</v>
      </c>
      <c r="P283">
        <v>1480</v>
      </c>
      <c r="Q283">
        <v>36</v>
      </c>
      <c r="R283">
        <v>30.75</v>
      </c>
      <c r="S283">
        <v>69</v>
      </c>
      <c r="T283">
        <v>42</v>
      </c>
      <c r="U283">
        <v>-0.03</v>
      </c>
      <c r="W283">
        <f>DataLog_T717420_Aug11_4_59_37pm[[#This Row],[RPM '[1/MIN']]]-Table3[[#This Row],[580C]]</f>
        <v>0</v>
      </c>
      <c r="X283">
        <f>DataLog_T717420_Aug11_4_59_37pm[[#This Row],[OIL TEMP '[Â°C']]]-Table3[[#This Row],[4402]]</f>
        <v>0</v>
      </c>
      <c r="Y283">
        <f>DataLog_T717420_Aug11_4_59_37pm[[#This Row],[INTAKE TEMP '[Â°C']]]-Table3[[#This Row],[580F]]</f>
        <v>0</v>
      </c>
      <c r="Z283">
        <f>DataLog_T717420_Aug11_4_59_37pm[[#This Row],[HPFP PRES. '[BAR']]]-Table3[[#This Row],[58F0]]</f>
        <v>0</v>
      </c>
      <c r="AA283">
        <f>DataLog_T717420_Aug11_4_59_37pm[[#This Row],[COOLANT TEMP '[Â°C']]]-Table3[[#This Row],[5805]]</f>
        <v>0</v>
      </c>
      <c r="AB283">
        <f>DataLog_T717420_Aug11_4_59_37pm[[#This Row],[BOOST '[BAR']]]-Table3[[#This Row],[58DD]]</f>
        <v>0</v>
      </c>
    </row>
    <row r="284" spans="2:28" x14ac:dyDescent="0.25">
      <c r="B284" s="2" t="s">
        <v>88</v>
      </c>
      <c r="C284" s="2" t="s">
        <v>30</v>
      </c>
      <c r="D284" s="2" t="s">
        <v>25</v>
      </c>
      <c r="E284" s="2" t="s">
        <v>95</v>
      </c>
      <c r="F284" s="2" t="s">
        <v>26</v>
      </c>
      <c r="G284" s="2" t="s">
        <v>96</v>
      </c>
      <c r="I284">
        <f>HEX2DEC(_0811_173439[[#This Row],[580C]])*B$4/B$5+B$6</f>
        <v>1480</v>
      </c>
      <c r="J284">
        <f>HEX2DEC(_0811_173439[[#This Row],[4402]])*C$4/C$5+C$6</f>
        <v>36</v>
      </c>
      <c r="K284">
        <f>HEX2DEC(_0811_173439[[#This Row],[580F]])*D$4/D$5+D$6</f>
        <v>30.75</v>
      </c>
      <c r="L284">
        <f>ROUND(HEX2DEC(_0811_173439[[#This Row],[58F0]])*E$4/E$5+E$6,0)</f>
        <v>68</v>
      </c>
      <c r="M284">
        <f>ROUND(HEX2DEC(_0811_173439[[#This Row],[5805]])*F$4/F$5+F$6,0)</f>
        <v>42</v>
      </c>
      <c r="N284">
        <f>ROUND(HEX2DEC(_0811_173439[[#This Row],[58DD]])*G$4/G$5+G$6,2)</f>
        <v>-0.03</v>
      </c>
      <c r="P284">
        <v>1480</v>
      </c>
      <c r="Q284">
        <v>36</v>
      </c>
      <c r="R284">
        <v>30.75</v>
      </c>
      <c r="S284">
        <v>68</v>
      </c>
      <c r="T284">
        <v>42</v>
      </c>
      <c r="U284">
        <v>-0.03</v>
      </c>
      <c r="W284">
        <f>DataLog_T717420_Aug11_4_59_37pm[[#This Row],[RPM '[1/MIN']]]-Table3[[#This Row],[580C]]</f>
        <v>0</v>
      </c>
      <c r="X284">
        <f>DataLog_T717420_Aug11_4_59_37pm[[#This Row],[OIL TEMP '[Â°C']]]-Table3[[#This Row],[4402]]</f>
        <v>0</v>
      </c>
      <c r="Y284">
        <f>DataLog_T717420_Aug11_4_59_37pm[[#This Row],[INTAKE TEMP '[Â°C']]]-Table3[[#This Row],[580F]]</f>
        <v>0</v>
      </c>
      <c r="Z284">
        <f>DataLog_T717420_Aug11_4_59_37pm[[#This Row],[HPFP PRES. '[BAR']]]-Table3[[#This Row],[58F0]]</f>
        <v>0</v>
      </c>
      <c r="AA284">
        <f>DataLog_T717420_Aug11_4_59_37pm[[#This Row],[COOLANT TEMP '[Â°C']]]-Table3[[#This Row],[5805]]</f>
        <v>0</v>
      </c>
      <c r="AB284">
        <f>DataLog_T717420_Aug11_4_59_37pm[[#This Row],[BOOST '[BAR']]]-Table3[[#This Row],[58DD]]</f>
        <v>0</v>
      </c>
    </row>
    <row r="285" spans="2:28" x14ac:dyDescent="0.25">
      <c r="B285" s="2" t="s">
        <v>88</v>
      </c>
      <c r="C285" s="2" t="s">
        <v>30</v>
      </c>
      <c r="D285" s="2" t="s">
        <v>25</v>
      </c>
      <c r="E285" s="2" t="s">
        <v>97</v>
      </c>
      <c r="F285" s="2" t="s">
        <v>26</v>
      </c>
      <c r="G285" s="2" t="s">
        <v>98</v>
      </c>
      <c r="I285">
        <f>HEX2DEC(_0811_173439[[#This Row],[580C]])*B$4/B$5+B$6</f>
        <v>1480</v>
      </c>
      <c r="J285">
        <f>HEX2DEC(_0811_173439[[#This Row],[4402]])*C$4/C$5+C$6</f>
        <v>36</v>
      </c>
      <c r="K285">
        <f>HEX2DEC(_0811_173439[[#This Row],[580F]])*D$4/D$5+D$6</f>
        <v>30.75</v>
      </c>
      <c r="L285">
        <f>ROUND(HEX2DEC(_0811_173439[[#This Row],[58F0]])*E$4/E$5+E$6,0)</f>
        <v>68</v>
      </c>
      <c r="M285">
        <f>ROUND(HEX2DEC(_0811_173439[[#This Row],[5805]])*F$4/F$5+F$6,0)</f>
        <v>42</v>
      </c>
      <c r="N285">
        <f>ROUND(HEX2DEC(_0811_173439[[#This Row],[58DD]])*G$4/G$5+G$6,2)</f>
        <v>-0.03</v>
      </c>
      <c r="P285">
        <v>1480</v>
      </c>
      <c r="Q285">
        <v>36</v>
      </c>
      <c r="R285">
        <v>30.75</v>
      </c>
      <c r="S285">
        <v>68</v>
      </c>
      <c r="T285">
        <v>42</v>
      </c>
      <c r="U285">
        <v>-0.03</v>
      </c>
      <c r="W285">
        <f>DataLog_T717420_Aug11_4_59_37pm[[#This Row],[RPM '[1/MIN']]]-Table3[[#This Row],[580C]]</f>
        <v>0</v>
      </c>
      <c r="X285">
        <f>DataLog_T717420_Aug11_4_59_37pm[[#This Row],[OIL TEMP '[Â°C']]]-Table3[[#This Row],[4402]]</f>
        <v>0</v>
      </c>
      <c r="Y285">
        <f>DataLog_T717420_Aug11_4_59_37pm[[#This Row],[INTAKE TEMP '[Â°C']]]-Table3[[#This Row],[580F]]</f>
        <v>0</v>
      </c>
      <c r="Z285">
        <f>DataLog_T717420_Aug11_4_59_37pm[[#This Row],[HPFP PRES. '[BAR']]]-Table3[[#This Row],[58F0]]</f>
        <v>0</v>
      </c>
      <c r="AA285">
        <f>DataLog_T717420_Aug11_4_59_37pm[[#This Row],[COOLANT TEMP '[Â°C']]]-Table3[[#This Row],[5805]]</f>
        <v>0</v>
      </c>
      <c r="AB285">
        <f>DataLog_T717420_Aug11_4_59_37pm[[#This Row],[BOOST '[BAR']]]-Table3[[#This Row],[58DD]]</f>
        <v>0</v>
      </c>
    </row>
    <row r="286" spans="2:28" x14ac:dyDescent="0.25">
      <c r="B286" s="2" t="s">
        <v>88</v>
      </c>
      <c r="C286" s="2" t="s">
        <v>30</v>
      </c>
      <c r="D286" s="2" t="s">
        <v>25</v>
      </c>
      <c r="E286" s="2" t="s">
        <v>99</v>
      </c>
      <c r="F286" s="2" t="s">
        <v>26</v>
      </c>
      <c r="G286" s="2" t="s">
        <v>98</v>
      </c>
      <c r="I286">
        <f>HEX2DEC(_0811_173439[[#This Row],[580C]])*B$4/B$5+B$6</f>
        <v>1480</v>
      </c>
      <c r="J286">
        <f>HEX2DEC(_0811_173439[[#This Row],[4402]])*C$4/C$5+C$6</f>
        <v>36</v>
      </c>
      <c r="K286">
        <f>HEX2DEC(_0811_173439[[#This Row],[580F]])*D$4/D$5+D$6</f>
        <v>30.75</v>
      </c>
      <c r="L286">
        <f>ROUND(HEX2DEC(_0811_173439[[#This Row],[58F0]])*E$4/E$5+E$6,0)</f>
        <v>67</v>
      </c>
      <c r="M286">
        <f>ROUND(HEX2DEC(_0811_173439[[#This Row],[5805]])*F$4/F$5+F$6,0)</f>
        <v>42</v>
      </c>
      <c r="N286">
        <f>ROUND(HEX2DEC(_0811_173439[[#This Row],[58DD]])*G$4/G$5+G$6,2)</f>
        <v>-0.03</v>
      </c>
      <c r="P286">
        <v>1480</v>
      </c>
      <c r="Q286">
        <v>36</v>
      </c>
      <c r="R286">
        <v>30.75</v>
      </c>
      <c r="S286">
        <v>67</v>
      </c>
      <c r="T286">
        <v>42</v>
      </c>
      <c r="U286">
        <v>-0.03</v>
      </c>
      <c r="W286">
        <f>DataLog_T717420_Aug11_4_59_37pm[[#This Row],[RPM '[1/MIN']]]-Table3[[#This Row],[580C]]</f>
        <v>0</v>
      </c>
      <c r="X286">
        <f>DataLog_T717420_Aug11_4_59_37pm[[#This Row],[OIL TEMP '[Â°C']]]-Table3[[#This Row],[4402]]</f>
        <v>0</v>
      </c>
      <c r="Y286">
        <f>DataLog_T717420_Aug11_4_59_37pm[[#This Row],[INTAKE TEMP '[Â°C']]]-Table3[[#This Row],[580F]]</f>
        <v>0</v>
      </c>
      <c r="Z286">
        <f>DataLog_T717420_Aug11_4_59_37pm[[#This Row],[HPFP PRES. '[BAR']]]-Table3[[#This Row],[58F0]]</f>
        <v>0</v>
      </c>
      <c r="AA286">
        <f>DataLog_T717420_Aug11_4_59_37pm[[#This Row],[COOLANT TEMP '[Â°C']]]-Table3[[#This Row],[5805]]</f>
        <v>0</v>
      </c>
      <c r="AB286">
        <f>DataLog_T717420_Aug11_4_59_37pm[[#This Row],[BOOST '[BAR']]]-Table3[[#This Row],[58DD]]</f>
        <v>0</v>
      </c>
    </row>
    <row r="287" spans="2:28" x14ac:dyDescent="0.25">
      <c r="B287" s="2" t="s">
        <v>84</v>
      </c>
      <c r="C287" s="2" t="s">
        <v>30</v>
      </c>
      <c r="D287" s="2" t="s">
        <v>25</v>
      </c>
      <c r="E287" s="2" t="s">
        <v>100</v>
      </c>
      <c r="F287" s="2" t="s">
        <v>26</v>
      </c>
      <c r="G287" s="2" t="s">
        <v>98</v>
      </c>
      <c r="I287">
        <f>HEX2DEC(_0811_173439[[#This Row],[580C]])*B$4/B$5+B$6</f>
        <v>1440</v>
      </c>
      <c r="J287">
        <f>HEX2DEC(_0811_173439[[#This Row],[4402]])*C$4/C$5+C$6</f>
        <v>36</v>
      </c>
      <c r="K287">
        <f>HEX2DEC(_0811_173439[[#This Row],[580F]])*D$4/D$5+D$6</f>
        <v>30.75</v>
      </c>
      <c r="L287">
        <f>ROUND(HEX2DEC(_0811_173439[[#This Row],[58F0]])*E$4/E$5+E$6,0)</f>
        <v>67</v>
      </c>
      <c r="M287">
        <f>ROUND(HEX2DEC(_0811_173439[[#This Row],[5805]])*F$4/F$5+F$6,0)</f>
        <v>42</v>
      </c>
      <c r="N287">
        <f>ROUND(HEX2DEC(_0811_173439[[#This Row],[58DD]])*G$4/G$5+G$6,2)</f>
        <v>-0.03</v>
      </c>
      <c r="P287">
        <v>1440</v>
      </c>
      <c r="Q287">
        <v>36</v>
      </c>
      <c r="R287">
        <v>30.75</v>
      </c>
      <c r="S287">
        <v>67</v>
      </c>
      <c r="T287">
        <v>42</v>
      </c>
      <c r="U287">
        <v>-0.03</v>
      </c>
      <c r="W287">
        <f>DataLog_T717420_Aug11_4_59_37pm[[#This Row],[RPM '[1/MIN']]]-Table3[[#This Row],[580C]]</f>
        <v>0</v>
      </c>
      <c r="X287">
        <f>DataLog_T717420_Aug11_4_59_37pm[[#This Row],[OIL TEMP '[Â°C']]]-Table3[[#This Row],[4402]]</f>
        <v>0</v>
      </c>
      <c r="Y287">
        <f>DataLog_T717420_Aug11_4_59_37pm[[#This Row],[INTAKE TEMP '[Â°C']]]-Table3[[#This Row],[580F]]</f>
        <v>0</v>
      </c>
      <c r="Z287">
        <f>DataLog_T717420_Aug11_4_59_37pm[[#This Row],[HPFP PRES. '[BAR']]]-Table3[[#This Row],[58F0]]</f>
        <v>0</v>
      </c>
      <c r="AA287">
        <f>DataLog_T717420_Aug11_4_59_37pm[[#This Row],[COOLANT TEMP '[Â°C']]]-Table3[[#This Row],[5805]]</f>
        <v>0</v>
      </c>
      <c r="AB287">
        <f>DataLog_T717420_Aug11_4_59_37pm[[#This Row],[BOOST '[BAR']]]-Table3[[#This Row],[58DD]]</f>
        <v>0</v>
      </c>
    </row>
    <row r="288" spans="2:28" x14ac:dyDescent="0.25">
      <c r="B288" s="2" t="s">
        <v>84</v>
      </c>
      <c r="C288" s="2" t="s">
        <v>30</v>
      </c>
      <c r="D288" s="2" t="s">
        <v>25</v>
      </c>
      <c r="E288" s="2" t="s">
        <v>101</v>
      </c>
      <c r="F288" s="2" t="s">
        <v>26</v>
      </c>
      <c r="G288" s="2" t="s">
        <v>102</v>
      </c>
      <c r="I288">
        <f>HEX2DEC(_0811_173439[[#This Row],[580C]])*B$4/B$5+B$6</f>
        <v>1440</v>
      </c>
      <c r="J288">
        <f>HEX2DEC(_0811_173439[[#This Row],[4402]])*C$4/C$5+C$6</f>
        <v>36</v>
      </c>
      <c r="K288">
        <f>HEX2DEC(_0811_173439[[#This Row],[580F]])*D$4/D$5+D$6</f>
        <v>30.75</v>
      </c>
      <c r="L288">
        <f>ROUND(HEX2DEC(_0811_173439[[#This Row],[58F0]])*E$4/E$5+E$6,0)</f>
        <v>66</v>
      </c>
      <c r="M288">
        <f>ROUND(HEX2DEC(_0811_173439[[#This Row],[5805]])*F$4/F$5+F$6,0)</f>
        <v>42</v>
      </c>
      <c r="N288">
        <f>ROUND(HEX2DEC(_0811_173439[[#This Row],[58DD]])*G$4/G$5+G$6,2)</f>
        <v>-0.03</v>
      </c>
      <c r="P288">
        <v>1440</v>
      </c>
      <c r="Q288">
        <v>36</v>
      </c>
      <c r="R288">
        <v>30.75</v>
      </c>
      <c r="S288">
        <v>66</v>
      </c>
      <c r="T288">
        <v>42</v>
      </c>
      <c r="U288">
        <v>-0.03</v>
      </c>
      <c r="W288">
        <f>DataLog_T717420_Aug11_4_59_37pm[[#This Row],[RPM '[1/MIN']]]-Table3[[#This Row],[580C]]</f>
        <v>0</v>
      </c>
      <c r="X288">
        <f>DataLog_T717420_Aug11_4_59_37pm[[#This Row],[OIL TEMP '[Â°C']]]-Table3[[#This Row],[4402]]</f>
        <v>0</v>
      </c>
      <c r="Y288">
        <f>DataLog_T717420_Aug11_4_59_37pm[[#This Row],[INTAKE TEMP '[Â°C']]]-Table3[[#This Row],[580F]]</f>
        <v>0</v>
      </c>
      <c r="Z288">
        <f>DataLog_T717420_Aug11_4_59_37pm[[#This Row],[HPFP PRES. '[BAR']]]-Table3[[#This Row],[58F0]]</f>
        <v>0</v>
      </c>
      <c r="AA288">
        <f>DataLog_T717420_Aug11_4_59_37pm[[#This Row],[COOLANT TEMP '[Â°C']]]-Table3[[#This Row],[5805]]</f>
        <v>0</v>
      </c>
      <c r="AB288">
        <f>DataLog_T717420_Aug11_4_59_37pm[[#This Row],[BOOST '[BAR']]]-Table3[[#This Row],[58DD]]</f>
        <v>0</v>
      </c>
    </row>
    <row r="289" spans="2:28" x14ac:dyDescent="0.25">
      <c r="B289" s="2" t="s">
        <v>84</v>
      </c>
      <c r="C289" s="2" t="s">
        <v>30</v>
      </c>
      <c r="D289" s="2" t="s">
        <v>25</v>
      </c>
      <c r="E289" s="2" t="s">
        <v>103</v>
      </c>
      <c r="F289" s="2" t="s">
        <v>26</v>
      </c>
      <c r="G289" s="2" t="s">
        <v>102</v>
      </c>
      <c r="I289">
        <f>HEX2DEC(_0811_173439[[#This Row],[580C]])*B$4/B$5+B$6</f>
        <v>1440</v>
      </c>
      <c r="J289">
        <f>HEX2DEC(_0811_173439[[#This Row],[4402]])*C$4/C$5+C$6</f>
        <v>36</v>
      </c>
      <c r="K289">
        <f>HEX2DEC(_0811_173439[[#This Row],[580F]])*D$4/D$5+D$6</f>
        <v>30.75</v>
      </c>
      <c r="L289">
        <f>ROUND(HEX2DEC(_0811_173439[[#This Row],[58F0]])*E$4/E$5+E$6,0)</f>
        <v>66</v>
      </c>
      <c r="M289">
        <f>ROUND(HEX2DEC(_0811_173439[[#This Row],[5805]])*F$4/F$5+F$6,0)</f>
        <v>42</v>
      </c>
      <c r="N289">
        <f>ROUND(HEX2DEC(_0811_173439[[#This Row],[58DD]])*G$4/G$5+G$6,2)</f>
        <v>-0.03</v>
      </c>
      <c r="P289">
        <v>1440</v>
      </c>
      <c r="Q289">
        <v>36</v>
      </c>
      <c r="R289">
        <v>30.75</v>
      </c>
      <c r="S289">
        <v>66</v>
      </c>
      <c r="T289">
        <v>42</v>
      </c>
      <c r="U289">
        <v>-0.03</v>
      </c>
      <c r="W289">
        <f>DataLog_T717420_Aug11_4_59_37pm[[#This Row],[RPM '[1/MIN']]]-Table3[[#This Row],[580C]]</f>
        <v>0</v>
      </c>
      <c r="X289">
        <f>DataLog_T717420_Aug11_4_59_37pm[[#This Row],[OIL TEMP '[Â°C']]]-Table3[[#This Row],[4402]]</f>
        <v>0</v>
      </c>
      <c r="Y289">
        <f>DataLog_T717420_Aug11_4_59_37pm[[#This Row],[INTAKE TEMP '[Â°C']]]-Table3[[#This Row],[580F]]</f>
        <v>0</v>
      </c>
      <c r="Z289">
        <f>DataLog_T717420_Aug11_4_59_37pm[[#This Row],[HPFP PRES. '[BAR']]]-Table3[[#This Row],[58F0]]</f>
        <v>0</v>
      </c>
      <c r="AA289">
        <f>DataLog_T717420_Aug11_4_59_37pm[[#This Row],[COOLANT TEMP '[Â°C']]]-Table3[[#This Row],[5805]]</f>
        <v>0</v>
      </c>
      <c r="AB289">
        <f>DataLog_T717420_Aug11_4_59_37pm[[#This Row],[BOOST '[BAR']]]-Table3[[#This Row],[58DD]]</f>
        <v>0</v>
      </c>
    </row>
    <row r="290" spans="2:28" x14ac:dyDescent="0.25">
      <c r="B290" s="2" t="s">
        <v>81</v>
      </c>
      <c r="C290" s="2" t="s">
        <v>30</v>
      </c>
      <c r="D290" s="2" t="s">
        <v>25</v>
      </c>
      <c r="E290" s="2" t="s">
        <v>104</v>
      </c>
      <c r="F290" s="2" t="s">
        <v>26</v>
      </c>
      <c r="G290" s="2" t="s">
        <v>105</v>
      </c>
      <c r="I290">
        <f>HEX2DEC(_0811_173439[[#This Row],[580C]])*B$4/B$5+B$6</f>
        <v>1400</v>
      </c>
      <c r="J290">
        <f>HEX2DEC(_0811_173439[[#This Row],[4402]])*C$4/C$5+C$6</f>
        <v>36</v>
      </c>
      <c r="K290">
        <f>HEX2DEC(_0811_173439[[#This Row],[580F]])*D$4/D$5+D$6</f>
        <v>30.75</v>
      </c>
      <c r="L290">
        <f>ROUND(HEX2DEC(_0811_173439[[#This Row],[58F0]])*E$4/E$5+E$6,0)</f>
        <v>66</v>
      </c>
      <c r="M290">
        <f>ROUND(HEX2DEC(_0811_173439[[#This Row],[5805]])*F$4/F$5+F$6,0)</f>
        <v>42</v>
      </c>
      <c r="N290">
        <f>ROUND(HEX2DEC(_0811_173439[[#This Row],[58DD]])*G$4/G$5+G$6,2)</f>
        <v>-0.02</v>
      </c>
      <c r="P290">
        <v>1400</v>
      </c>
      <c r="Q290">
        <v>36</v>
      </c>
      <c r="R290">
        <v>30.75</v>
      </c>
      <c r="S290">
        <v>66</v>
      </c>
      <c r="T290">
        <v>42</v>
      </c>
      <c r="U290">
        <v>-0.02</v>
      </c>
      <c r="W290">
        <f>DataLog_T717420_Aug11_4_59_37pm[[#This Row],[RPM '[1/MIN']]]-Table3[[#This Row],[580C]]</f>
        <v>0</v>
      </c>
      <c r="X290">
        <f>DataLog_T717420_Aug11_4_59_37pm[[#This Row],[OIL TEMP '[Â°C']]]-Table3[[#This Row],[4402]]</f>
        <v>0</v>
      </c>
      <c r="Y290">
        <f>DataLog_T717420_Aug11_4_59_37pm[[#This Row],[INTAKE TEMP '[Â°C']]]-Table3[[#This Row],[580F]]</f>
        <v>0</v>
      </c>
      <c r="Z290">
        <f>DataLog_T717420_Aug11_4_59_37pm[[#This Row],[HPFP PRES. '[BAR']]]-Table3[[#This Row],[58F0]]</f>
        <v>0</v>
      </c>
      <c r="AA290">
        <f>DataLog_T717420_Aug11_4_59_37pm[[#This Row],[COOLANT TEMP '[Â°C']]]-Table3[[#This Row],[5805]]</f>
        <v>0</v>
      </c>
      <c r="AB290">
        <f>DataLog_T717420_Aug11_4_59_37pm[[#This Row],[BOOST '[BAR']]]-Table3[[#This Row],[58DD]]</f>
        <v>0</v>
      </c>
    </row>
    <row r="291" spans="2:28" x14ac:dyDescent="0.25">
      <c r="B291" s="2" t="s">
        <v>78</v>
      </c>
      <c r="C291" s="2" t="s">
        <v>30</v>
      </c>
      <c r="D291" s="2" t="s">
        <v>25</v>
      </c>
      <c r="E291" s="2" t="s">
        <v>106</v>
      </c>
      <c r="F291" s="2" t="s">
        <v>26</v>
      </c>
      <c r="G291" s="2" t="s">
        <v>28</v>
      </c>
      <c r="I291">
        <f>HEX2DEC(_0811_173439[[#This Row],[580C]])*B$4/B$5+B$6</f>
        <v>1360</v>
      </c>
      <c r="J291">
        <f>HEX2DEC(_0811_173439[[#This Row],[4402]])*C$4/C$5+C$6</f>
        <v>36</v>
      </c>
      <c r="K291">
        <f>HEX2DEC(_0811_173439[[#This Row],[580F]])*D$4/D$5+D$6</f>
        <v>30.75</v>
      </c>
      <c r="L291">
        <f>ROUND(HEX2DEC(_0811_173439[[#This Row],[58F0]])*E$4/E$5+E$6,0)</f>
        <v>66</v>
      </c>
      <c r="M291">
        <f>ROUND(HEX2DEC(_0811_173439[[#This Row],[5805]])*F$4/F$5+F$6,0)</f>
        <v>42</v>
      </c>
      <c r="N291">
        <f>ROUND(HEX2DEC(_0811_173439[[#This Row],[58DD]])*G$4/G$5+G$6,2)</f>
        <v>-0.02</v>
      </c>
      <c r="P291">
        <v>1360</v>
      </c>
      <c r="Q291">
        <v>36</v>
      </c>
      <c r="R291">
        <v>30.75</v>
      </c>
      <c r="S291">
        <v>66</v>
      </c>
      <c r="T291">
        <v>42</v>
      </c>
      <c r="U291">
        <v>-0.02</v>
      </c>
      <c r="W291">
        <f>DataLog_T717420_Aug11_4_59_37pm[[#This Row],[RPM '[1/MIN']]]-Table3[[#This Row],[580C]]</f>
        <v>0</v>
      </c>
      <c r="X291">
        <f>DataLog_T717420_Aug11_4_59_37pm[[#This Row],[OIL TEMP '[Â°C']]]-Table3[[#This Row],[4402]]</f>
        <v>0</v>
      </c>
      <c r="Y291">
        <f>DataLog_T717420_Aug11_4_59_37pm[[#This Row],[INTAKE TEMP '[Â°C']]]-Table3[[#This Row],[580F]]</f>
        <v>0</v>
      </c>
      <c r="Z291">
        <f>DataLog_T717420_Aug11_4_59_37pm[[#This Row],[HPFP PRES. '[BAR']]]-Table3[[#This Row],[58F0]]</f>
        <v>0</v>
      </c>
      <c r="AA291">
        <f>DataLog_T717420_Aug11_4_59_37pm[[#This Row],[COOLANT TEMP '[Â°C']]]-Table3[[#This Row],[5805]]</f>
        <v>0</v>
      </c>
      <c r="AB291">
        <f>DataLog_T717420_Aug11_4_59_37pm[[#This Row],[BOOST '[BAR']]]-Table3[[#This Row],[58DD]]</f>
        <v>0</v>
      </c>
    </row>
    <row r="292" spans="2:28" x14ac:dyDescent="0.25">
      <c r="B292" s="2" t="s">
        <v>78</v>
      </c>
      <c r="C292" s="2" t="s">
        <v>30</v>
      </c>
      <c r="D292" s="2" t="s">
        <v>25</v>
      </c>
      <c r="E292" s="2" t="s">
        <v>107</v>
      </c>
      <c r="F292" s="2" t="s">
        <v>26</v>
      </c>
      <c r="G292" s="2" t="s">
        <v>28</v>
      </c>
      <c r="I292">
        <f>HEX2DEC(_0811_173439[[#This Row],[580C]])*B$4/B$5+B$6</f>
        <v>1360</v>
      </c>
      <c r="J292">
        <f>HEX2DEC(_0811_173439[[#This Row],[4402]])*C$4/C$5+C$6</f>
        <v>36</v>
      </c>
      <c r="K292">
        <f>HEX2DEC(_0811_173439[[#This Row],[580F]])*D$4/D$5+D$6</f>
        <v>30.75</v>
      </c>
      <c r="L292">
        <f>ROUND(HEX2DEC(_0811_173439[[#This Row],[58F0]])*E$4/E$5+E$6,0)</f>
        <v>66</v>
      </c>
      <c r="M292">
        <f>ROUND(HEX2DEC(_0811_173439[[#This Row],[5805]])*F$4/F$5+F$6,0)</f>
        <v>42</v>
      </c>
      <c r="N292">
        <f>ROUND(HEX2DEC(_0811_173439[[#This Row],[58DD]])*G$4/G$5+G$6,2)</f>
        <v>-0.02</v>
      </c>
      <c r="P292">
        <v>1360</v>
      </c>
      <c r="Q292">
        <v>36</v>
      </c>
      <c r="R292">
        <v>30.75</v>
      </c>
      <c r="S292">
        <v>66</v>
      </c>
      <c r="T292">
        <v>42</v>
      </c>
      <c r="U292">
        <v>-0.02</v>
      </c>
      <c r="W292">
        <f>DataLog_T717420_Aug11_4_59_37pm[[#This Row],[RPM '[1/MIN']]]-Table3[[#This Row],[580C]]</f>
        <v>0</v>
      </c>
      <c r="X292">
        <f>DataLog_T717420_Aug11_4_59_37pm[[#This Row],[OIL TEMP '[Â°C']]]-Table3[[#This Row],[4402]]</f>
        <v>0</v>
      </c>
      <c r="Y292">
        <f>DataLog_T717420_Aug11_4_59_37pm[[#This Row],[INTAKE TEMP '[Â°C']]]-Table3[[#This Row],[580F]]</f>
        <v>0</v>
      </c>
      <c r="Z292">
        <f>DataLog_T717420_Aug11_4_59_37pm[[#This Row],[HPFP PRES. '[BAR']]]-Table3[[#This Row],[58F0]]</f>
        <v>0</v>
      </c>
      <c r="AA292">
        <f>DataLog_T717420_Aug11_4_59_37pm[[#This Row],[COOLANT TEMP '[Â°C']]]-Table3[[#This Row],[5805]]</f>
        <v>0</v>
      </c>
      <c r="AB292">
        <f>DataLog_T717420_Aug11_4_59_37pm[[#This Row],[BOOST '[BAR']]]-Table3[[#This Row],[58DD]]</f>
        <v>0</v>
      </c>
    </row>
    <row r="293" spans="2:28" x14ac:dyDescent="0.25">
      <c r="B293" s="2" t="s">
        <v>78</v>
      </c>
      <c r="C293" s="2" t="s">
        <v>30</v>
      </c>
      <c r="D293" s="2" t="s">
        <v>25</v>
      </c>
      <c r="E293" s="2" t="s">
        <v>108</v>
      </c>
      <c r="F293" s="2" t="s">
        <v>26</v>
      </c>
      <c r="G293" s="2" t="s">
        <v>28</v>
      </c>
      <c r="I293">
        <f>HEX2DEC(_0811_173439[[#This Row],[580C]])*B$4/B$5+B$6</f>
        <v>1360</v>
      </c>
      <c r="J293">
        <f>HEX2DEC(_0811_173439[[#This Row],[4402]])*C$4/C$5+C$6</f>
        <v>36</v>
      </c>
      <c r="K293">
        <f>HEX2DEC(_0811_173439[[#This Row],[580F]])*D$4/D$5+D$6</f>
        <v>30.75</v>
      </c>
      <c r="L293">
        <f>ROUND(HEX2DEC(_0811_173439[[#This Row],[58F0]])*E$4/E$5+E$6,0)</f>
        <v>66</v>
      </c>
      <c r="M293">
        <f>ROUND(HEX2DEC(_0811_173439[[#This Row],[5805]])*F$4/F$5+F$6,0)</f>
        <v>42</v>
      </c>
      <c r="N293">
        <f>ROUND(HEX2DEC(_0811_173439[[#This Row],[58DD]])*G$4/G$5+G$6,2)</f>
        <v>-0.02</v>
      </c>
      <c r="P293">
        <v>1360</v>
      </c>
      <c r="Q293">
        <v>36</v>
      </c>
      <c r="R293">
        <v>30.75</v>
      </c>
      <c r="S293">
        <v>66</v>
      </c>
      <c r="T293">
        <v>42</v>
      </c>
      <c r="U293">
        <v>-0.02</v>
      </c>
      <c r="W293">
        <f>DataLog_T717420_Aug11_4_59_37pm[[#This Row],[RPM '[1/MIN']]]-Table3[[#This Row],[580C]]</f>
        <v>0</v>
      </c>
      <c r="X293">
        <f>DataLog_T717420_Aug11_4_59_37pm[[#This Row],[OIL TEMP '[Â°C']]]-Table3[[#This Row],[4402]]</f>
        <v>0</v>
      </c>
      <c r="Y293">
        <f>DataLog_T717420_Aug11_4_59_37pm[[#This Row],[INTAKE TEMP '[Â°C']]]-Table3[[#This Row],[580F]]</f>
        <v>0</v>
      </c>
      <c r="Z293">
        <f>DataLog_T717420_Aug11_4_59_37pm[[#This Row],[HPFP PRES. '[BAR']]]-Table3[[#This Row],[58F0]]</f>
        <v>0</v>
      </c>
      <c r="AA293">
        <f>DataLog_T717420_Aug11_4_59_37pm[[#This Row],[COOLANT TEMP '[Â°C']]]-Table3[[#This Row],[5805]]</f>
        <v>0</v>
      </c>
      <c r="AB293">
        <f>DataLog_T717420_Aug11_4_59_37pm[[#This Row],[BOOST '[BAR']]]-Table3[[#This Row],[58DD]]</f>
        <v>0</v>
      </c>
    </row>
    <row r="294" spans="2:28" x14ac:dyDescent="0.25">
      <c r="B294" s="2" t="s">
        <v>109</v>
      </c>
      <c r="C294" s="2" t="s">
        <v>30</v>
      </c>
      <c r="D294" s="2" t="s">
        <v>25</v>
      </c>
      <c r="E294" s="2" t="s">
        <v>100</v>
      </c>
      <c r="F294" s="2" t="s">
        <v>26</v>
      </c>
      <c r="G294" s="2" t="s">
        <v>28</v>
      </c>
      <c r="I294">
        <f>HEX2DEC(_0811_173439[[#This Row],[580C]])*B$4/B$5+B$6</f>
        <v>1320</v>
      </c>
      <c r="J294">
        <f>HEX2DEC(_0811_173439[[#This Row],[4402]])*C$4/C$5+C$6</f>
        <v>36</v>
      </c>
      <c r="K294">
        <f>HEX2DEC(_0811_173439[[#This Row],[580F]])*D$4/D$5+D$6</f>
        <v>30.75</v>
      </c>
      <c r="L294">
        <f>ROUND(HEX2DEC(_0811_173439[[#This Row],[58F0]])*E$4/E$5+E$6,0)</f>
        <v>67</v>
      </c>
      <c r="M294">
        <f>ROUND(HEX2DEC(_0811_173439[[#This Row],[5805]])*F$4/F$5+F$6,0)</f>
        <v>42</v>
      </c>
      <c r="N294">
        <f>ROUND(HEX2DEC(_0811_173439[[#This Row],[58DD]])*G$4/G$5+G$6,2)</f>
        <v>-0.02</v>
      </c>
      <c r="P294">
        <v>1320</v>
      </c>
      <c r="Q294">
        <v>36</v>
      </c>
      <c r="R294">
        <v>30.75</v>
      </c>
      <c r="S294">
        <v>67</v>
      </c>
      <c r="T294">
        <v>42</v>
      </c>
      <c r="U294">
        <v>-0.02</v>
      </c>
      <c r="W294">
        <f>DataLog_T717420_Aug11_4_59_37pm[[#This Row],[RPM '[1/MIN']]]-Table3[[#This Row],[580C]]</f>
        <v>0</v>
      </c>
      <c r="X294">
        <f>DataLog_T717420_Aug11_4_59_37pm[[#This Row],[OIL TEMP '[Â°C']]]-Table3[[#This Row],[4402]]</f>
        <v>0</v>
      </c>
      <c r="Y294">
        <f>DataLog_T717420_Aug11_4_59_37pm[[#This Row],[INTAKE TEMP '[Â°C']]]-Table3[[#This Row],[580F]]</f>
        <v>0</v>
      </c>
      <c r="Z294">
        <f>DataLog_T717420_Aug11_4_59_37pm[[#This Row],[HPFP PRES. '[BAR']]]-Table3[[#This Row],[58F0]]</f>
        <v>0</v>
      </c>
      <c r="AA294">
        <f>DataLog_T717420_Aug11_4_59_37pm[[#This Row],[COOLANT TEMP '[Â°C']]]-Table3[[#This Row],[5805]]</f>
        <v>0</v>
      </c>
      <c r="AB294">
        <f>DataLog_T717420_Aug11_4_59_37pm[[#This Row],[BOOST '[BAR']]]-Table3[[#This Row],[58DD]]</f>
        <v>0</v>
      </c>
    </row>
    <row r="295" spans="2:28" x14ac:dyDescent="0.25">
      <c r="B295" s="2" t="s">
        <v>109</v>
      </c>
      <c r="C295" s="2" t="s">
        <v>30</v>
      </c>
      <c r="D295" s="2" t="s">
        <v>25</v>
      </c>
      <c r="E295" s="2" t="s">
        <v>110</v>
      </c>
      <c r="F295" s="2" t="s">
        <v>26</v>
      </c>
      <c r="G295" s="2" t="s">
        <v>28</v>
      </c>
      <c r="I295">
        <f>HEX2DEC(_0811_173439[[#This Row],[580C]])*B$4/B$5+B$6</f>
        <v>1320</v>
      </c>
      <c r="J295">
        <f>HEX2DEC(_0811_173439[[#This Row],[4402]])*C$4/C$5+C$6</f>
        <v>36</v>
      </c>
      <c r="K295">
        <f>HEX2DEC(_0811_173439[[#This Row],[580F]])*D$4/D$5+D$6</f>
        <v>30.75</v>
      </c>
      <c r="L295">
        <f>ROUND(HEX2DEC(_0811_173439[[#This Row],[58F0]])*E$4/E$5+E$6,0)</f>
        <v>66</v>
      </c>
      <c r="M295">
        <f>ROUND(HEX2DEC(_0811_173439[[#This Row],[5805]])*F$4/F$5+F$6,0)</f>
        <v>42</v>
      </c>
      <c r="N295">
        <f>ROUND(HEX2DEC(_0811_173439[[#This Row],[58DD]])*G$4/G$5+G$6,2)</f>
        <v>-0.02</v>
      </c>
      <c r="P295">
        <v>1320</v>
      </c>
      <c r="Q295">
        <v>36</v>
      </c>
      <c r="R295">
        <v>30.75</v>
      </c>
      <c r="S295">
        <v>66</v>
      </c>
      <c r="T295">
        <v>42</v>
      </c>
      <c r="U295">
        <v>-0.02</v>
      </c>
      <c r="W295">
        <f>DataLog_T717420_Aug11_4_59_37pm[[#This Row],[RPM '[1/MIN']]]-Table3[[#This Row],[580C]]</f>
        <v>0</v>
      </c>
      <c r="X295">
        <f>DataLog_T717420_Aug11_4_59_37pm[[#This Row],[OIL TEMP '[Â°C']]]-Table3[[#This Row],[4402]]</f>
        <v>0</v>
      </c>
      <c r="Y295">
        <f>DataLog_T717420_Aug11_4_59_37pm[[#This Row],[INTAKE TEMP '[Â°C']]]-Table3[[#This Row],[580F]]</f>
        <v>0</v>
      </c>
      <c r="Z295">
        <f>DataLog_T717420_Aug11_4_59_37pm[[#This Row],[HPFP PRES. '[BAR']]]-Table3[[#This Row],[58F0]]</f>
        <v>0</v>
      </c>
      <c r="AA295">
        <f>DataLog_T717420_Aug11_4_59_37pm[[#This Row],[COOLANT TEMP '[Â°C']]]-Table3[[#This Row],[5805]]</f>
        <v>0</v>
      </c>
      <c r="AB295">
        <f>DataLog_T717420_Aug11_4_59_37pm[[#This Row],[BOOST '[BAR']]]-Table3[[#This Row],[58DD]]</f>
        <v>0</v>
      </c>
    </row>
    <row r="296" spans="2:28" x14ac:dyDescent="0.25">
      <c r="B296" s="2" t="s">
        <v>75</v>
      </c>
      <c r="C296" s="2" t="s">
        <v>30</v>
      </c>
      <c r="D296" s="2" t="s">
        <v>25</v>
      </c>
      <c r="E296" s="2" t="s">
        <v>111</v>
      </c>
      <c r="F296" s="2" t="s">
        <v>26</v>
      </c>
      <c r="G296" s="2" t="s">
        <v>28</v>
      </c>
      <c r="I296">
        <f>HEX2DEC(_0811_173439[[#This Row],[580C]])*B$4/B$5+B$6</f>
        <v>1280</v>
      </c>
      <c r="J296">
        <f>HEX2DEC(_0811_173439[[#This Row],[4402]])*C$4/C$5+C$6</f>
        <v>36</v>
      </c>
      <c r="K296">
        <f>HEX2DEC(_0811_173439[[#This Row],[580F]])*D$4/D$5+D$6</f>
        <v>30.75</v>
      </c>
      <c r="L296">
        <f>ROUND(HEX2DEC(_0811_173439[[#This Row],[58F0]])*E$4/E$5+E$6,0)</f>
        <v>65</v>
      </c>
      <c r="M296">
        <f>ROUND(HEX2DEC(_0811_173439[[#This Row],[5805]])*F$4/F$5+F$6,0)</f>
        <v>42</v>
      </c>
      <c r="N296">
        <f>ROUND(HEX2DEC(_0811_173439[[#This Row],[58DD]])*G$4/G$5+G$6,2)</f>
        <v>-0.02</v>
      </c>
      <c r="P296">
        <v>1280</v>
      </c>
      <c r="Q296">
        <v>36</v>
      </c>
      <c r="R296">
        <v>30.75</v>
      </c>
      <c r="S296">
        <v>65</v>
      </c>
      <c r="T296">
        <v>42</v>
      </c>
      <c r="U296">
        <v>-0.02</v>
      </c>
      <c r="W296">
        <f>DataLog_T717420_Aug11_4_59_37pm[[#This Row],[RPM '[1/MIN']]]-Table3[[#This Row],[580C]]</f>
        <v>0</v>
      </c>
      <c r="X296">
        <f>DataLog_T717420_Aug11_4_59_37pm[[#This Row],[OIL TEMP '[Â°C']]]-Table3[[#This Row],[4402]]</f>
        <v>0</v>
      </c>
      <c r="Y296">
        <f>DataLog_T717420_Aug11_4_59_37pm[[#This Row],[INTAKE TEMP '[Â°C']]]-Table3[[#This Row],[580F]]</f>
        <v>0</v>
      </c>
      <c r="Z296">
        <f>DataLog_T717420_Aug11_4_59_37pm[[#This Row],[HPFP PRES. '[BAR']]]-Table3[[#This Row],[58F0]]</f>
        <v>0</v>
      </c>
      <c r="AA296">
        <f>DataLog_T717420_Aug11_4_59_37pm[[#This Row],[COOLANT TEMP '[Â°C']]]-Table3[[#This Row],[5805]]</f>
        <v>0</v>
      </c>
      <c r="AB296">
        <f>DataLog_T717420_Aug11_4_59_37pm[[#This Row],[BOOST '[BAR']]]-Table3[[#This Row],[58DD]]</f>
        <v>0</v>
      </c>
    </row>
    <row r="297" spans="2:28" x14ac:dyDescent="0.25">
      <c r="B297" s="2" t="s">
        <v>75</v>
      </c>
      <c r="C297" s="2" t="s">
        <v>30</v>
      </c>
      <c r="D297" s="2" t="s">
        <v>25</v>
      </c>
      <c r="E297" s="2" t="s">
        <v>112</v>
      </c>
      <c r="F297" s="2" t="s">
        <v>26</v>
      </c>
      <c r="G297" s="2" t="s">
        <v>28</v>
      </c>
      <c r="I297">
        <f>HEX2DEC(_0811_173439[[#This Row],[580C]])*B$4/B$5+B$6</f>
        <v>1280</v>
      </c>
      <c r="J297">
        <f>HEX2DEC(_0811_173439[[#This Row],[4402]])*C$4/C$5+C$6</f>
        <v>36</v>
      </c>
      <c r="K297">
        <f>HEX2DEC(_0811_173439[[#This Row],[580F]])*D$4/D$5+D$6</f>
        <v>30.75</v>
      </c>
      <c r="L297">
        <f>ROUND(HEX2DEC(_0811_173439[[#This Row],[58F0]])*E$4/E$5+E$6,0)</f>
        <v>66</v>
      </c>
      <c r="M297">
        <f>ROUND(HEX2DEC(_0811_173439[[#This Row],[5805]])*F$4/F$5+F$6,0)</f>
        <v>42</v>
      </c>
      <c r="N297">
        <f>ROUND(HEX2DEC(_0811_173439[[#This Row],[58DD]])*G$4/G$5+G$6,2)</f>
        <v>-0.02</v>
      </c>
      <c r="P297">
        <v>1280</v>
      </c>
      <c r="Q297">
        <v>36</v>
      </c>
      <c r="R297">
        <v>30.75</v>
      </c>
      <c r="S297">
        <v>66</v>
      </c>
      <c r="T297">
        <v>42</v>
      </c>
      <c r="U297">
        <v>-0.02</v>
      </c>
      <c r="W297">
        <f>DataLog_T717420_Aug11_4_59_37pm[[#This Row],[RPM '[1/MIN']]]-Table3[[#This Row],[580C]]</f>
        <v>0</v>
      </c>
      <c r="X297">
        <f>DataLog_T717420_Aug11_4_59_37pm[[#This Row],[OIL TEMP '[Â°C']]]-Table3[[#This Row],[4402]]</f>
        <v>0</v>
      </c>
      <c r="Y297">
        <f>DataLog_T717420_Aug11_4_59_37pm[[#This Row],[INTAKE TEMP '[Â°C']]]-Table3[[#This Row],[580F]]</f>
        <v>0</v>
      </c>
      <c r="Z297">
        <f>DataLog_T717420_Aug11_4_59_37pm[[#This Row],[HPFP PRES. '[BAR']]]-Table3[[#This Row],[58F0]]</f>
        <v>0</v>
      </c>
      <c r="AA297">
        <f>DataLog_T717420_Aug11_4_59_37pm[[#This Row],[COOLANT TEMP '[Â°C']]]-Table3[[#This Row],[5805]]</f>
        <v>0</v>
      </c>
      <c r="AB297">
        <f>DataLog_T717420_Aug11_4_59_37pm[[#This Row],[BOOST '[BAR']]]-Table3[[#This Row],[58DD]]</f>
        <v>0</v>
      </c>
    </row>
    <row r="298" spans="2:28" x14ac:dyDescent="0.25">
      <c r="B298" s="2" t="s">
        <v>75</v>
      </c>
      <c r="C298" s="2" t="s">
        <v>30</v>
      </c>
      <c r="D298" s="2" t="s">
        <v>25</v>
      </c>
      <c r="E298" s="2" t="s">
        <v>113</v>
      </c>
      <c r="F298" s="2" t="s">
        <v>26</v>
      </c>
      <c r="G298" s="2" t="s">
        <v>28</v>
      </c>
      <c r="I298">
        <f>HEX2DEC(_0811_173439[[#This Row],[580C]])*B$4/B$5+B$6</f>
        <v>1280</v>
      </c>
      <c r="J298">
        <f>HEX2DEC(_0811_173439[[#This Row],[4402]])*C$4/C$5+C$6</f>
        <v>36</v>
      </c>
      <c r="K298">
        <f>HEX2DEC(_0811_173439[[#This Row],[580F]])*D$4/D$5+D$6</f>
        <v>30.75</v>
      </c>
      <c r="L298">
        <f>ROUND(HEX2DEC(_0811_173439[[#This Row],[58F0]])*E$4/E$5+E$6,0)</f>
        <v>65</v>
      </c>
      <c r="M298">
        <f>ROUND(HEX2DEC(_0811_173439[[#This Row],[5805]])*F$4/F$5+F$6,0)</f>
        <v>42</v>
      </c>
      <c r="N298">
        <f>ROUND(HEX2DEC(_0811_173439[[#This Row],[58DD]])*G$4/G$5+G$6,2)</f>
        <v>-0.02</v>
      </c>
      <c r="P298">
        <v>1280</v>
      </c>
      <c r="Q298">
        <v>36</v>
      </c>
      <c r="R298">
        <v>30.75</v>
      </c>
      <c r="S298">
        <v>65</v>
      </c>
      <c r="T298">
        <v>42</v>
      </c>
      <c r="U298">
        <v>-0.02</v>
      </c>
      <c r="W298">
        <f>DataLog_T717420_Aug11_4_59_37pm[[#This Row],[RPM '[1/MIN']]]-Table3[[#This Row],[580C]]</f>
        <v>0</v>
      </c>
      <c r="X298">
        <f>DataLog_T717420_Aug11_4_59_37pm[[#This Row],[OIL TEMP '[Â°C']]]-Table3[[#This Row],[4402]]</f>
        <v>0</v>
      </c>
      <c r="Y298">
        <f>DataLog_T717420_Aug11_4_59_37pm[[#This Row],[INTAKE TEMP '[Â°C']]]-Table3[[#This Row],[580F]]</f>
        <v>0</v>
      </c>
      <c r="Z298">
        <f>DataLog_T717420_Aug11_4_59_37pm[[#This Row],[HPFP PRES. '[BAR']]]-Table3[[#This Row],[58F0]]</f>
        <v>0</v>
      </c>
      <c r="AA298">
        <f>DataLog_T717420_Aug11_4_59_37pm[[#This Row],[COOLANT TEMP '[Â°C']]]-Table3[[#This Row],[5805]]</f>
        <v>0</v>
      </c>
      <c r="AB298">
        <f>DataLog_T717420_Aug11_4_59_37pm[[#This Row],[BOOST '[BAR']]]-Table3[[#This Row],[58DD]]</f>
        <v>0</v>
      </c>
    </row>
    <row r="299" spans="2:28" x14ac:dyDescent="0.25">
      <c r="B299" s="2" t="s">
        <v>114</v>
      </c>
      <c r="C299" s="2" t="s">
        <v>30</v>
      </c>
      <c r="D299" s="2" t="s">
        <v>25</v>
      </c>
      <c r="E299" s="2" t="s">
        <v>115</v>
      </c>
      <c r="F299" s="2" t="s">
        <v>26</v>
      </c>
      <c r="G299" s="2" t="s">
        <v>28</v>
      </c>
      <c r="I299">
        <f>HEX2DEC(_0811_173439[[#This Row],[580C]])*B$4/B$5+B$6</f>
        <v>1240</v>
      </c>
      <c r="J299">
        <f>HEX2DEC(_0811_173439[[#This Row],[4402]])*C$4/C$5+C$6</f>
        <v>36</v>
      </c>
      <c r="K299">
        <f>HEX2DEC(_0811_173439[[#This Row],[580F]])*D$4/D$5+D$6</f>
        <v>30.75</v>
      </c>
      <c r="L299">
        <f>ROUND(HEX2DEC(_0811_173439[[#This Row],[58F0]])*E$4/E$5+E$6,0)</f>
        <v>69</v>
      </c>
      <c r="M299">
        <f>ROUND(HEX2DEC(_0811_173439[[#This Row],[5805]])*F$4/F$5+F$6,0)</f>
        <v>42</v>
      </c>
      <c r="N299">
        <f>ROUND(HEX2DEC(_0811_173439[[#This Row],[58DD]])*G$4/G$5+G$6,2)</f>
        <v>-0.02</v>
      </c>
      <c r="P299">
        <v>1240</v>
      </c>
      <c r="Q299">
        <v>36</v>
      </c>
      <c r="R299">
        <v>30.75</v>
      </c>
      <c r="S299">
        <v>69</v>
      </c>
      <c r="T299">
        <v>42</v>
      </c>
      <c r="U299">
        <v>-0.02</v>
      </c>
      <c r="W299">
        <f>DataLog_T717420_Aug11_4_59_37pm[[#This Row],[RPM '[1/MIN']]]-Table3[[#This Row],[580C]]</f>
        <v>0</v>
      </c>
      <c r="X299">
        <f>DataLog_T717420_Aug11_4_59_37pm[[#This Row],[OIL TEMP '[Â°C']]]-Table3[[#This Row],[4402]]</f>
        <v>0</v>
      </c>
      <c r="Y299">
        <f>DataLog_T717420_Aug11_4_59_37pm[[#This Row],[INTAKE TEMP '[Â°C']]]-Table3[[#This Row],[580F]]</f>
        <v>0</v>
      </c>
      <c r="Z299">
        <f>DataLog_T717420_Aug11_4_59_37pm[[#This Row],[HPFP PRES. '[BAR']]]-Table3[[#This Row],[58F0]]</f>
        <v>0</v>
      </c>
      <c r="AA299">
        <f>DataLog_T717420_Aug11_4_59_37pm[[#This Row],[COOLANT TEMP '[Â°C']]]-Table3[[#This Row],[5805]]</f>
        <v>0</v>
      </c>
      <c r="AB299">
        <f>DataLog_T717420_Aug11_4_59_37pm[[#This Row],[BOOST '[BAR']]]-Table3[[#This Row],[58DD]]</f>
        <v>0</v>
      </c>
    </row>
    <row r="300" spans="2:28" x14ac:dyDescent="0.25">
      <c r="B300" s="2" t="s">
        <v>114</v>
      </c>
      <c r="C300" s="2" t="s">
        <v>30</v>
      </c>
      <c r="D300" s="2" t="s">
        <v>25</v>
      </c>
      <c r="E300" s="2" t="s">
        <v>116</v>
      </c>
      <c r="F300" s="2" t="s">
        <v>26</v>
      </c>
      <c r="G300" s="2" t="s">
        <v>28</v>
      </c>
      <c r="I300">
        <f>HEX2DEC(_0811_173439[[#This Row],[580C]])*B$4/B$5+B$6</f>
        <v>1240</v>
      </c>
      <c r="J300">
        <f>HEX2DEC(_0811_173439[[#This Row],[4402]])*C$4/C$5+C$6</f>
        <v>36</v>
      </c>
      <c r="K300">
        <f>HEX2DEC(_0811_173439[[#This Row],[580F]])*D$4/D$5+D$6</f>
        <v>30.75</v>
      </c>
      <c r="L300">
        <f>ROUND(HEX2DEC(_0811_173439[[#This Row],[58F0]])*E$4/E$5+E$6,0)</f>
        <v>69</v>
      </c>
      <c r="M300">
        <f>ROUND(HEX2DEC(_0811_173439[[#This Row],[5805]])*F$4/F$5+F$6,0)</f>
        <v>42</v>
      </c>
      <c r="N300">
        <f>ROUND(HEX2DEC(_0811_173439[[#This Row],[58DD]])*G$4/G$5+G$6,2)</f>
        <v>-0.02</v>
      </c>
      <c r="P300">
        <v>1240</v>
      </c>
      <c r="Q300">
        <v>36</v>
      </c>
      <c r="R300">
        <v>30.75</v>
      </c>
      <c r="S300">
        <v>69</v>
      </c>
      <c r="T300">
        <v>42</v>
      </c>
      <c r="U300">
        <v>-0.02</v>
      </c>
      <c r="W300">
        <f>DataLog_T717420_Aug11_4_59_37pm[[#This Row],[RPM '[1/MIN']]]-Table3[[#This Row],[580C]]</f>
        <v>0</v>
      </c>
      <c r="X300">
        <f>DataLog_T717420_Aug11_4_59_37pm[[#This Row],[OIL TEMP '[Â°C']]]-Table3[[#This Row],[4402]]</f>
        <v>0</v>
      </c>
      <c r="Y300">
        <f>DataLog_T717420_Aug11_4_59_37pm[[#This Row],[INTAKE TEMP '[Â°C']]]-Table3[[#This Row],[580F]]</f>
        <v>0</v>
      </c>
      <c r="Z300">
        <f>DataLog_T717420_Aug11_4_59_37pm[[#This Row],[HPFP PRES. '[BAR']]]-Table3[[#This Row],[58F0]]</f>
        <v>0</v>
      </c>
      <c r="AA300">
        <f>DataLog_T717420_Aug11_4_59_37pm[[#This Row],[COOLANT TEMP '[Â°C']]]-Table3[[#This Row],[5805]]</f>
        <v>0</v>
      </c>
      <c r="AB300">
        <f>DataLog_T717420_Aug11_4_59_37pm[[#This Row],[BOOST '[BAR']]]-Table3[[#This Row],[58DD]]</f>
        <v>0</v>
      </c>
    </row>
    <row r="301" spans="2:28" x14ac:dyDescent="0.25">
      <c r="B301" s="2" t="s">
        <v>114</v>
      </c>
      <c r="C301" s="2" t="s">
        <v>30</v>
      </c>
      <c r="D301" s="2" t="s">
        <v>25</v>
      </c>
      <c r="E301" s="2" t="s">
        <v>93</v>
      </c>
      <c r="F301" s="2" t="s">
        <v>26</v>
      </c>
      <c r="G301" s="2" t="s">
        <v>28</v>
      </c>
      <c r="I301">
        <f>HEX2DEC(_0811_173439[[#This Row],[580C]])*B$4/B$5+B$6</f>
        <v>1240</v>
      </c>
      <c r="J301">
        <f>HEX2DEC(_0811_173439[[#This Row],[4402]])*C$4/C$5+C$6</f>
        <v>36</v>
      </c>
      <c r="K301">
        <f>HEX2DEC(_0811_173439[[#This Row],[580F]])*D$4/D$5+D$6</f>
        <v>30.75</v>
      </c>
      <c r="L301">
        <f>ROUND(HEX2DEC(_0811_173439[[#This Row],[58F0]])*E$4/E$5+E$6,0)</f>
        <v>70</v>
      </c>
      <c r="M301">
        <f>ROUND(HEX2DEC(_0811_173439[[#This Row],[5805]])*F$4/F$5+F$6,0)</f>
        <v>42</v>
      </c>
      <c r="N301">
        <f>ROUND(HEX2DEC(_0811_173439[[#This Row],[58DD]])*G$4/G$5+G$6,2)</f>
        <v>-0.02</v>
      </c>
      <c r="P301">
        <v>1240</v>
      </c>
      <c r="Q301">
        <v>36</v>
      </c>
      <c r="R301">
        <v>30.75</v>
      </c>
      <c r="S301">
        <v>70</v>
      </c>
      <c r="T301">
        <v>42</v>
      </c>
      <c r="U301">
        <v>-0.02</v>
      </c>
      <c r="W301">
        <f>DataLog_T717420_Aug11_4_59_37pm[[#This Row],[RPM '[1/MIN']]]-Table3[[#This Row],[580C]]</f>
        <v>0</v>
      </c>
      <c r="X301">
        <f>DataLog_T717420_Aug11_4_59_37pm[[#This Row],[OIL TEMP '[Â°C']]]-Table3[[#This Row],[4402]]</f>
        <v>0</v>
      </c>
      <c r="Y301">
        <f>DataLog_T717420_Aug11_4_59_37pm[[#This Row],[INTAKE TEMP '[Â°C']]]-Table3[[#This Row],[580F]]</f>
        <v>0</v>
      </c>
      <c r="Z301">
        <f>DataLog_T717420_Aug11_4_59_37pm[[#This Row],[HPFP PRES. '[BAR']]]-Table3[[#This Row],[58F0]]</f>
        <v>0</v>
      </c>
      <c r="AA301">
        <f>DataLog_T717420_Aug11_4_59_37pm[[#This Row],[COOLANT TEMP '[Â°C']]]-Table3[[#This Row],[5805]]</f>
        <v>0</v>
      </c>
      <c r="AB301">
        <f>DataLog_T717420_Aug11_4_59_37pm[[#This Row],[BOOST '[BAR']]]-Table3[[#This Row],[58DD]]</f>
        <v>0</v>
      </c>
    </row>
    <row r="302" spans="2:28" x14ac:dyDescent="0.25">
      <c r="B302" s="2" t="s">
        <v>117</v>
      </c>
      <c r="C302" s="2" t="s">
        <v>30</v>
      </c>
      <c r="D302" s="2" t="s">
        <v>25</v>
      </c>
      <c r="E302" s="2" t="s">
        <v>118</v>
      </c>
      <c r="F302" s="2" t="s">
        <v>26</v>
      </c>
      <c r="G302" s="2" t="s">
        <v>28</v>
      </c>
      <c r="I302">
        <f>HEX2DEC(_0811_173439[[#This Row],[580C]])*B$4/B$5+B$6</f>
        <v>1200</v>
      </c>
      <c r="J302">
        <f>HEX2DEC(_0811_173439[[#This Row],[4402]])*C$4/C$5+C$6</f>
        <v>36</v>
      </c>
      <c r="K302">
        <f>HEX2DEC(_0811_173439[[#This Row],[580F]])*D$4/D$5+D$6</f>
        <v>30.75</v>
      </c>
      <c r="L302">
        <f>ROUND(HEX2DEC(_0811_173439[[#This Row],[58F0]])*E$4/E$5+E$6,0)</f>
        <v>70</v>
      </c>
      <c r="M302">
        <f>ROUND(HEX2DEC(_0811_173439[[#This Row],[5805]])*F$4/F$5+F$6,0)</f>
        <v>42</v>
      </c>
      <c r="N302">
        <f>ROUND(HEX2DEC(_0811_173439[[#This Row],[58DD]])*G$4/G$5+G$6,2)</f>
        <v>-0.02</v>
      </c>
      <c r="P302">
        <v>1200</v>
      </c>
      <c r="Q302">
        <v>36</v>
      </c>
      <c r="R302">
        <v>30.75</v>
      </c>
      <c r="S302">
        <v>70</v>
      </c>
      <c r="T302">
        <v>42</v>
      </c>
      <c r="U302">
        <v>-0.02</v>
      </c>
      <c r="W302">
        <f>DataLog_T717420_Aug11_4_59_37pm[[#This Row],[RPM '[1/MIN']]]-Table3[[#This Row],[580C]]</f>
        <v>0</v>
      </c>
      <c r="X302">
        <f>DataLog_T717420_Aug11_4_59_37pm[[#This Row],[OIL TEMP '[Â°C']]]-Table3[[#This Row],[4402]]</f>
        <v>0</v>
      </c>
      <c r="Y302">
        <f>DataLog_T717420_Aug11_4_59_37pm[[#This Row],[INTAKE TEMP '[Â°C']]]-Table3[[#This Row],[580F]]</f>
        <v>0</v>
      </c>
      <c r="Z302">
        <f>DataLog_T717420_Aug11_4_59_37pm[[#This Row],[HPFP PRES. '[BAR']]]-Table3[[#This Row],[58F0]]</f>
        <v>0</v>
      </c>
      <c r="AA302">
        <f>DataLog_T717420_Aug11_4_59_37pm[[#This Row],[COOLANT TEMP '[Â°C']]]-Table3[[#This Row],[5805]]</f>
        <v>0</v>
      </c>
      <c r="AB302">
        <f>DataLog_T717420_Aug11_4_59_37pm[[#This Row],[BOOST '[BAR']]]-Table3[[#This Row],[58DD]]</f>
        <v>0</v>
      </c>
    </row>
    <row r="303" spans="2:28" x14ac:dyDescent="0.25">
      <c r="B303" s="2" t="s">
        <v>117</v>
      </c>
      <c r="C303" s="2" t="s">
        <v>30</v>
      </c>
      <c r="D303" s="2" t="s">
        <v>25</v>
      </c>
      <c r="E303" s="2" t="s">
        <v>93</v>
      </c>
      <c r="F303" s="2" t="s">
        <v>26</v>
      </c>
      <c r="G303" s="2" t="s">
        <v>28</v>
      </c>
      <c r="I303">
        <f>HEX2DEC(_0811_173439[[#This Row],[580C]])*B$4/B$5+B$6</f>
        <v>1200</v>
      </c>
      <c r="J303">
        <f>HEX2DEC(_0811_173439[[#This Row],[4402]])*C$4/C$5+C$6</f>
        <v>36</v>
      </c>
      <c r="K303">
        <f>HEX2DEC(_0811_173439[[#This Row],[580F]])*D$4/D$5+D$6</f>
        <v>30.75</v>
      </c>
      <c r="L303">
        <f>ROUND(HEX2DEC(_0811_173439[[#This Row],[58F0]])*E$4/E$5+E$6,0)</f>
        <v>70</v>
      </c>
      <c r="M303">
        <f>ROUND(HEX2DEC(_0811_173439[[#This Row],[5805]])*F$4/F$5+F$6,0)</f>
        <v>42</v>
      </c>
      <c r="N303">
        <f>ROUND(HEX2DEC(_0811_173439[[#This Row],[58DD]])*G$4/G$5+G$6,2)</f>
        <v>-0.02</v>
      </c>
      <c r="P303">
        <v>1200</v>
      </c>
      <c r="Q303">
        <v>36</v>
      </c>
      <c r="R303">
        <v>30.75</v>
      </c>
      <c r="S303">
        <v>70</v>
      </c>
      <c r="T303">
        <v>42</v>
      </c>
      <c r="U303">
        <v>-0.02</v>
      </c>
      <c r="W303">
        <f>DataLog_T717420_Aug11_4_59_37pm[[#This Row],[RPM '[1/MIN']]]-Table3[[#This Row],[580C]]</f>
        <v>0</v>
      </c>
      <c r="X303">
        <f>DataLog_T717420_Aug11_4_59_37pm[[#This Row],[OIL TEMP '[Â°C']]]-Table3[[#This Row],[4402]]</f>
        <v>0</v>
      </c>
      <c r="Y303">
        <f>DataLog_T717420_Aug11_4_59_37pm[[#This Row],[INTAKE TEMP '[Â°C']]]-Table3[[#This Row],[580F]]</f>
        <v>0</v>
      </c>
      <c r="Z303">
        <f>DataLog_T717420_Aug11_4_59_37pm[[#This Row],[HPFP PRES. '[BAR']]]-Table3[[#This Row],[58F0]]</f>
        <v>0</v>
      </c>
      <c r="AA303">
        <f>DataLog_T717420_Aug11_4_59_37pm[[#This Row],[COOLANT TEMP '[Â°C']]]-Table3[[#This Row],[5805]]</f>
        <v>0</v>
      </c>
      <c r="AB303">
        <f>DataLog_T717420_Aug11_4_59_37pm[[#This Row],[BOOST '[BAR']]]-Table3[[#This Row],[58DD]]</f>
        <v>0</v>
      </c>
    </row>
    <row r="304" spans="2:28" x14ac:dyDescent="0.25">
      <c r="B304" s="2" t="s">
        <v>117</v>
      </c>
      <c r="C304" s="2" t="s">
        <v>30</v>
      </c>
      <c r="D304" s="2" t="s">
        <v>25</v>
      </c>
      <c r="E304" s="2" t="s">
        <v>119</v>
      </c>
      <c r="F304" s="2" t="s">
        <v>26</v>
      </c>
      <c r="G304" s="2" t="s">
        <v>28</v>
      </c>
      <c r="I304">
        <f>HEX2DEC(_0811_173439[[#This Row],[580C]])*B$4/B$5+B$6</f>
        <v>1200</v>
      </c>
      <c r="J304">
        <f>HEX2DEC(_0811_173439[[#This Row],[4402]])*C$4/C$5+C$6</f>
        <v>36</v>
      </c>
      <c r="K304">
        <f>HEX2DEC(_0811_173439[[#This Row],[580F]])*D$4/D$5+D$6</f>
        <v>30.75</v>
      </c>
      <c r="L304">
        <f>ROUND(HEX2DEC(_0811_173439[[#This Row],[58F0]])*E$4/E$5+E$6,0)</f>
        <v>71</v>
      </c>
      <c r="M304">
        <f>ROUND(HEX2DEC(_0811_173439[[#This Row],[5805]])*F$4/F$5+F$6,0)</f>
        <v>42</v>
      </c>
      <c r="N304">
        <f>ROUND(HEX2DEC(_0811_173439[[#This Row],[58DD]])*G$4/G$5+G$6,2)</f>
        <v>-0.02</v>
      </c>
      <c r="P304">
        <v>1200</v>
      </c>
      <c r="Q304">
        <v>36</v>
      </c>
      <c r="R304">
        <v>30.75</v>
      </c>
      <c r="S304">
        <v>71</v>
      </c>
      <c r="T304">
        <v>42</v>
      </c>
      <c r="U304">
        <v>-0.02</v>
      </c>
      <c r="W304">
        <f>DataLog_T717420_Aug11_4_59_37pm[[#This Row],[RPM '[1/MIN']]]-Table3[[#This Row],[580C]]</f>
        <v>0</v>
      </c>
      <c r="X304">
        <f>DataLog_T717420_Aug11_4_59_37pm[[#This Row],[OIL TEMP '[Â°C']]]-Table3[[#This Row],[4402]]</f>
        <v>0</v>
      </c>
      <c r="Y304">
        <f>DataLog_T717420_Aug11_4_59_37pm[[#This Row],[INTAKE TEMP '[Â°C']]]-Table3[[#This Row],[580F]]</f>
        <v>0</v>
      </c>
      <c r="Z304">
        <f>DataLog_T717420_Aug11_4_59_37pm[[#This Row],[HPFP PRES. '[BAR']]]-Table3[[#This Row],[58F0]]</f>
        <v>0</v>
      </c>
      <c r="AA304">
        <f>DataLog_T717420_Aug11_4_59_37pm[[#This Row],[COOLANT TEMP '[Â°C']]]-Table3[[#This Row],[5805]]</f>
        <v>0</v>
      </c>
      <c r="AB304">
        <f>DataLog_T717420_Aug11_4_59_37pm[[#This Row],[BOOST '[BAR']]]-Table3[[#This Row],[58DD]]</f>
        <v>0</v>
      </c>
    </row>
    <row r="305" spans="2:28" x14ac:dyDescent="0.25">
      <c r="B305" s="2" t="s">
        <v>120</v>
      </c>
      <c r="C305" s="2" t="s">
        <v>30</v>
      </c>
      <c r="D305" s="2" t="s">
        <v>25</v>
      </c>
      <c r="E305" s="2" t="s">
        <v>93</v>
      </c>
      <c r="F305" s="2" t="s">
        <v>26</v>
      </c>
      <c r="G305" s="2" t="s">
        <v>28</v>
      </c>
      <c r="I305">
        <f>HEX2DEC(_0811_173439[[#This Row],[580C]])*B$4/B$5+B$6</f>
        <v>1160</v>
      </c>
      <c r="J305">
        <f>HEX2DEC(_0811_173439[[#This Row],[4402]])*C$4/C$5+C$6</f>
        <v>36</v>
      </c>
      <c r="K305">
        <f>HEX2DEC(_0811_173439[[#This Row],[580F]])*D$4/D$5+D$6</f>
        <v>30.75</v>
      </c>
      <c r="L305">
        <f>ROUND(HEX2DEC(_0811_173439[[#This Row],[58F0]])*E$4/E$5+E$6,0)</f>
        <v>70</v>
      </c>
      <c r="M305">
        <f>ROUND(HEX2DEC(_0811_173439[[#This Row],[5805]])*F$4/F$5+F$6,0)</f>
        <v>42</v>
      </c>
      <c r="N305">
        <f>ROUND(HEX2DEC(_0811_173439[[#This Row],[58DD]])*G$4/G$5+G$6,2)</f>
        <v>-0.02</v>
      </c>
      <c r="P305">
        <v>1160</v>
      </c>
      <c r="Q305">
        <v>36</v>
      </c>
      <c r="R305">
        <v>30.75</v>
      </c>
      <c r="S305">
        <v>70</v>
      </c>
      <c r="T305">
        <v>42</v>
      </c>
      <c r="U305">
        <v>-0.02</v>
      </c>
      <c r="W305">
        <f>DataLog_T717420_Aug11_4_59_37pm[[#This Row],[RPM '[1/MIN']]]-Table3[[#This Row],[580C]]</f>
        <v>0</v>
      </c>
      <c r="X305">
        <f>DataLog_T717420_Aug11_4_59_37pm[[#This Row],[OIL TEMP '[Â°C']]]-Table3[[#This Row],[4402]]</f>
        <v>0</v>
      </c>
      <c r="Y305">
        <f>DataLog_T717420_Aug11_4_59_37pm[[#This Row],[INTAKE TEMP '[Â°C']]]-Table3[[#This Row],[580F]]</f>
        <v>0</v>
      </c>
      <c r="Z305">
        <f>DataLog_T717420_Aug11_4_59_37pm[[#This Row],[HPFP PRES. '[BAR']]]-Table3[[#This Row],[58F0]]</f>
        <v>0</v>
      </c>
      <c r="AA305">
        <f>DataLog_T717420_Aug11_4_59_37pm[[#This Row],[COOLANT TEMP '[Â°C']]]-Table3[[#This Row],[5805]]</f>
        <v>0</v>
      </c>
      <c r="AB305">
        <f>DataLog_T717420_Aug11_4_59_37pm[[#This Row],[BOOST '[BAR']]]-Table3[[#This Row],[58DD]]</f>
        <v>0</v>
      </c>
    </row>
    <row r="306" spans="2:28" x14ac:dyDescent="0.25">
      <c r="B306" s="2" t="s">
        <v>120</v>
      </c>
      <c r="C306" s="2" t="s">
        <v>30</v>
      </c>
      <c r="D306" s="2" t="s">
        <v>25</v>
      </c>
      <c r="E306" s="2" t="s">
        <v>121</v>
      </c>
      <c r="F306" s="2" t="s">
        <v>26</v>
      </c>
      <c r="G306" s="2" t="s">
        <v>28</v>
      </c>
      <c r="I306">
        <f>HEX2DEC(_0811_173439[[#This Row],[580C]])*B$4/B$5+B$6</f>
        <v>1160</v>
      </c>
      <c r="J306">
        <f>HEX2DEC(_0811_173439[[#This Row],[4402]])*C$4/C$5+C$6</f>
        <v>36</v>
      </c>
      <c r="K306">
        <f>HEX2DEC(_0811_173439[[#This Row],[580F]])*D$4/D$5+D$6</f>
        <v>30.75</v>
      </c>
      <c r="L306">
        <f>ROUND(HEX2DEC(_0811_173439[[#This Row],[58F0]])*E$4/E$5+E$6,0)</f>
        <v>71</v>
      </c>
      <c r="M306">
        <f>ROUND(HEX2DEC(_0811_173439[[#This Row],[5805]])*F$4/F$5+F$6,0)</f>
        <v>42</v>
      </c>
      <c r="N306">
        <f>ROUND(HEX2DEC(_0811_173439[[#This Row],[58DD]])*G$4/G$5+G$6,2)</f>
        <v>-0.02</v>
      </c>
      <c r="P306">
        <v>1160</v>
      </c>
      <c r="Q306">
        <v>36</v>
      </c>
      <c r="R306">
        <v>30.75</v>
      </c>
      <c r="S306">
        <v>71</v>
      </c>
      <c r="T306">
        <v>42</v>
      </c>
      <c r="U306">
        <v>-0.02</v>
      </c>
      <c r="W306">
        <f>DataLog_T717420_Aug11_4_59_37pm[[#This Row],[RPM '[1/MIN']]]-Table3[[#This Row],[580C]]</f>
        <v>0</v>
      </c>
      <c r="X306">
        <f>DataLog_T717420_Aug11_4_59_37pm[[#This Row],[OIL TEMP '[Â°C']]]-Table3[[#This Row],[4402]]</f>
        <v>0</v>
      </c>
      <c r="Y306">
        <f>DataLog_T717420_Aug11_4_59_37pm[[#This Row],[INTAKE TEMP '[Â°C']]]-Table3[[#This Row],[580F]]</f>
        <v>0</v>
      </c>
      <c r="Z306">
        <f>DataLog_T717420_Aug11_4_59_37pm[[#This Row],[HPFP PRES. '[BAR']]]-Table3[[#This Row],[58F0]]</f>
        <v>0</v>
      </c>
      <c r="AA306">
        <f>DataLog_T717420_Aug11_4_59_37pm[[#This Row],[COOLANT TEMP '[Â°C']]]-Table3[[#This Row],[5805]]</f>
        <v>0</v>
      </c>
      <c r="AB306">
        <f>DataLog_T717420_Aug11_4_59_37pm[[#This Row],[BOOST '[BAR']]]-Table3[[#This Row],[58DD]]</f>
        <v>0</v>
      </c>
    </row>
    <row r="307" spans="2:28" x14ac:dyDescent="0.25">
      <c r="B307" s="2" t="s">
        <v>120</v>
      </c>
      <c r="C307" s="2" t="s">
        <v>30</v>
      </c>
      <c r="D307" s="2" t="s">
        <v>25</v>
      </c>
      <c r="E307" s="2" t="s">
        <v>122</v>
      </c>
      <c r="F307" s="2" t="s">
        <v>26</v>
      </c>
      <c r="G307" s="2" t="s">
        <v>28</v>
      </c>
      <c r="I307">
        <f>HEX2DEC(_0811_173439[[#This Row],[580C]])*B$4/B$5+B$6</f>
        <v>1160</v>
      </c>
      <c r="J307">
        <f>HEX2DEC(_0811_173439[[#This Row],[4402]])*C$4/C$5+C$6</f>
        <v>36</v>
      </c>
      <c r="K307">
        <f>HEX2DEC(_0811_173439[[#This Row],[580F]])*D$4/D$5+D$6</f>
        <v>30.75</v>
      </c>
      <c r="L307">
        <f>ROUND(HEX2DEC(_0811_173439[[#This Row],[58F0]])*E$4/E$5+E$6,0)</f>
        <v>71</v>
      </c>
      <c r="M307">
        <f>ROUND(HEX2DEC(_0811_173439[[#This Row],[5805]])*F$4/F$5+F$6,0)</f>
        <v>42</v>
      </c>
      <c r="N307">
        <f>ROUND(HEX2DEC(_0811_173439[[#This Row],[58DD]])*G$4/G$5+G$6,2)</f>
        <v>-0.02</v>
      </c>
      <c r="P307">
        <v>1160</v>
      </c>
      <c r="Q307">
        <v>36</v>
      </c>
      <c r="R307">
        <v>30.75</v>
      </c>
      <c r="S307">
        <v>71</v>
      </c>
      <c r="T307">
        <v>42</v>
      </c>
      <c r="U307">
        <v>-0.02</v>
      </c>
      <c r="W307">
        <f>DataLog_T717420_Aug11_4_59_37pm[[#This Row],[RPM '[1/MIN']]]-Table3[[#This Row],[580C]]</f>
        <v>0</v>
      </c>
      <c r="X307">
        <f>DataLog_T717420_Aug11_4_59_37pm[[#This Row],[OIL TEMP '[Â°C']]]-Table3[[#This Row],[4402]]</f>
        <v>0</v>
      </c>
      <c r="Y307">
        <f>DataLog_T717420_Aug11_4_59_37pm[[#This Row],[INTAKE TEMP '[Â°C']]]-Table3[[#This Row],[580F]]</f>
        <v>0</v>
      </c>
      <c r="Z307">
        <f>DataLog_T717420_Aug11_4_59_37pm[[#This Row],[HPFP PRES. '[BAR']]]-Table3[[#This Row],[58F0]]</f>
        <v>0</v>
      </c>
      <c r="AA307">
        <f>DataLog_T717420_Aug11_4_59_37pm[[#This Row],[COOLANT TEMP '[Â°C']]]-Table3[[#This Row],[5805]]</f>
        <v>0</v>
      </c>
      <c r="AB307">
        <f>DataLog_T717420_Aug11_4_59_37pm[[#This Row],[BOOST '[BAR']]]-Table3[[#This Row],[58DD]]</f>
        <v>0</v>
      </c>
    </row>
    <row r="308" spans="2:28" x14ac:dyDescent="0.25">
      <c r="B308" s="2" t="s">
        <v>120</v>
      </c>
      <c r="C308" s="2" t="s">
        <v>30</v>
      </c>
      <c r="D308" s="2" t="s">
        <v>25</v>
      </c>
      <c r="E308" s="2" t="s">
        <v>123</v>
      </c>
      <c r="F308" s="2" t="s">
        <v>26</v>
      </c>
      <c r="G308" s="2" t="s">
        <v>28</v>
      </c>
      <c r="I308">
        <f>HEX2DEC(_0811_173439[[#This Row],[580C]])*B$4/B$5+B$6</f>
        <v>1160</v>
      </c>
      <c r="J308">
        <f>HEX2DEC(_0811_173439[[#This Row],[4402]])*C$4/C$5+C$6</f>
        <v>36</v>
      </c>
      <c r="K308">
        <f>HEX2DEC(_0811_173439[[#This Row],[580F]])*D$4/D$5+D$6</f>
        <v>30.75</v>
      </c>
      <c r="L308">
        <f>ROUND(HEX2DEC(_0811_173439[[#This Row],[58F0]])*E$4/E$5+E$6,0)</f>
        <v>71</v>
      </c>
      <c r="M308">
        <f>ROUND(HEX2DEC(_0811_173439[[#This Row],[5805]])*F$4/F$5+F$6,0)</f>
        <v>42</v>
      </c>
      <c r="N308">
        <f>ROUND(HEX2DEC(_0811_173439[[#This Row],[58DD]])*G$4/G$5+G$6,2)</f>
        <v>-0.02</v>
      </c>
      <c r="P308">
        <v>1160</v>
      </c>
      <c r="Q308">
        <v>36</v>
      </c>
      <c r="R308">
        <v>30.75</v>
      </c>
      <c r="S308">
        <v>71</v>
      </c>
      <c r="T308">
        <v>42</v>
      </c>
      <c r="U308">
        <v>-0.02</v>
      </c>
      <c r="W308">
        <f>DataLog_T717420_Aug11_4_59_37pm[[#This Row],[RPM '[1/MIN']]]-Table3[[#This Row],[580C]]</f>
        <v>0</v>
      </c>
      <c r="X308">
        <f>DataLog_T717420_Aug11_4_59_37pm[[#This Row],[OIL TEMP '[Â°C']]]-Table3[[#This Row],[4402]]</f>
        <v>0</v>
      </c>
      <c r="Y308">
        <f>DataLog_T717420_Aug11_4_59_37pm[[#This Row],[INTAKE TEMP '[Â°C']]]-Table3[[#This Row],[580F]]</f>
        <v>0</v>
      </c>
      <c r="Z308">
        <f>DataLog_T717420_Aug11_4_59_37pm[[#This Row],[HPFP PRES. '[BAR']]]-Table3[[#This Row],[58F0]]</f>
        <v>0</v>
      </c>
      <c r="AA308">
        <f>DataLog_T717420_Aug11_4_59_37pm[[#This Row],[COOLANT TEMP '[Â°C']]]-Table3[[#This Row],[5805]]</f>
        <v>0</v>
      </c>
      <c r="AB308">
        <f>DataLog_T717420_Aug11_4_59_37pm[[#This Row],[BOOST '[BAR']]]-Table3[[#This Row],[58DD]]</f>
        <v>0</v>
      </c>
    </row>
    <row r="309" spans="2:28" x14ac:dyDescent="0.25">
      <c r="B309" s="2" t="s">
        <v>120</v>
      </c>
      <c r="C309" s="2" t="s">
        <v>30</v>
      </c>
      <c r="D309" s="2" t="s">
        <v>25</v>
      </c>
      <c r="E309" s="2" t="s">
        <v>124</v>
      </c>
      <c r="F309" s="2" t="s">
        <v>26</v>
      </c>
      <c r="G309" s="2" t="s">
        <v>28</v>
      </c>
      <c r="I309">
        <f>HEX2DEC(_0811_173439[[#This Row],[580C]])*B$4/B$5+B$6</f>
        <v>1160</v>
      </c>
      <c r="J309">
        <f>HEX2DEC(_0811_173439[[#This Row],[4402]])*C$4/C$5+C$6</f>
        <v>36</v>
      </c>
      <c r="K309">
        <f>HEX2DEC(_0811_173439[[#This Row],[580F]])*D$4/D$5+D$6</f>
        <v>30.75</v>
      </c>
      <c r="L309">
        <f>ROUND(HEX2DEC(_0811_173439[[#This Row],[58F0]])*E$4/E$5+E$6,0)</f>
        <v>71</v>
      </c>
      <c r="M309">
        <f>ROUND(HEX2DEC(_0811_173439[[#This Row],[5805]])*F$4/F$5+F$6,0)</f>
        <v>42</v>
      </c>
      <c r="N309">
        <f>ROUND(HEX2DEC(_0811_173439[[#This Row],[58DD]])*G$4/G$5+G$6,2)</f>
        <v>-0.02</v>
      </c>
      <c r="P309">
        <v>1160</v>
      </c>
      <c r="Q309">
        <v>36</v>
      </c>
      <c r="R309">
        <v>30.75</v>
      </c>
      <c r="S309">
        <v>71</v>
      </c>
      <c r="T309">
        <v>42</v>
      </c>
      <c r="U309">
        <v>-0.02</v>
      </c>
      <c r="W309">
        <f>DataLog_T717420_Aug11_4_59_37pm[[#This Row],[RPM '[1/MIN']]]-Table3[[#This Row],[580C]]</f>
        <v>0</v>
      </c>
      <c r="X309">
        <f>DataLog_T717420_Aug11_4_59_37pm[[#This Row],[OIL TEMP '[Â°C']]]-Table3[[#This Row],[4402]]</f>
        <v>0</v>
      </c>
      <c r="Y309">
        <f>DataLog_T717420_Aug11_4_59_37pm[[#This Row],[INTAKE TEMP '[Â°C']]]-Table3[[#This Row],[580F]]</f>
        <v>0</v>
      </c>
      <c r="Z309">
        <f>DataLog_T717420_Aug11_4_59_37pm[[#This Row],[HPFP PRES. '[BAR']]]-Table3[[#This Row],[58F0]]</f>
        <v>0</v>
      </c>
      <c r="AA309">
        <f>DataLog_T717420_Aug11_4_59_37pm[[#This Row],[COOLANT TEMP '[Â°C']]]-Table3[[#This Row],[5805]]</f>
        <v>0</v>
      </c>
      <c r="AB309">
        <f>DataLog_T717420_Aug11_4_59_37pm[[#This Row],[BOOST '[BAR']]]-Table3[[#This Row],[58DD]]</f>
        <v>0</v>
      </c>
    </row>
    <row r="310" spans="2:28" x14ac:dyDescent="0.25">
      <c r="B310" s="2" t="s">
        <v>72</v>
      </c>
      <c r="C310" s="2" t="s">
        <v>30</v>
      </c>
      <c r="D310" s="2" t="s">
        <v>25</v>
      </c>
      <c r="E310" s="2" t="s">
        <v>125</v>
      </c>
      <c r="F310" s="2" t="s">
        <v>26</v>
      </c>
      <c r="G310" s="2" t="s">
        <v>28</v>
      </c>
      <c r="I310">
        <f>HEX2DEC(_0811_173439[[#This Row],[580C]])*B$4/B$5+B$6</f>
        <v>1120</v>
      </c>
      <c r="J310">
        <f>HEX2DEC(_0811_173439[[#This Row],[4402]])*C$4/C$5+C$6</f>
        <v>36</v>
      </c>
      <c r="K310">
        <f>HEX2DEC(_0811_173439[[#This Row],[580F]])*D$4/D$5+D$6</f>
        <v>30.75</v>
      </c>
      <c r="L310">
        <f>ROUND(HEX2DEC(_0811_173439[[#This Row],[58F0]])*E$4/E$5+E$6,0)</f>
        <v>70</v>
      </c>
      <c r="M310">
        <f>ROUND(HEX2DEC(_0811_173439[[#This Row],[5805]])*F$4/F$5+F$6,0)</f>
        <v>42</v>
      </c>
      <c r="N310">
        <f>ROUND(HEX2DEC(_0811_173439[[#This Row],[58DD]])*G$4/G$5+G$6,2)</f>
        <v>-0.02</v>
      </c>
      <c r="P310">
        <v>1120</v>
      </c>
      <c r="Q310">
        <v>36</v>
      </c>
      <c r="R310">
        <v>30.75</v>
      </c>
      <c r="S310">
        <v>70</v>
      </c>
      <c r="T310">
        <v>42</v>
      </c>
      <c r="U310">
        <v>-0.02</v>
      </c>
      <c r="W310">
        <f>DataLog_T717420_Aug11_4_59_37pm[[#This Row],[RPM '[1/MIN']]]-Table3[[#This Row],[580C]]</f>
        <v>0</v>
      </c>
      <c r="X310">
        <f>DataLog_T717420_Aug11_4_59_37pm[[#This Row],[OIL TEMP '[Â°C']]]-Table3[[#This Row],[4402]]</f>
        <v>0</v>
      </c>
      <c r="Y310">
        <f>DataLog_T717420_Aug11_4_59_37pm[[#This Row],[INTAKE TEMP '[Â°C']]]-Table3[[#This Row],[580F]]</f>
        <v>0</v>
      </c>
      <c r="Z310">
        <f>DataLog_T717420_Aug11_4_59_37pm[[#This Row],[HPFP PRES. '[BAR']]]-Table3[[#This Row],[58F0]]</f>
        <v>0</v>
      </c>
      <c r="AA310">
        <f>DataLog_T717420_Aug11_4_59_37pm[[#This Row],[COOLANT TEMP '[Â°C']]]-Table3[[#This Row],[5805]]</f>
        <v>0</v>
      </c>
      <c r="AB310">
        <f>DataLog_T717420_Aug11_4_59_37pm[[#This Row],[BOOST '[BAR']]]-Table3[[#This Row],[58DD]]</f>
        <v>0</v>
      </c>
    </row>
    <row r="311" spans="2:28" x14ac:dyDescent="0.25">
      <c r="B311" s="2" t="s">
        <v>72</v>
      </c>
      <c r="C311" s="2" t="s">
        <v>30</v>
      </c>
      <c r="D311" s="2" t="s">
        <v>25</v>
      </c>
      <c r="E311" s="2" t="s">
        <v>126</v>
      </c>
      <c r="F311" s="2" t="s">
        <v>26</v>
      </c>
      <c r="G311" s="2" t="s">
        <v>28</v>
      </c>
      <c r="I311">
        <f>HEX2DEC(_0811_173439[[#This Row],[580C]])*B$4/B$5+B$6</f>
        <v>1120</v>
      </c>
      <c r="J311">
        <f>HEX2DEC(_0811_173439[[#This Row],[4402]])*C$4/C$5+C$6</f>
        <v>36</v>
      </c>
      <c r="K311">
        <f>HEX2DEC(_0811_173439[[#This Row],[580F]])*D$4/D$5+D$6</f>
        <v>30.75</v>
      </c>
      <c r="L311">
        <f>ROUND(HEX2DEC(_0811_173439[[#This Row],[58F0]])*E$4/E$5+E$6,0)</f>
        <v>71</v>
      </c>
      <c r="M311">
        <f>ROUND(HEX2DEC(_0811_173439[[#This Row],[5805]])*F$4/F$5+F$6,0)</f>
        <v>42</v>
      </c>
      <c r="N311">
        <f>ROUND(HEX2DEC(_0811_173439[[#This Row],[58DD]])*G$4/G$5+G$6,2)</f>
        <v>-0.02</v>
      </c>
      <c r="P311">
        <v>1120</v>
      </c>
      <c r="Q311">
        <v>36</v>
      </c>
      <c r="R311">
        <v>30.75</v>
      </c>
      <c r="S311">
        <v>71</v>
      </c>
      <c r="T311">
        <v>42</v>
      </c>
      <c r="U311">
        <v>-0.02</v>
      </c>
      <c r="W311">
        <f>DataLog_T717420_Aug11_4_59_37pm[[#This Row],[RPM '[1/MIN']]]-Table3[[#This Row],[580C]]</f>
        <v>0</v>
      </c>
      <c r="X311">
        <f>DataLog_T717420_Aug11_4_59_37pm[[#This Row],[OIL TEMP '[Â°C']]]-Table3[[#This Row],[4402]]</f>
        <v>0</v>
      </c>
      <c r="Y311">
        <f>DataLog_T717420_Aug11_4_59_37pm[[#This Row],[INTAKE TEMP '[Â°C']]]-Table3[[#This Row],[580F]]</f>
        <v>0</v>
      </c>
      <c r="Z311">
        <f>DataLog_T717420_Aug11_4_59_37pm[[#This Row],[HPFP PRES. '[BAR']]]-Table3[[#This Row],[58F0]]</f>
        <v>0</v>
      </c>
      <c r="AA311">
        <f>DataLog_T717420_Aug11_4_59_37pm[[#This Row],[COOLANT TEMP '[Â°C']]]-Table3[[#This Row],[5805]]</f>
        <v>0</v>
      </c>
      <c r="AB311">
        <f>DataLog_T717420_Aug11_4_59_37pm[[#This Row],[BOOST '[BAR']]]-Table3[[#This Row],[58DD]]</f>
        <v>0</v>
      </c>
    </row>
    <row r="312" spans="2:28" x14ac:dyDescent="0.25">
      <c r="B312" s="2" t="s">
        <v>72</v>
      </c>
      <c r="C312" s="2" t="s">
        <v>30</v>
      </c>
      <c r="D312" s="2" t="s">
        <v>25</v>
      </c>
      <c r="E312" s="2" t="s">
        <v>127</v>
      </c>
      <c r="F312" s="2" t="s">
        <v>26</v>
      </c>
      <c r="G312" s="2" t="s">
        <v>28</v>
      </c>
      <c r="I312">
        <f>HEX2DEC(_0811_173439[[#This Row],[580C]])*B$4/B$5+B$6</f>
        <v>1120</v>
      </c>
      <c r="J312">
        <f>HEX2DEC(_0811_173439[[#This Row],[4402]])*C$4/C$5+C$6</f>
        <v>36</v>
      </c>
      <c r="K312">
        <f>HEX2DEC(_0811_173439[[#This Row],[580F]])*D$4/D$5+D$6</f>
        <v>30.75</v>
      </c>
      <c r="L312">
        <f>ROUND(HEX2DEC(_0811_173439[[#This Row],[58F0]])*E$4/E$5+E$6,0)</f>
        <v>70</v>
      </c>
      <c r="M312">
        <f>ROUND(HEX2DEC(_0811_173439[[#This Row],[5805]])*F$4/F$5+F$6,0)</f>
        <v>42</v>
      </c>
      <c r="N312">
        <f>ROUND(HEX2DEC(_0811_173439[[#This Row],[58DD]])*G$4/G$5+G$6,2)</f>
        <v>-0.02</v>
      </c>
      <c r="P312">
        <v>1120</v>
      </c>
      <c r="Q312">
        <v>36</v>
      </c>
      <c r="R312">
        <v>30.75</v>
      </c>
      <c r="S312">
        <v>70</v>
      </c>
      <c r="T312">
        <v>42</v>
      </c>
      <c r="U312">
        <v>-0.02</v>
      </c>
      <c r="W312">
        <f>DataLog_T717420_Aug11_4_59_37pm[[#This Row],[RPM '[1/MIN']]]-Table3[[#This Row],[580C]]</f>
        <v>0</v>
      </c>
      <c r="X312">
        <f>DataLog_T717420_Aug11_4_59_37pm[[#This Row],[OIL TEMP '[Â°C']]]-Table3[[#This Row],[4402]]</f>
        <v>0</v>
      </c>
      <c r="Y312">
        <f>DataLog_T717420_Aug11_4_59_37pm[[#This Row],[INTAKE TEMP '[Â°C']]]-Table3[[#This Row],[580F]]</f>
        <v>0</v>
      </c>
      <c r="Z312">
        <f>DataLog_T717420_Aug11_4_59_37pm[[#This Row],[HPFP PRES. '[BAR']]]-Table3[[#This Row],[58F0]]</f>
        <v>0</v>
      </c>
      <c r="AA312">
        <f>DataLog_T717420_Aug11_4_59_37pm[[#This Row],[COOLANT TEMP '[Â°C']]]-Table3[[#This Row],[5805]]</f>
        <v>0</v>
      </c>
      <c r="AB312">
        <f>DataLog_T717420_Aug11_4_59_37pm[[#This Row],[BOOST '[BAR']]]-Table3[[#This Row],[58DD]]</f>
        <v>0</v>
      </c>
    </row>
    <row r="313" spans="2:28" x14ac:dyDescent="0.25">
      <c r="B313" s="2" t="s">
        <v>128</v>
      </c>
      <c r="C313" s="2" t="s">
        <v>30</v>
      </c>
      <c r="D313" s="2" t="s">
        <v>25</v>
      </c>
      <c r="E313" s="2" t="s">
        <v>91</v>
      </c>
      <c r="F313" s="2" t="s">
        <v>26</v>
      </c>
      <c r="G313" s="2" t="s">
        <v>28</v>
      </c>
      <c r="I313">
        <f>HEX2DEC(_0811_173439[[#This Row],[580C]])*B$4/B$5+B$6</f>
        <v>1080</v>
      </c>
      <c r="J313">
        <f>HEX2DEC(_0811_173439[[#This Row],[4402]])*C$4/C$5+C$6</f>
        <v>36</v>
      </c>
      <c r="K313">
        <f>HEX2DEC(_0811_173439[[#This Row],[580F]])*D$4/D$5+D$6</f>
        <v>30.75</v>
      </c>
      <c r="L313">
        <f>ROUND(HEX2DEC(_0811_173439[[#This Row],[58F0]])*E$4/E$5+E$6,0)</f>
        <v>71</v>
      </c>
      <c r="M313">
        <f>ROUND(HEX2DEC(_0811_173439[[#This Row],[5805]])*F$4/F$5+F$6,0)</f>
        <v>42</v>
      </c>
      <c r="N313">
        <f>ROUND(HEX2DEC(_0811_173439[[#This Row],[58DD]])*G$4/G$5+G$6,2)</f>
        <v>-0.02</v>
      </c>
      <c r="P313">
        <v>1080</v>
      </c>
      <c r="Q313">
        <v>36</v>
      </c>
      <c r="R313">
        <v>30.75</v>
      </c>
      <c r="S313">
        <v>71</v>
      </c>
      <c r="T313">
        <v>42</v>
      </c>
      <c r="U313">
        <v>-0.02</v>
      </c>
      <c r="W313">
        <f>DataLog_T717420_Aug11_4_59_37pm[[#This Row],[RPM '[1/MIN']]]-Table3[[#This Row],[580C]]</f>
        <v>0</v>
      </c>
      <c r="X313">
        <f>DataLog_T717420_Aug11_4_59_37pm[[#This Row],[OIL TEMP '[Â°C']]]-Table3[[#This Row],[4402]]</f>
        <v>0</v>
      </c>
      <c r="Y313">
        <f>DataLog_T717420_Aug11_4_59_37pm[[#This Row],[INTAKE TEMP '[Â°C']]]-Table3[[#This Row],[580F]]</f>
        <v>0</v>
      </c>
      <c r="Z313">
        <f>DataLog_T717420_Aug11_4_59_37pm[[#This Row],[HPFP PRES. '[BAR']]]-Table3[[#This Row],[58F0]]</f>
        <v>0</v>
      </c>
      <c r="AA313">
        <f>DataLog_T717420_Aug11_4_59_37pm[[#This Row],[COOLANT TEMP '[Â°C']]]-Table3[[#This Row],[5805]]</f>
        <v>0</v>
      </c>
      <c r="AB313">
        <f>DataLog_T717420_Aug11_4_59_37pm[[#This Row],[BOOST '[BAR']]]-Table3[[#This Row],[58DD]]</f>
        <v>0</v>
      </c>
    </row>
    <row r="314" spans="2:28" x14ac:dyDescent="0.25">
      <c r="B314" s="2" t="s">
        <v>128</v>
      </c>
      <c r="C314" s="2" t="s">
        <v>30</v>
      </c>
      <c r="D314" s="2" t="s">
        <v>25</v>
      </c>
      <c r="E314" s="2" t="s">
        <v>129</v>
      </c>
      <c r="F314" s="2" t="s">
        <v>26</v>
      </c>
      <c r="G314" s="2" t="s">
        <v>28</v>
      </c>
      <c r="I314">
        <f>HEX2DEC(_0811_173439[[#This Row],[580C]])*B$4/B$5+B$6</f>
        <v>1080</v>
      </c>
      <c r="J314">
        <f>HEX2DEC(_0811_173439[[#This Row],[4402]])*C$4/C$5+C$6</f>
        <v>36</v>
      </c>
      <c r="K314">
        <f>HEX2DEC(_0811_173439[[#This Row],[580F]])*D$4/D$5+D$6</f>
        <v>30.75</v>
      </c>
      <c r="L314">
        <f>ROUND(HEX2DEC(_0811_173439[[#This Row],[58F0]])*E$4/E$5+E$6,0)</f>
        <v>71</v>
      </c>
      <c r="M314">
        <f>ROUND(HEX2DEC(_0811_173439[[#This Row],[5805]])*F$4/F$5+F$6,0)</f>
        <v>42</v>
      </c>
      <c r="N314">
        <f>ROUND(HEX2DEC(_0811_173439[[#This Row],[58DD]])*G$4/G$5+G$6,2)</f>
        <v>-0.02</v>
      </c>
      <c r="P314">
        <v>1080</v>
      </c>
      <c r="Q314">
        <v>36</v>
      </c>
      <c r="R314">
        <v>30.75</v>
      </c>
      <c r="S314">
        <v>71</v>
      </c>
      <c r="T314">
        <v>42</v>
      </c>
      <c r="U314">
        <v>-0.02</v>
      </c>
      <c r="W314">
        <f>DataLog_T717420_Aug11_4_59_37pm[[#This Row],[RPM '[1/MIN']]]-Table3[[#This Row],[580C]]</f>
        <v>0</v>
      </c>
      <c r="X314">
        <f>DataLog_T717420_Aug11_4_59_37pm[[#This Row],[OIL TEMP '[Â°C']]]-Table3[[#This Row],[4402]]</f>
        <v>0</v>
      </c>
      <c r="Y314">
        <f>DataLog_T717420_Aug11_4_59_37pm[[#This Row],[INTAKE TEMP '[Â°C']]]-Table3[[#This Row],[580F]]</f>
        <v>0</v>
      </c>
      <c r="Z314">
        <f>DataLog_T717420_Aug11_4_59_37pm[[#This Row],[HPFP PRES. '[BAR']]]-Table3[[#This Row],[58F0]]</f>
        <v>0</v>
      </c>
      <c r="AA314">
        <f>DataLog_T717420_Aug11_4_59_37pm[[#This Row],[COOLANT TEMP '[Â°C']]]-Table3[[#This Row],[5805]]</f>
        <v>0</v>
      </c>
      <c r="AB314">
        <f>DataLog_T717420_Aug11_4_59_37pm[[#This Row],[BOOST '[BAR']]]-Table3[[#This Row],[58DD]]</f>
        <v>0</v>
      </c>
    </row>
    <row r="315" spans="2:28" x14ac:dyDescent="0.25">
      <c r="B315" s="2" t="s">
        <v>128</v>
      </c>
      <c r="C315" s="2" t="s">
        <v>30</v>
      </c>
      <c r="D315" s="2" t="s">
        <v>25</v>
      </c>
      <c r="E315" s="2" t="s">
        <v>130</v>
      </c>
      <c r="F315" s="2" t="s">
        <v>26</v>
      </c>
      <c r="G315" s="2" t="s">
        <v>28</v>
      </c>
      <c r="I315">
        <f>HEX2DEC(_0811_173439[[#This Row],[580C]])*B$4/B$5+B$6</f>
        <v>1080</v>
      </c>
      <c r="J315">
        <f>HEX2DEC(_0811_173439[[#This Row],[4402]])*C$4/C$5+C$6</f>
        <v>36</v>
      </c>
      <c r="K315">
        <f>HEX2DEC(_0811_173439[[#This Row],[580F]])*D$4/D$5+D$6</f>
        <v>30.75</v>
      </c>
      <c r="L315">
        <f>ROUND(HEX2DEC(_0811_173439[[#This Row],[58F0]])*E$4/E$5+E$6,0)</f>
        <v>71</v>
      </c>
      <c r="M315">
        <f>ROUND(HEX2DEC(_0811_173439[[#This Row],[5805]])*F$4/F$5+F$6,0)</f>
        <v>42</v>
      </c>
      <c r="N315">
        <f>ROUND(HEX2DEC(_0811_173439[[#This Row],[58DD]])*G$4/G$5+G$6,2)</f>
        <v>-0.02</v>
      </c>
      <c r="P315">
        <v>1080</v>
      </c>
      <c r="Q315">
        <v>36</v>
      </c>
      <c r="R315">
        <v>30.75</v>
      </c>
      <c r="S315">
        <v>71</v>
      </c>
      <c r="T315">
        <v>42</v>
      </c>
      <c r="U315">
        <v>-0.02</v>
      </c>
      <c r="W315">
        <f>DataLog_T717420_Aug11_4_59_37pm[[#This Row],[RPM '[1/MIN']]]-Table3[[#This Row],[580C]]</f>
        <v>0</v>
      </c>
      <c r="X315">
        <f>DataLog_T717420_Aug11_4_59_37pm[[#This Row],[OIL TEMP '[Â°C']]]-Table3[[#This Row],[4402]]</f>
        <v>0</v>
      </c>
      <c r="Y315">
        <f>DataLog_T717420_Aug11_4_59_37pm[[#This Row],[INTAKE TEMP '[Â°C']]]-Table3[[#This Row],[580F]]</f>
        <v>0</v>
      </c>
      <c r="Z315">
        <f>DataLog_T717420_Aug11_4_59_37pm[[#This Row],[HPFP PRES. '[BAR']]]-Table3[[#This Row],[58F0]]</f>
        <v>0</v>
      </c>
      <c r="AA315">
        <f>DataLog_T717420_Aug11_4_59_37pm[[#This Row],[COOLANT TEMP '[Â°C']]]-Table3[[#This Row],[5805]]</f>
        <v>0</v>
      </c>
      <c r="AB315">
        <f>DataLog_T717420_Aug11_4_59_37pm[[#This Row],[BOOST '[BAR']]]-Table3[[#This Row],[58DD]]</f>
        <v>0</v>
      </c>
    </row>
    <row r="316" spans="2:28" x14ac:dyDescent="0.25">
      <c r="B316" s="2" t="s">
        <v>128</v>
      </c>
      <c r="C316" s="2" t="s">
        <v>30</v>
      </c>
      <c r="D316" s="2" t="s">
        <v>25</v>
      </c>
      <c r="E316" s="2" t="s">
        <v>131</v>
      </c>
      <c r="F316" s="2" t="s">
        <v>26</v>
      </c>
      <c r="G316" s="2" t="s">
        <v>28</v>
      </c>
      <c r="I316">
        <f>HEX2DEC(_0811_173439[[#This Row],[580C]])*B$4/B$5+B$6</f>
        <v>1080</v>
      </c>
      <c r="J316">
        <f>HEX2DEC(_0811_173439[[#This Row],[4402]])*C$4/C$5+C$6</f>
        <v>36</v>
      </c>
      <c r="K316">
        <f>HEX2DEC(_0811_173439[[#This Row],[580F]])*D$4/D$5+D$6</f>
        <v>30.75</v>
      </c>
      <c r="L316">
        <f>ROUND(HEX2DEC(_0811_173439[[#This Row],[58F0]])*E$4/E$5+E$6,0)</f>
        <v>72</v>
      </c>
      <c r="M316">
        <f>ROUND(HEX2DEC(_0811_173439[[#This Row],[5805]])*F$4/F$5+F$6,0)</f>
        <v>42</v>
      </c>
      <c r="N316">
        <f>ROUND(HEX2DEC(_0811_173439[[#This Row],[58DD]])*G$4/G$5+G$6,2)</f>
        <v>-0.02</v>
      </c>
      <c r="P316">
        <v>1080</v>
      </c>
      <c r="Q316">
        <v>36</v>
      </c>
      <c r="R316">
        <v>30.75</v>
      </c>
      <c r="S316">
        <v>72</v>
      </c>
      <c r="T316">
        <v>42</v>
      </c>
      <c r="U316">
        <v>-0.02</v>
      </c>
      <c r="W316">
        <f>DataLog_T717420_Aug11_4_59_37pm[[#This Row],[RPM '[1/MIN']]]-Table3[[#This Row],[580C]]</f>
        <v>0</v>
      </c>
      <c r="X316">
        <f>DataLog_T717420_Aug11_4_59_37pm[[#This Row],[OIL TEMP '[Â°C']]]-Table3[[#This Row],[4402]]</f>
        <v>0</v>
      </c>
      <c r="Y316">
        <f>DataLog_T717420_Aug11_4_59_37pm[[#This Row],[INTAKE TEMP '[Â°C']]]-Table3[[#This Row],[580F]]</f>
        <v>0</v>
      </c>
      <c r="Z316">
        <f>DataLog_T717420_Aug11_4_59_37pm[[#This Row],[HPFP PRES. '[BAR']]]-Table3[[#This Row],[58F0]]</f>
        <v>0</v>
      </c>
      <c r="AA316">
        <f>DataLog_T717420_Aug11_4_59_37pm[[#This Row],[COOLANT TEMP '[Â°C']]]-Table3[[#This Row],[5805]]</f>
        <v>0</v>
      </c>
      <c r="AB316">
        <f>DataLog_T717420_Aug11_4_59_37pm[[#This Row],[BOOST '[BAR']]]-Table3[[#This Row],[58DD]]</f>
        <v>0</v>
      </c>
    </row>
    <row r="317" spans="2:28" x14ac:dyDescent="0.25">
      <c r="B317" s="2" t="s">
        <v>128</v>
      </c>
      <c r="C317" s="2" t="s">
        <v>30</v>
      </c>
      <c r="D317" s="2" t="s">
        <v>25</v>
      </c>
      <c r="E317" s="2" t="s">
        <v>122</v>
      </c>
      <c r="F317" s="2" t="s">
        <v>26</v>
      </c>
      <c r="G317" s="2" t="s">
        <v>28</v>
      </c>
      <c r="I317">
        <f>HEX2DEC(_0811_173439[[#This Row],[580C]])*B$4/B$5+B$6</f>
        <v>1080</v>
      </c>
      <c r="J317">
        <f>HEX2DEC(_0811_173439[[#This Row],[4402]])*C$4/C$5+C$6</f>
        <v>36</v>
      </c>
      <c r="K317">
        <f>HEX2DEC(_0811_173439[[#This Row],[580F]])*D$4/D$5+D$6</f>
        <v>30.75</v>
      </c>
      <c r="L317">
        <f>ROUND(HEX2DEC(_0811_173439[[#This Row],[58F0]])*E$4/E$5+E$6,0)</f>
        <v>71</v>
      </c>
      <c r="M317">
        <f>ROUND(HEX2DEC(_0811_173439[[#This Row],[5805]])*F$4/F$5+F$6,0)</f>
        <v>42</v>
      </c>
      <c r="N317">
        <f>ROUND(HEX2DEC(_0811_173439[[#This Row],[58DD]])*G$4/G$5+G$6,2)</f>
        <v>-0.02</v>
      </c>
      <c r="P317">
        <v>1080</v>
      </c>
      <c r="Q317">
        <v>36</v>
      </c>
      <c r="R317">
        <v>30.75</v>
      </c>
      <c r="S317">
        <v>71</v>
      </c>
      <c r="T317">
        <v>42</v>
      </c>
      <c r="U317">
        <v>-0.02</v>
      </c>
      <c r="W317">
        <f>DataLog_T717420_Aug11_4_59_37pm[[#This Row],[RPM '[1/MIN']]]-Table3[[#This Row],[580C]]</f>
        <v>0</v>
      </c>
      <c r="X317">
        <f>DataLog_T717420_Aug11_4_59_37pm[[#This Row],[OIL TEMP '[Â°C']]]-Table3[[#This Row],[4402]]</f>
        <v>0</v>
      </c>
      <c r="Y317">
        <f>DataLog_T717420_Aug11_4_59_37pm[[#This Row],[INTAKE TEMP '[Â°C']]]-Table3[[#This Row],[580F]]</f>
        <v>0</v>
      </c>
      <c r="Z317">
        <f>DataLog_T717420_Aug11_4_59_37pm[[#This Row],[HPFP PRES. '[BAR']]]-Table3[[#This Row],[58F0]]</f>
        <v>0</v>
      </c>
      <c r="AA317">
        <f>DataLog_T717420_Aug11_4_59_37pm[[#This Row],[COOLANT TEMP '[Â°C']]]-Table3[[#This Row],[5805]]</f>
        <v>0</v>
      </c>
      <c r="AB317">
        <f>DataLog_T717420_Aug11_4_59_37pm[[#This Row],[BOOST '[BAR']]]-Table3[[#This Row],[58DD]]</f>
        <v>0</v>
      </c>
    </row>
    <row r="318" spans="2:28" x14ac:dyDescent="0.25">
      <c r="B318" s="2" t="s">
        <v>128</v>
      </c>
      <c r="C318" s="2" t="s">
        <v>30</v>
      </c>
      <c r="D318" s="2" t="s">
        <v>25</v>
      </c>
      <c r="E318" s="2" t="s">
        <v>132</v>
      </c>
      <c r="F318" s="2" t="s">
        <v>26</v>
      </c>
      <c r="G318" s="2" t="s">
        <v>28</v>
      </c>
      <c r="I318">
        <f>HEX2DEC(_0811_173439[[#This Row],[580C]])*B$4/B$5+B$6</f>
        <v>1080</v>
      </c>
      <c r="J318">
        <f>HEX2DEC(_0811_173439[[#This Row],[4402]])*C$4/C$5+C$6</f>
        <v>36</v>
      </c>
      <c r="K318">
        <f>HEX2DEC(_0811_173439[[#This Row],[580F]])*D$4/D$5+D$6</f>
        <v>30.75</v>
      </c>
      <c r="L318">
        <f>ROUND(HEX2DEC(_0811_173439[[#This Row],[58F0]])*E$4/E$5+E$6,0)</f>
        <v>70</v>
      </c>
      <c r="M318">
        <f>ROUND(HEX2DEC(_0811_173439[[#This Row],[5805]])*F$4/F$5+F$6,0)</f>
        <v>42</v>
      </c>
      <c r="N318">
        <f>ROUND(HEX2DEC(_0811_173439[[#This Row],[58DD]])*G$4/G$5+G$6,2)</f>
        <v>-0.02</v>
      </c>
      <c r="P318">
        <v>1080</v>
      </c>
      <c r="Q318">
        <v>36</v>
      </c>
      <c r="R318">
        <v>30.75</v>
      </c>
      <c r="S318">
        <v>70</v>
      </c>
      <c r="T318">
        <v>42</v>
      </c>
      <c r="U318">
        <v>-0.02</v>
      </c>
      <c r="W318">
        <f>DataLog_T717420_Aug11_4_59_37pm[[#This Row],[RPM '[1/MIN']]]-Table3[[#This Row],[580C]]</f>
        <v>0</v>
      </c>
      <c r="X318">
        <f>DataLog_T717420_Aug11_4_59_37pm[[#This Row],[OIL TEMP '[Â°C']]]-Table3[[#This Row],[4402]]</f>
        <v>0</v>
      </c>
      <c r="Y318">
        <f>DataLog_T717420_Aug11_4_59_37pm[[#This Row],[INTAKE TEMP '[Â°C']]]-Table3[[#This Row],[580F]]</f>
        <v>0</v>
      </c>
      <c r="Z318">
        <f>DataLog_T717420_Aug11_4_59_37pm[[#This Row],[HPFP PRES. '[BAR']]]-Table3[[#This Row],[58F0]]</f>
        <v>0</v>
      </c>
      <c r="AA318">
        <f>DataLog_T717420_Aug11_4_59_37pm[[#This Row],[COOLANT TEMP '[Â°C']]]-Table3[[#This Row],[5805]]</f>
        <v>0</v>
      </c>
      <c r="AB318">
        <f>DataLog_T717420_Aug11_4_59_37pm[[#This Row],[BOOST '[BAR']]]-Table3[[#This Row],[58DD]]</f>
        <v>0</v>
      </c>
    </row>
    <row r="319" spans="2:28" x14ac:dyDescent="0.25">
      <c r="B319" s="2" t="s">
        <v>128</v>
      </c>
      <c r="C319" s="2" t="s">
        <v>30</v>
      </c>
      <c r="D319" s="2" t="s">
        <v>25</v>
      </c>
      <c r="E319" s="2" t="s">
        <v>129</v>
      </c>
      <c r="F319" s="2" t="s">
        <v>26</v>
      </c>
      <c r="G319" s="2" t="s">
        <v>28</v>
      </c>
      <c r="I319">
        <f>HEX2DEC(_0811_173439[[#This Row],[580C]])*B$4/B$5+B$6</f>
        <v>1080</v>
      </c>
      <c r="J319">
        <f>HEX2DEC(_0811_173439[[#This Row],[4402]])*C$4/C$5+C$6</f>
        <v>36</v>
      </c>
      <c r="K319">
        <f>HEX2DEC(_0811_173439[[#This Row],[580F]])*D$4/D$5+D$6</f>
        <v>30.75</v>
      </c>
      <c r="L319">
        <f>ROUND(HEX2DEC(_0811_173439[[#This Row],[58F0]])*E$4/E$5+E$6,0)</f>
        <v>71</v>
      </c>
      <c r="M319">
        <f>ROUND(HEX2DEC(_0811_173439[[#This Row],[5805]])*F$4/F$5+F$6,0)</f>
        <v>42</v>
      </c>
      <c r="N319">
        <f>ROUND(HEX2DEC(_0811_173439[[#This Row],[58DD]])*G$4/G$5+G$6,2)</f>
        <v>-0.02</v>
      </c>
      <c r="P319">
        <v>1080</v>
      </c>
      <c r="Q319">
        <v>36</v>
      </c>
      <c r="R319">
        <v>30.75</v>
      </c>
      <c r="S319">
        <v>71</v>
      </c>
      <c r="T319">
        <v>42</v>
      </c>
      <c r="U319">
        <v>-0.02</v>
      </c>
      <c r="W319">
        <f>DataLog_T717420_Aug11_4_59_37pm[[#This Row],[RPM '[1/MIN']]]-Table3[[#This Row],[580C]]</f>
        <v>0</v>
      </c>
      <c r="X319">
        <f>DataLog_T717420_Aug11_4_59_37pm[[#This Row],[OIL TEMP '[Â°C']]]-Table3[[#This Row],[4402]]</f>
        <v>0</v>
      </c>
      <c r="Y319">
        <f>DataLog_T717420_Aug11_4_59_37pm[[#This Row],[INTAKE TEMP '[Â°C']]]-Table3[[#This Row],[580F]]</f>
        <v>0</v>
      </c>
      <c r="Z319">
        <f>DataLog_T717420_Aug11_4_59_37pm[[#This Row],[HPFP PRES. '[BAR']]]-Table3[[#This Row],[58F0]]</f>
        <v>0</v>
      </c>
      <c r="AA319">
        <f>DataLog_T717420_Aug11_4_59_37pm[[#This Row],[COOLANT TEMP '[Â°C']]]-Table3[[#This Row],[5805]]</f>
        <v>0</v>
      </c>
      <c r="AB319">
        <f>DataLog_T717420_Aug11_4_59_37pm[[#This Row],[BOOST '[BAR']]]-Table3[[#This Row],[58DD]]</f>
        <v>0</v>
      </c>
    </row>
    <row r="320" spans="2:28" x14ac:dyDescent="0.25">
      <c r="B320" s="2" t="s">
        <v>133</v>
      </c>
      <c r="C320" s="2" t="s">
        <v>30</v>
      </c>
      <c r="D320" s="2" t="s">
        <v>25</v>
      </c>
      <c r="E320" s="2" t="s">
        <v>123</v>
      </c>
      <c r="F320" s="2" t="s">
        <v>26</v>
      </c>
      <c r="G320" s="2" t="s">
        <v>28</v>
      </c>
      <c r="I320">
        <f>HEX2DEC(_0811_173439[[#This Row],[580C]])*B$4/B$5+B$6</f>
        <v>1040</v>
      </c>
      <c r="J320">
        <f>HEX2DEC(_0811_173439[[#This Row],[4402]])*C$4/C$5+C$6</f>
        <v>36</v>
      </c>
      <c r="K320">
        <f>HEX2DEC(_0811_173439[[#This Row],[580F]])*D$4/D$5+D$6</f>
        <v>30.75</v>
      </c>
      <c r="L320">
        <f>ROUND(HEX2DEC(_0811_173439[[#This Row],[58F0]])*E$4/E$5+E$6,0)</f>
        <v>71</v>
      </c>
      <c r="M320">
        <f>ROUND(HEX2DEC(_0811_173439[[#This Row],[5805]])*F$4/F$5+F$6,0)</f>
        <v>42</v>
      </c>
      <c r="N320">
        <f>ROUND(HEX2DEC(_0811_173439[[#This Row],[58DD]])*G$4/G$5+G$6,2)</f>
        <v>-0.02</v>
      </c>
      <c r="P320">
        <v>1040</v>
      </c>
      <c r="Q320">
        <v>36</v>
      </c>
      <c r="R320">
        <v>30.75</v>
      </c>
      <c r="S320">
        <v>71</v>
      </c>
      <c r="T320">
        <v>42</v>
      </c>
      <c r="U320">
        <v>-0.02</v>
      </c>
      <c r="W320">
        <f>DataLog_T717420_Aug11_4_59_37pm[[#This Row],[RPM '[1/MIN']]]-Table3[[#This Row],[580C]]</f>
        <v>0</v>
      </c>
      <c r="X320">
        <f>DataLog_T717420_Aug11_4_59_37pm[[#This Row],[OIL TEMP '[Â°C']]]-Table3[[#This Row],[4402]]</f>
        <v>0</v>
      </c>
      <c r="Y320">
        <f>DataLog_T717420_Aug11_4_59_37pm[[#This Row],[INTAKE TEMP '[Â°C']]]-Table3[[#This Row],[580F]]</f>
        <v>0</v>
      </c>
      <c r="Z320">
        <f>DataLog_T717420_Aug11_4_59_37pm[[#This Row],[HPFP PRES. '[BAR']]]-Table3[[#This Row],[58F0]]</f>
        <v>0</v>
      </c>
      <c r="AA320">
        <f>DataLog_T717420_Aug11_4_59_37pm[[#This Row],[COOLANT TEMP '[Â°C']]]-Table3[[#This Row],[5805]]</f>
        <v>0</v>
      </c>
      <c r="AB320">
        <f>DataLog_T717420_Aug11_4_59_37pm[[#This Row],[BOOST '[BAR']]]-Table3[[#This Row],[58DD]]</f>
        <v>0</v>
      </c>
    </row>
    <row r="321" spans="2:28" x14ac:dyDescent="0.25">
      <c r="B321" s="2" t="s">
        <v>133</v>
      </c>
      <c r="C321" s="2" t="s">
        <v>30</v>
      </c>
      <c r="D321" s="2" t="s">
        <v>25</v>
      </c>
      <c r="E321" s="2" t="s">
        <v>124</v>
      </c>
      <c r="F321" s="2" t="s">
        <v>26</v>
      </c>
      <c r="G321" s="2" t="s">
        <v>28</v>
      </c>
      <c r="I321">
        <f>HEX2DEC(_0811_173439[[#This Row],[580C]])*B$4/B$5+B$6</f>
        <v>1040</v>
      </c>
      <c r="J321">
        <f>HEX2DEC(_0811_173439[[#This Row],[4402]])*C$4/C$5+C$6</f>
        <v>36</v>
      </c>
      <c r="K321">
        <f>HEX2DEC(_0811_173439[[#This Row],[580F]])*D$4/D$5+D$6</f>
        <v>30.75</v>
      </c>
      <c r="L321">
        <f>ROUND(HEX2DEC(_0811_173439[[#This Row],[58F0]])*E$4/E$5+E$6,0)</f>
        <v>71</v>
      </c>
      <c r="M321">
        <f>ROUND(HEX2DEC(_0811_173439[[#This Row],[5805]])*F$4/F$5+F$6,0)</f>
        <v>42</v>
      </c>
      <c r="N321">
        <f>ROUND(HEX2DEC(_0811_173439[[#This Row],[58DD]])*G$4/G$5+G$6,2)</f>
        <v>-0.02</v>
      </c>
      <c r="P321">
        <v>1040</v>
      </c>
      <c r="Q321">
        <v>36</v>
      </c>
      <c r="R321">
        <v>30.75</v>
      </c>
      <c r="S321">
        <v>71</v>
      </c>
      <c r="T321">
        <v>42</v>
      </c>
      <c r="U321">
        <v>-0.02</v>
      </c>
      <c r="W321">
        <f>DataLog_T717420_Aug11_4_59_37pm[[#This Row],[RPM '[1/MIN']]]-Table3[[#This Row],[580C]]</f>
        <v>0</v>
      </c>
      <c r="X321">
        <f>DataLog_T717420_Aug11_4_59_37pm[[#This Row],[OIL TEMP '[Â°C']]]-Table3[[#This Row],[4402]]</f>
        <v>0</v>
      </c>
      <c r="Y321">
        <f>DataLog_T717420_Aug11_4_59_37pm[[#This Row],[INTAKE TEMP '[Â°C']]]-Table3[[#This Row],[580F]]</f>
        <v>0</v>
      </c>
      <c r="Z321">
        <f>DataLog_T717420_Aug11_4_59_37pm[[#This Row],[HPFP PRES. '[BAR']]]-Table3[[#This Row],[58F0]]</f>
        <v>0</v>
      </c>
      <c r="AA321">
        <f>DataLog_T717420_Aug11_4_59_37pm[[#This Row],[COOLANT TEMP '[Â°C']]]-Table3[[#This Row],[5805]]</f>
        <v>0</v>
      </c>
      <c r="AB321">
        <f>DataLog_T717420_Aug11_4_59_37pm[[#This Row],[BOOST '[BAR']]]-Table3[[#This Row],[58DD]]</f>
        <v>0</v>
      </c>
    </row>
    <row r="322" spans="2:28" x14ac:dyDescent="0.25">
      <c r="B322" s="2" t="s">
        <v>133</v>
      </c>
      <c r="C322" s="2" t="s">
        <v>30</v>
      </c>
      <c r="D322" s="2" t="s">
        <v>25</v>
      </c>
      <c r="E322" s="2" t="s">
        <v>124</v>
      </c>
      <c r="F322" s="2" t="s">
        <v>26</v>
      </c>
      <c r="G322" s="2" t="s">
        <v>28</v>
      </c>
      <c r="I322">
        <f>HEX2DEC(_0811_173439[[#This Row],[580C]])*B$4/B$5+B$6</f>
        <v>1040</v>
      </c>
      <c r="J322">
        <f>HEX2DEC(_0811_173439[[#This Row],[4402]])*C$4/C$5+C$6</f>
        <v>36</v>
      </c>
      <c r="K322">
        <f>HEX2DEC(_0811_173439[[#This Row],[580F]])*D$4/D$5+D$6</f>
        <v>30.75</v>
      </c>
      <c r="L322">
        <f>ROUND(HEX2DEC(_0811_173439[[#This Row],[58F0]])*E$4/E$5+E$6,0)</f>
        <v>71</v>
      </c>
      <c r="M322">
        <f>ROUND(HEX2DEC(_0811_173439[[#This Row],[5805]])*F$4/F$5+F$6,0)</f>
        <v>42</v>
      </c>
      <c r="N322">
        <f>ROUND(HEX2DEC(_0811_173439[[#This Row],[58DD]])*G$4/G$5+G$6,2)</f>
        <v>-0.02</v>
      </c>
      <c r="P322">
        <v>1040</v>
      </c>
      <c r="Q322">
        <v>36</v>
      </c>
      <c r="R322">
        <v>30.75</v>
      </c>
      <c r="S322">
        <v>71</v>
      </c>
      <c r="T322">
        <v>42</v>
      </c>
      <c r="U322">
        <v>-0.02</v>
      </c>
      <c r="W322">
        <f>DataLog_T717420_Aug11_4_59_37pm[[#This Row],[RPM '[1/MIN']]]-Table3[[#This Row],[580C]]</f>
        <v>0</v>
      </c>
      <c r="X322">
        <f>DataLog_T717420_Aug11_4_59_37pm[[#This Row],[OIL TEMP '[Â°C']]]-Table3[[#This Row],[4402]]</f>
        <v>0</v>
      </c>
      <c r="Y322">
        <f>DataLog_T717420_Aug11_4_59_37pm[[#This Row],[INTAKE TEMP '[Â°C']]]-Table3[[#This Row],[580F]]</f>
        <v>0</v>
      </c>
      <c r="Z322">
        <f>DataLog_T717420_Aug11_4_59_37pm[[#This Row],[HPFP PRES. '[BAR']]]-Table3[[#This Row],[58F0]]</f>
        <v>0</v>
      </c>
      <c r="AA322">
        <f>DataLog_T717420_Aug11_4_59_37pm[[#This Row],[COOLANT TEMP '[Â°C']]]-Table3[[#This Row],[5805]]</f>
        <v>0</v>
      </c>
      <c r="AB322">
        <f>DataLog_T717420_Aug11_4_59_37pm[[#This Row],[BOOST '[BAR']]]-Table3[[#This Row],[58DD]]</f>
        <v>0</v>
      </c>
    </row>
    <row r="323" spans="2:28" x14ac:dyDescent="0.25">
      <c r="B323" s="2" t="s">
        <v>133</v>
      </c>
      <c r="C323" s="2" t="s">
        <v>30</v>
      </c>
      <c r="D323" s="2" t="s">
        <v>25</v>
      </c>
      <c r="E323" s="2" t="s">
        <v>134</v>
      </c>
      <c r="F323" s="2" t="s">
        <v>26</v>
      </c>
      <c r="G323" s="2" t="s">
        <v>28</v>
      </c>
      <c r="I323">
        <f>HEX2DEC(_0811_173439[[#This Row],[580C]])*B$4/B$5+B$6</f>
        <v>1040</v>
      </c>
      <c r="J323">
        <f>HEX2DEC(_0811_173439[[#This Row],[4402]])*C$4/C$5+C$6</f>
        <v>36</v>
      </c>
      <c r="K323">
        <f>HEX2DEC(_0811_173439[[#This Row],[580F]])*D$4/D$5+D$6</f>
        <v>30.75</v>
      </c>
      <c r="L323">
        <f>ROUND(HEX2DEC(_0811_173439[[#This Row],[58F0]])*E$4/E$5+E$6,0)</f>
        <v>70</v>
      </c>
      <c r="M323">
        <f>ROUND(HEX2DEC(_0811_173439[[#This Row],[5805]])*F$4/F$5+F$6,0)</f>
        <v>42</v>
      </c>
      <c r="N323">
        <f>ROUND(HEX2DEC(_0811_173439[[#This Row],[58DD]])*G$4/G$5+G$6,2)</f>
        <v>-0.02</v>
      </c>
      <c r="P323">
        <v>1040</v>
      </c>
      <c r="Q323">
        <v>36</v>
      </c>
      <c r="R323">
        <v>30.75</v>
      </c>
      <c r="S323">
        <v>70</v>
      </c>
      <c r="T323">
        <v>42</v>
      </c>
      <c r="U323">
        <v>-0.02</v>
      </c>
      <c r="W323">
        <f>DataLog_T717420_Aug11_4_59_37pm[[#This Row],[RPM '[1/MIN']]]-Table3[[#This Row],[580C]]</f>
        <v>0</v>
      </c>
      <c r="X323">
        <f>DataLog_T717420_Aug11_4_59_37pm[[#This Row],[OIL TEMP '[Â°C']]]-Table3[[#This Row],[4402]]</f>
        <v>0</v>
      </c>
      <c r="Y323">
        <f>DataLog_T717420_Aug11_4_59_37pm[[#This Row],[INTAKE TEMP '[Â°C']]]-Table3[[#This Row],[580F]]</f>
        <v>0</v>
      </c>
      <c r="Z323">
        <f>DataLog_T717420_Aug11_4_59_37pm[[#This Row],[HPFP PRES. '[BAR']]]-Table3[[#This Row],[58F0]]</f>
        <v>0</v>
      </c>
      <c r="AA323">
        <f>DataLog_T717420_Aug11_4_59_37pm[[#This Row],[COOLANT TEMP '[Â°C']]]-Table3[[#This Row],[5805]]</f>
        <v>0</v>
      </c>
      <c r="AB323">
        <f>DataLog_T717420_Aug11_4_59_37pm[[#This Row],[BOOST '[BAR']]]-Table3[[#This Row],[58DD]]</f>
        <v>0</v>
      </c>
    </row>
    <row r="324" spans="2:28" x14ac:dyDescent="0.25">
      <c r="B324" s="2" t="s">
        <v>133</v>
      </c>
      <c r="C324" s="2" t="s">
        <v>30</v>
      </c>
      <c r="D324" s="2" t="s">
        <v>25</v>
      </c>
      <c r="E324" s="2" t="s">
        <v>135</v>
      </c>
      <c r="F324" s="2" t="s">
        <v>26</v>
      </c>
      <c r="G324" s="2" t="s">
        <v>28</v>
      </c>
      <c r="I324">
        <f>HEX2DEC(_0811_173439[[#This Row],[580C]])*B$4/B$5+B$6</f>
        <v>1040</v>
      </c>
      <c r="J324">
        <f>HEX2DEC(_0811_173439[[#This Row],[4402]])*C$4/C$5+C$6</f>
        <v>36</v>
      </c>
      <c r="K324">
        <f>HEX2DEC(_0811_173439[[#This Row],[580F]])*D$4/D$5+D$6</f>
        <v>30.75</v>
      </c>
      <c r="L324">
        <f>ROUND(HEX2DEC(_0811_173439[[#This Row],[58F0]])*E$4/E$5+E$6,0)</f>
        <v>71</v>
      </c>
      <c r="M324">
        <f>ROUND(HEX2DEC(_0811_173439[[#This Row],[5805]])*F$4/F$5+F$6,0)</f>
        <v>42</v>
      </c>
      <c r="N324">
        <f>ROUND(HEX2DEC(_0811_173439[[#This Row],[58DD]])*G$4/G$5+G$6,2)</f>
        <v>-0.02</v>
      </c>
      <c r="P324">
        <v>1040</v>
      </c>
      <c r="Q324">
        <v>36</v>
      </c>
      <c r="R324">
        <v>30.75</v>
      </c>
      <c r="S324">
        <v>71</v>
      </c>
      <c r="T324">
        <v>42</v>
      </c>
      <c r="U324">
        <v>-0.02</v>
      </c>
      <c r="W324">
        <f>DataLog_T717420_Aug11_4_59_37pm[[#This Row],[RPM '[1/MIN']]]-Table3[[#This Row],[580C]]</f>
        <v>0</v>
      </c>
      <c r="X324">
        <f>DataLog_T717420_Aug11_4_59_37pm[[#This Row],[OIL TEMP '[Â°C']]]-Table3[[#This Row],[4402]]</f>
        <v>0</v>
      </c>
      <c r="Y324">
        <f>DataLog_T717420_Aug11_4_59_37pm[[#This Row],[INTAKE TEMP '[Â°C']]]-Table3[[#This Row],[580F]]</f>
        <v>0</v>
      </c>
      <c r="Z324">
        <f>DataLog_T717420_Aug11_4_59_37pm[[#This Row],[HPFP PRES. '[BAR']]]-Table3[[#This Row],[58F0]]</f>
        <v>0</v>
      </c>
      <c r="AA324">
        <f>DataLog_T717420_Aug11_4_59_37pm[[#This Row],[COOLANT TEMP '[Â°C']]]-Table3[[#This Row],[5805]]</f>
        <v>0</v>
      </c>
      <c r="AB324">
        <f>DataLog_T717420_Aug11_4_59_37pm[[#This Row],[BOOST '[BAR']]]-Table3[[#This Row],[58DD]]</f>
        <v>0</v>
      </c>
    </row>
    <row r="325" spans="2:28" x14ac:dyDescent="0.25">
      <c r="B325" s="2" t="s">
        <v>133</v>
      </c>
      <c r="C325" s="2" t="s">
        <v>30</v>
      </c>
      <c r="D325" s="2" t="s">
        <v>25</v>
      </c>
      <c r="E325" s="2" t="s">
        <v>124</v>
      </c>
      <c r="F325" s="2" t="s">
        <v>26</v>
      </c>
      <c r="G325" s="2" t="s">
        <v>28</v>
      </c>
      <c r="I325">
        <f>HEX2DEC(_0811_173439[[#This Row],[580C]])*B$4/B$5+B$6</f>
        <v>1040</v>
      </c>
      <c r="J325">
        <f>HEX2DEC(_0811_173439[[#This Row],[4402]])*C$4/C$5+C$6</f>
        <v>36</v>
      </c>
      <c r="K325">
        <f>HEX2DEC(_0811_173439[[#This Row],[580F]])*D$4/D$5+D$6</f>
        <v>30.75</v>
      </c>
      <c r="L325">
        <f>ROUND(HEX2DEC(_0811_173439[[#This Row],[58F0]])*E$4/E$5+E$6,0)</f>
        <v>71</v>
      </c>
      <c r="M325">
        <f>ROUND(HEX2DEC(_0811_173439[[#This Row],[5805]])*F$4/F$5+F$6,0)</f>
        <v>42</v>
      </c>
      <c r="N325">
        <f>ROUND(HEX2DEC(_0811_173439[[#This Row],[58DD]])*G$4/G$5+G$6,2)</f>
        <v>-0.02</v>
      </c>
      <c r="P325">
        <v>1040</v>
      </c>
      <c r="Q325">
        <v>36</v>
      </c>
      <c r="R325">
        <v>30.75</v>
      </c>
      <c r="S325">
        <v>71</v>
      </c>
      <c r="T325">
        <v>42</v>
      </c>
      <c r="U325">
        <v>-0.02</v>
      </c>
      <c r="W325">
        <f>DataLog_T717420_Aug11_4_59_37pm[[#This Row],[RPM '[1/MIN']]]-Table3[[#This Row],[580C]]</f>
        <v>0</v>
      </c>
      <c r="X325">
        <f>DataLog_T717420_Aug11_4_59_37pm[[#This Row],[OIL TEMP '[Â°C']]]-Table3[[#This Row],[4402]]</f>
        <v>0</v>
      </c>
      <c r="Y325">
        <f>DataLog_T717420_Aug11_4_59_37pm[[#This Row],[INTAKE TEMP '[Â°C']]]-Table3[[#This Row],[580F]]</f>
        <v>0</v>
      </c>
      <c r="Z325">
        <f>DataLog_T717420_Aug11_4_59_37pm[[#This Row],[HPFP PRES. '[BAR']]]-Table3[[#This Row],[58F0]]</f>
        <v>0</v>
      </c>
      <c r="AA325">
        <f>DataLog_T717420_Aug11_4_59_37pm[[#This Row],[COOLANT TEMP '[Â°C']]]-Table3[[#This Row],[5805]]</f>
        <v>0</v>
      </c>
      <c r="AB325">
        <f>DataLog_T717420_Aug11_4_59_37pm[[#This Row],[BOOST '[BAR']]]-Table3[[#This Row],[58DD]]</f>
        <v>0</v>
      </c>
    </row>
    <row r="326" spans="2:28" x14ac:dyDescent="0.25">
      <c r="B326" s="2" t="s">
        <v>136</v>
      </c>
      <c r="C326" s="2" t="s">
        <v>30</v>
      </c>
      <c r="D326" s="2" t="s">
        <v>25</v>
      </c>
      <c r="E326" s="2" t="s">
        <v>93</v>
      </c>
      <c r="F326" s="2" t="s">
        <v>26</v>
      </c>
      <c r="G326" s="2" t="s">
        <v>28</v>
      </c>
      <c r="I326">
        <f>HEX2DEC(_0811_173439[[#This Row],[580C]])*B$4/B$5+B$6</f>
        <v>1000</v>
      </c>
      <c r="J326">
        <f>HEX2DEC(_0811_173439[[#This Row],[4402]])*C$4/C$5+C$6</f>
        <v>36</v>
      </c>
      <c r="K326">
        <f>HEX2DEC(_0811_173439[[#This Row],[580F]])*D$4/D$5+D$6</f>
        <v>30.75</v>
      </c>
      <c r="L326">
        <f>ROUND(HEX2DEC(_0811_173439[[#This Row],[58F0]])*E$4/E$5+E$6,0)</f>
        <v>70</v>
      </c>
      <c r="M326">
        <f>ROUND(HEX2DEC(_0811_173439[[#This Row],[5805]])*F$4/F$5+F$6,0)</f>
        <v>42</v>
      </c>
      <c r="N326">
        <f>ROUND(HEX2DEC(_0811_173439[[#This Row],[58DD]])*G$4/G$5+G$6,2)</f>
        <v>-0.02</v>
      </c>
      <c r="P326">
        <v>1000</v>
      </c>
      <c r="Q326">
        <v>36</v>
      </c>
      <c r="R326">
        <v>30.75</v>
      </c>
      <c r="S326">
        <v>70</v>
      </c>
      <c r="T326">
        <v>42</v>
      </c>
      <c r="U326">
        <v>-0.02</v>
      </c>
      <c r="W326">
        <f>DataLog_T717420_Aug11_4_59_37pm[[#This Row],[RPM '[1/MIN']]]-Table3[[#This Row],[580C]]</f>
        <v>0</v>
      </c>
      <c r="X326">
        <f>DataLog_T717420_Aug11_4_59_37pm[[#This Row],[OIL TEMP '[Â°C']]]-Table3[[#This Row],[4402]]</f>
        <v>0</v>
      </c>
      <c r="Y326">
        <f>DataLog_T717420_Aug11_4_59_37pm[[#This Row],[INTAKE TEMP '[Â°C']]]-Table3[[#This Row],[580F]]</f>
        <v>0</v>
      </c>
      <c r="Z326">
        <f>DataLog_T717420_Aug11_4_59_37pm[[#This Row],[HPFP PRES. '[BAR']]]-Table3[[#This Row],[58F0]]</f>
        <v>0</v>
      </c>
      <c r="AA326">
        <f>DataLog_T717420_Aug11_4_59_37pm[[#This Row],[COOLANT TEMP '[Â°C']]]-Table3[[#This Row],[5805]]</f>
        <v>0</v>
      </c>
      <c r="AB326">
        <f>DataLog_T717420_Aug11_4_59_37pm[[#This Row],[BOOST '[BAR']]]-Table3[[#This Row],[58DD]]</f>
        <v>0</v>
      </c>
    </row>
    <row r="327" spans="2:28" x14ac:dyDescent="0.25">
      <c r="B327" s="2" t="s">
        <v>136</v>
      </c>
      <c r="C327" s="2" t="s">
        <v>30</v>
      </c>
      <c r="D327" s="2" t="s">
        <v>25</v>
      </c>
      <c r="E327" s="2" t="s">
        <v>137</v>
      </c>
      <c r="F327" s="2" t="s">
        <v>26</v>
      </c>
      <c r="G327" s="2" t="s">
        <v>28</v>
      </c>
      <c r="I327">
        <f>HEX2DEC(_0811_173439[[#This Row],[580C]])*B$4/B$5+B$6</f>
        <v>1000</v>
      </c>
      <c r="J327">
        <f>HEX2DEC(_0811_173439[[#This Row],[4402]])*C$4/C$5+C$6</f>
        <v>36</v>
      </c>
      <c r="K327">
        <f>HEX2DEC(_0811_173439[[#This Row],[580F]])*D$4/D$5+D$6</f>
        <v>30.75</v>
      </c>
      <c r="L327">
        <f>ROUND(HEX2DEC(_0811_173439[[#This Row],[58F0]])*E$4/E$5+E$6,0)</f>
        <v>70</v>
      </c>
      <c r="M327">
        <f>ROUND(HEX2DEC(_0811_173439[[#This Row],[5805]])*F$4/F$5+F$6,0)</f>
        <v>42</v>
      </c>
      <c r="N327">
        <f>ROUND(HEX2DEC(_0811_173439[[#This Row],[58DD]])*G$4/G$5+G$6,2)</f>
        <v>-0.02</v>
      </c>
      <c r="P327">
        <v>1000</v>
      </c>
      <c r="Q327">
        <v>36</v>
      </c>
      <c r="R327">
        <v>30.75</v>
      </c>
      <c r="S327">
        <v>70</v>
      </c>
      <c r="T327">
        <v>42</v>
      </c>
      <c r="U327">
        <v>-0.02</v>
      </c>
      <c r="W327">
        <f>DataLog_T717420_Aug11_4_59_37pm[[#This Row],[RPM '[1/MIN']]]-Table3[[#This Row],[580C]]</f>
        <v>0</v>
      </c>
      <c r="X327">
        <f>DataLog_T717420_Aug11_4_59_37pm[[#This Row],[OIL TEMP '[Â°C']]]-Table3[[#This Row],[4402]]</f>
        <v>0</v>
      </c>
      <c r="Y327">
        <f>DataLog_T717420_Aug11_4_59_37pm[[#This Row],[INTAKE TEMP '[Â°C']]]-Table3[[#This Row],[580F]]</f>
        <v>0</v>
      </c>
      <c r="Z327">
        <f>DataLog_T717420_Aug11_4_59_37pm[[#This Row],[HPFP PRES. '[BAR']]]-Table3[[#This Row],[58F0]]</f>
        <v>0</v>
      </c>
      <c r="AA327">
        <f>DataLog_T717420_Aug11_4_59_37pm[[#This Row],[COOLANT TEMP '[Â°C']]]-Table3[[#This Row],[5805]]</f>
        <v>0</v>
      </c>
      <c r="AB327">
        <f>DataLog_T717420_Aug11_4_59_37pm[[#This Row],[BOOST '[BAR']]]-Table3[[#This Row],[58DD]]</f>
        <v>0</v>
      </c>
    </row>
    <row r="328" spans="2:28" x14ac:dyDescent="0.25">
      <c r="B328" s="2" t="s">
        <v>136</v>
      </c>
      <c r="C328" s="2" t="s">
        <v>30</v>
      </c>
      <c r="D328" s="2" t="s">
        <v>25</v>
      </c>
      <c r="E328" s="2" t="s">
        <v>91</v>
      </c>
      <c r="F328" s="2" t="s">
        <v>26</v>
      </c>
      <c r="G328" s="2" t="s">
        <v>28</v>
      </c>
      <c r="I328">
        <f>HEX2DEC(_0811_173439[[#This Row],[580C]])*B$4/B$5+B$6</f>
        <v>1000</v>
      </c>
      <c r="J328">
        <f>HEX2DEC(_0811_173439[[#This Row],[4402]])*C$4/C$5+C$6</f>
        <v>36</v>
      </c>
      <c r="K328">
        <f>HEX2DEC(_0811_173439[[#This Row],[580F]])*D$4/D$5+D$6</f>
        <v>30.75</v>
      </c>
      <c r="L328">
        <f>ROUND(HEX2DEC(_0811_173439[[#This Row],[58F0]])*E$4/E$5+E$6,0)</f>
        <v>71</v>
      </c>
      <c r="M328">
        <f>ROUND(HEX2DEC(_0811_173439[[#This Row],[5805]])*F$4/F$5+F$6,0)</f>
        <v>42</v>
      </c>
      <c r="N328">
        <f>ROUND(HEX2DEC(_0811_173439[[#This Row],[58DD]])*G$4/G$5+G$6,2)</f>
        <v>-0.02</v>
      </c>
      <c r="P328">
        <v>1000</v>
      </c>
      <c r="Q328">
        <v>36</v>
      </c>
      <c r="R328">
        <v>30.75</v>
      </c>
      <c r="S328">
        <v>71</v>
      </c>
      <c r="T328">
        <v>42</v>
      </c>
      <c r="U328">
        <v>-0.02</v>
      </c>
      <c r="W328">
        <f>DataLog_T717420_Aug11_4_59_37pm[[#This Row],[RPM '[1/MIN']]]-Table3[[#This Row],[580C]]</f>
        <v>0</v>
      </c>
      <c r="X328">
        <f>DataLog_T717420_Aug11_4_59_37pm[[#This Row],[OIL TEMP '[Â°C']]]-Table3[[#This Row],[4402]]</f>
        <v>0</v>
      </c>
      <c r="Y328">
        <f>DataLog_T717420_Aug11_4_59_37pm[[#This Row],[INTAKE TEMP '[Â°C']]]-Table3[[#This Row],[580F]]</f>
        <v>0</v>
      </c>
      <c r="Z328">
        <f>DataLog_T717420_Aug11_4_59_37pm[[#This Row],[HPFP PRES. '[BAR']]]-Table3[[#This Row],[58F0]]</f>
        <v>0</v>
      </c>
      <c r="AA328">
        <f>DataLog_T717420_Aug11_4_59_37pm[[#This Row],[COOLANT TEMP '[Â°C']]]-Table3[[#This Row],[5805]]</f>
        <v>0</v>
      </c>
      <c r="AB328">
        <f>DataLog_T717420_Aug11_4_59_37pm[[#This Row],[BOOST '[BAR']]]-Table3[[#This Row],[58DD]]</f>
        <v>0</v>
      </c>
    </row>
    <row r="329" spans="2:28" x14ac:dyDescent="0.25">
      <c r="B329" s="2" t="s">
        <v>136</v>
      </c>
      <c r="C329" s="2" t="s">
        <v>30</v>
      </c>
      <c r="D329" s="2" t="s">
        <v>25</v>
      </c>
      <c r="E329" s="2" t="s">
        <v>122</v>
      </c>
      <c r="F329" s="2" t="s">
        <v>26</v>
      </c>
      <c r="G329" s="2" t="s">
        <v>28</v>
      </c>
      <c r="I329">
        <f>HEX2DEC(_0811_173439[[#This Row],[580C]])*B$4/B$5+B$6</f>
        <v>1000</v>
      </c>
      <c r="J329">
        <f>HEX2DEC(_0811_173439[[#This Row],[4402]])*C$4/C$5+C$6</f>
        <v>36</v>
      </c>
      <c r="K329">
        <f>HEX2DEC(_0811_173439[[#This Row],[580F]])*D$4/D$5+D$6</f>
        <v>30.75</v>
      </c>
      <c r="L329">
        <f>ROUND(HEX2DEC(_0811_173439[[#This Row],[58F0]])*E$4/E$5+E$6,0)</f>
        <v>71</v>
      </c>
      <c r="M329">
        <f>ROUND(HEX2DEC(_0811_173439[[#This Row],[5805]])*F$4/F$5+F$6,0)</f>
        <v>42</v>
      </c>
      <c r="N329">
        <f>ROUND(HEX2DEC(_0811_173439[[#This Row],[58DD]])*G$4/G$5+G$6,2)</f>
        <v>-0.02</v>
      </c>
      <c r="P329">
        <v>1000</v>
      </c>
      <c r="Q329">
        <v>36</v>
      </c>
      <c r="R329">
        <v>30.75</v>
      </c>
      <c r="S329">
        <v>71</v>
      </c>
      <c r="T329">
        <v>42</v>
      </c>
      <c r="U329">
        <v>-0.02</v>
      </c>
      <c r="W329">
        <f>DataLog_T717420_Aug11_4_59_37pm[[#This Row],[RPM '[1/MIN']]]-Table3[[#This Row],[580C]]</f>
        <v>0</v>
      </c>
      <c r="X329">
        <f>DataLog_T717420_Aug11_4_59_37pm[[#This Row],[OIL TEMP '[Â°C']]]-Table3[[#This Row],[4402]]</f>
        <v>0</v>
      </c>
      <c r="Y329">
        <f>DataLog_T717420_Aug11_4_59_37pm[[#This Row],[INTAKE TEMP '[Â°C']]]-Table3[[#This Row],[580F]]</f>
        <v>0</v>
      </c>
      <c r="Z329">
        <f>DataLog_T717420_Aug11_4_59_37pm[[#This Row],[HPFP PRES. '[BAR']]]-Table3[[#This Row],[58F0]]</f>
        <v>0</v>
      </c>
      <c r="AA329">
        <f>DataLog_T717420_Aug11_4_59_37pm[[#This Row],[COOLANT TEMP '[Â°C']]]-Table3[[#This Row],[5805]]</f>
        <v>0</v>
      </c>
      <c r="AB329">
        <f>DataLog_T717420_Aug11_4_59_37pm[[#This Row],[BOOST '[BAR']]]-Table3[[#This Row],[58DD]]</f>
        <v>0</v>
      </c>
    </row>
    <row r="330" spans="2:28" x14ac:dyDescent="0.25">
      <c r="B330" s="2" t="s">
        <v>136</v>
      </c>
      <c r="C330" s="2" t="s">
        <v>30</v>
      </c>
      <c r="D330" s="2" t="s">
        <v>25</v>
      </c>
      <c r="E330" s="2" t="s">
        <v>138</v>
      </c>
      <c r="F330" s="2" t="s">
        <v>26</v>
      </c>
      <c r="G330" s="2" t="s">
        <v>28</v>
      </c>
      <c r="I330">
        <f>HEX2DEC(_0811_173439[[#This Row],[580C]])*B$4/B$5+B$6</f>
        <v>1000</v>
      </c>
      <c r="J330">
        <f>HEX2DEC(_0811_173439[[#This Row],[4402]])*C$4/C$5+C$6</f>
        <v>36</v>
      </c>
      <c r="K330">
        <f>HEX2DEC(_0811_173439[[#This Row],[580F]])*D$4/D$5+D$6</f>
        <v>30.75</v>
      </c>
      <c r="L330">
        <f>ROUND(HEX2DEC(_0811_173439[[#This Row],[58F0]])*E$4/E$5+E$6,0)</f>
        <v>70</v>
      </c>
      <c r="M330">
        <f>ROUND(HEX2DEC(_0811_173439[[#This Row],[5805]])*F$4/F$5+F$6,0)</f>
        <v>42</v>
      </c>
      <c r="N330">
        <f>ROUND(HEX2DEC(_0811_173439[[#This Row],[58DD]])*G$4/G$5+G$6,2)</f>
        <v>-0.02</v>
      </c>
      <c r="P330">
        <v>1000</v>
      </c>
      <c r="Q330">
        <v>36</v>
      </c>
      <c r="R330">
        <v>30.75</v>
      </c>
      <c r="S330">
        <v>70</v>
      </c>
      <c r="T330">
        <v>42</v>
      </c>
      <c r="U330">
        <v>-0.02</v>
      </c>
      <c r="W330">
        <f>DataLog_T717420_Aug11_4_59_37pm[[#This Row],[RPM '[1/MIN']]]-Table3[[#This Row],[580C]]</f>
        <v>0</v>
      </c>
      <c r="X330">
        <f>DataLog_T717420_Aug11_4_59_37pm[[#This Row],[OIL TEMP '[Â°C']]]-Table3[[#This Row],[4402]]</f>
        <v>0</v>
      </c>
      <c r="Y330">
        <f>DataLog_T717420_Aug11_4_59_37pm[[#This Row],[INTAKE TEMP '[Â°C']]]-Table3[[#This Row],[580F]]</f>
        <v>0</v>
      </c>
      <c r="Z330">
        <f>DataLog_T717420_Aug11_4_59_37pm[[#This Row],[HPFP PRES. '[BAR']]]-Table3[[#This Row],[58F0]]</f>
        <v>0</v>
      </c>
      <c r="AA330">
        <f>DataLog_T717420_Aug11_4_59_37pm[[#This Row],[COOLANT TEMP '[Â°C']]]-Table3[[#This Row],[5805]]</f>
        <v>0</v>
      </c>
      <c r="AB330">
        <f>DataLog_T717420_Aug11_4_59_37pm[[#This Row],[BOOST '[BAR']]]-Table3[[#This Row],[58DD]]</f>
        <v>0</v>
      </c>
    </row>
    <row r="331" spans="2:28" x14ac:dyDescent="0.25">
      <c r="B331" s="2" t="s">
        <v>136</v>
      </c>
      <c r="C331" s="2" t="s">
        <v>30</v>
      </c>
      <c r="D331" s="2" t="s">
        <v>25</v>
      </c>
      <c r="E331" s="2" t="s">
        <v>139</v>
      </c>
      <c r="F331" s="2" t="s">
        <v>26</v>
      </c>
      <c r="G331" s="2" t="s">
        <v>28</v>
      </c>
      <c r="I331">
        <f>HEX2DEC(_0811_173439[[#This Row],[580C]])*B$4/B$5+B$6</f>
        <v>1000</v>
      </c>
      <c r="J331">
        <f>HEX2DEC(_0811_173439[[#This Row],[4402]])*C$4/C$5+C$6</f>
        <v>36</v>
      </c>
      <c r="K331">
        <f>HEX2DEC(_0811_173439[[#This Row],[580F]])*D$4/D$5+D$6</f>
        <v>30.75</v>
      </c>
      <c r="L331">
        <f>ROUND(HEX2DEC(_0811_173439[[#This Row],[58F0]])*E$4/E$5+E$6,0)</f>
        <v>71</v>
      </c>
      <c r="M331">
        <f>ROUND(HEX2DEC(_0811_173439[[#This Row],[5805]])*F$4/F$5+F$6,0)</f>
        <v>42</v>
      </c>
      <c r="N331">
        <f>ROUND(HEX2DEC(_0811_173439[[#This Row],[58DD]])*G$4/G$5+G$6,2)</f>
        <v>-0.02</v>
      </c>
      <c r="P331">
        <v>1000</v>
      </c>
      <c r="Q331">
        <v>36</v>
      </c>
      <c r="R331">
        <v>30.75</v>
      </c>
      <c r="S331">
        <v>71</v>
      </c>
      <c r="T331">
        <v>42</v>
      </c>
      <c r="U331">
        <v>-0.02</v>
      </c>
      <c r="W331">
        <f>DataLog_T717420_Aug11_4_59_37pm[[#This Row],[RPM '[1/MIN']]]-Table3[[#This Row],[580C]]</f>
        <v>0</v>
      </c>
      <c r="X331">
        <f>DataLog_T717420_Aug11_4_59_37pm[[#This Row],[OIL TEMP '[Â°C']]]-Table3[[#This Row],[4402]]</f>
        <v>0</v>
      </c>
      <c r="Y331">
        <f>DataLog_T717420_Aug11_4_59_37pm[[#This Row],[INTAKE TEMP '[Â°C']]]-Table3[[#This Row],[580F]]</f>
        <v>0</v>
      </c>
      <c r="Z331">
        <f>DataLog_T717420_Aug11_4_59_37pm[[#This Row],[HPFP PRES. '[BAR']]]-Table3[[#This Row],[58F0]]</f>
        <v>0</v>
      </c>
      <c r="AA331">
        <f>DataLog_T717420_Aug11_4_59_37pm[[#This Row],[COOLANT TEMP '[Â°C']]]-Table3[[#This Row],[5805]]</f>
        <v>0</v>
      </c>
      <c r="AB331">
        <f>DataLog_T717420_Aug11_4_59_37pm[[#This Row],[BOOST '[BAR']]]-Table3[[#This Row],[58DD]]</f>
        <v>0</v>
      </c>
    </row>
    <row r="332" spans="2:28" x14ac:dyDescent="0.25">
      <c r="B332" s="2" t="s">
        <v>136</v>
      </c>
      <c r="C332" s="2" t="s">
        <v>30</v>
      </c>
      <c r="D332" s="2" t="s">
        <v>25</v>
      </c>
      <c r="E332" s="2" t="s">
        <v>140</v>
      </c>
      <c r="F332" s="2" t="s">
        <v>26</v>
      </c>
      <c r="G332" s="2" t="s">
        <v>28</v>
      </c>
      <c r="I332">
        <f>HEX2DEC(_0811_173439[[#This Row],[580C]])*B$4/B$5+B$6</f>
        <v>1000</v>
      </c>
      <c r="J332">
        <f>HEX2DEC(_0811_173439[[#This Row],[4402]])*C$4/C$5+C$6</f>
        <v>36</v>
      </c>
      <c r="K332">
        <f>HEX2DEC(_0811_173439[[#This Row],[580F]])*D$4/D$5+D$6</f>
        <v>30.75</v>
      </c>
      <c r="L332">
        <f>ROUND(HEX2DEC(_0811_173439[[#This Row],[58F0]])*E$4/E$5+E$6,0)</f>
        <v>71</v>
      </c>
      <c r="M332">
        <f>ROUND(HEX2DEC(_0811_173439[[#This Row],[5805]])*F$4/F$5+F$6,0)</f>
        <v>42</v>
      </c>
      <c r="N332">
        <f>ROUND(HEX2DEC(_0811_173439[[#This Row],[58DD]])*G$4/G$5+G$6,2)</f>
        <v>-0.02</v>
      </c>
      <c r="P332">
        <v>1000</v>
      </c>
      <c r="Q332">
        <v>36</v>
      </c>
      <c r="R332">
        <v>30.75</v>
      </c>
      <c r="S332">
        <v>71</v>
      </c>
      <c r="T332">
        <v>42</v>
      </c>
      <c r="U332">
        <v>-0.02</v>
      </c>
      <c r="W332">
        <f>DataLog_T717420_Aug11_4_59_37pm[[#This Row],[RPM '[1/MIN']]]-Table3[[#This Row],[580C]]</f>
        <v>0</v>
      </c>
      <c r="X332">
        <f>DataLog_T717420_Aug11_4_59_37pm[[#This Row],[OIL TEMP '[Â°C']]]-Table3[[#This Row],[4402]]</f>
        <v>0</v>
      </c>
      <c r="Y332">
        <f>DataLog_T717420_Aug11_4_59_37pm[[#This Row],[INTAKE TEMP '[Â°C']]]-Table3[[#This Row],[580F]]</f>
        <v>0</v>
      </c>
      <c r="Z332">
        <f>DataLog_T717420_Aug11_4_59_37pm[[#This Row],[HPFP PRES. '[BAR']]]-Table3[[#This Row],[58F0]]</f>
        <v>0</v>
      </c>
      <c r="AA332">
        <f>DataLog_T717420_Aug11_4_59_37pm[[#This Row],[COOLANT TEMP '[Â°C']]]-Table3[[#This Row],[5805]]</f>
        <v>0</v>
      </c>
      <c r="AB332">
        <f>DataLog_T717420_Aug11_4_59_37pm[[#This Row],[BOOST '[BAR']]]-Table3[[#This Row],[58DD]]</f>
        <v>0</v>
      </c>
    </row>
    <row r="333" spans="2:28" x14ac:dyDescent="0.25">
      <c r="B333" s="2" t="s">
        <v>136</v>
      </c>
      <c r="C333" s="2" t="s">
        <v>30</v>
      </c>
      <c r="D333" s="2" t="s">
        <v>25</v>
      </c>
      <c r="E333" s="2" t="s">
        <v>141</v>
      </c>
      <c r="F333" s="2" t="s">
        <v>26</v>
      </c>
      <c r="G333" s="2" t="s">
        <v>28</v>
      </c>
      <c r="I333">
        <f>HEX2DEC(_0811_173439[[#This Row],[580C]])*B$4/B$5+B$6</f>
        <v>1000</v>
      </c>
      <c r="J333">
        <f>HEX2DEC(_0811_173439[[#This Row],[4402]])*C$4/C$5+C$6</f>
        <v>36</v>
      </c>
      <c r="K333">
        <f>HEX2DEC(_0811_173439[[#This Row],[580F]])*D$4/D$5+D$6</f>
        <v>30.75</v>
      </c>
      <c r="L333">
        <f>ROUND(HEX2DEC(_0811_173439[[#This Row],[58F0]])*E$4/E$5+E$6,0)</f>
        <v>70</v>
      </c>
      <c r="M333">
        <f>ROUND(HEX2DEC(_0811_173439[[#This Row],[5805]])*F$4/F$5+F$6,0)</f>
        <v>42</v>
      </c>
      <c r="N333">
        <f>ROUND(HEX2DEC(_0811_173439[[#This Row],[58DD]])*G$4/G$5+G$6,2)</f>
        <v>-0.02</v>
      </c>
      <c r="P333">
        <v>1000</v>
      </c>
      <c r="Q333">
        <v>36</v>
      </c>
      <c r="R333">
        <v>30.75</v>
      </c>
      <c r="S333">
        <v>70</v>
      </c>
      <c r="T333">
        <v>42</v>
      </c>
      <c r="U333">
        <v>-0.02</v>
      </c>
      <c r="W333">
        <f>DataLog_T717420_Aug11_4_59_37pm[[#This Row],[RPM '[1/MIN']]]-Table3[[#This Row],[580C]]</f>
        <v>0</v>
      </c>
      <c r="X333">
        <f>DataLog_T717420_Aug11_4_59_37pm[[#This Row],[OIL TEMP '[Â°C']]]-Table3[[#This Row],[4402]]</f>
        <v>0</v>
      </c>
      <c r="Y333">
        <f>DataLog_T717420_Aug11_4_59_37pm[[#This Row],[INTAKE TEMP '[Â°C']]]-Table3[[#This Row],[580F]]</f>
        <v>0</v>
      </c>
      <c r="Z333">
        <f>DataLog_T717420_Aug11_4_59_37pm[[#This Row],[HPFP PRES. '[BAR']]]-Table3[[#This Row],[58F0]]</f>
        <v>0</v>
      </c>
      <c r="AA333">
        <f>DataLog_T717420_Aug11_4_59_37pm[[#This Row],[COOLANT TEMP '[Â°C']]]-Table3[[#This Row],[5805]]</f>
        <v>0</v>
      </c>
      <c r="AB333">
        <f>DataLog_T717420_Aug11_4_59_37pm[[#This Row],[BOOST '[BAR']]]-Table3[[#This Row],[58DD]]</f>
        <v>0</v>
      </c>
    </row>
    <row r="334" spans="2:28" x14ac:dyDescent="0.25">
      <c r="B334" s="2" t="s">
        <v>136</v>
      </c>
      <c r="C334" s="2" t="s">
        <v>30</v>
      </c>
      <c r="D334" s="2" t="s">
        <v>25</v>
      </c>
      <c r="E334" s="2" t="s">
        <v>142</v>
      </c>
      <c r="F334" s="2" t="s">
        <v>26</v>
      </c>
      <c r="G334" s="2" t="s">
        <v>28</v>
      </c>
      <c r="I334">
        <f>HEX2DEC(_0811_173439[[#This Row],[580C]])*B$4/B$5+B$6</f>
        <v>1000</v>
      </c>
      <c r="J334">
        <f>HEX2DEC(_0811_173439[[#This Row],[4402]])*C$4/C$5+C$6</f>
        <v>36</v>
      </c>
      <c r="K334">
        <f>HEX2DEC(_0811_173439[[#This Row],[580F]])*D$4/D$5+D$6</f>
        <v>30.75</v>
      </c>
      <c r="L334">
        <f>ROUND(HEX2DEC(_0811_173439[[#This Row],[58F0]])*E$4/E$5+E$6,0)</f>
        <v>69</v>
      </c>
      <c r="M334">
        <f>ROUND(HEX2DEC(_0811_173439[[#This Row],[5805]])*F$4/F$5+F$6,0)</f>
        <v>42</v>
      </c>
      <c r="N334">
        <f>ROUND(HEX2DEC(_0811_173439[[#This Row],[58DD]])*G$4/G$5+G$6,2)</f>
        <v>-0.02</v>
      </c>
      <c r="P334">
        <v>1000</v>
      </c>
      <c r="Q334">
        <v>36</v>
      </c>
      <c r="R334">
        <v>30.75</v>
      </c>
      <c r="S334">
        <v>69</v>
      </c>
      <c r="T334">
        <v>42</v>
      </c>
      <c r="U334">
        <v>-0.02</v>
      </c>
      <c r="W334">
        <f>DataLog_T717420_Aug11_4_59_37pm[[#This Row],[RPM '[1/MIN']]]-Table3[[#This Row],[580C]]</f>
        <v>0</v>
      </c>
      <c r="X334">
        <f>DataLog_T717420_Aug11_4_59_37pm[[#This Row],[OIL TEMP '[Â°C']]]-Table3[[#This Row],[4402]]</f>
        <v>0</v>
      </c>
      <c r="Y334">
        <f>DataLog_T717420_Aug11_4_59_37pm[[#This Row],[INTAKE TEMP '[Â°C']]]-Table3[[#This Row],[580F]]</f>
        <v>0</v>
      </c>
      <c r="Z334">
        <f>DataLog_T717420_Aug11_4_59_37pm[[#This Row],[HPFP PRES. '[BAR']]]-Table3[[#This Row],[58F0]]</f>
        <v>0</v>
      </c>
      <c r="AA334">
        <f>DataLog_T717420_Aug11_4_59_37pm[[#This Row],[COOLANT TEMP '[Â°C']]]-Table3[[#This Row],[5805]]</f>
        <v>0</v>
      </c>
      <c r="AB334">
        <f>DataLog_T717420_Aug11_4_59_37pm[[#This Row],[BOOST '[BAR']]]-Table3[[#This Row],[58DD]]</f>
        <v>0</v>
      </c>
    </row>
    <row r="335" spans="2:28" x14ac:dyDescent="0.25">
      <c r="B335" s="2" t="s">
        <v>136</v>
      </c>
      <c r="C335" s="2" t="s">
        <v>30</v>
      </c>
      <c r="D335" s="2" t="s">
        <v>25</v>
      </c>
      <c r="E335" s="2" t="s">
        <v>143</v>
      </c>
      <c r="F335" s="2" t="s">
        <v>26</v>
      </c>
      <c r="G335" s="2" t="s">
        <v>28</v>
      </c>
      <c r="I335">
        <f>HEX2DEC(_0811_173439[[#This Row],[580C]])*B$4/B$5+B$6</f>
        <v>1000</v>
      </c>
      <c r="J335">
        <f>HEX2DEC(_0811_173439[[#This Row],[4402]])*C$4/C$5+C$6</f>
        <v>36</v>
      </c>
      <c r="K335">
        <f>HEX2DEC(_0811_173439[[#This Row],[580F]])*D$4/D$5+D$6</f>
        <v>30.75</v>
      </c>
      <c r="L335">
        <f>ROUND(HEX2DEC(_0811_173439[[#This Row],[58F0]])*E$4/E$5+E$6,0)</f>
        <v>71</v>
      </c>
      <c r="M335">
        <f>ROUND(HEX2DEC(_0811_173439[[#This Row],[5805]])*F$4/F$5+F$6,0)</f>
        <v>42</v>
      </c>
      <c r="N335">
        <f>ROUND(HEX2DEC(_0811_173439[[#This Row],[58DD]])*G$4/G$5+G$6,2)</f>
        <v>-0.02</v>
      </c>
      <c r="P335">
        <v>1000</v>
      </c>
      <c r="Q335">
        <v>36</v>
      </c>
      <c r="R335">
        <v>30.75</v>
      </c>
      <c r="S335">
        <v>71</v>
      </c>
      <c r="T335">
        <v>42</v>
      </c>
      <c r="U335">
        <v>-0.02</v>
      </c>
      <c r="W335">
        <f>DataLog_T717420_Aug11_4_59_37pm[[#This Row],[RPM '[1/MIN']]]-Table3[[#This Row],[580C]]</f>
        <v>0</v>
      </c>
      <c r="X335">
        <f>DataLog_T717420_Aug11_4_59_37pm[[#This Row],[OIL TEMP '[Â°C']]]-Table3[[#This Row],[4402]]</f>
        <v>0</v>
      </c>
      <c r="Y335">
        <f>DataLog_T717420_Aug11_4_59_37pm[[#This Row],[INTAKE TEMP '[Â°C']]]-Table3[[#This Row],[580F]]</f>
        <v>0</v>
      </c>
      <c r="Z335">
        <f>DataLog_T717420_Aug11_4_59_37pm[[#This Row],[HPFP PRES. '[BAR']]]-Table3[[#This Row],[58F0]]</f>
        <v>0</v>
      </c>
      <c r="AA335">
        <f>DataLog_T717420_Aug11_4_59_37pm[[#This Row],[COOLANT TEMP '[Â°C']]]-Table3[[#This Row],[5805]]</f>
        <v>0</v>
      </c>
      <c r="AB335">
        <f>DataLog_T717420_Aug11_4_59_37pm[[#This Row],[BOOST '[BAR']]]-Table3[[#This Row],[58DD]]</f>
        <v>0</v>
      </c>
    </row>
    <row r="336" spans="2:28" x14ac:dyDescent="0.25">
      <c r="B336" s="2" t="s">
        <v>136</v>
      </c>
      <c r="C336" s="2" t="s">
        <v>30</v>
      </c>
      <c r="D336" s="2" t="s">
        <v>25</v>
      </c>
      <c r="E336" s="2" t="s">
        <v>93</v>
      </c>
      <c r="F336" s="2" t="s">
        <v>26</v>
      </c>
      <c r="G336" s="2" t="s">
        <v>28</v>
      </c>
      <c r="I336">
        <f>HEX2DEC(_0811_173439[[#This Row],[580C]])*B$4/B$5+B$6</f>
        <v>1000</v>
      </c>
      <c r="J336">
        <f>HEX2DEC(_0811_173439[[#This Row],[4402]])*C$4/C$5+C$6</f>
        <v>36</v>
      </c>
      <c r="K336">
        <f>HEX2DEC(_0811_173439[[#This Row],[580F]])*D$4/D$5+D$6</f>
        <v>30.75</v>
      </c>
      <c r="L336">
        <f>ROUND(HEX2DEC(_0811_173439[[#This Row],[58F0]])*E$4/E$5+E$6,0)</f>
        <v>70</v>
      </c>
      <c r="M336">
        <f>ROUND(HEX2DEC(_0811_173439[[#This Row],[5805]])*F$4/F$5+F$6,0)</f>
        <v>42</v>
      </c>
      <c r="N336">
        <f>ROUND(HEX2DEC(_0811_173439[[#This Row],[58DD]])*G$4/G$5+G$6,2)</f>
        <v>-0.02</v>
      </c>
      <c r="P336">
        <v>1000</v>
      </c>
      <c r="Q336">
        <v>36</v>
      </c>
      <c r="R336">
        <v>30.75</v>
      </c>
      <c r="S336">
        <v>70</v>
      </c>
      <c r="T336">
        <v>42</v>
      </c>
      <c r="U336">
        <v>-0.02</v>
      </c>
      <c r="W336">
        <f>DataLog_T717420_Aug11_4_59_37pm[[#This Row],[RPM '[1/MIN']]]-Table3[[#This Row],[580C]]</f>
        <v>0</v>
      </c>
      <c r="X336">
        <f>DataLog_T717420_Aug11_4_59_37pm[[#This Row],[OIL TEMP '[Â°C']]]-Table3[[#This Row],[4402]]</f>
        <v>0</v>
      </c>
      <c r="Y336">
        <f>DataLog_T717420_Aug11_4_59_37pm[[#This Row],[INTAKE TEMP '[Â°C']]]-Table3[[#This Row],[580F]]</f>
        <v>0</v>
      </c>
      <c r="Z336">
        <f>DataLog_T717420_Aug11_4_59_37pm[[#This Row],[HPFP PRES. '[BAR']]]-Table3[[#This Row],[58F0]]</f>
        <v>0</v>
      </c>
      <c r="AA336">
        <f>DataLog_T717420_Aug11_4_59_37pm[[#This Row],[COOLANT TEMP '[Â°C']]]-Table3[[#This Row],[5805]]</f>
        <v>0</v>
      </c>
      <c r="AB336">
        <f>DataLog_T717420_Aug11_4_59_37pm[[#This Row],[BOOST '[BAR']]]-Table3[[#This Row],[58DD]]</f>
        <v>0</v>
      </c>
    </row>
    <row r="337" spans="2:28" x14ac:dyDescent="0.25">
      <c r="B337" s="2" t="s">
        <v>136</v>
      </c>
      <c r="C337" s="2" t="s">
        <v>30</v>
      </c>
      <c r="D337" s="2" t="s">
        <v>25</v>
      </c>
      <c r="E337" s="2" t="s">
        <v>144</v>
      </c>
      <c r="F337" s="2" t="s">
        <v>26</v>
      </c>
      <c r="G337" s="2" t="s">
        <v>28</v>
      </c>
      <c r="I337">
        <f>HEX2DEC(_0811_173439[[#This Row],[580C]])*B$4/B$5+B$6</f>
        <v>1000</v>
      </c>
      <c r="J337">
        <f>HEX2DEC(_0811_173439[[#This Row],[4402]])*C$4/C$5+C$6</f>
        <v>36</v>
      </c>
      <c r="K337">
        <f>HEX2DEC(_0811_173439[[#This Row],[580F]])*D$4/D$5+D$6</f>
        <v>30.75</v>
      </c>
      <c r="L337">
        <f>ROUND(HEX2DEC(_0811_173439[[#This Row],[58F0]])*E$4/E$5+E$6,0)</f>
        <v>69</v>
      </c>
      <c r="M337">
        <f>ROUND(HEX2DEC(_0811_173439[[#This Row],[5805]])*F$4/F$5+F$6,0)</f>
        <v>42</v>
      </c>
      <c r="N337">
        <f>ROUND(HEX2DEC(_0811_173439[[#This Row],[58DD]])*G$4/G$5+G$6,2)</f>
        <v>-0.02</v>
      </c>
      <c r="P337">
        <v>1000</v>
      </c>
      <c r="Q337">
        <v>36</v>
      </c>
      <c r="R337">
        <v>30.75</v>
      </c>
      <c r="S337">
        <v>69</v>
      </c>
      <c r="T337">
        <v>42</v>
      </c>
      <c r="U337">
        <v>-0.02</v>
      </c>
      <c r="W337">
        <f>DataLog_T717420_Aug11_4_59_37pm[[#This Row],[RPM '[1/MIN']]]-Table3[[#This Row],[580C]]</f>
        <v>0</v>
      </c>
      <c r="X337">
        <f>DataLog_T717420_Aug11_4_59_37pm[[#This Row],[OIL TEMP '[Â°C']]]-Table3[[#This Row],[4402]]</f>
        <v>0</v>
      </c>
      <c r="Y337">
        <f>DataLog_T717420_Aug11_4_59_37pm[[#This Row],[INTAKE TEMP '[Â°C']]]-Table3[[#This Row],[580F]]</f>
        <v>0</v>
      </c>
      <c r="Z337">
        <f>DataLog_T717420_Aug11_4_59_37pm[[#This Row],[HPFP PRES. '[BAR']]]-Table3[[#This Row],[58F0]]</f>
        <v>0</v>
      </c>
      <c r="AA337">
        <f>DataLog_T717420_Aug11_4_59_37pm[[#This Row],[COOLANT TEMP '[Â°C']]]-Table3[[#This Row],[5805]]</f>
        <v>0</v>
      </c>
      <c r="AB337">
        <f>DataLog_T717420_Aug11_4_59_37pm[[#This Row],[BOOST '[BAR']]]-Table3[[#This Row],[58DD]]</f>
        <v>0</v>
      </c>
    </row>
    <row r="338" spans="2:28" x14ac:dyDescent="0.25">
      <c r="B338" s="2" t="s">
        <v>136</v>
      </c>
      <c r="C338" s="2" t="s">
        <v>30</v>
      </c>
      <c r="D338" s="2" t="s">
        <v>25</v>
      </c>
      <c r="E338" s="2" t="s">
        <v>145</v>
      </c>
      <c r="F338" s="2" t="s">
        <v>26</v>
      </c>
      <c r="G338" s="2" t="s">
        <v>28</v>
      </c>
      <c r="I338">
        <f>HEX2DEC(_0811_173439[[#This Row],[580C]])*B$4/B$5+B$6</f>
        <v>1000</v>
      </c>
      <c r="J338">
        <f>HEX2DEC(_0811_173439[[#This Row],[4402]])*C$4/C$5+C$6</f>
        <v>36</v>
      </c>
      <c r="K338">
        <f>HEX2DEC(_0811_173439[[#This Row],[580F]])*D$4/D$5+D$6</f>
        <v>30.75</v>
      </c>
      <c r="L338">
        <f>ROUND(HEX2DEC(_0811_173439[[#This Row],[58F0]])*E$4/E$5+E$6,0)</f>
        <v>70</v>
      </c>
      <c r="M338">
        <f>ROUND(HEX2DEC(_0811_173439[[#This Row],[5805]])*F$4/F$5+F$6,0)</f>
        <v>42</v>
      </c>
      <c r="N338">
        <f>ROUND(HEX2DEC(_0811_173439[[#This Row],[58DD]])*G$4/G$5+G$6,2)</f>
        <v>-0.02</v>
      </c>
      <c r="P338">
        <v>1000</v>
      </c>
      <c r="Q338">
        <v>36</v>
      </c>
      <c r="R338">
        <v>30.75</v>
      </c>
      <c r="S338">
        <v>70</v>
      </c>
      <c r="T338">
        <v>42</v>
      </c>
      <c r="U338">
        <v>-0.02</v>
      </c>
      <c r="W338">
        <f>DataLog_T717420_Aug11_4_59_37pm[[#This Row],[RPM '[1/MIN']]]-Table3[[#This Row],[580C]]</f>
        <v>0</v>
      </c>
      <c r="X338">
        <f>DataLog_T717420_Aug11_4_59_37pm[[#This Row],[OIL TEMP '[Â°C']]]-Table3[[#This Row],[4402]]</f>
        <v>0</v>
      </c>
      <c r="Y338">
        <f>DataLog_T717420_Aug11_4_59_37pm[[#This Row],[INTAKE TEMP '[Â°C']]]-Table3[[#This Row],[580F]]</f>
        <v>0</v>
      </c>
      <c r="Z338">
        <f>DataLog_T717420_Aug11_4_59_37pm[[#This Row],[HPFP PRES. '[BAR']]]-Table3[[#This Row],[58F0]]</f>
        <v>0</v>
      </c>
      <c r="AA338">
        <f>DataLog_T717420_Aug11_4_59_37pm[[#This Row],[COOLANT TEMP '[Â°C']]]-Table3[[#This Row],[5805]]</f>
        <v>0</v>
      </c>
      <c r="AB338">
        <f>DataLog_T717420_Aug11_4_59_37pm[[#This Row],[BOOST '[BAR']]]-Table3[[#This Row],[58DD]]</f>
        <v>0</v>
      </c>
    </row>
    <row r="339" spans="2:28" x14ac:dyDescent="0.25">
      <c r="B339" s="2" t="s">
        <v>146</v>
      </c>
      <c r="C339" s="2" t="s">
        <v>30</v>
      </c>
      <c r="D339" s="2" t="s">
        <v>25</v>
      </c>
      <c r="E339" s="2" t="s">
        <v>147</v>
      </c>
      <c r="F339" s="2" t="s">
        <v>26</v>
      </c>
      <c r="G339" s="2" t="s">
        <v>28</v>
      </c>
      <c r="I339">
        <f>HEX2DEC(_0811_173439[[#This Row],[580C]])*B$4/B$5+B$6</f>
        <v>960</v>
      </c>
      <c r="J339">
        <f>HEX2DEC(_0811_173439[[#This Row],[4402]])*C$4/C$5+C$6</f>
        <v>36</v>
      </c>
      <c r="K339">
        <f>HEX2DEC(_0811_173439[[#This Row],[580F]])*D$4/D$5+D$6</f>
        <v>30.75</v>
      </c>
      <c r="L339">
        <f>ROUND(HEX2DEC(_0811_173439[[#This Row],[58F0]])*E$4/E$5+E$6,0)</f>
        <v>71</v>
      </c>
      <c r="M339">
        <f>ROUND(HEX2DEC(_0811_173439[[#This Row],[5805]])*F$4/F$5+F$6,0)</f>
        <v>42</v>
      </c>
      <c r="N339">
        <f>ROUND(HEX2DEC(_0811_173439[[#This Row],[58DD]])*G$4/G$5+G$6,2)</f>
        <v>-0.02</v>
      </c>
      <c r="P339">
        <v>960</v>
      </c>
      <c r="Q339">
        <v>36</v>
      </c>
      <c r="R339">
        <v>30.75</v>
      </c>
      <c r="S339">
        <v>71</v>
      </c>
      <c r="T339">
        <v>42</v>
      </c>
      <c r="U339">
        <v>-0.02</v>
      </c>
      <c r="W339">
        <f>DataLog_T717420_Aug11_4_59_37pm[[#This Row],[RPM '[1/MIN']]]-Table3[[#This Row],[580C]]</f>
        <v>0</v>
      </c>
      <c r="X339">
        <f>DataLog_T717420_Aug11_4_59_37pm[[#This Row],[OIL TEMP '[Â°C']]]-Table3[[#This Row],[4402]]</f>
        <v>0</v>
      </c>
      <c r="Y339">
        <f>DataLog_T717420_Aug11_4_59_37pm[[#This Row],[INTAKE TEMP '[Â°C']]]-Table3[[#This Row],[580F]]</f>
        <v>0</v>
      </c>
      <c r="Z339">
        <f>DataLog_T717420_Aug11_4_59_37pm[[#This Row],[HPFP PRES. '[BAR']]]-Table3[[#This Row],[58F0]]</f>
        <v>0</v>
      </c>
      <c r="AA339">
        <f>DataLog_T717420_Aug11_4_59_37pm[[#This Row],[COOLANT TEMP '[Â°C']]]-Table3[[#This Row],[5805]]</f>
        <v>0</v>
      </c>
      <c r="AB339">
        <f>DataLog_T717420_Aug11_4_59_37pm[[#This Row],[BOOST '[BAR']]]-Table3[[#This Row],[58DD]]</f>
        <v>0</v>
      </c>
    </row>
    <row r="340" spans="2:28" x14ac:dyDescent="0.25">
      <c r="B340" s="2" t="s">
        <v>146</v>
      </c>
      <c r="C340" s="2" t="s">
        <v>30</v>
      </c>
      <c r="D340" s="2" t="s">
        <v>25</v>
      </c>
      <c r="E340" s="2" t="s">
        <v>148</v>
      </c>
      <c r="F340" s="2" t="s">
        <v>26</v>
      </c>
      <c r="G340" s="2" t="s">
        <v>28</v>
      </c>
      <c r="I340">
        <f>HEX2DEC(_0811_173439[[#This Row],[580C]])*B$4/B$5+B$6</f>
        <v>960</v>
      </c>
      <c r="J340">
        <f>HEX2DEC(_0811_173439[[#This Row],[4402]])*C$4/C$5+C$6</f>
        <v>36</v>
      </c>
      <c r="K340">
        <f>HEX2DEC(_0811_173439[[#This Row],[580F]])*D$4/D$5+D$6</f>
        <v>30.75</v>
      </c>
      <c r="L340">
        <f>ROUND(HEX2DEC(_0811_173439[[#This Row],[58F0]])*E$4/E$5+E$6,0)</f>
        <v>70</v>
      </c>
      <c r="M340">
        <f>ROUND(HEX2DEC(_0811_173439[[#This Row],[5805]])*F$4/F$5+F$6,0)</f>
        <v>42</v>
      </c>
      <c r="N340">
        <f>ROUND(HEX2DEC(_0811_173439[[#This Row],[58DD]])*G$4/G$5+G$6,2)</f>
        <v>-0.02</v>
      </c>
      <c r="P340">
        <v>960</v>
      </c>
      <c r="Q340">
        <v>36</v>
      </c>
      <c r="R340">
        <v>30.75</v>
      </c>
      <c r="S340">
        <v>70</v>
      </c>
      <c r="T340">
        <v>42</v>
      </c>
      <c r="U340">
        <v>-0.02</v>
      </c>
      <c r="W340">
        <f>DataLog_T717420_Aug11_4_59_37pm[[#This Row],[RPM '[1/MIN']]]-Table3[[#This Row],[580C]]</f>
        <v>0</v>
      </c>
      <c r="X340">
        <f>DataLog_T717420_Aug11_4_59_37pm[[#This Row],[OIL TEMP '[Â°C']]]-Table3[[#This Row],[4402]]</f>
        <v>0</v>
      </c>
      <c r="Y340">
        <f>DataLog_T717420_Aug11_4_59_37pm[[#This Row],[INTAKE TEMP '[Â°C']]]-Table3[[#This Row],[580F]]</f>
        <v>0</v>
      </c>
      <c r="Z340">
        <f>DataLog_T717420_Aug11_4_59_37pm[[#This Row],[HPFP PRES. '[BAR']]]-Table3[[#This Row],[58F0]]</f>
        <v>0</v>
      </c>
      <c r="AA340">
        <f>DataLog_T717420_Aug11_4_59_37pm[[#This Row],[COOLANT TEMP '[Â°C']]]-Table3[[#This Row],[5805]]</f>
        <v>0</v>
      </c>
      <c r="AB340">
        <f>DataLog_T717420_Aug11_4_59_37pm[[#This Row],[BOOST '[BAR']]]-Table3[[#This Row],[58DD]]</f>
        <v>0</v>
      </c>
    </row>
    <row r="341" spans="2:28" x14ac:dyDescent="0.25">
      <c r="B341" s="2" t="s">
        <v>146</v>
      </c>
      <c r="C341" s="2" t="s">
        <v>30</v>
      </c>
      <c r="D341" s="2" t="s">
        <v>25</v>
      </c>
      <c r="E341" s="2" t="s">
        <v>132</v>
      </c>
      <c r="F341" s="2" t="s">
        <v>26</v>
      </c>
      <c r="G341" s="2" t="s">
        <v>28</v>
      </c>
      <c r="I341">
        <f>HEX2DEC(_0811_173439[[#This Row],[580C]])*B$4/B$5+B$6</f>
        <v>960</v>
      </c>
      <c r="J341">
        <f>HEX2DEC(_0811_173439[[#This Row],[4402]])*C$4/C$5+C$6</f>
        <v>36</v>
      </c>
      <c r="K341">
        <f>HEX2DEC(_0811_173439[[#This Row],[580F]])*D$4/D$5+D$6</f>
        <v>30.75</v>
      </c>
      <c r="L341">
        <f>ROUND(HEX2DEC(_0811_173439[[#This Row],[58F0]])*E$4/E$5+E$6,0)</f>
        <v>70</v>
      </c>
      <c r="M341">
        <f>ROUND(HEX2DEC(_0811_173439[[#This Row],[5805]])*F$4/F$5+F$6,0)</f>
        <v>42</v>
      </c>
      <c r="N341">
        <f>ROUND(HEX2DEC(_0811_173439[[#This Row],[58DD]])*G$4/G$5+G$6,2)</f>
        <v>-0.02</v>
      </c>
      <c r="P341">
        <v>960</v>
      </c>
      <c r="Q341">
        <v>36</v>
      </c>
      <c r="R341">
        <v>30.75</v>
      </c>
      <c r="S341">
        <v>70</v>
      </c>
      <c r="T341">
        <v>42</v>
      </c>
      <c r="U341">
        <v>-0.02</v>
      </c>
      <c r="W341">
        <f>DataLog_T717420_Aug11_4_59_37pm[[#This Row],[RPM '[1/MIN']]]-Table3[[#This Row],[580C]]</f>
        <v>0</v>
      </c>
      <c r="X341">
        <f>DataLog_T717420_Aug11_4_59_37pm[[#This Row],[OIL TEMP '[Â°C']]]-Table3[[#This Row],[4402]]</f>
        <v>0</v>
      </c>
      <c r="Y341">
        <f>DataLog_T717420_Aug11_4_59_37pm[[#This Row],[INTAKE TEMP '[Â°C']]]-Table3[[#This Row],[580F]]</f>
        <v>0</v>
      </c>
      <c r="Z341">
        <f>DataLog_T717420_Aug11_4_59_37pm[[#This Row],[HPFP PRES. '[BAR']]]-Table3[[#This Row],[58F0]]</f>
        <v>0</v>
      </c>
      <c r="AA341">
        <f>DataLog_T717420_Aug11_4_59_37pm[[#This Row],[COOLANT TEMP '[Â°C']]]-Table3[[#This Row],[5805]]</f>
        <v>0</v>
      </c>
      <c r="AB341">
        <f>DataLog_T717420_Aug11_4_59_37pm[[#This Row],[BOOST '[BAR']]]-Table3[[#This Row],[58DD]]</f>
        <v>0</v>
      </c>
    </row>
    <row r="342" spans="2:28" x14ac:dyDescent="0.25">
      <c r="B342" s="2" t="s">
        <v>146</v>
      </c>
      <c r="C342" s="2" t="s">
        <v>30</v>
      </c>
      <c r="D342" s="2" t="s">
        <v>25</v>
      </c>
      <c r="E342" s="2" t="s">
        <v>149</v>
      </c>
      <c r="F342" s="2" t="s">
        <v>26</v>
      </c>
      <c r="G342" s="2" t="s">
        <v>28</v>
      </c>
      <c r="I342">
        <f>HEX2DEC(_0811_173439[[#This Row],[580C]])*B$4/B$5+B$6</f>
        <v>960</v>
      </c>
      <c r="J342">
        <f>HEX2DEC(_0811_173439[[#This Row],[4402]])*C$4/C$5+C$6</f>
        <v>36</v>
      </c>
      <c r="K342">
        <f>HEX2DEC(_0811_173439[[#This Row],[580F]])*D$4/D$5+D$6</f>
        <v>30.75</v>
      </c>
      <c r="L342">
        <f>ROUND(HEX2DEC(_0811_173439[[#This Row],[58F0]])*E$4/E$5+E$6,0)</f>
        <v>70</v>
      </c>
      <c r="M342">
        <f>ROUND(HEX2DEC(_0811_173439[[#This Row],[5805]])*F$4/F$5+F$6,0)</f>
        <v>42</v>
      </c>
      <c r="N342">
        <f>ROUND(HEX2DEC(_0811_173439[[#This Row],[58DD]])*G$4/G$5+G$6,2)</f>
        <v>-0.02</v>
      </c>
      <c r="P342">
        <v>960</v>
      </c>
      <c r="Q342">
        <v>36</v>
      </c>
      <c r="R342">
        <v>30.75</v>
      </c>
      <c r="S342">
        <v>70</v>
      </c>
      <c r="T342">
        <v>42</v>
      </c>
      <c r="U342">
        <v>-0.02</v>
      </c>
      <c r="W342">
        <f>DataLog_T717420_Aug11_4_59_37pm[[#This Row],[RPM '[1/MIN']]]-Table3[[#This Row],[580C]]</f>
        <v>0</v>
      </c>
      <c r="X342">
        <f>DataLog_T717420_Aug11_4_59_37pm[[#This Row],[OIL TEMP '[Â°C']]]-Table3[[#This Row],[4402]]</f>
        <v>0</v>
      </c>
      <c r="Y342">
        <f>DataLog_T717420_Aug11_4_59_37pm[[#This Row],[INTAKE TEMP '[Â°C']]]-Table3[[#This Row],[580F]]</f>
        <v>0</v>
      </c>
      <c r="Z342">
        <f>DataLog_T717420_Aug11_4_59_37pm[[#This Row],[HPFP PRES. '[BAR']]]-Table3[[#This Row],[58F0]]</f>
        <v>0</v>
      </c>
      <c r="AA342">
        <f>DataLog_T717420_Aug11_4_59_37pm[[#This Row],[COOLANT TEMP '[Â°C']]]-Table3[[#This Row],[5805]]</f>
        <v>0</v>
      </c>
      <c r="AB342">
        <f>DataLog_T717420_Aug11_4_59_37pm[[#This Row],[BOOST '[BAR']]]-Table3[[#This Row],[58DD]]</f>
        <v>0</v>
      </c>
    </row>
    <row r="343" spans="2:28" x14ac:dyDescent="0.25">
      <c r="B343" s="2" t="s">
        <v>146</v>
      </c>
      <c r="C343" s="2" t="s">
        <v>30</v>
      </c>
      <c r="D343" s="2" t="s">
        <v>25</v>
      </c>
      <c r="E343" s="2" t="s">
        <v>150</v>
      </c>
      <c r="F343" s="2" t="s">
        <v>26</v>
      </c>
      <c r="G343" s="2" t="s">
        <v>28</v>
      </c>
      <c r="I343">
        <f>HEX2DEC(_0811_173439[[#This Row],[580C]])*B$4/B$5+B$6</f>
        <v>960</v>
      </c>
      <c r="J343">
        <f>HEX2DEC(_0811_173439[[#This Row],[4402]])*C$4/C$5+C$6</f>
        <v>36</v>
      </c>
      <c r="K343">
        <f>HEX2DEC(_0811_173439[[#This Row],[580F]])*D$4/D$5+D$6</f>
        <v>30.75</v>
      </c>
      <c r="L343">
        <f>ROUND(HEX2DEC(_0811_173439[[#This Row],[58F0]])*E$4/E$5+E$6,0)</f>
        <v>70</v>
      </c>
      <c r="M343">
        <f>ROUND(HEX2DEC(_0811_173439[[#This Row],[5805]])*F$4/F$5+F$6,0)</f>
        <v>42</v>
      </c>
      <c r="N343">
        <f>ROUND(HEX2DEC(_0811_173439[[#This Row],[58DD]])*G$4/G$5+G$6,2)</f>
        <v>-0.02</v>
      </c>
      <c r="P343">
        <v>960</v>
      </c>
      <c r="Q343">
        <v>36</v>
      </c>
      <c r="R343">
        <v>30.75</v>
      </c>
      <c r="S343">
        <v>70</v>
      </c>
      <c r="T343">
        <v>42</v>
      </c>
      <c r="U343">
        <v>-0.02</v>
      </c>
      <c r="W343">
        <f>DataLog_T717420_Aug11_4_59_37pm[[#This Row],[RPM '[1/MIN']]]-Table3[[#This Row],[580C]]</f>
        <v>0</v>
      </c>
      <c r="X343">
        <f>DataLog_T717420_Aug11_4_59_37pm[[#This Row],[OIL TEMP '[Â°C']]]-Table3[[#This Row],[4402]]</f>
        <v>0</v>
      </c>
      <c r="Y343">
        <f>DataLog_T717420_Aug11_4_59_37pm[[#This Row],[INTAKE TEMP '[Â°C']]]-Table3[[#This Row],[580F]]</f>
        <v>0</v>
      </c>
      <c r="Z343">
        <f>DataLog_T717420_Aug11_4_59_37pm[[#This Row],[HPFP PRES. '[BAR']]]-Table3[[#This Row],[58F0]]</f>
        <v>0</v>
      </c>
      <c r="AA343">
        <f>DataLog_T717420_Aug11_4_59_37pm[[#This Row],[COOLANT TEMP '[Â°C']]]-Table3[[#This Row],[5805]]</f>
        <v>0</v>
      </c>
      <c r="AB343">
        <f>DataLog_T717420_Aug11_4_59_37pm[[#This Row],[BOOST '[BAR']]]-Table3[[#This Row],[58DD]]</f>
        <v>0</v>
      </c>
    </row>
    <row r="344" spans="2:28" x14ac:dyDescent="0.25">
      <c r="B344" s="2" t="s">
        <v>146</v>
      </c>
      <c r="C344" s="2" t="s">
        <v>30</v>
      </c>
      <c r="D344" s="2" t="s">
        <v>25</v>
      </c>
      <c r="E344" s="2" t="s">
        <v>122</v>
      </c>
      <c r="F344" s="2" t="s">
        <v>26</v>
      </c>
      <c r="G344" s="2" t="s">
        <v>28</v>
      </c>
      <c r="I344">
        <f>HEX2DEC(_0811_173439[[#This Row],[580C]])*B$4/B$5+B$6</f>
        <v>960</v>
      </c>
      <c r="J344">
        <f>HEX2DEC(_0811_173439[[#This Row],[4402]])*C$4/C$5+C$6</f>
        <v>36</v>
      </c>
      <c r="K344">
        <f>HEX2DEC(_0811_173439[[#This Row],[580F]])*D$4/D$5+D$6</f>
        <v>30.75</v>
      </c>
      <c r="L344">
        <f>ROUND(HEX2DEC(_0811_173439[[#This Row],[58F0]])*E$4/E$5+E$6,0)</f>
        <v>71</v>
      </c>
      <c r="M344">
        <f>ROUND(HEX2DEC(_0811_173439[[#This Row],[5805]])*F$4/F$5+F$6,0)</f>
        <v>42</v>
      </c>
      <c r="N344">
        <f>ROUND(HEX2DEC(_0811_173439[[#This Row],[58DD]])*G$4/G$5+G$6,2)</f>
        <v>-0.02</v>
      </c>
      <c r="P344">
        <v>960</v>
      </c>
      <c r="Q344">
        <v>36</v>
      </c>
      <c r="R344">
        <v>30.75</v>
      </c>
      <c r="S344">
        <v>71</v>
      </c>
      <c r="T344">
        <v>42</v>
      </c>
      <c r="U344">
        <v>-0.02</v>
      </c>
      <c r="W344">
        <f>DataLog_T717420_Aug11_4_59_37pm[[#This Row],[RPM '[1/MIN']]]-Table3[[#This Row],[580C]]</f>
        <v>0</v>
      </c>
      <c r="X344">
        <f>DataLog_T717420_Aug11_4_59_37pm[[#This Row],[OIL TEMP '[Â°C']]]-Table3[[#This Row],[4402]]</f>
        <v>0</v>
      </c>
      <c r="Y344">
        <f>DataLog_T717420_Aug11_4_59_37pm[[#This Row],[INTAKE TEMP '[Â°C']]]-Table3[[#This Row],[580F]]</f>
        <v>0</v>
      </c>
      <c r="Z344">
        <f>DataLog_T717420_Aug11_4_59_37pm[[#This Row],[HPFP PRES. '[BAR']]]-Table3[[#This Row],[58F0]]</f>
        <v>0</v>
      </c>
      <c r="AA344">
        <f>DataLog_T717420_Aug11_4_59_37pm[[#This Row],[COOLANT TEMP '[Â°C']]]-Table3[[#This Row],[5805]]</f>
        <v>0</v>
      </c>
      <c r="AB344">
        <f>DataLog_T717420_Aug11_4_59_37pm[[#This Row],[BOOST '[BAR']]]-Table3[[#This Row],[58DD]]</f>
        <v>0</v>
      </c>
    </row>
    <row r="345" spans="2:28" x14ac:dyDescent="0.25">
      <c r="B345" s="2" t="s">
        <v>146</v>
      </c>
      <c r="C345" s="2" t="s">
        <v>30</v>
      </c>
      <c r="D345" s="2" t="s">
        <v>151</v>
      </c>
      <c r="E345" s="2" t="s">
        <v>127</v>
      </c>
      <c r="F345" s="2" t="s">
        <v>26</v>
      </c>
      <c r="G345" s="2" t="s">
        <v>28</v>
      </c>
      <c r="I345">
        <f>HEX2DEC(_0811_173439[[#This Row],[580C]])*B$4/B$5+B$6</f>
        <v>960</v>
      </c>
      <c r="J345">
        <f>HEX2DEC(_0811_173439[[#This Row],[4402]])*C$4/C$5+C$6</f>
        <v>36</v>
      </c>
      <c r="K345">
        <f>HEX2DEC(_0811_173439[[#This Row],[580F]])*D$4/D$5+D$6</f>
        <v>30</v>
      </c>
      <c r="L345">
        <f>ROUND(HEX2DEC(_0811_173439[[#This Row],[58F0]])*E$4/E$5+E$6,0)</f>
        <v>70</v>
      </c>
      <c r="M345">
        <f>ROUND(HEX2DEC(_0811_173439[[#This Row],[5805]])*F$4/F$5+F$6,0)</f>
        <v>42</v>
      </c>
      <c r="N345">
        <f>ROUND(HEX2DEC(_0811_173439[[#This Row],[58DD]])*G$4/G$5+G$6,2)</f>
        <v>-0.02</v>
      </c>
      <c r="P345">
        <v>960</v>
      </c>
      <c r="Q345">
        <v>36</v>
      </c>
      <c r="R345">
        <v>30</v>
      </c>
      <c r="S345">
        <v>70</v>
      </c>
      <c r="T345">
        <v>42</v>
      </c>
      <c r="U345">
        <v>-0.02</v>
      </c>
      <c r="W345">
        <f>DataLog_T717420_Aug11_4_59_37pm[[#This Row],[RPM '[1/MIN']]]-Table3[[#This Row],[580C]]</f>
        <v>0</v>
      </c>
      <c r="X345">
        <f>DataLog_T717420_Aug11_4_59_37pm[[#This Row],[OIL TEMP '[Â°C']]]-Table3[[#This Row],[4402]]</f>
        <v>0</v>
      </c>
      <c r="Y345">
        <f>DataLog_T717420_Aug11_4_59_37pm[[#This Row],[INTAKE TEMP '[Â°C']]]-Table3[[#This Row],[580F]]</f>
        <v>0</v>
      </c>
      <c r="Z345">
        <f>DataLog_T717420_Aug11_4_59_37pm[[#This Row],[HPFP PRES. '[BAR']]]-Table3[[#This Row],[58F0]]</f>
        <v>0</v>
      </c>
      <c r="AA345">
        <f>DataLog_T717420_Aug11_4_59_37pm[[#This Row],[COOLANT TEMP '[Â°C']]]-Table3[[#This Row],[5805]]</f>
        <v>0</v>
      </c>
      <c r="AB345">
        <f>DataLog_T717420_Aug11_4_59_37pm[[#This Row],[BOOST '[BAR']]]-Table3[[#This Row],[58DD]]</f>
        <v>0</v>
      </c>
    </row>
    <row r="346" spans="2:28" x14ac:dyDescent="0.25">
      <c r="B346" s="2" t="s">
        <v>146</v>
      </c>
      <c r="C346" s="2" t="s">
        <v>30</v>
      </c>
      <c r="D346" s="2" t="s">
        <v>151</v>
      </c>
      <c r="E346" s="2" t="s">
        <v>93</v>
      </c>
      <c r="F346" s="2" t="s">
        <v>26</v>
      </c>
      <c r="G346" s="2" t="s">
        <v>28</v>
      </c>
      <c r="I346">
        <f>HEX2DEC(_0811_173439[[#This Row],[580C]])*B$4/B$5+B$6</f>
        <v>960</v>
      </c>
      <c r="J346">
        <f>HEX2DEC(_0811_173439[[#This Row],[4402]])*C$4/C$5+C$6</f>
        <v>36</v>
      </c>
      <c r="K346">
        <f>HEX2DEC(_0811_173439[[#This Row],[580F]])*D$4/D$5+D$6</f>
        <v>30</v>
      </c>
      <c r="L346">
        <f>ROUND(HEX2DEC(_0811_173439[[#This Row],[58F0]])*E$4/E$5+E$6,0)</f>
        <v>70</v>
      </c>
      <c r="M346">
        <f>ROUND(HEX2DEC(_0811_173439[[#This Row],[5805]])*F$4/F$5+F$6,0)</f>
        <v>42</v>
      </c>
      <c r="N346">
        <f>ROUND(HEX2DEC(_0811_173439[[#This Row],[58DD]])*G$4/G$5+G$6,2)</f>
        <v>-0.02</v>
      </c>
      <c r="P346">
        <v>960</v>
      </c>
      <c r="Q346">
        <v>36</v>
      </c>
      <c r="R346">
        <v>30</v>
      </c>
      <c r="S346">
        <v>70</v>
      </c>
      <c r="T346">
        <v>42</v>
      </c>
      <c r="U346">
        <v>-0.02</v>
      </c>
      <c r="W346">
        <f>DataLog_T717420_Aug11_4_59_37pm[[#This Row],[RPM '[1/MIN']]]-Table3[[#This Row],[580C]]</f>
        <v>0</v>
      </c>
      <c r="X346">
        <f>DataLog_T717420_Aug11_4_59_37pm[[#This Row],[OIL TEMP '[Â°C']]]-Table3[[#This Row],[4402]]</f>
        <v>0</v>
      </c>
      <c r="Y346">
        <f>DataLog_T717420_Aug11_4_59_37pm[[#This Row],[INTAKE TEMP '[Â°C']]]-Table3[[#This Row],[580F]]</f>
        <v>0</v>
      </c>
      <c r="Z346">
        <f>DataLog_T717420_Aug11_4_59_37pm[[#This Row],[HPFP PRES. '[BAR']]]-Table3[[#This Row],[58F0]]</f>
        <v>0</v>
      </c>
      <c r="AA346">
        <f>DataLog_T717420_Aug11_4_59_37pm[[#This Row],[COOLANT TEMP '[Â°C']]]-Table3[[#This Row],[5805]]</f>
        <v>0</v>
      </c>
      <c r="AB346">
        <f>DataLog_T717420_Aug11_4_59_37pm[[#This Row],[BOOST '[BAR']]]-Table3[[#This Row],[58DD]]</f>
        <v>0</v>
      </c>
    </row>
    <row r="347" spans="2:28" x14ac:dyDescent="0.25">
      <c r="B347" s="2" t="s">
        <v>146</v>
      </c>
      <c r="C347" s="2" t="s">
        <v>30</v>
      </c>
      <c r="D347" s="2" t="s">
        <v>151</v>
      </c>
      <c r="E347" s="2" t="s">
        <v>152</v>
      </c>
      <c r="F347" s="2" t="s">
        <v>26</v>
      </c>
      <c r="G347" s="2" t="s">
        <v>28</v>
      </c>
      <c r="I347">
        <f>HEX2DEC(_0811_173439[[#This Row],[580C]])*B$4/B$5+B$6</f>
        <v>960</v>
      </c>
      <c r="J347">
        <f>HEX2DEC(_0811_173439[[#This Row],[4402]])*C$4/C$5+C$6</f>
        <v>36</v>
      </c>
      <c r="K347">
        <f>HEX2DEC(_0811_173439[[#This Row],[580F]])*D$4/D$5+D$6</f>
        <v>30</v>
      </c>
      <c r="L347">
        <f>ROUND(HEX2DEC(_0811_173439[[#This Row],[58F0]])*E$4/E$5+E$6,0)</f>
        <v>70</v>
      </c>
      <c r="M347">
        <f>ROUND(HEX2DEC(_0811_173439[[#This Row],[5805]])*F$4/F$5+F$6,0)</f>
        <v>42</v>
      </c>
      <c r="N347">
        <f>ROUND(HEX2DEC(_0811_173439[[#This Row],[58DD]])*G$4/G$5+G$6,2)</f>
        <v>-0.02</v>
      </c>
      <c r="P347">
        <v>960</v>
      </c>
      <c r="Q347">
        <v>36</v>
      </c>
      <c r="R347">
        <v>30</v>
      </c>
      <c r="S347">
        <v>70</v>
      </c>
      <c r="T347">
        <v>42</v>
      </c>
      <c r="U347">
        <v>-0.02</v>
      </c>
      <c r="W347">
        <f>DataLog_T717420_Aug11_4_59_37pm[[#This Row],[RPM '[1/MIN']]]-Table3[[#This Row],[580C]]</f>
        <v>0</v>
      </c>
      <c r="X347">
        <f>DataLog_T717420_Aug11_4_59_37pm[[#This Row],[OIL TEMP '[Â°C']]]-Table3[[#This Row],[4402]]</f>
        <v>0</v>
      </c>
      <c r="Y347">
        <f>DataLog_T717420_Aug11_4_59_37pm[[#This Row],[INTAKE TEMP '[Â°C']]]-Table3[[#This Row],[580F]]</f>
        <v>0</v>
      </c>
      <c r="Z347">
        <f>DataLog_T717420_Aug11_4_59_37pm[[#This Row],[HPFP PRES. '[BAR']]]-Table3[[#This Row],[58F0]]</f>
        <v>0</v>
      </c>
      <c r="AA347">
        <f>DataLog_T717420_Aug11_4_59_37pm[[#This Row],[COOLANT TEMP '[Â°C']]]-Table3[[#This Row],[5805]]</f>
        <v>0</v>
      </c>
      <c r="AB347">
        <f>DataLog_T717420_Aug11_4_59_37pm[[#This Row],[BOOST '[BAR']]]-Table3[[#This Row],[58DD]]</f>
        <v>0</v>
      </c>
    </row>
    <row r="348" spans="2:28" x14ac:dyDescent="0.25">
      <c r="B348" s="2" t="s">
        <v>146</v>
      </c>
      <c r="C348" s="2" t="s">
        <v>30</v>
      </c>
      <c r="D348" s="2" t="s">
        <v>151</v>
      </c>
      <c r="E348" s="2" t="s">
        <v>152</v>
      </c>
      <c r="F348" s="2" t="s">
        <v>26</v>
      </c>
      <c r="G348" s="2" t="s">
        <v>28</v>
      </c>
      <c r="I348">
        <f>HEX2DEC(_0811_173439[[#This Row],[580C]])*B$4/B$5+B$6</f>
        <v>960</v>
      </c>
      <c r="J348">
        <f>HEX2DEC(_0811_173439[[#This Row],[4402]])*C$4/C$5+C$6</f>
        <v>36</v>
      </c>
      <c r="K348">
        <f>HEX2DEC(_0811_173439[[#This Row],[580F]])*D$4/D$5+D$6</f>
        <v>30</v>
      </c>
      <c r="L348">
        <f>ROUND(HEX2DEC(_0811_173439[[#This Row],[58F0]])*E$4/E$5+E$6,0)</f>
        <v>70</v>
      </c>
      <c r="M348">
        <f>ROUND(HEX2DEC(_0811_173439[[#This Row],[5805]])*F$4/F$5+F$6,0)</f>
        <v>42</v>
      </c>
      <c r="N348">
        <f>ROUND(HEX2DEC(_0811_173439[[#This Row],[58DD]])*G$4/G$5+G$6,2)</f>
        <v>-0.02</v>
      </c>
      <c r="P348">
        <v>960</v>
      </c>
      <c r="Q348">
        <v>36</v>
      </c>
      <c r="R348">
        <v>30</v>
      </c>
      <c r="S348">
        <v>70</v>
      </c>
      <c r="T348">
        <v>42</v>
      </c>
      <c r="U348">
        <v>-0.02</v>
      </c>
      <c r="W348">
        <f>DataLog_T717420_Aug11_4_59_37pm[[#This Row],[RPM '[1/MIN']]]-Table3[[#This Row],[580C]]</f>
        <v>0</v>
      </c>
      <c r="X348">
        <f>DataLog_T717420_Aug11_4_59_37pm[[#This Row],[OIL TEMP '[Â°C']]]-Table3[[#This Row],[4402]]</f>
        <v>0</v>
      </c>
      <c r="Y348">
        <f>DataLog_T717420_Aug11_4_59_37pm[[#This Row],[INTAKE TEMP '[Â°C']]]-Table3[[#This Row],[580F]]</f>
        <v>0</v>
      </c>
      <c r="Z348">
        <f>DataLog_T717420_Aug11_4_59_37pm[[#This Row],[HPFP PRES. '[BAR']]]-Table3[[#This Row],[58F0]]</f>
        <v>0</v>
      </c>
      <c r="AA348">
        <f>DataLog_T717420_Aug11_4_59_37pm[[#This Row],[COOLANT TEMP '[Â°C']]]-Table3[[#This Row],[5805]]</f>
        <v>0</v>
      </c>
      <c r="AB348">
        <f>DataLog_T717420_Aug11_4_59_37pm[[#This Row],[BOOST '[BAR']]]-Table3[[#This Row],[58DD]]</f>
        <v>0</v>
      </c>
    </row>
    <row r="349" spans="2:28" x14ac:dyDescent="0.25">
      <c r="B349" s="2" t="s">
        <v>146</v>
      </c>
      <c r="C349" s="2" t="s">
        <v>30</v>
      </c>
      <c r="D349" s="2" t="s">
        <v>151</v>
      </c>
      <c r="E349" s="2" t="s">
        <v>153</v>
      </c>
      <c r="F349" s="2" t="s">
        <v>26</v>
      </c>
      <c r="G349" s="2" t="s">
        <v>28</v>
      </c>
      <c r="I349">
        <f>HEX2DEC(_0811_173439[[#This Row],[580C]])*B$4/B$5+B$6</f>
        <v>960</v>
      </c>
      <c r="J349">
        <f>HEX2DEC(_0811_173439[[#This Row],[4402]])*C$4/C$5+C$6</f>
        <v>36</v>
      </c>
      <c r="K349">
        <f>HEX2DEC(_0811_173439[[#This Row],[580F]])*D$4/D$5+D$6</f>
        <v>30</v>
      </c>
      <c r="L349">
        <f>ROUND(HEX2DEC(_0811_173439[[#This Row],[58F0]])*E$4/E$5+E$6,0)</f>
        <v>70</v>
      </c>
      <c r="M349">
        <f>ROUND(HEX2DEC(_0811_173439[[#This Row],[5805]])*F$4/F$5+F$6,0)</f>
        <v>42</v>
      </c>
      <c r="N349">
        <f>ROUND(HEX2DEC(_0811_173439[[#This Row],[58DD]])*G$4/G$5+G$6,2)</f>
        <v>-0.02</v>
      </c>
      <c r="P349">
        <v>960</v>
      </c>
      <c r="Q349">
        <v>36</v>
      </c>
      <c r="R349">
        <v>30</v>
      </c>
      <c r="S349">
        <v>70</v>
      </c>
      <c r="T349">
        <v>42</v>
      </c>
      <c r="U349">
        <v>-0.02</v>
      </c>
      <c r="W349">
        <f>DataLog_T717420_Aug11_4_59_37pm[[#This Row],[RPM '[1/MIN']]]-Table3[[#This Row],[580C]]</f>
        <v>0</v>
      </c>
      <c r="X349">
        <f>DataLog_T717420_Aug11_4_59_37pm[[#This Row],[OIL TEMP '[Â°C']]]-Table3[[#This Row],[4402]]</f>
        <v>0</v>
      </c>
      <c r="Y349">
        <f>DataLog_T717420_Aug11_4_59_37pm[[#This Row],[INTAKE TEMP '[Â°C']]]-Table3[[#This Row],[580F]]</f>
        <v>0</v>
      </c>
      <c r="Z349">
        <f>DataLog_T717420_Aug11_4_59_37pm[[#This Row],[HPFP PRES. '[BAR']]]-Table3[[#This Row],[58F0]]</f>
        <v>0</v>
      </c>
      <c r="AA349">
        <f>DataLog_T717420_Aug11_4_59_37pm[[#This Row],[COOLANT TEMP '[Â°C']]]-Table3[[#This Row],[5805]]</f>
        <v>0</v>
      </c>
      <c r="AB349">
        <f>DataLog_T717420_Aug11_4_59_37pm[[#This Row],[BOOST '[BAR']]]-Table3[[#This Row],[58DD]]</f>
        <v>0</v>
      </c>
    </row>
    <row r="350" spans="2:28" x14ac:dyDescent="0.25">
      <c r="B350" s="2" t="s">
        <v>146</v>
      </c>
      <c r="C350" s="2" t="s">
        <v>30</v>
      </c>
      <c r="D350" s="2" t="s">
        <v>151</v>
      </c>
      <c r="E350" s="2" t="s">
        <v>154</v>
      </c>
      <c r="F350" s="2" t="s">
        <v>26</v>
      </c>
      <c r="G350" s="2" t="s">
        <v>28</v>
      </c>
      <c r="I350">
        <f>HEX2DEC(_0811_173439[[#This Row],[580C]])*B$4/B$5+B$6</f>
        <v>960</v>
      </c>
      <c r="J350">
        <f>HEX2DEC(_0811_173439[[#This Row],[4402]])*C$4/C$5+C$6</f>
        <v>36</v>
      </c>
      <c r="K350">
        <f>HEX2DEC(_0811_173439[[#This Row],[580F]])*D$4/D$5+D$6</f>
        <v>30</v>
      </c>
      <c r="L350">
        <f>ROUND(HEX2DEC(_0811_173439[[#This Row],[58F0]])*E$4/E$5+E$6,0)</f>
        <v>71</v>
      </c>
      <c r="M350">
        <f>ROUND(HEX2DEC(_0811_173439[[#This Row],[5805]])*F$4/F$5+F$6,0)</f>
        <v>42</v>
      </c>
      <c r="N350">
        <f>ROUND(HEX2DEC(_0811_173439[[#This Row],[58DD]])*G$4/G$5+G$6,2)</f>
        <v>-0.02</v>
      </c>
      <c r="P350">
        <v>960</v>
      </c>
      <c r="Q350">
        <v>36</v>
      </c>
      <c r="R350">
        <v>30</v>
      </c>
      <c r="S350">
        <v>71</v>
      </c>
      <c r="T350">
        <v>42</v>
      </c>
      <c r="U350">
        <v>-0.02</v>
      </c>
      <c r="W350">
        <f>DataLog_T717420_Aug11_4_59_37pm[[#This Row],[RPM '[1/MIN']]]-Table3[[#This Row],[580C]]</f>
        <v>0</v>
      </c>
      <c r="X350">
        <f>DataLog_T717420_Aug11_4_59_37pm[[#This Row],[OIL TEMP '[Â°C']]]-Table3[[#This Row],[4402]]</f>
        <v>0</v>
      </c>
      <c r="Y350">
        <f>DataLog_T717420_Aug11_4_59_37pm[[#This Row],[INTAKE TEMP '[Â°C']]]-Table3[[#This Row],[580F]]</f>
        <v>0</v>
      </c>
      <c r="Z350">
        <f>DataLog_T717420_Aug11_4_59_37pm[[#This Row],[HPFP PRES. '[BAR']]]-Table3[[#This Row],[58F0]]</f>
        <v>0</v>
      </c>
      <c r="AA350">
        <f>DataLog_T717420_Aug11_4_59_37pm[[#This Row],[COOLANT TEMP '[Â°C']]]-Table3[[#This Row],[5805]]</f>
        <v>0</v>
      </c>
      <c r="AB350">
        <f>DataLog_T717420_Aug11_4_59_37pm[[#This Row],[BOOST '[BAR']]]-Table3[[#This Row],[58DD]]</f>
        <v>0</v>
      </c>
    </row>
    <row r="351" spans="2:28" x14ac:dyDescent="0.25">
      <c r="B351" s="2" t="s">
        <v>146</v>
      </c>
      <c r="C351" s="2" t="s">
        <v>30</v>
      </c>
      <c r="D351" s="2" t="s">
        <v>151</v>
      </c>
      <c r="E351" s="2" t="s">
        <v>93</v>
      </c>
      <c r="F351" s="2" t="s">
        <v>26</v>
      </c>
      <c r="G351" s="2" t="s">
        <v>28</v>
      </c>
      <c r="I351">
        <f>HEX2DEC(_0811_173439[[#This Row],[580C]])*B$4/B$5+B$6</f>
        <v>960</v>
      </c>
      <c r="J351">
        <f>HEX2DEC(_0811_173439[[#This Row],[4402]])*C$4/C$5+C$6</f>
        <v>36</v>
      </c>
      <c r="K351">
        <f>HEX2DEC(_0811_173439[[#This Row],[580F]])*D$4/D$5+D$6</f>
        <v>30</v>
      </c>
      <c r="L351">
        <f>ROUND(HEX2DEC(_0811_173439[[#This Row],[58F0]])*E$4/E$5+E$6,0)</f>
        <v>70</v>
      </c>
      <c r="M351">
        <f>ROUND(HEX2DEC(_0811_173439[[#This Row],[5805]])*F$4/F$5+F$6,0)</f>
        <v>42</v>
      </c>
      <c r="N351">
        <f>ROUND(HEX2DEC(_0811_173439[[#This Row],[58DD]])*G$4/G$5+G$6,2)</f>
        <v>-0.02</v>
      </c>
      <c r="P351">
        <v>960</v>
      </c>
      <c r="Q351">
        <v>36</v>
      </c>
      <c r="R351">
        <v>30</v>
      </c>
      <c r="S351">
        <v>70</v>
      </c>
      <c r="T351">
        <v>42</v>
      </c>
      <c r="U351">
        <v>-0.02</v>
      </c>
      <c r="W351">
        <f>DataLog_T717420_Aug11_4_59_37pm[[#This Row],[RPM '[1/MIN']]]-Table3[[#This Row],[580C]]</f>
        <v>0</v>
      </c>
      <c r="X351">
        <f>DataLog_T717420_Aug11_4_59_37pm[[#This Row],[OIL TEMP '[Â°C']]]-Table3[[#This Row],[4402]]</f>
        <v>0</v>
      </c>
      <c r="Y351">
        <f>DataLog_T717420_Aug11_4_59_37pm[[#This Row],[INTAKE TEMP '[Â°C']]]-Table3[[#This Row],[580F]]</f>
        <v>0</v>
      </c>
      <c r="Z351">
        <f>DataLog_T717420_Aug11_4_59_37pm[[#This Row],[HPFP PRES. '[BAR']]]-Table3[[#This Row],[58F0]]</f>
        <v>0</v>
      </c>
      <c r="AA351">
        <f>DataLog_T717420_Aug11_4_59_37pm[[#This Row],[COOLANT TEMP '[Â°C']]]-Table3[[#This Row],[5805]]</f>
        <v>0</v>
      </c>
      <c r="AB351">
        <f>DataLog_T717420_Aug11_4_59_37pm[[#This Row],[BOOST '[BAR']]]-Table3[[#This Row],[58DD]]</f>
        <v>0</v>
      </c>
    </row>
    <row r="352" spans="2:28" x14ac:dyDescent="0.25">
      <c r="B352" s="2" t="s">
        <v>146</v>
      </c>
      <c r="C352" s="2" t="s">
        <v>30</v>
      </c>
      <c r="D352" s="2" t="s">
        <v>151</v>
      </c>
      <c r="E352" s="2" t="s">
        <v>155</v>
      </c>
      <c r="F352" s="2" t="s">
        <v>26</v>
      </c>
      <c r="G352" s="2" t="s">
        <v>28</v>
      </c>
      <c r="I352">
        <f>HEX2DEC(_0811_173439[[#This Row],[580C]])*B$4/B$5+B$6</f>
        <v>960</v>
      </c>
      <c r="J352">
        <f>HEX2DEC(_0811_173439[[#This Row],[4402]])*C$4/C$5+C$6</f>
        <v>36</v>
      </c>
      <c r="K352">
        <f>HEX2DEC(_0811_173439[[#This Row],[580F]])*D$4/D$5+D$6</f>
        <v>30</v>
      </c>
      <c r="L352">
        <f>ROUND(HEX2DEC(_0811_173439[[#This Row],[58F0]])*E$4/E$5+E$6,0)</f>
        <v>70</v>
      </c>
      <c r="M352">
        <f>ROUND(HEX2DEC(_0811_173439[[#This Row],[5805]])*F$4/F$5+F$6,0)</f>
        <v>42</v>
      </c>
      <c r="N352">
        <f>ROUND(HEX2DEC(_0811_173439[[#This Row],[58DD]])*G$4/G$5+G$6,2)</f>
        <v>-0.02</v>
      </c>
      <c r="P352">
        <v>960</v>
      </c>
      <c r="Q352">
        <v>36</v>
      </c>
      <c r="R352">
        <v>30</v>
      </c>
      <c r="S352">
        <v>70</v>
      </c>
      <c r="T352">
        <v>42</v>
      </c>
      <c r="U352">
        <v>-0.02</v>
      </c>
      <c r="W352">
        <f>DataLog_T717420_Aug11_4_59_37pm[[#This Row],[RPM '[1/MIN']]]-Table3[[#This Row],[580C]]</f>
        <v>0</v>
      </c>
      <c r="X352">
        <f>DataLog_T717420_Aug11_4_59_37pm[[#This Row],[OIL TEMP '[Â°C']]]-Table3[[#This Row],[4402]]</f>
        <v>0</v>
      </c>
      <c r="Y352">
        <f>DataLog_T717420_Aug11_4_59_37pm[[#This Row],[INTAKE TEMP '[Â°C']]]-Table3[[#This Row],[580F]]</f>
        <v>0</v>
      </c>
      <c r="Z352">
        <f>DataLog_T717420_Aug11_4_59_37pm[[#This Row],[HPFP PRES. '[BAR']]]-Table3[[#This Row],[58F0]]</f>
        <v>0</v>
      </c>
      <c r="AA352">
        <f>DataLog_T717420_Aug11_4_59_37pm[[#This Row],[COOLANT TEMP '[Â°C']]]-Table3[[#This Row],[5805]]</f>
        <v>0</v>
      </c>
      <c r="AB352">
        <f>DataLog_T717420_Aug11_4_59_37pm[[#This Row],[BOOST '[BAR']]]-Table3[[#This Row],[58DD]]</f>
        <v>0</v>
      </c>
    </row>
    <row r="353" spans="2:28" x14ac:dyDescent="0.25">
      <c r="B353" s="2" t="s">
        <v>146</v>
      </c>
      <c r="C353" s="2" t="s">
        <v>30</v>
      </c>
      <c r="D353" s="2" t="s">
        <v>151</v>
      </c>
      <c r="E353" s="2" t="s">
        <v>127</v>
      </c>
      <c r="F353" s="2" t="s">
        <v>26</v>
      </c>
      <c r="G353" s="2" t="s">
        <v>28</v>
      </c>
      <c r="I353">
        <f>HEX2DEC(_0811_173439[[#This Row],[580C]])*B$4/B$5+B$6</f>
        <v>960</v>
      </c>
      <c r="J353">
        <f>HEX2DEC(_0811_173439[[#This Row],[4402]])*C$4/C$5+C$6</f>
        <v>36</v>
      </c>
      <c r="K353">
        <f>HEX2DEC(_0811_173439[[#This Row],[580F]])*D$4/D$5+D$6</f>
        <v>30</v>
      </c>
      <c r="L353">
        <f>ROUND(HEX2DEC(_0811_173439[[#This Row],[58F0]])*E$4/E$5+E$6,0)</f>
        <v>70</v>
      </c>
      <c r="M353">
        <f>ROUND(HEX2DEC(_0811_173439[[#This Row],[5805]])*F$4/F$5+F$6,0)</f>
        <v>42</v>
      </c>
      <c r="N353">
        <f>ROUND(HEX2DEC(_0811_173439[[#This Row],[58DD]])*G$4/G$5+G$6,2)</f>
        <v>-0.02</v>
      </c>
      <c r="P353">
        <v>960</v>
      </c>
      <c r="Q353">
        <v>36</v>
      </c>
      <c r="R353">
        <v>30</v>
      </c>
      <c r="S353">
        <v>70</v>
      </c>
      <c r="T353">
        <v>42</v>
      </c>
      <c r="U353">
        <v>-0.02</v>
      </c>
      <c r="W353">
        <f>DataLog_T717420_Aug11_4_59_37pm[[#This Row],[RPM '[1/MIN']]]-Table3[[#This Row],[580C]]</f>
        <v>0</v>
      </c>
      <c r="X353">
        <f>DataLog_T717420_Aug11_4_59_37pm[[#This Row],[OIL TEMP '[Â°C']]]-Table3[[#This Row],[4402]]</f>
        <v>0</v>
      </c>
      <c r="Y353">
        <f>DataLog_T717420_Aug11_4_59_37pm[[#This Row],[INTAKE TEMP '[Â°C']]]-Table3[[#This Row],[580F]]</f>
        <v>0</v>
      </c>
      <c r="Z353">
        <f>DataLog_T717420_Aug11_4_59_37pm[[#This Row],[HPFP PRES. '[BAR']]]-Table3[[#This Row],[58F0]]</f>
        <v>0</v>
      </c>
      <c r="AA353">
        <f>DataLog_T717420_Aug11_4_59_37pm[[#This Row],[COOLANT TEMP '[Â°C']]]-Table3[[#This Row],[5805]]</f>
        <v>0</v>
      </c>
      <c r="AB353">
        <f>DataLog_T717420_Aug11_4_59_37pm[[#This Row],[BOOST '[BAR']]]-Table3[[#This Row],[58DD]]</f>
        <v>0</v>
      </c>
    </row>
    <row r="354" spans="2:28" x14ac:dyDescent="0.25">
      <c r="B354" s="2" t="s">
        <v>146</v>
      </c>
      <c r="C354" s="2" t="s">
        <v>30</v>
      </c>
      <c r="D354" s="2" t="s">
        <v>151</v>
      </c>
      <c r="E354" s="2" t="s">
        <v>148</v>
      </c>
      <c r="F354" s="2" t="s">
        <v>26</v>
      </c>
      <c r="G354" s="2" t="s">
        <v>28</v>
      </c>
      <c r="I354">
        <f>HEX2DEC(_0811_173439[[#This Row],[580C]])*B$4/B$5+B$6</f>
        <v>960</v>
      </c>
      <c r="J354">
        <f>HEX2DEC(_0811_173439[[#This Row],[4402]])*C$4/C$5+C$6</f>
        <v>36</v>
      </c>
      <c r="K354">
        <f>HEX2DEC(_0811_173439[[#This Row],[580F]])*D$4/D$5+D$6</f>
        <v>30</v>
      </c>
      <c r="L354">
        <f>ROUND(HEX2DEC(_0811_173439[[#This Row],[58F0]])*E$4/E$5+E$6,0)</f>
        <v>70</v>
      </c>
      <c r="M354">
        <f>ROUND(HEX2DEC(_0811_173439[[#This Row],[5805]])*F$4/F$5+F$6,0)</f>
        <v>42</v>
      </c>
      <c r="N354">
        <f>ROUND(HEX2DEC(_0811_173439[[#This Row],[58DD]])*G$4/G$5+G$6,2)</f>
        <v>-0.02</v>
      </c>
      <c r="P354">
        <v>960</v>
      </c>
      <c r="Q354">
        <v>36</v>
      </c>
      <c r="R354">
        <v>30</v>
      </c>
      <c r="S354">
        <v>70</v>
      </c>
      <c r="T354">
        <v>42</v>
      </c>
      <c r="U354">
        <v>-0.02</v>
      </c>
      <c r="W354">
        <f>DataLog_T717420_Aug11_4_59_37pm[[#This Row],[RPM '[1/MIN']]]-Table3[[#This Row],[580C]]</f>
        <v>0</v>
      </c>
      <c r="X354">
        <f>DataLog_T717420_Aug11_4_59_37pm[[#This Row],[OIL TEMP '[Â°C']]]-Table3[[#This Row],[4402]]</f>
        <v>0</v>
      </c>
      <c r="Y354">
        <f>DataLog_T717420_Aug11_4_59_37pm[[#This Row],[INTAKE TEMP '[Â°C']]]-Table3[[#This Row],[580F]]</f>
        <v>0</v>
      </c>
      <c r="Z354">
        <f>DataLog_T717420_Aug11_4_59_37pm[[#This Row],[HPFP PRES. '[BAR']]]-Table3[[#This Row],[58F0]]</f>
        <v>0</v>
      </c>
      <c r="AA354">
        <f>DataLog_T717420_Aug11_4_59_37pm[[#This Row],[COOLANT TEMP '[Â°C']]]-Table3[[#This Row],[5805]]</f>
        <v>0</v>
      </c>
      <c r="AB354">
        <f>DataLog_T717420_Aug11_4_59_37pm[[#This Row],[BOOST '[BAR']]]-Table3[[#This Row],[58DD]]</f>
        <v>0</v>
      </c>
    </row>
    <row r="355" spans="2:28" x14ac:dyDescent="0.25">
      <c r="B355" s="2" t="s">
        <v>69</v>
      </c>
      <c r="C355" s="2" t="s">
        <v>30</v>
      </c>
      <c r="D355" s="2" t="s">
        <v>151</v>
      </c>
      <c r="E355" s="2" t="s">
        <v>156</v>
      </c>
      <c r="F355" s="2" t="s">
        <v>26</v>
      </c>
      <c r="G355" s="2" t="s">
        <v>28</v>
      </c>
      <c r="I355">
        <f>HEX2DEC(_0811_173439[[#This Row],[580C]])*B$4/B$5+B$6</f>
        <v>920</v>
      </c>
      <c r="J355">
        <f>HEX2DEC(_0811_173439[[#This Row],[4402]])*C$4/C$5+C$6</f>
        <v>36</v>
      </c>
      <c r="K355">
        <f>HEX2DEC(_0811_173439[[#This Row],[580F]])*D$4/D$5+D$6</f>
        <v>30</v>
      </c>
      <c r="L355">
        <f>ROUND(HEX2DEC(_0811_173439[[#This Row],[58F0]])*E$4/E$5+E$6,0)</f>
        <v>70</v>
      </c>
      <c r="M355">
        <f>ROUND(HEX2DEC(_0811_173439[[#This Row],[5805]])*F$4/F$5+F$6,0)</f>
        <v>42</v>
      </c>
      <c r="N355">
        <f>ROUND(HEX2DEC(_0811_173439[[#This Row],[58DD]])*G$4/G$5+G$6,2)</f>
        <v>-0.02</v>
      </c>
      <c r="P355">
        <v>920</v>
      </c>
      <c r="Q355">
        <v>36</v>
      </c>
      <c r="R355">
        <v>30</v>
      </c>
      <c r="S355">
        <v>70</v>
      </c>
      <c r="T355">
        <v>42</v>
      </c>
      <c r="U355">
        <v>-0.02</v>
      </c>
      <c r="W355">
        <f>DataLog_T717420_Aug11_4_59_37pm[[#This Row],[RPM '[1/MIN']]]-Table3[[#This Row],[580C]]</f>
        <v>0</v>
      </c>
      <c r="X355">
        <f>DataLog_T717420_Aug11_4_59_37pm[[#This Row],[OIL TEMP '[Â°C']]]-Table3[[#This Row],[4402]]</f>
        <v>0</v>
      </c>
      <c r="Y355">
        <f>DataLog_T717420_Aug11_4_59_37pm[[#This Row],[INTAKE TEMP '[Â°C']]]-Table3[[#This Row],[580F]]</f>
        <v>0</v>
      </c>
      <c r="Z355">
        <f>DataLog_T717420_Aug11_4_59_37pm[[#This Row],[HPFP PRES. '[BAR']]]-Table3[[#This Row],[58F0]]</f>
        <v>0</v>
      </c>
      <c r="AA355">
        <f>DataLog_T717420_Aug11_4_59_37pm[[#This Row],[COOLANT TEMP '[Â°C']]]-Table3[[#This Row],[5805]]</f>
        <v>0</v>
      </c>
      <c r="AB355">
        <f>DataLog_T717420_Aug11_4_59_37pm[[#This Row],[BOOST '[BAR']]]-Table3[[#This Row],[58DD]]</f>
        <v>0</v>
      </c>
    </row>
    <row r="356" spans="2:28" x14ac:dyDescent="0.25">
      <c r="B356" s="2" t="s">
        <v>69</v>
      </c>
      <c r="C356" s="2" t="s">
        <v>30</v>
      </c>
      <c r="D356" s="2" t="s">
        <v>151</v>
      </c>
      <c r="E356" s="2" t="s">
        <v>157</v>
      </c>
      <c r="F356" s="2" t="s">
        <v>26</v>
      </c>
      <c r="G356" s="2" t="s">
        <v>28</v>
      </c>
      <c r="I356">
        <f>HEX2DEC(_0811_173439[[#This Row],[580C]])*B$4/B$5+B$6</f>
        <v>920</v>
      </c>
      <c r="J356">
        <f>HEX2DEC(_0811_173439[[#This Row],[4402]])*C$4/C$5+C$6</f>
        <v>36</v>
      </c>
      <c r="K356">
        <f>HEX2DEC(_0811_173439[[#This Row],[580F]])*D$4/D$5+D$6</f>
        <v>30</v>
      </c>
      <c r="L356">
        <f>ROUND(HEX2DEC(_0811_173439[[#This Row],[58F0]])*E$4/E$5+E$6,0)</f>
        <v>70</v>
      </c>
      <c r="M356">
        <f>ROUND(HEX2DEC(_0811_173439[[#This Row],[5805]])*F$4/F$5+F$6,0)</f>
        <v>42</v>
      </c>
      <c r="N356">
        <f>ROUND(HEX2DEC(_0811_173439[[#This Row],[58DD]])*G$4/G$5+G$6,2)</f>
        <v>-0.02</v>
      </c>
      <c r="P356">
        <v>920</v>
      </c>
      <c r="Q356">
        <v>36</v>
      </c>
      <c r="R356">
        <v>30</v>
      </c>
      <c r="S356">
        <v>70</v>
      </c>
      <c r="T356">
        <v>42</v>
      </c>
      <c r="U356">
        <v>-0.02</v>
      </c>
      <c r="W356">
        <f>DataLog_T717420_Aug11_4_59_37pm[[#This Row],[RPM '[1/MIN']]]-Table3[[#This Row],[580C]]</f>
        <v>0</v>
      </c>
      <c r="X356">
        <f>DataLog_T717420_Aug11_4_59_37pm[[#This Row],[OIL TEMP '[Â°C']]]-Table3[[#This Row],[4402]]</f>
        <v>0</v>
      </c>
      <c r="Y356">
        <f>DataLog_T717420_Aug11_4_59_37pm[[#This Row],[INTAKE TEMP '[Â°C']]]-Table3[[#This Row],[580F]]</f>
        <v>0</v>
      </c>
      <c r="Z356">
        <f>DataLog_T717420_Aug11_4_59_37pm[[#This Row],[HPFP PRES. '[BAR']]]-Table3[[#This Row],[58F0]]</f>
        <v>0</v>
      </c>
      <c r="AA356">
        <f>DataLog_T717420_Aug11_4_59_37pm[[#This Row],[COOLANT TEMP '[Â°C']]]-Table3[[#This Row],[5805]]</f>
        <v>0</v>
      </c>
      <c r="AB356">
        <f>DataLog_T717420_Aug11_4_59_37pm[[#This Row],[BOOST '[BAR']]]-Table3[[#This Row],[58DD]]</f>
        <v>0</v>
      </c>
    </row>
    <row r="357" spans="2:28" x14ac:dyDescent="0.25">
      <c r="B357" s="2" t="s">
        <v>69</v>
      </c>
      <c r="C357" s="2" t="s">
        <v>30</v>
      </c>
      <c r="D357" s="2" t="s">
        <v>151</v>
      </c>
      <c r="E357" s="2" t="s">
        <v>140</v>
      </c>
      <c r="F357" s="2" t="s">
        <v>26</v>
      </c>
      <c r="G357" s="2" t="s">
        <v>28</v>
      </c>
      <c r="I357">
        <f>HEX2DEC(_0811_173439[[#This Row],[580C]])*B$4/B$5+B$6</f>
        <v>920</v>
      </c>
      <c r="J357">
        <f>HEX2DEC(_0811_173439[[#This Row],[4402]])*C$4/C$5+C$6</f>
        <v>36</v>
      </c>
      <c r="K357">
        <f>HEX2DEC(_0811_173439[[#This Row],[580F]])*D$4/D$5+D$6</f>
        <v>30</v>
      </c>
      <c r="L357">
        <f>ROUND(HEX2DEC(_0811_173439[[#This Row],[58F0]])*E$4/E$5+E$6,0)</f>
        <v>71</v>
      </c>
      <c r="M357">
        <f>ROUND(HEX2DEC(_0811_173439[[#This Row],[5805]])*F$4/F$5+F$6,0)</f>
        <v>42</v>
      </c>
      <c r="N357">
        <f>ROUND(HEX2DEC(_0811_173439[[#This Row],[58DD]])*G$4/G$5+G$6,2)</f>
        <v>-0.02</v>
      </c>
      <c r="P357">
        <v>920</v>
      </c>
      <c r="Q357">
        <v>36</v>
      </c>
      <c r="R357">
        <v>30</v>
      </c>
      <c r="S357">
        <v>71</v>
      </c>
      <c r="T357">
        <v>42</v>
      </c>
      <c r="U357">
        <v>-0.02</v>
      </c>
      <c r="W357">
        <f>DataLog_T717420_Aug11_4_59_37pm[[#This Row],[RPM '[1/MIN']]]-Table3[[#This Row],[580C]]</f>
        <v>0</v>
      </c>
      <c r="X357">
        <f>DataLog_T717420_Aug11_4_59_37pm[[#This Row],[OIL TEMP '[Â°C']]]-Table3[[#This Row],[4402]]</f>
        <v>0</v>
      </c>
      <c r="Y357">
        <f>DataLog_T717420_Aug11_4_59_37pm[[#This Row],[INTAKE TEMP '[Â°C']]]-Table3[[#This Row],[580F]]</f>
        <v>0</v>
      </c>
      <c r="Z357">
        <f>DataLog_T717420_Aug11_4_59_37pm[[#This Row],[HPFP PRES. '[BAR']]]-Table3[[#This Row],[58F0]]</f>
        <v>0</v>
      </c>
      <c r="AA357">
        <f>DataLog_T717420_Aug11_4_59_37pm[[#This Row],[COOLANT TEMP '[Â°C']]]-Table3[[#This Row],[5805]]</f>
        <v>0</v>
      </c>
      <c r="AB357">
        <f>DataLog_T717420_Aug11_4_59_37pm[[#This Row],[BOOST '[BAR']]]-Table3[[#This Row],[58DD]]</f>
        <v>0</v>
      </c>
    </row>
    <row r="358" spans="2:28" x14ac:dyDescent="0.25">
      <c r="B358" s="2" t="s">
        <v>69</v>
      </c>
      <c r="C358" s="2" t="s">
        <v>30</v>
      </c>
      <c r="D358" s="2" t="s">
        <v>151</v>
      </c>
      <c r="E358" s="2" t="s">
        <v>93</v>
      </c>
      <c r="F358" s="2" t="s">
        <v>26</v>
      </c>
      <c r="G358" s="2" t="s">
        <v>28</v>
      </c>
      <c r="I358">
        <f>HEX2DEC(_0811_173439[[#This Row],[580C]])*B$4/B$5+B$6</f>
        <v>920</v>
      </c>
      <c r="J358">
        <f>HEX2DEC(_0811_173439[[#This Row],[4402]])*C$4/C$5+C$6</f>
        <v>36</v>
      </c>
      <c r="K358">
        <f>HEX2DEC(_0811_173439[[#This Row],[580F]])*D$4/D$5+D$6</f>
        <v>30</v>
      </c>
      <c r="L358">
        <f>ROUND(HEX2DEC(_0811_173439[[#This Row],[58F0]])*E$4/E$5+E$6,0)</f>
        <v>70</v>
      </c>
      <c r="M358">
        <f>ROUND(HEX2DEC(_0811_173439[[#This Row],[5805]])*F$4/F$5+F$6,0)</f>
        <v>42</v>
      </c>
      <c r="N358">
        <f>ROUND(HEX2DEC(_0811_173439[[#This Row],[58DD]])*G$4/G$5+G$6,2)</f>
        <v>-0.02</v>
      </c>
      <c r="P358">
        <v>920</v>
      </c>
      <c r="Q358">
        <v>36</v>
      </c>
      <c r="R358">
        <v>30</v>
      </c>
      <c r="S358">
        <v>70</v>
      </c>
      <c r="T358">
        <v>42</v>
      </c>
      <c r="U358">
        <v>-0.02</v>
      </c>
      <c r="W358">
        <f>DataLog_T717420_Aug11_4_59_37pm[[#This Row],[RPM '[1/MIN']]]-Table3[[#This Row],[580C]]</f>
        <v>0</v>
      </c>
      <c r="X358">
        <f>DataLog_T717420_Aug11_4_59_37pm[[#This Row],[OIL TEMP '[Â°C']]]-Table3[[#This Row],[4402]]</f>
        <v>0</v>
      </c>
      <c r="Y358">
        <f>DataLog_T717420_Aug11_4_59_37pm[[#This Row],[INTAKE TEMP '[Â°C']]]-Table3[[#This Row],[580F]]</f>
        <v>0</v>
      </c>
      <c r="Z358">
        <f>DataLog_T717420_Aug11_4_59_37pm[[#This Row],[HPFP PRES. '[BAR']]]-Table3[[#This Row],[58F0]]</f>
        <v>0</v>
      </c>
      <c r="AA358">
        <f>DataLog_T717420_Aug11_4_59_37pm[[#This Row],[COOLANT TEMP '[Â°C']]]-Table3[[#This Row],[5805]]</f>
        <v>0</v>
      </c>
      <c r="AB358">
        <f>DataLog_T717420_Aug11_4_59_37pm[[#This Row],[BOOST '[BAR']]]-Table3[[#This Row],[58DD]]</f>
        <v>0</v>
      </c>
    </row>
    <row r="359" spans="2:28" x14ac:dyDescent="0.25">
      <c r="B359" s="2" t="s">
        <v>69</v>
      </c>
      <c r="C359" s="2" t="s">
        <v>30</v>
      </c>
      <c r="D359" s="2" t="s">
        <v>151</v>
      </c>
      <c r="E359" s="2" t="s">
        <v>150</v>
      </c>
      <c r="F359" s="2" t="s">
        <v>26</v>
      </c>
      <c r="G359" s="2" t="s">
        <v>28</v>
      </c>
      <c r="I359">
        <f>HEX2DEC(_0811_173439[[#This Row],[580C]])*B$4/B$5+B$6</f>
        <v>920</v>
      </c>
      <c r="J359">
        <f>HEX2DEC(_0811_173439[[#This Row],[4402]])*C$4/C$5+C$6</f>
        <v>36</v>
      </c>
      <c r="K359">
        <f>HEX2DEC(_0811_173439[[#This Row],[580F]])*D$4/D$5+D$6</f>
        <v>30</v>
      </c>
      <c r="L359">
        <f>ROUND(HEX2DEC(_0811_173439[[#This Row],[58F0]])*E$4/E$5+E$6,0)</f>
        <v>70</v>
      </c>
      <c r="M359">
        <f>ROUND(HEX2DEC(_0811_173439[[#This Row],[5805]])*F$4/F$5+F$6,0)</f>
        <v>42</v>
      </c>
      <c r="N359">
        <f>ROUND(HEX2DEC(_0811_173439[[#This Row],[58DD]])*G$4/G$5+G$6,2)</f>
        <v>-0.02</v>
      </c>
      <c r="P359">
        <v>920</v>
      </c>
      <c r="Q359">
        <v>36</v>
      </c>
      <c r="R359">
        <v>30</v>
      </c>
      <c r="S359">
        <v>70</v>
      </c>
      <c r="T359">
        <v>42</v>
      </c>
      <c r="U359">
        <v>-0.02</v>
      </c>
      <c r="W359">
        <f>DataLog_T717420_Aug11_4_59_37pm[[#This Row],[RPM '[1/MIN']]]-Table3[[#This Row],[580C]]</f>
        <v>0</v>
      </c>
      <c r="X359">
        <f>DataLog_T717420_Aug11_4_59_37pm[[#This Row],[OIL TEMP '[Â°C']]]-Table3[[#This Row],[4402]]</f>
        <v>0</v>
      </c>
      <c r="Y359">
        <f>DataLog_T717420_Aug11_4_59_37pm[[#This Row],[INTAKE TEMP '[Â°C']]]-Table3[[#This Row],[580F]]</f>
        <v>0</v>
      </c>
      <c r="Z359">
        <f>DataLog_T717420_Aug11_4_59_37pm[[#This Row],[HPFP PRES. '[BAR']]]-Table3[[#This Row],[58F0]]</f>
        <v>0</v>
      </c>
      <c r="AA359">
        <f>DataLog_T717420_Aug11_4_59_37pm[[#This Row],[COOLANT TEMP '[Â°C']]]-Table3[[#This Row],[5805]]</f>
        <v>0</v>
      </c>
      <c r="AB359">
        <f>DataLog_T717420_Aug11_4_59_37pm[[#This Row],[BOOST '[BAR']]]-Table3[[#This Row],[58DD]]</f>
        <v>0</v>
      </c>
    </row>
    <row r="360" spans="2:28" x14ac:dyDescent="0.25">
      <c r="B360" s="2" t="s">
        <v>69</v>
      </c>
      <c r="C360" s="2" t="s">
        <v>30</v>
      </c>
      <c r="D360" s="2" t="s">
        <v>151</v>
      </c>
      <c r="E360" s="2" t="s">
        <v>158</v>
      </c>
      <c r="F360" s="2" t="s">
        <v>26</v>
      </c>
      <c r="G360" s="2" t="s">
        <v>28</v>
      </c>
      <c r="I360">
        <f>HEX2DEC(_0811_173439[[#This Row],[580C]])*B$4/B$5+B$6</f>
        <v>920</v>
      </c>
      <c r="J360">
        <f>HEX2DEC(_0811_173439[[#This Row],[4402]])*C$4/C$5+C$6</f>
        <v>36</v>
      </c>
      <c r="K360">
        <f>HEX2DEC(_0811_173439[[#This Row],[580F]])*D$4/D$5+D$6</f>
        <v>30</v>
      </c>
      <c r="L360">
        <f>ROUND(HEX2DEC(_0811_173439[[#This Row],[58F0]])*E$4/E$5+E$6,0)</f>
        <v>70</v>
      </c>
      <c r="M360">
        <f>ROUND(HEX2DEC(_0811_173439[[#This Row],[5805]])*F$4/F$5+F$6,0)</f>
        <v>42</v>
      </c>
      <c r="N360">
        <f>ROUND(HEX2DEC(_0811_173439[[#This Row],[58DD]])*G$4/G$5+G$6,2)</f>
        <v>-0.02</v>
      </c>
      <c r="P360">
        <v>920</v>
      </c>
      <c r="Q360">
        <v>36</v>
      </c>
      <c r="R360">
        <v>30</v>
      </c>
      <c r="S360">
        <v>70</v>
      </c>
      <c r="T360">
        <v>42</v>
      </c>
      <c r="U360">
        <v>-0.02</v>
      </c>
      <c r="W360">
        <f>DataLog_T717420_Aug11_4_59_37pm[[#This Row],[RPM '[1/MIN']]]-Table3[[#This Row],[580C]]</f>
        <v>0</v>
      </c>
      <c r="X360">
        <f>DataLog_T717420_Aug11_4_59_37pm[[#This Row],[OIL TEMP '[Â°C']]]-Table3[[#This Row],[4402]]</f>
        <v>0</v>
      </c>
      <c r="Y360">
        <f>DataLog_T717420_Aug11_4_59_37pm[[#This Row],[INTAKE TEMP '[Â°C']]]-Table3[[#This Row],[580F]]</f>
        <v>0</v>
      </c>
      <c r="Z360">
        <f>DataLog_T717420_Aug11_4_59_37pm[[#This Row],[HPFP PRES. '[BAR']]]-Table3[[#This Row],[58F0]]</f>
        <v>0</v>
      </c>
      <c r="AA360">
        <f>DataLog_T717420_Aug11_4_59_37pm[[#This Row],[COOLANT TEMP '[Â°C']]]-Table3[[#This Row],[5805]]</f>
        <v>0</v>
      </c>
      <c r="AB360">
        <f>DataLog_T717420_Aug11_4_59_37pm[[#This Row],[BOOST '[BAR']]]-Table3[[#This Row],[58DD]]</f>
        <v>0</v>
      </c>
    </row>
    <row r="361" spans="2:28" x14ac:dyDescent="0.25">
      <c r="B361" s="2" t="s">
        <v>69</v>
      </c>
      <c r="C361" s="2" t="s">
        <v>30</v>
      </c>
      <c r="D361" s="2" t="s">
        <v>151</v>
      </c>
      <c r="E361" s="2" t="s">
        <v>157</v>
      </c>
      <c r="F361" s="2" t="s">
        <v>26</v>
      </c>
      <c r="G361" s="2" t="s">
        <v>28</v>
      </c>
      <c r="I361">
        <f>HEX2DEC(_0811_173439[[#This Row],[580C]])*B$4/B$5+B$6</f>
        <v>920</v>
      </c>
      <c r="J361">
        <f>HEX2DEC(_0811_173439[[#This Row],[4402]])*C$4/C$5+C$6</f>
        <v>36</v>
      </c>
      <c r="K361">
        <f>HEX2DEC(_0811_173439[[#This Row],[580F]])*D$4/D$5+D$6</f>
        <v>30</v>
      </c>
      <c r="L361">
        <f>ROUND(HEX2DEC(_0811_173439[[#This Row],[58F0]])*E$4/E$5+E$6,0)</f>
        <v>70</v>
      </c>
      <c r="M361">
        <f>ROUND(HEX2DEC(_0811_173439[[#This Row],[5805]])*F$4/F$5+F$6,0)</f>
        <v>42</v>
      </c>
      <c r="N361">
        <f>ROUND(HEX2DEC(_0811_173439[[#This Row],[58DD]])*G$4/G$5+G$6,2)</f>
        <v>-0.02</v>
      </c>
      <c r="P361">
        <v>920</v>
      </c>
      <c r="Q361">
        <v>36</v>
      </c>
      <c r="R361">
        <v>30</v>
      </c>
      <c r="S361">
        <v>70</v>
      </c>
      <c r="T361">
        <v>42</v>
      </c>
      <c r="U361">
        <v>-0.02</v>
      </c>
      <c r="W361">
        <f>DataLog_T717420_Aug11_4_59_37pm[[#This Row],[RPM '[1/MIN']]]-Table3[[#This Row],[580C]]</f>
        <v>0</v>
      </c>
      <c r="X361">
        <f>DataLog_T717420_Aug11_4_59_37pm[[#This Row],[OIL TEMP '[Â°C']]]-Table3[[#This Row],[4402]]</f>
        <v>0</v>
      </c>
      <c r="Y361">
        <f>DataLog_T717420_Aug11_4_59_37pm[[#This Row],[INTAKE TEMP '[Â°C']]]-Table3[[#This Row],[580F]]</f>
        <v>0</v>
      </c>
      <c r="Z361">
        <f>DataLog_T717420_Aug11_4_59_37pm[[#This Row],[HPFP PRES. '[BAR']]]-Table3[[#This Row],[58F0]]</f>
        <v>0</v>
      </c>
      <c r="AA361">
        <f>DataLog_T717420_Aug11_4_59_37pm[[#This Row],[COOLANT TEMP '[Â°C']]]-Table3[[#This Row],[5805]]</f>
        <v>0</v>
      </c>
      <c r="AB361">
        <f>DataLog_T717420_Aug11_4_59_37pm[[#This Row],[BOOST '[BAR']]]-Table3[[#This Row],[58DD]]</f>
        <v>0</v>
      </c>
    </row>
    <row r="362" spans="2:28" x14ac:dyDescent="0.25">
      <c r="B362" s="2" t="s">
        <v>69</v>
      </c>
      <c r="C362" s="2" t="s">
        <v>30</v>
      </c>
      <c r="D362" s="2" t="s">
        <v>151</v>
      </c>
      <c r="E362" s="2" t="s">
        <v>124</v>
      </c>
      <c r="F362" s="2" t="s">
        <v>26</v>
      </c>
      <c r="G362" s="2" t="s">
        <v>28</v>
      </c>
      <c r="I362">
        <f>HEX2DEC(_0811_173439[[#This Row],[580C]])*B$4/B$5+B$6</f>
        <v>920</v>
      </c>
      <c r="J362">
        <f>HEX2DEC(_0811_173439[[#This Row],[4402]])*C$4/C$5+C$6</f>
        <v>36</v>
      </c>
      <c r="K362">
        <f>HEX2DEC(_0811_173439[[#This Row],[580F]])*D$4/D$5+D$6</f>
        <v>30</v>
      </c>
      <c r="L362">
        <f>ROUND(HEX2DEC(_0811_173439[[#This Row],[58F0]])*E$4/E$5+E$6,0)</f>
        <v>71</v>
      </c>
      <c r="M362">
        <f>ROUND(HEX2DEC(_0811_173439[[#This Row],[5805]])*F$4/F$5+F$6,0)</f>
        <v>42</v>
      </c>
      <c r="N362">
        <f>ROUND(HEX2DEC(_0811_173439[[#This Row],[58DD]])*G$4/G$5+G$6,2)</f>
        <v>-0.02</v>
      </c>
      <c r="P362">
        <v>920</v>
      </c>
      <c r="Q362">
        <v>36</v>
      </c>
      <c r="R362">
        <v>30</v>
      </c>
      <c r="S362">
        <v>71</v>
      </c>
      <c r="T362">
        <v>42</v>
      </c>
      <c r="U362">
        <v>-0.02</v>
      </c>
      <c r="W362">
        <f>DataLog_T717420_Aug11_4_59_37pm[[#This Row],[RPM '[1/MIN']]]-Table3[[#This Row],[580C]]</f>
        <v>0</v>
      </c>
      <c r="X362">
        <f>DataLog_T717420_Aug11_4_59_37pm[[#This Row],[OIL TEMP '[Â°C']]]-Table3[[#This Row],[4402]]</f>
        <v>0</v>
      </c>
      <c r="Y362">
        <f>DataLog_T717420_Aug11_4_59_37pm[[#This Row],[INTAKE TEMP '[Â°C']]]-Table3[[#This Row],[580F]]</f>
        <v>0</v>
      </c>
      <c r="Z362">
        <f>DataLog_T717420_Aug11_4_59_37pm[[#This Row],[HPFP PRES. '[BAR']]]-Table3[[#This Row],[58F0]]</f>
        <v>0</v>
      </c>
      <c r="AA362">
        <f>DataLog_T717420_Aug11_4_59_37pm[[#This Row],[COOLANT TEMP '[Â°C']]]-Table3[[#This Row],[5805]]</f>
        <v>0</v>
      </c>
      <c r="AB362">
        <f>DataLog_T717420_Aug11_4_59_37pm[[#This Row],[BOOST '[BAR']]]-Table3[[#This Row],[58DD]]</f>
        <v>0</v>
      </c>
    </row>
    <row r="363" spans="2:28" x14ac:dyDescent="0.25">
      <c r="B363" s="2" t="s">
        <v>69</v>
      </c>
      <c r="C363" s="2" t="s">
        <v>30</v>
      </c>
      <c r="D363" s="2" t="s">
        <v>151</v>
      </c>
      <c r="E363" s="2" t="s">
        <v>118</v>
      </c>
      <c r="F363" s="2" t="s">
        <v>26</v>
      </c>
      <c r="G363" s="2" t="s">
        <v>28</v>
      </c>
      <c r="I363">
        <f>HEX2DEC(_0811_173439[[#This Row],[580C]])*B$4/B$5+B$6</f>
        <v>920</v>
      </c>
      <c r="J363">
        <f>HEX2DEC(_0811_173439[[#This Row],[4402]])*C$4/C$5+C$6</f>
        <v>36</v>
      </c>
      <c r="K363">
        <f>HEX2DEC(_0811_173439[[#This Row],[580F]])*D$4/D$5+D$6</f>
        <v>30</v>
      </c>
      <c r="L363">
        <f>ROUND(HEX2DEC(_0811_173439[[#This Row],[58F0]])*E$4/E$5+E$6,0)</f>
        <v>70</v>
      </c>
      <c r="M363">
        <f>ROUND(HEX2DEC(_0811_173439[[#This Row],[5805]])*F$4/F$5+F$6,0)</f>
        <v>42</v>
      </c>
      <c r="N363">
        <f>ROUND(HEX2DEC(_0811_173439[[#This Row],[58DD]])*G$4/G$5+G$6,2)</f>
        <v>-0.02</v>
      </c>
      <c r="P363">
        <v>920</v>
      </c>
      <c r="Q363">
        <v>36</v>
      </c>
      <c r="R363">
        <v>30</v>
      </c>
      <c r="S363">
        <v>70</v>
      </c>
      <c r="T363">
        <v>42</v>
      </c>
      <c r="U363">
        <v>-0.02</v>
      </c>
      <c r="W363">
        <f>DataLog_T717420_Aug11_4_59_37pm[[#This Row],[RPM '[1/MIN']]]-Table3[[#This Row],[580C]]</f>
        <v>0</v>
      </c>
      <c r="X363">
        <f>DataLog_T717420_Aug11_4_59_37pm[[#This Row],[OIL TEMP '[Â°C']]]-Table3[[#This Row],[4402]]</f>
        <v>0</v>
      </c>
      <c r="Y363">
        <f>DataLog_T717420_Aug11_4_59_37pm[[#This Row],[INTAKE TEMP '[Â°C']]]-Table3[[#This Row],[580F]]</f>
        <v>0</v>
      </c>
      <c r="Z363">
        <f>DataLog_T717420_Aug11_4_59_37pm[[#This Row],[HPFP PRES. '[BAR']]]-Table3[[#This Row],[58F0]]</f>
        <v>0</v>
      </c>
      <c r="AA363">
        <f>DataLog_T717420_Aug11_4_59_37pm[[#This Row],[COOLANT TEMP '[Â°C']]]-Table3[[#This Row],[5805]]</f>
        <v>0</v>
      </c>
      <c r="AB363">
        <f>DataLog_T717420_Aug11_4_59_37pm[[#This Row],[BOOST '[BAR']]]-Table3[[#This Row],[58DD]]</f>
        <v>0</v>
      </c>
    </row>
    <row r="364" spans="2:28" x14ac:dyDescent="0.25">
      <c r="B364" s="2" t="s">
        <v>69</v>
      </c>
      <c r="C364" s="2" t="s">
        <v>30</v>
      </c>
      <c r="D364" s="2" t="s">
        <v>151</v>
      </c>
      <c r="E364" s="2" t="s">
        <v>119</v>
      </c>
      <c r="F364" s="2" t="s">
        <v>26</v>
      </c>
      <c r="G364" s="2" t="s">
        <v>28</v>
      </c>
      <c r="I364">
        <f>HEX2DEC(_0811_173439[[#This Row],[580C]])*B$4/B$5+B$6</f>
        <v>920</v>
      </c>
      <c r="J364">
        <f>HEX2DEC(_0811_173439[[#This Row],[4402]])*C$4/C$5+C$6</f>
        <v>36</v>
      </c>
      <c r="K364">
        <f>HEX2DEC(_0811_173439[[#This Row],[580F]])*D$4/D$5+D$6</f>
        <v>30</v>
      </c>
      <c r="L364">
        <f>ROUND(HEX2DEC(_0811_173439[[#This Row],[58F0]])*E$4/E$5+E$6,0)</f>
        <v>71</v>
      </c>
      <c r="M364">
        <f>ROUND(HEX2DEC(_0811_173439[[#This Row],[5805]])*F$4/F$5+F$6,0)</f>
        <v>42</v>
      </c>
      <c r="N364">
        <f>ROUND(HEX2DEC(_0811_173439[[#This Row],[58DD]])*G$4/G$5+G$6,2)</f>
        <v>-0.02</v>
      </c>
      <c r="P364">
        <v>920</v>
      </c>
      <c r="Q364">
        <v>36</v>
      </c>
      <c r="R364">
        <v>30</v>
      </c>
      <c r="S364">
        <v>71</v>
      </c>
      <c r="T364">
        <v>42</v>
      </c>
      <c r="U364">
        <v>-0.02</v>
      </c>
      <c r="W364">
        <f>DataLog_T717420_Aug11_4_59_37pm[[#This Row],[RPM '[1/MIN']]]-Table3[[#This Row],[580C]]</f>
        <v>0</v>
      </c>
      <c r="X364">
        <f>DataLog_T717420_Aug11_4_59_37pm[[#This Row],[OIL TEMP '[Â°C']]]-Table3[[#This Row],[4402]]</f>
        <v>0</v>
      </c>
      <c r="Y364">
        <f>DataLog_T717420_Aug11_4_59_37pm[[#This Row],[INTAKE TEMP '[Â°C']]]-Table3[[#This Row],[580F]]</f>
        <v>0</v>
      </c>
      <c r="Z364">
        <f>DataLog_T717420_Aug11_4_59_37pm[[#This Row],[HPFP PRES. '[BAR']]]-Table3[[#This Row],[58F0]]</f>
        <v>0</v>
      </c>
      <c r="AA364">
        <f>DataLog_T717420_Aug11_4_59_37pm[[#This Row],[COOLANT TEMP '[Â°C']]]-Table3[[#This Row],[5805]]</f>
        <v>0</v>
      </c>
      <c r="AB364">
        <f>DataLog_T717420_Aug11_4_59_37pm[[#This Row],[BOOST '[BAR']]]-Table3[[#This Row],[58DD]]</f>
        <v>0</v>
      </c>
    </row>
    <row r="365" spans="2:28" x14ac:dyDescent="0.25">
      <c r="B365" s="2" t="s">
        <v>69</v>
      </c>
      <c r="C365" s="2" t="s">
        <v>30</v>
      </c>
      <c r="D365" s="2" t="s">
        <v>151</v>
      </c>
      <c r="E365" s="2" t="s">
        <v>159</v>
      </c>
      <c r="F365" s="2" t="s">
        <v>26</v>
      </c>
      <c r="G365" s="2" t="s">
        <v>28</v>
      </c>
      <c r="I365">
        <f>HEX2DEC(_0811_173439[[#This Row],[580C]])*B$4/B$5+B$6</f>
        <v>920</v>
      </c>
      <c r="J365">
        <f>HEX2DEC(_0811_173439[[#This Row],[4402]])*C$4/C$5+C$6</f>
        <v>36</v>
      </c>
      <c r="K365">
        <f>HEX2DEC(_0811_173439[[#This Row],[580F]])*D$4/D$5+D$6</f>
        <v>30</v>
      </c>
      <c r="L365">
        <f>ROUND(HEX2DEC(_0811_173439[[#This Row],[58F0]])*E$4/E$5+E$6,0)</f>
        <v>70</v>
      </c>
      <c r="M365">
        <f>ROUND(HEX2DEC(_0811_173439[[#This Row],[5805]])*F$4/F$5+F$6,0)</f>
        <v>42</v>
      </c>
      <c r="N365">
        <f>ROUND(HEX2DEC(_0811_173439[[#This Row],[58DD]])*G$4/G$5+G$6,2)</f>
        <v>-0.02</v>
      </c>
      <c r="P365">
        <v>920</v>
      </c>
      <c r="Q365">
        <v>36</v>
      </c>
      <c r="R365">
        <v>30</v>
      </c>
      <c r="S365">
        <v>70</v>
      </c>
      <c r="T365">
        <v>42</v>
      </c>
      <c r="U365">
        <v>-0.02</v>
      </c>
      <c r="W365">
        <f>DataLog_T717420_Aug11_4_59_37pm[[#This Row],[RPM '[1/MIN']]]-Table3[[#This Row],[580C]]</f>
        <v>0</v>
      </c>
      <c r="X365">
        <f>DataLog_T717420_Aug11_4_59_37pm[[#This Row],[OIL TEMP '[Â°C']]]-Table3[[#This Row],[4402]]</f>
        <v>0</v>
      </c>
      <c r="Y365">
        <f>DataLog_T717420_Aug11_4_59_37pm[[#This Row],[INTAKE TEMP '[Â°C']]]-Table3[[#This Row],[580F]]</f>
        <v>0</v>
      </c>
      <c r="Z365">
        <f>DataLog_T717420_Aug11_4_59_37pm[[#This Row],[HPFP PRES. '[BAR']]]-Table3[[#This Row],[58F0]]</f>
        <v>0</v>
      </c>
      <c r="AA365">
        <f>DataLog_T717420_Aug11_4_59_37pm[[#This Row],[COOLANT TEMP '[Â°C']]]-Table3[[#This Row],[5805]]</f>
        <v>0</v>
      </c>
      <c r="AB365">
        <f>DataLog_T717420_Aug11_4_59_37pm[[#This Row],[BOOST '[BAR']]]-Table3[[#This Row],[58DD]]</f>
        <v>0</v>
      </c>
    </row>
    <row r="366" spans="2:28" x14ac:dyDescent="0.25">
      <c r="B366" s="2" t="s">
        <v>160</v>
      </c>
      <c r="C366" s="2" t="s">
        <v>30</v>
      </c>
      <c r="D366" s="2" t="s">
        <v>151</v>
      </c>
      <c r="E366" s="2" t="s">
        <v>127</v>
      </c>
      <c r="F366" s="2" t="s">
        <v>26</v>
      </c>
      <c r="G366" s="2" t="s">
        <v>28</v>
      </c>
      <c r="I366">
        <f>HEX2DEC(_0811_173439[[#This Row],[580C]])*B$4/B$5+B$6</f>
        <v>880</v>
      </c>
      <c r="J366">
        <f>HEX2DEC(_0811_173439[[#This Row],[4402]])*C$4/C$5+C$6</f>
        <v>36</v>
      </c>
      <c r="K366">
        <f>HEX2DEC(_0811_173439[[#This Row],[580F]])*D$4/D$5+D$6</f>
        <v>30</v>
      </c>
      <c r="L366">
        <f>ROUND(HEX2DEC(_0811_173439[[#This Row],[58F0]])*E$4/E$5+E$6,0)</f>
        <v>70</v>
      </c>
      <c r="M366">
        <f>ROUND(HEX2DEC(_0811_173439[[#This Row],[5805]])*F$4/F$5+F$6,0)</f>
        <v>42</v>
      </c>
      <c r="N366">
        <f>ROUND(HEX2DEC(_0811_173439[[#This Row],[58DD]])*G$4/G$5+G$6,2)</f>
        <v>-0.02</v>
      </c>
      <c r="P366">
        <v>880</v>
      </c>
      <c r="Q366">
        <v>36</v>
      </c>
      <c r="R366">
        <v>30</v>
      </c>
      <c r="S366">
        <v>70</v>
      </c>
      <c r="T366">
        <v>42</v>
      </c>
      <c r="U366">
        <v>-0.02</v>
      </c>
      <c r="W366">
        <f>DataLog_T717420_Aug11_4_59_37pm[[#This Row],[RPM '[1/MIN']]]-Table3[[#This Row],[580C]]</f>
        <v>0</v>
      </c>
      <c r="X366">
        <f>DataLog_T717420_Aug11_4_59_37pm[[#This Row],[OIL TEMP '[Â°C']]]-Table3[[#This Row],[4402]]</f>
        <v>0</v>
      </c>
      <c r="Y366">
        <f>DataLog_T717420_Aug11_4_59_37pm[[#This Row],[INTAKE TEMP '[Â°C']]]-Table3[[#This Row],[580F]]</f>
        <v>0</v>
      </c>
      <c r="Z366">
        <f>DataLog_T717420_Aug11_4_59_37pm[[#This Row],[HPFP PRES. '[BAR']]]-Table3[[#This Row],[58F0]]</f>
        <v>0</v>
      </c>
      <c r="AA366">
        <f>DataLog_T717420_Aug11_4_59_37pm[[#This Row],[COOLANT TEMP '[Â°C']]]-Table3[[#This Row],[5805]]</f>
        <v>0</v>
      </c>
      <c r="AB366">
        <f>DataLog_T717420_Aug11_4_59_37pm[[#This Row],[BOOST '[BAR']]]-Table3[[#This Row],[58DD]]</f>
        <v>0</v>
      </c>
    </row>
    <row r="367" spans="2:28" x14ac:dyDescent="0.25">
      <c r="B367" s="2" t="s">
        <v>160</v>
      </c>
      <c r="C367" s="2" t="s">
        <v>30</v>
      </c>
      <c r="D367" s="2" t="s">
        <v>151</v>
      </c>
      <c r="E367" s="2" t="s">
        <v>156</v>
      </c>
      <c r="F367" s="2" t="s">
        <v>26</v>
      </c>
      <c r="G367" s="2" t="s">
        <v>28</v>
      </c>
      <c r="I367">
        <f>HEX2DEC(_0811_173439[[#This Row],[580C]])*B$4/B$5+B$6</f>
        <v>880</v>
      </c>
      <c r="J367">
        <f>HEX2DEC(_0811_173439[[#This Row],[4402]])*C$4/C$5+C$6</f>
        <v>36</v>
      </c>
      <c r="K367">
        <f>HEX2DEC(_0811_173439[[#This Row],[580F]])*D$4/D$5+D$6</f>
        <v>30</v>
      </c>
      <c r="L367">
        <f>ROUND(HEX2DEC(_0811_173439[[#This Row],[58F0]])*E$4/E$5+E$6,0)</f>
        <v>70</v>
      </c>
      <c r="M367">
        <f>ROUND(HEX2DEC(_0811_173439[[#This Row],[5805]])*F$4/F$5+F$6,0)</f>
        <v>42</v>
      </c>
      <c r="N367">
        <f>ROUND(HEX2DEC(_0811_173439[[#This Row],[58DD]])*G$4/G$5+G$6,2)</f>
        <v>-0.02</v>
      </c>
      <c r="P367">
        <v>880</v>
      </c>
      <c r="Q367">
        <v>36</v>
      </c>
      <c r="R367">
        <v>30</v>
      </c>
      <c r="S367">
        <v>70</v>
      </c>
      <c r="T367">
        <v>42</v>
      </c>
      <c r="U367">
        <v>-0.02</v>
      </c>
      <c r="W367">
        <f>DataLog_T717420_Aug11_4_59_37pm[[#This Row],[RPM '[1/MIN']]]-Table3[[#This Row],[580C]]</f>
        <v>0</v>
      </c>
      <c r="X367">
        <f>DataLog_T717420_Aug11_4_59_37pm[[#This Row],[OIL TEMP '[Â°C']]]-Table3[[#This Row],[4402]]</f>
        <v>0</v>
      </c>
      <c r="Y367">
        <f>DataLog_T717420_Aug11_4_59_37pm[[#This Row],[INTAKE TEMP '[Â°C']]]-Table3[[#This Row],[580F]]</f>
        <v>0</v>
      </c>
      <c r="Z367">
        <f>DataLog_T717420_Aug11_4_59_37pm[[#This Row],[HPFP PRES. '[BAR']]]-Table3[[#This Row],[58F0]]</f>
        <v>0</v>
      </c>
      <c r="AA367">
        <f>DataLog_T717420_Aug11_4_59_37pm[[#This Row],[COOLANT TEMP '[Â°C']]]-Table3[[#This Row],[5805]]</f>
        <v>0</v>
      </c>
      <c r="AB367">
        <f>DataLog_T717420_Aug11_4_59_37pm[[#This Row],[BOOST '[BAR']]]-Table3[[#This Row],[58DD]]</f>
        <v>0</v>
      </c>
    </row>
    <row r="368" spans="2:28" x14ac:dyDescent="0.25">
      <c r="B368" s="2" t="s">
        <v>160</v>
      </c>
      <c r="C368" s="2" t="s">
        <v>30</v>
      </c>
      <c r="D368" s="2" t="s">
        <v>151</v>
      </c>
      <c r="E368" s="2" t="s">
        <v>161</v>
      </c>
      <c r="F368" s="2" t="s">
        <v>26</v>
      </c>
      <c r="G368" s="2" t="s">
        <v>28</v>
      </c>
      <c r="I368">
        <f>HEX2DEC(_0811_173439[[#This Row],[580C]])*B$4/B$5+B$6</f>
        <v>880</v>
      </c>
      <c r="J368">
        <f>HEX2DEC(_0811_173439[[#This Row],[4402]])*C$4/C$5+C$6</f>
        <v>36</v>
      </c>
      <c r="K368">
        <f>HEX2DEC(_0811_173439[[#This Row],[580F]])*D$4/D$5+D$6</f>
        <v>30</v>
      </c>
      <c r="L368">
        <f>ROUND(HEX2DEC(_0811_173439[[#This Row],[58F0]])*E$4/E$5+E$6,0)</f>
        <v>71</v>
      </c>
      <c r="M368">
        <f>ROUND(HEX2DEC(_0811_173439[[#This Row],[5805]])*F$4/F$5+F$6,0)</f>
        <v>42</v>
      </c>
      <c r="N368">
        <f>ROUND(HEX2DEC(_0811_173439[[#This Row],[58DD]])*G$4/G$5+G$6,2)</f>
        <v>-0.02</v>
      </c>
      <c r="P368">
        <v>880</v>
      </c>
      <c r="Q368">
        <v>36</v>
      </c>
      <c r="R368">
        <v>30</v>
      </c>
      <c r="S368">
        <v>71</v>
      </c>
      <c r="T368">
        <v>42</v>
      </c>
      <c r="U368">
        <v>-0.02</v>
      </c>
      <c r="W368">
        <f>DataLog_T717420_Aug11_4_59_37pm[[#This Row],[RPM '[1/MIN']]]-Table3[[#This Row],[580C]]</f>
        <v>0</v>
      </c>
      <c r="X368">
        <f>DataLog_T717420_Aug11_4_59_37pm[[#This Row],[OIL TEMP '[Â°C']]]-Table3[[#This Row],[4402]]</f>
        <v>0</v>
      </c>
      <c r="Y368">
        <f>DataLog_T717420_Aug11_4_59_37pm[[#This Row],[INTAKE TEMP '[Â°C']]]-Table3[[#This Row],[580F]]</f>
        <v>0</v>
      </c>
      <c r="Z368">
        <f>DataLog_T717420_Aug11_4_59_37pm[[#This Row],[HPFP PRES. '[BAR']]]-Table3[[#This Row],[58F0]]</f>
        <v>0</v>
      </c>
      <c r="AA368">
        <f>DataLog_T717420_Aug11_4_59_37pm[[#This Row],[COOLANT TEMP '[Â°C']]]-Table3[[#This Row],[5805]]</f>
        <v>0</v>
      </c>
      <c r="AB368">
        <f>DataLog_T717420_Aug11_4_59_37pm[[#This Row],[BOOST '[BAR']]]-Table3[[#This Row],[58DD]]</f>
        <v>0</v>
      </c>
    </row>
    <row r="369" spans="2:28" x14ac:dyDescent="0.25">
      <c r="B369" s="2" t="s">
        <v>69</v>
      </c>
      <c r="C369" s="2" t="s">
        <v>30</v>
      </c>
      <c r="D369" s="2" t="s">
        <v>151</v>
      </c>
      <c r="E369" s="2" t="s">
        <v>93</v>
      </c>
      <c r="F369" s="2" t="s">
        <v>26</v>
      </c>
      <c r="G369" s="2" t="s">
        <v>28</v>
      </c>
      <c r="I369">
        <f>HEX2DEC(_0811_173439[[#This Row],[580C]])*B$4/B$5+B$6</f>
        <v>920</v>
      </c>
      <c r="J369">
        <f>HEX2DEC(_0811_173439[[#This Row],[4402]])*C$4/C$5+C$6</f>
        <v>36</v>
      </c>
      <c r="K369">
        <f>HEX2DEC(_0811_173439[[#This Row],[580F]])*D$4/D$5+D$6</f>
        <v>30</v>
      </c>
      <c r="L369">
        <f>ROUND(HEX2DEC(_0811_173439[[#This Row],[58F0]])*E$4/E$5+E$6,0)</f>
        <v>70</v>
      </c>
      <c r="M369">
        <f>ROUND(HEX2DEC(_0811_173439[[#This Row],[5805]])*F$4/F$5+F$6,0)</f>
        <v>42</v>
      </c>
      <c r="N369">
        <f>ROUND(HEX2DEC(_0811_173439[[#This Row],[58DD]])*G$4/G$5+G$6,2)</f>
        <v>-0.02</v>
      </c>
      <c r="P369">
        <v>920</v>
      </c>
      <c r="Q369">
        <v>36</v>
      </c>
      <c r="R369">
        <v>30</v>
      </c>
      <c r="S369">
        <v>70</v>
      </c>
      <c r="T369">
        <v>42</v>
      </c>
      <c r="U369">
        <v>-0.02</v>
      </c>
      <c r="W369">
        <f>DataLog_T717420_Aug11_4_59_37pm[[#This Row],[RPM '[1/MIN']]]-Table3[[#This Row],[580C]]</f>
        <v>0</v>
      </c>
      <c r="X369">
        <f>DataLog_T717420_Aug11_4_59_37pm[[#This Row],[OIL TEMP '[Â°C']]]-Table3[[#This Row],[4402]]</f>
        <v>0</v>
      </c>
      <c r="Y369">
        <f>DataLog_T717420_Aug11_4_59_37pm[[#This Row],[INTAKE TEMP '[Â°C']]]-Table3[[#This Row],[580F]]</f>
        <v>0</v>
      </c>
      <c r="Z369">
        <f>DataLog_T717420_Aug11_4_59_37pm[[#This Row],[HPFP PRES. '[BAR']]]-Table3[[#This Row],[58F0]]</f>
        <v>0</v>
      </c>
      <c r="AA369">
        <f>DataLog_T717420_Aug11_4_59_37pm[[#This Row],[COOLANT TEMP '[Â°C']]]-Table3[[#This Row],[5805]]</f>
        <v>0</v>
      </c>
      <c r="AB369">
        <f>DataLog_T717420_Aug11_4_59_37pm[[#This Row],[BOOST '[BAR']]]-Table3[[#This Row],[58DD]]</f>
        <v>0</v>
      </c>
    </row>
    <row r="370" spans="2:28" x14ac:dyDescent="0.25">
      <c r="B370" s="2" t="s">
        <v>160</v>
      </c>
      <c r="C370" s="2" t="s">
        <v>30</v>
      </c>
      <c r="D370" s="2" t="s">
        <v>151</v>
      </c>
      <c r="E370" s="2" t="s">
        <v>162</v>
      </c>
      <c r="F370" s="2" t="s">
        <v>26</v>
      </c>
      <c r="G370" s="2" t="s">
        <v>28</v>
      </c>
      <c r="I370">
        <f>HEX2DEC(_0811_173439[[#This Row],[580C]])*B$4/B$5+B$6</f>
        <v>880</v>
      </c>
      <c r="J370">
        <f>HEX2DEC(_0811_173439[[#This Row],[4402]])*C$4/C$5+C$6</f>
        <v>36</v>
      </c>
      <c r="K370">
        <f>HEX2DEC(_0811_173439[[#This Row],[580F]])*D$4/D$5+D$6</f>
        <v>30</v>
      </c>
      <c r="L370">
        <f>ROUND(HEX2DEC(_0811_173439[[#This Row],[58F0]])*E$4/E$5+E$6,0)</f>
        <v>71</v>
      </c>
      <c r="M370">
        <f>ROUND(HEX2DEC(_0811_173439[[#This Row],[5805]])*F$4/F$5+F$6,0)</f>
        <v>42</v>
      </c>
      <c r="N370">
        <f>ROUND(HEX2DEC(_0811_173439[[#This Row],[58DD]])*G$4/G$5+G$6,2)</f>
        <v>-0.02</v>
      </c>
      <c r="P370">
        <v>880</v>
      </c>
      <c r="Q370">
        <v>36</v>
      </c>
      <c r="R370">
        <v>30</v>
      </c>
      <c r="S370">
        <v>71</v>
      </c>
      <c r="T370">
        <v>42</v>
      </c>
      <c r="U370">
        <v>-0.02</v>
      </c>
      <c r="W370">
        <f>DataLog_T717420_Aug11_4_59_37pm[[#This Row],[RPM '[1/MIN']]]-Table3[[#This Row],[580C]]</f>
        <v>0</v>
      </c>
      <c r="X370">
        <f>DataLog_T717420_Aug11_4_59_37pm[[#This Row],[OIL TEMP '[Â°C']]]-Table3[[#This Row],[4402]]</f>
        <v>0</v>
      </c>
      <c r="Y370">
        <f>DataLog_T717420_Aug11_4_59_37pm[[#This Row],[INTAKE TEMP '[Â°C']]]-Table3[[#This Row],[580F]]</f>
        <v>0</v>
      </c>
      <c r="Z370">
        <f>DataLog_T717420_Aug11_4_59_37pm[[#This Row],[HPFP PRES. '[BAR']]]-Table3[[#This Row],[58F0]]</f>
        <v>0</v>
      </c>
      <c r="AA370">
        <f>DataLog_T717420_Aug11_4_59_37pm[[#This Row],[COOLANT TEMP '[Â°C']]]-Table3[[#This Row],[5805]]</f>
        <v>0</v>
      </c>
      <c r="AB370">
        <f>DataLog_T717420_Aug11_4_59_37pm[[#This Row],[BOOST '[BAR']]]-Table3[[#This Row],[58DD]]</f>
        <v>0</v>
      </c>
    </row>
    <row r="371" spans="2:28" x14ac:dyDescent="0.25">
      <c r="B371" s="2" t="s">
        <v>69</v>
      </c>
      <c r="C371" s="2" t="s">
        <v>30</v>
      </c>
      <c r="D371" s="2" t="s">
        <v>151</v>
      </c>
      <c r="E371" s="2" t="s">
        <v>132</v>
      </c>
      <c r="F371" s="2" t="s">
        <v>26</v>
      </c>
      <c r="G371" s="2" t="s">
        <v>28</v>
      </c>
      <c r="I371">
        <f>HEX2DEC(_0811_173439[[#This Row],[580C]])*B$4/B$5+B$6</f>
        <v>920</v>
      </c>
      <c r="J371">
        <f>HEX2DEC(_0811_173439[[#This Row],[4402]])*C$4/C$5+C$6</f>
        <v>36</v>
      </c>
      <c r="K371">
        <f>HEX2DEC(_0811_173439[[#This Row],[580F]])*D$4/D$5+D$6</f>
        <v>30</v>
      </c>
      <c r="L371">
        <f>ROUND(HEX2DEC(_0811_173439[[#This Row],[58F0]])*E$4/E$5+E$6,0)</f>
        <v>70</v>
      </c>
      <c r="M371">
        <f>ROUND(HEX2DEC(_0811_173439[[#This Row],[5805]])*F$4/F$5+F$6,0)</f>
        <v>42</v>
      </c>
      <c r="N371">
        <f>ROUND(HEX2DEC(_0811_173439[[#This Row],[58DD]])*G$4/G$5+G$6,2)</f>
        <v>-0.02</v>
      </c>
      <c r="P371">
        <v>920</v>
      </c>
      <c r="Q371">
        <v>36</v>
      </c>
      <c r="R371">
        <v>30</v>
      </c>
      <c r="S371">
        <v>70</v>
      </c>
      <c r="T371">
        <v>42</v>
      </c>
      <c r="U371">
        <v>-0.02</v>
      </c>
      <c r="W371">
        <f>DataLog_T717420_Aug11_4_59_37pm[[#This Row],[RPM '[1/MIN']]]-Table3[[#This Row],[580C]]</f>
        <v>0</v>
      </c>
      <c r="X371">
        <f>DataLog_T717420_Aug11_4_59_37pm[[#This Row],[OIL TEMP '[Â°C']]]-Table3[[#This Row],[4402]]</f>
        <v>0</v>
      </c>
      <c r="Y371">
        <f>DataLog_T717420_Aug11_4_59_37pm[[#This Row],[INTAKE TEMP '[Â°C']]]-Table3[[#This Row],[580F]]</f>
        <v>0</v>
      </c>
      <c r="Z371">
        <f>DataLog_T717420_Aug11_4_59_37pm[[#This Row],[HPFP PRES. '[BAR']]]-Table3[[#This Row],[58F0]]</f>
        <v>0</v>
      </c>
      <c r="AA371">
        <f>DataLog_T717420_Aug11_4_59_37pm[[#This Row],[COOLANT TEMP '[Â°C']]]-Table3[[#This Row],[5805]]</f>
        <v>0</v>
      </c>
      <c r="AB371">
        <f>DataLog_T717420_Aug11_4_59_37pm[[#This Row],[BOOST '[BAR']]]-Table3[[#This Row],[58DD]]</f>
        <v>0</v>
      </c>
    </row>
    <row r="372" spans="2:28" x14ac:dyDescent="0.25">
      <c r="B372" s="2" t="s">
        <v>69</v>
      </c>
      <c r="C372" s="2" t="s">
        <v>30</v>
      </c>
      <c r="D372" s="2" t="s">
        <v>151</v>
      </c>
      <c r="E372" s="2" t="s">
        <v>163</v>
      </c>
      <c r="F372" s="2" t="s">
        <v>26</v>
      </c>
      <c r="G372" s="2" t="s">
        <v>28</v>
      </c>
      <c r="I372">
        <f>HEX2DEC(_0811_173439[[#This Row],[580C]])*B$4/B$5+B$6</f>
        <v>920</v>
      </c>
      <c r="J372">
        <f>HEX2DEC(_0811_173439[[#This Row],[4402]])*C$4/C$5+C$6</f>
        <v>36</v>
      </c>
      <c r="K372">
        <f>HEX2DEC(_0811_173439[[#This Row],[580F]])*D$4/D$5+D$6</f>
        <v>30</v>
      </c>
      <c r="L372">
        <f>ROUND(HEX2DEC(_0811_173439[[#This Row],[58F0]])*E$4/E$5+E$6,0)</f>
        <v>70</v>
      </c>
      <c r="M372">
        <f>ROUND(HEX2DEC(_0811_173439[[#This Row],[5805]])*F$4/F$5+F$6,0)</f>
        <v>42</v>
      </c>
      <c r="N372">
        <f>ROUND(HEX2DEC(_0811_173439[[#This Row],[58DD]])*G$4/G$5+G$6,2)</f>
        <v>-0.02</v>
      </c>
      <c r="P372">
        <v>920</v>
      </c>
      <c r="Q372">
        <v>36</v>
      </c>
      <c r="R372">
        <v>30</v>
      </c>
      <c r="S372">
        <v>70</v>
      </c>
      <c r="T372">
        <v>42</v>
      </c>
      <c r="U372">
        <v>-0.02</v>
      </c>
      <c r="W372">
        <f>DataLog_T717420_Aug11_4_59_37pm[[#This Row],[RPM '[1/MIN']]]-Table3[[#This Row],[580C]]</f>
        <v>0</v>
      </c>
      <c r="X372">
        <f>DataLog_T717420_Aug11_4_59_37pm[[#This Row],[OIL TEMP '[Â°C']]]-Table3[[#This Row],[4402]]</f>
        <v>0</v>
      </c>
      <c r="Y372">
        <f>DataLog_T717420_Aug11_4_59_37pm[[#This Row],[INTAKE TEMP '[Â°C']]]-Table3[[#This Row],[580F]]</f>
        <v>0</v>
      </c>
      <c r="Z372">
        <f>DataLog_T717420_Aug11_4_59_37pm[[#This Row],[HPFP PRES. '[BAR']]]-Table3[[#This Row],[58F0]]</f>
        <v>0</v>
      </c>
      <c r="AA372">
        <f>DataLog_T717420_Aug11_4_59_37pm[[#This Row],[COOLANT TEMP '[Â°C']]]-Table3[[#This Row],[5805]]</f>
        <v>0</v>
      </c>
      <c r="AB372">
        <f>DataLog_T717420_Aug11_4_59_37pm[[#This Row],[BOOST '[BAR']]]-Table3[[#This Row],[58DD]]</f>
        <v>0</v>
      </c>
    </row>
    <row r="373" spans="2:28" x14ac:dyDescent="0.25">
      <c r="B373" s="2" t="s">
        <v>160</v>
      </c>
      <c r="C373" s="2" t="s">
        <v>30</v>
      </c>
      <c r="D373" s="2" t="s">
        <v>151</v>
      </c>
      <c r="E373" s="2" t="s">
        <v>158</v>
      </c>
      <c r="F373" s="2" t="s">
        <v>26</v>
      </c>
      <c r="G373" s="2" t="s">
        <v>164</v>
      </c>
      <c r="I373">
        <f>HEX2DEC(_0811_173439[[#This Row],[580C]])*B$4/B$5+B$6</f>
        <v>880</v>
      </c>
      <c r="J373">
        <f>HEX2DEC(_0811_173439[[#This Row],[4402]])*C$4/C$5+C$6</f>
        <v>36</v>
      </c>
      <c r="K373">
        <f>HEX2DEC(_0811_173439[[#This Row],[580F]])*D$4/D$5+D$6</f>
        <v>30</v>
      </c>
      <c r="L373">
        <f>ROUND(HEX2DEC(_0811_173439[[#This Row],[58F0]])*E$4/E$5+E$6,0)</f>
        <v>70</v>
      </c>
      <c r="M373">
        <f>ROUND(HEX2DEC(_0811_173439[[#This Row],[5805]])*F$4/F$5+F$6,0)</f>
        <v>42</v>
      </c>
      <c r="N373">
        <f>ROUND(HEX2DEC(_0811_173439[[#This Row],[58DD]])*G$4/G$5+G$6,2)</f>
        <v>-0.02</v>
      </c>
      <c r="P373">
        <v>880</v>
      </c>
      <c r="Q373">
        <v>36</v>
      </c>
      <c r="R373">
        <v>30</v>
      </c>
      <c r="S373">
        <v>70</v>
      </c>
      <c r="T373">
        <v>42</v>
      </c>
      <c r="U373">
        <v>-0.02</v>
      </c>
      <c r="W373">
        <f>DataLog_T717420_Aug11_4_59_37pm[[#This Row],[RPM '[1/MIN']]]-Table3[[#This Row],[580C]]</f>
        <v>0</v>
      </c>
      <c r="X373">
        <f>DataLog_T717420_Aug11_4_59_37pm[[#This Row],[OIL TEMP '[Â°C']]]-Table3[[#This Row],[4402]]</f>
        <v>0</v>
      </c>
      <c r="Y373">
        <f>DataLog_T717420_Aug11_4_59_37pm[[#This Row],[INTAKE TEMP '[Â°C']]]-Table3[[#This Row],[580F]]</f>
        <v>0</v>
      </c>
      <c r="Z373">
        <f>DataLog_T717420_Aug11_4_59_37pm[[#This Row],[HPFP PRES. '[BAR']]]-Table3[[#This Row],[58F0]]</f>
        <v>0</v>
      </c>
      <c r="AA373">
        <f>DataLog_T717420_Aug11_4_59_37pm[[#This Row],[COOLANT TEMP '[Â°C']]]-Table3[[#This Row],[5805]]</f>
        <v>0</v>
      </c>
      <c r="AB373">
        <f>DataLog_T717420_Aug11_4_59_37pm[[#This Row],[BOOST '[BAR']]]-Table3[[#This Row],[58DD]]</f>
        <v>0</v>
      </c>
    </row>
    <row r="374" spans="2:28" x14ac:dyDescent="0.25">
      <c r="B374" s="2" t="s">
        <v>160</v>
      </c>
      <c r="C374" s="2" t="s">
        <v>30</v>
      </c>
      <c r="D374" s="2" t="s">
        <v>151</v>
      </c>
      <c r="E374" s="2" t="s">
        <v>165</v>
      </c>
      <c r="F374" s="2" t="s">
        <v>26</v>
      </c>
      <c r="G374" s="2" t="s">
        <v>164</v>
      </c>
      <c r="I374">
        <f>HEX2DEC(_0811_173439[[#This Row],[580C]])*B$4/B$5+B$6</f>
        <v>880</v>
      </c>
      <c r="J374">
        <f>HEX2DEC(_0811_173439[[#This Row],[4402]])*C$4/C$5+C$6</f>
        <v>36</v>
      </c>
      <c r="K374">
        <f>HEX2DEC(_0811_173439[[#This Row],[580F]])*D$4/D$5+D$6</f>
        <v>30</v>
      </c>
      <c r="L374">
        <f>ROUND(HEX2DEC(_0811_173439[[#This Row],[58F0]])*E$4/E$5+E$6,0)</f>
        <v>70</v>
      </c>
      <c r="M374">
        <f>ROUND(HEX2DEC(_0811_173439[[#This Row],[5805]])*F$4/F$5+F$6,0)</f>
        <v>42</v>
      </c>
      <c r="N374">
        <f>ROUND(HEX2DEC(_0811_173439[[#This Row],[58DD]])*G$4/G$5+G$6,2)</f>
        <v>-0.02</v>
      </c>
      <c r="P374">
        <v>880</v>
      </c>
      <c r="Q374">
        <v>36</v>
      </c>
      <c r="R374">
        <v>30</v>
      </c>
      <c r="S374">
        <v>70</v>
      </c>
      <c r="T374">
        <v>42</v>
      </c>
      <c r="U374">
        <v>-0.02</v>
      </c>
      <c r="W374">
        <f>DataLog_T717420_Aug11_4_59_37pm[[#This Row],[RPM '[1/MIN']]]-Table3[[#This Row],[580C]]</f>
        <v>0</v>
      </c>
      <c r="X374">
        <f>DataLog_T717420_Aug11_4_59_37pm[[#This Row],[OIL TEMP '[Â°C']]]-Table3[[#This Row],[4402]]</f>
        <v>0</v>
      </c>
      <c r="Y374">
        <f>DataLog_T717420_Aug11_4_59_37pm[[#This Row],[INTAKE TEMP '[Â°C']]]-Table3[[#This Row],[580F]]</f>
        <v>0</v>
      </c>
      <c r="Z374">
        <f>DataLog_T717420_Aug11_4_59_37pm[[#This Row],[HPFP PRES. '[BAR']]]-Table3[[#This Row],[58F0]]</f>
        <v>0</v>
      </c>
      <c r="AA374">
        <f>DataLog_T717420_Aug11_4_59_37pm[[#This Row],[COOLANT TEMP '[Â°C']]]-Table3[[#This Row],[5805]]</f>
        <v>0</v>
      </c>
      <c r="AB374">
        <f>DataLog_T717420_Aug11_4_59_37pm[[#This Row],[BOOST '[BAR']]]-Table3[[#This Row],[58DD]]</f>
        <v>0</v>
      </c>
    </row>
    <row r="375" spans="2:28" x14ac:dyDescent="0.25">
      <c r="B375" s="2" t="s">
        <v>160</v>
      </c>
      <c r="C375" s="2" t="s">
        <v>30</v>
      </c>
      <c r="D375" s="2" t="s">
        <v>151</v>
      </c>
      <c r="E375" s="2" t="s">
        <v>166</v>
      </c>
      <c r="F375" s="2" t="s">
        <v>26</v>
      </c>
      <c r="G375" s="2" t="s">
        <v>164</v>
      </c>
      <c r="I375">
        <f>HEX2DEC(_0811_173439[[#This Row],[580C]])*B$4/B$5+B$6</f>
        <v>880</v>
      </c>
      <c r="J375">
        <f>HEX2DEC(_0811_173439[[#This Row],[4402]])*C$4/C$5+C$6</f>
        <v>36</v>
      </c>
      <c r="K375">
        <f>HEX2DEC(_0811_173439[[#This Row],[580F]])*D$4/D$5+D$6</f>
        <v>30</v>
      </c>
      <c r="L375">
        <f>ROUND(HEX2DEC(_0811_173439[[#This Row],[58F0]])*E$4/E$5+E$6,0)</f>
        <v>71</v>
      </c>
      <c r="M375">
        <f>ROUND(HEX2DEC(_0811_173439[[#This Row],[5805]])*F$4/F$5+F$6,0)</f>
        <v>42</v>
      </c>
      <c r="N375">
        <f>ROUND(HEX2DEC(_0811_173439[[#This Row],[58DD]])*G$4/G$5+G$6,2)</f>
        <v>-0.02</v>
      </c>
      <c r="P375">
        <v>880</v>
      </c>
      <c r="Q375">
        <v>36</v>
      </c>
      <c r="R375">
        <v>30</v>
      </c>
      <c r="S375">
        <v>71</v>
      </c>
      <c r="T375">
        <v>42</v>
      </c>
      <c r="U375">
        <v>-0.02</v>
      </c>
      <c r="W375">
        <f>DataLog_T717420_Aug11_4_59_37pm[[#This Row],[RPM '[1/MIN']]]-Table3[[#This Row],[580C]]</f>
        <v>0</v>
      </c>
      <c r="X375">
        <f>DataLog_T717420_Aug11_4_59_37pm[[#This Row],[OIL TEMP '[Â°C']]]-Table3[[#This Row],[4402]]</f>
        <v>0</v>
      </c>
      <c r="Y375">
        <f>DataLog_T717420_Aug11_4_59_37pm[[#This Row],[INTAKE TEMP '[Â°C']]]-Table3[[#This Row],[580F]]</f>
        <v>0</v>
      </c>
      <c r="Z375">
        <f>DataLog_T717420_Aug11_4_59_37pm[[#This Row],[HPFP PRES. '[BAR']]]-Table3[[#This Row],[58F0]]</f>
        <v>0</v>
      </c>
      <c r="AA375">
        <f>DataLog_T717420_Aug11_4_59_37pm[[#This Row],[COOLANT TEMP '[Â°C']]]-Table3[[#This Row],[5805]]</f>
        <v>0</v>
      </c>
      <c r="AB375">
        <f>DataLog_T717420_Aug11_4_59_37pm[[#This Row],[BOOST '[BAR']]]-Table3[[#This Row],[58DD]]</f>
        <v>0</v>
      </c>
    </row>
    <row r="376" spans="2:28" x14ac:dyDescent="0.25">
      <c r="B376" s="2" t="s">
        <v>160</v>
      </c>
      <c r="C376" s="2" t="s">
        <v>30</v>
      </c>
      <c r="D376" s="2" t="s">
        <v>151</v>
      </c>
      <c r="E376" s="2" t="s">
        <v>167</v>
      </c>
      <c r="F376" s="2" t="s">
        <v>26</v>
      </c>
      <c r="G376" s="2" t="s">
        <v>164</v>
      </c>
      <c r="I376">
        <f>HEX2DEC(_0811_173439[[#This Row],[580C]])*B$4/B$5+B$6</f>
        <v>880</v>
      </c>
      <c r="J376">
        <f>HEX2DEC(_0811_173439[[#This Row],[4402]])*C$4/C$5+C$6</f>
        <v>36</v>
      </c>
      <c r="K376">
        <f>HEX2DEC(_0811_173439[[#This Row],[580F]])*D$4/D$5+D$6</f>
        <v>30</v>
      </c>
      <c r="L376">
        <f>ROUND(HEX2DEC(_0811_173439[[#This Row],[58F0]])*E$4/E$5+E$6,0)</f>
        <v>71</v>
      </c>
      <c r="M376">
        <f>ROUND(HEX2DEC(_0811_173439[[#This Row],[5805]])*F$4/F$5+F$6,0)</f>
        <v>42</v>
      </c>
      <c r="N376">
        <f>ROUND(HEX2DEC(_0811_173439[[#This Row],[58DD]])*G$4/G$5+G$6,2)</f>
        <v>-0.02</v>
      </c>
      <c r="P376">
        <v>880</v>
      </c>
      <c r="Q376">
        <v>36</v>
      </c>
      <c r="R376">
        <v>30</v>
      </c>
      <c r="S376">
        <v>71</v>
      </c>
      <c r="T376">
        <v>42</v>
      </c>
      <c r="U376">
        <v>-0.02</v>
      </c>
      <c r="W376">
        <f>DataLog_T717420_Aug11_4_59_37pm[[#This Row],[RPM '[1/MIN']]]-Table3[[#This Row],[580C]]</f>
        <v>0</v>
      </c>
      <c r="X376">
        <f>DataLog_T717420_Aug11_4_59_37pm[[#This Row],[OIL TEMP '[Â°C']]]-Table3[[#This Row],[4402]]</f>
        <v>0</v>
      </c>
      <c r="Y376">
        <f>DataLog_T717420_Aug11_4_59_37pm[[#This Row],[INTAKE TEMP '[Â°C']]]-Table3[[#This Row],[580F]]</f>
        <v>0</v>
      </c>
      <c r="Z376">
        <f>DataLog_T717420_Aug11_4_59_37pm[[#This Row],[HPFP PRES. '[BAR']]]-Table3[[#This Row],[58F0]]</f>
        <v>0</v>
      </c>
      <c r="AA376">
        <f>DataLog_T717420_Aug11_4_59_37pm[[#This Row],[COOLANT TEMP '[Â°C']]]-Table3[[#This Row],[5805]]</f>
        <v>0</v>
      </c>
      <c r="AB376">
        <f>DataLog_T717420_Aug11_4_59_37pm[[#This Row],[BOOST '[BAR']]]-Table3[[#This Row],[58DD]]</f>
        <v>0</v>
      </c>
    </row>
    <row r="377" spans="2:28" x14ac:dyDescent="0.25">
      <c r="B377" s="2" t="s">
        <v>160</v>
      </c>
      <c r="C377" s="2" t="s">
        <v>30</v>
      </c>
      <c r="D377" s="2" t="s">
        <v>151</v>
      </c>
      <c r="E377" s="2" t="s">
        <v>93</v>
      </c>
      <c r="F377" s="2" t="s">
        <v>26</v>
      </c>
      <c r="G377" s="2" t="s">
        <v>164</v>
      </c>
      <c r="I377">
        <f>HEX2DEC(_0811_173439[[#This Row],[580C]])*B$4/B$5+B$6</f>
        <v>880</v>
      </c>
      <c r="J377">
        <f>HEX2DEC(_0811_173439[[#This Row],[4402]])*C$4/C$5+C$6</f>
        <v>36</v>
      </c>
      <c r="K377">
        <f>HEX2DEC(_0811_173439[[#This Row],[580F]])*D$4/D$5+D$6</f>
        <v>30</v>
      </c>
      <c r="L377">
        <f>ROUND(HEX2DEC(_0811_173439[[#This Row],[58F0]])*E$4/E$5+E$6,0)</f>
        <v>70</v>
      </c>
      <c r="M377">
        <f>ROUND(HEX2DEC(_0811_173439[[#This Row],[5805]])*F$4/F$5+F$6,0)</f>
        <v>42</v>
      </c>
      <c r="N377">
        <f>ROUND(HEX2DEC(_0811_173439[[#This Row],[58DD]])*G$4/G$5+G$6,2)</f>
        <v>-0.02</v>
      </c>
      <c r="P377">
        <v>880</v>
      </c>
      <c r="Q377">
        <v>36</v>
      </c>
      <c r="R377">
        <v>30</v>
      </c>
      <c r="S377">
        <v>70</v>
      </c>
      <c r="T377">
        <v>42</v>
      </c>
      <c r="U377">
        <v>-0.02</v>
      </c>
      <c r="W377">
        <f>DataLog_T717420_Aug11_4_59_37pm[[#This Row],[RPM '[1/MIN']]]-Table3[[#This Row],[580C]]</f>
        <v>0</v>
      </c>
      <c r="X377">
        <f>DataLog_T717420_Aug11_4_59_37pm[[#This Row],[OIL TEMP '[Â°C']]]-Table3[[#This Row],[4402]]</f>
        <v>0</v>
      </c>
      <c r="Y377">
        <f>DataLog_T717420_Aug11_4_59_37pm[[#This Row],[INTAKE TEMP '[Â°C']]]-Table3[[#This Row],[580F]]</f>
        <v>0</v>
      </c>
      <c r="Z377">
        <f>DataLog_T717420_Aug11_4_59_37pm[[#This Row],[HPFP PRES. '[BAR']]]-Table3[[#This Row],[58F0]]</f>
        <v>0</v>
      </c>
      <c r="AA377">
        <f>DataLog_T717420_Aug11_4_59_37pm[[#This Row],[COOLANT TEMP '[Â°C']]]-Table3[[#This Row],[5805]]</f>
        <v>0</v>
      </c>
      <c r="AB377">
        <f>DataLog_T717420_Aug11_4_59_37pm[[#This Row],[BOOST '[BAR']]]-Table3[[#This Row],[58DD]]</f>
        <v>0</v>
      </c>
    </row>
    <row r="378" spans="2:28" x14ac:dyDescent="0.25">
      <c r="B378" s="2" t="s">
        <v>160</v>
      </c>
      <c r="C378" s="2" t="s">
        <v>30</v>
      </c>
      <c r="D378" s="2" t="s">
        <v>151</v>
      </c>
      <c r="E378" s="2" t="s">
        <v>134</v>
      </c>
      <c r="F378" s="2" t="s">
        <v>26</v>
      </c>
      <c r="G378" s="2" t="s">
        <v>168</v>
      </c>
      <c r="I378">
        <f>HEX2DEC(_0811_173439[[#This Row],[580C]])*B$4/B$5+B$6</f>
        <v>880</v>
      </c>
      <c r="J378">
        <f>HEX2DEC(_0811_173439[[#This Row],[4402]])*C$4/C$5+C$6</f>
        <v>36</v>
      </c>
      <c r="K378">
        <f>HEX2DEC(_0811_173439[[#This Row],[580F]])*D$4/D$5+D$6</f>
        <v>30</v>
      </c>
      <c r="L378">
        <f>ROUND(HEX2DEC(_0811_173439[[#This Row],[58F0]])*E$4/E$5+E$6,0)</f>
        <v>70</v>
      </c>
      <c r="M378">
        <f>ROUND(HEX2DEC(_0811_173439[[#This Row],[5805]])*F$4/F$5+F$6,0)</f>
        <v>42</v>
      </c>
      <c r="N378">
        <f>ROUND(HEX2DEC(_0811_173439[[#This Row],[58DD]])*G$4/G$5+G$6,2)</f>
        <v>-0.02</v>
      </c>
      <c r="P378">
        <v>880</v>
      </c>
      <c r="Q378">
        <v>36</v>
      </c>
      <c r="R378">
        <v>30</v>
      </c>
      <c r="S378">
        <v>70</v>
      </c>
      <c r="T378">
        <v>42</v>
      </c>
      <c r="U378">
        <v>-0.03</v>
      </c>
      <c r="W378">
        <f>DataLog_T717420_Aug11_4_59_37pm[[#This Row],[RPM '[1/MIN']]]-Table3[[#This Row],[580C]]</f>
        <v>0</v>
      </c>
      <c r="X378">
        <f>DataLog_T717420_Aug11_4_59_37pm[[#This Row],[OIL TEMP '[Â°C']]]-Table3[[#This Row],[4402]]</f>
        <v>0</v>
      </c>
      <c r="Y378">
        <f>DataLog_T717420_Aug11_4_59_37pm[[#This Row],[INTAKE TEMP '[Â°C']]]-Table3[[#This Row],[580F]]</f>
        <v>0</v>
      </c>
      <c r="Z378">
        <f>DataLog_T717420_Aug11_4_59_37pm[[#This Row],[HPFP PRES. '[BAR']]]-Table3[[#This Row],[58F0]]</f>
        <v>0</v>
      </c>
      <c r="AA378">
        <f>DataLog_T717420_Aug11_4_59_37pm[[#This Row],[COOLANT TEMP '[Â°C']]]-Table3[[#This Row],[5805]]</f>
        <v>0</v>
      </c>
      <c r="AB378">
        <f>DataLog_T717420_Aug11_4_59_37pm[[#This Row],[BOOST '[BAR']]]-Table3[[#This Row],[58DD]]</f>
        <v>-9.9999999999999985E-3</v>
      </c>
    </row>
    <row r="379" spans="2:28" x14ac:dyDescent="0.25">
      <c r="B379" s="2" t="s">
        <v>160</v>
      </c>
      <c r="C379" s="2" t="s">
        <v>30</v>
      </c>
      <c r="D379" s="2" t="s">
        <v>151</v>
      </c>
      <c r="E379" s="2" t="s">
        <v>127</v>
      </c>
      <c r="F379" s="2" t="s">
        <v>26</v>
      </c>
      <c r="G379" s="2" t="s">
        <v>164</v>
      </c>
      <c r="I379">
        <f>HEX2DEC(_0811_173439[[#This Row],[580C]])*B$4/B$5+B$6</f>
        <v>880</v>
      </c>
      <c r="J379">
        <f>HEX2DEC(_0811_173439[[#This Row],[4402]])*C$4/C$5+C$6</f>
        <v>36</v>
      </c>
      <c r="K379">
        <f>HEX2DEC(_0811_173439[[#This Row],[580F]])*D$4/D$5+D$6</f>
        <v>30</v>
      </c>
      <c r="L379">
        <f>ROUND(HEX2DEC(_0811_173439[[#This Row],[58F0]])*E$4/E$5+E$6,0)</f>
        <v>70</v>
      </c>
      <c r="M379">
        <f>ROUND(HEX2DEC(_0811_173439[[#This Row],[5805]])*F$4/F$5+F$6,0)</f>
        <v>42</v>
      </c>
      <c r="N379">
        <f>ROUND(HEX2DEC(_0811_173439[[#This Row],[58DD]])*G$4/G$5+G$6,2)</f>
        <v>-0.02</v>
      </c>
      <c r="P379">
        <v>880</v>
      </c>
      <c r="Q379">
        <v>36</v>
      </c>
      <c r="R379">
        <v>30</v>
      </c>
      <c r="S379">
        <v>70</v>
      </c>
      <c r="T379">
        <v>42</v>
      </c>
      <c r="U379">
        <v>-0.02</v>
      </c>
      <c r="W379">
        <f>DataLog_T717420_Aug11_4_59_37pm[[#This Row],[RPM '[1/MIN']]]-Table3[[#This Row],[580C]]</f>
        <v>0</v>
      </c>
      <c r="X379">
        <f>DataLog_T717420_Aug11_4_59_37pm[[#This Row],[OIL TEMP '[Â°C']]]-Table3[[#This Row],[4402]]</f>
        <v>0</v>
      </c>
      <c r="Y379">
        <f>DataLog_T717420_Aug11_4_59_37pm[[#This Row],[INTAKE TEMP '[Â°C']]]-Table3[[#This Row],[580F]]</f>
        <v>0</v>
      </c>
      <c r="Z379">
        <f>DataLog_T717420_Aug11_4_59_37pm[[#This Row],[HPFP PRES. '[BAR']]]-Table3[[#This Row],[58F0]]</f>
        <v>0</v>
      </c>
      <c r="AA379">
        <f>DataLog_T717420_Aug11_4_59_37pm[[#This Row],[COOLANT TEMP '[Â°C']]]-Table3[[#This Row],[5805]]</f>
        <v>0</v>
      </c>
      <c r="AB379">
        <f>DataLog_T717420_Aug11_4_59_37pm[[#This Row],[BOOST '[BAR']]]-Table3[[#This Row],[58DD]]</f>
        <v>0</v>
      </c>
    </row>
    <row r="380" spans="2:28" x14ac:dyDescent="0.25">
      <c r="B380" s="2" t="s">
        <v>160</v>
      </c>
      <c r="C380" s="2" t="s">
        <v>30</v>
      </c>
      <c r="D380" s="2" t="s">
        <v>151</v>
      </c>
      <c r="E380" s="2" t="s">
        <v>142</v>
      </c>
      <c r="F380" s="2" t="s">
        <v>26</v>
      </c>
      <c r="G380" s="2" t="s">
        <v>169</v>
      </c>
      <c r="I380">
        <f>HEX2DEC(_0811_173439[[#This Row],[580C]])*B$4/B$5+B$6</f>
        <v>880</v>
      </c>
      <c r="J380">
        <f>HEX2DEC(_0811_173439[[#This Row],[4402]])*C$4/C$5+C$6</f>
        <v>36</v>
      </c>
      <c r="K380">
        <f>HEX2DEC(_0811_173439[[#This Row],[580F]])*D$4/D$5+D$6</f>
        <v>30</v>
      </c>
      <c r="L380">
        <f>ROUND(HEX2DEC(_0811_173439[[#This Row],[58F0]])*E$4/E$5+E$6,0)</f>
        <v>69</v>
      </c>
      <c r="M380">
        <f>ROUND(HEX2DEC(_0811_173439[[#This Row],[5805]])*F$4/F$5+F$6,0)</f>
        <v>42</v>
      </c>
      <c r="N380">
        <f>ROUND(HEX2DEC(_0811_173439[[#This Row],[58DD]])*G$4/G$5+G$6,2)</f>
        <v>-0.02</v>
      </c>
      <c r="P380">
        <v>880</v>
      </c>
      <c r="Q380">
        <v>36</v>
      </c>
      <c r="R380">
        <v>30</v>
      </c>
      <c r="S380">
        <v>69</v>
      </c>
      <c r="T380">
        <v>42</v>
      </c>
      <c r="U380">
        <v>-0.02</v>
      </c>
      <c r="W380">
        <f>DataLog_T717420_Aug11_4_59_37pm[[#This Row],[RPM '[1/MIN']]]-Table3[[#This Row],[580C]]</f>
        <v>0</v>
      </c>
      <c r="X380">
        <f>DataLog_T717420_Aug11_4_59_37pm[[#This Row],[OIL TEMP '[Â°C']]]-Table3[[#This Row],[4402]]</f>
        <v>0</v>
      </c>
      <c r="Y380">
        <f>DataLog_T717420_Aug11_4_59_37pm[[#This Row],[INTAKE TEMP '[Â°C']]]-Table3[[#This Row],[580F]]</f>
        <v>0</v>
      </c>
      <c r="Z380">
        <f>DataLog_T717420_Aug11_4_59_37pm[[#This Row],[HPFP PRES. '[BAR']]]-Table3[[#This Row],[58F0]]</f>
        <v>0</v>
      </c>
      <c r="AA380">
        <f>DataLog_T717420_Aug11_4_59_37pm[[#This Row],[COOLANT TEMP '[Â°C']]]-Table3[[#This Row],[5805]]</f>
        <v>0</v>
      </c>
      <c r="AB380">
        <f>DataLog_T717420_Aug11_4_59_37pm[[#This Row],[BOOST '[BAR']]]-Table3[[#This Row],[58DD]]</f>
        <v>0</v>
      </c>
    </row>
    <row r="381" spans="2:28" x14ac:dyDescent="0.25">
      <c r="B381" s="2" t="s">
        <v>160</v>
      </c>
      <c r="C381" s="2" t="s">
        <v>30</v>
      </c>
      <c r="D381" s="2" t="s">
        <v>151</v>
      </c>
      <c r="E381" s="2" t="s">
        <v>155</v>
      </c>
      <c r="F381" s="2" t="s">
        <v>26</v>
      </c>
      <c r="G381" s="2" t="s">
        <v>28</v>
      </c>
      <c r="I381">
        <f>HEX2DEC(_0811_173439[[#This Row],[580C]])*B$4/B$5+B$6</f>
        <v>880</v>
      </c>
      <c r="J381">
        <f>HEX2DEC(_0811_173439[[#This Row],[4402]])*C$4/C$5+C$6</f>
        <v>36</v>
      </c>
      <c r="K381">
        <f>HEX2DEC(_0811_173439[[#This Row],[580F]])*D$4/D$5+D$6</f>
        <v>30</v>
      </c>
      <c r="L381">
        <f>ROUND(HEX2DEC(_0811_173439[[#This Row],[58F0]])*E$4/E$5+E$6,0)</f>
        <v>70</v>
      </c>
      <c r="M381">
        <f>ROUND(HEX2DEC(_0811_173439[[#This Row],[5805]])*F$4/F$5+F$6,0)</f>
        <v>42</v>
      </c>
      <c r="N381">
        <f>ROUND(HEX2DEC(_0811_173439[[#This Row],[58DD]])*G$4/G$5+G$6,2)</f>
        <v>-0.02</v>
      </c>
      <c r="P381">
        <v>880</v>
      </c>
      <c r="Q381">
        <v>36</v>
      </c>
      <c r="R381">
        <v>30</v>
      </c>
      <c r="S381">
        <v>70</v>
      </c>
      <c r="T381">
        <v>42</v>
      </c>
      <c r="U381">
        <v>-0.02</v>
      </c>
      <c r="W381">
        <f>DataLog_T717420_Aug11_4_59_37pm[[#This Row],[RPM '[1/MIN']]]-Table3[[#This Row],[580C]]</f>
        <v>0</v>
      </c>
      <c r="X381">
        <f>DataLog_T717420_Aug11_4_59_37pm[[#This Row],[OIL TEMP '[Â°C']]]-Table3[[#This Row],[4402]]</f>
        <v>0</v>
      </c>
      <c r="Y381">
        <f>DataLog_T717420_Aug11_4_59_37pm[[#This Row],[INTAKE TEMP '[Â°C']]]-Table3[[#This Row],[580F]]</f>
        <v>0</v>
      </c>
      <c r="Z381">
        <f>DataLog_T717420_Aug11_4_59_37pm[[#This Row],[HPFP PRES. '[BAR']]]-Table3[[#This Row],[58F0]]</f>
        <v>0</v>
      </c>
      <c r="AA381">
        <f>DataLog_T717420_Aug11_4_59_37pm[[#This Row],[COOLANT TEMP '[Â°C']]]-Table3[[#This Row],[5805]]</f>
        <v>0</v>
      </c>
      <c r="AB381">
        <f>DataLog_T717420_Aug11_4_59_37pm[[#This Row],[BOOST '[BAR']]]-Table3[[#This Row],[58DD]]</f>
        <v>0</v>
      </c>
    </row>
    <row r="382" spans="2:28" x14ac:dyDescent="0.25">
      <c r="B382" s="2" t="s">
        <v>160</v>
      </c>
      <c r="C382" s="2" t="s">
        <v>30</v>
      </c>
      <c r="D382" s="2" t="s">
        <v>151</v>
      </c>
      <c r="E382" s="2" t="s">
        <v>165</v>
      </c>
      <c r="F382" s="2" t="s">
        <v>26</v>
      </c>
      <c r="G382" s="2" t="s">
        <v>28</v>
      </c>
      <c r="I382">
        <f>HEX2DEC(_0811_173439[[#This Row],[580C]])*B$4/B$5+B$6</f>
        <v>880</v>
      </c>
      <c r="J382">
        <f>HEX2DEC(_0811_173439[[#This Row],[4402]])*C$4/C$5+C$6</f>
        <v>36</v>
      </c>
      <c r="K382">
        <f>HEX2DEC(_0811_173439[[#This Row],[580F]])*D$4/D$5+D$6</f>
        <v>30</v>
      </c>
      <c r="L382">
        <f>ROUND(HEX2DEC(_0811_173439[[#This Row],[58F0]])*E$4/E$5+E$6,0)</f>
        <v>70</v>
      </c>
      <c r="M382">
        <f>ROUND(HEX2DEC(_0811_173439[[#This Row],[5805]])*F$4/F$5+F$6,0)</f>
        <v>42</v>
      </c>
      <c r="N382">
        <f>ROUND(HEX2DEC(_0811_173439[[#This Row],[58DD]])*G$4/G$5+G$6,2)</f>
        <v>-0.02</v>
      </c>
      <c r="P382">
        <v>880</v>
      </c>
      <c r="Q382">
        <v>36</v>
      </c>
      <c r="R382">
        <v>30</v>
      </c>
      <c r="S382">
        <v>70</v>
      </c>
      <c r="T382">
        <v>42</v>
      </c>
      <c r="U382">
        <v>-0.02</v>
      </c>
      <c r="W382">
        <f>DataLog_T717420_Aug11_4_59_37pm[[#This Row],[RPM '[1/MIN']]]-Table3[[#This Row],[580C]]</f>
        <v>0</v>
      </c>
      <c r="X382">
        <f>DataLog_T717420_Aug11_4_59_37pm[[#This Row],[OIL TEMP '[Â°C']]]-Table3[[#This Row],[4402]]</f>
        <v>0</v>
      </c>
      <c r="Y382">
        <f>DataLog_T717420_Aug11_4_59_37pm[[#This Row],[INTAKE TEMP '[Â°C']]]-Table3[[#This Row],[580F]]</f>
        <v>0</v>
      </c>
      <c r="Z382">
        <f>DataLog_T717420_Aug11_4_59_37pm[[#This Row],[HPFP PRES. '[BAR']]]-Table3[[#This Row],[58F0]]</f>
        <v>0</v>
      </c>
      <c r="AA382">
        <f>DataLog_T717420_Aug11_4_59_37pm[[#This Row],[COOLANT TEMP '[Â°C']]]-Table3[[#This Row],[5805]]</f>
        <v>0</v>
      </c>
      <c r="AB382">
        <f>DataLog_T717420_Aug11_4_59_37pm[[#This Row],[BOOST '[BAR']]]-Table3[[#This Row],[58DD]]</f>
        <v>0</v>
      </c>
    </row>
    <row r="383" spans="2:28" x14ac:dyDescent="0.25">
      <c r="B383" s="2" t="s">
        <v>160</v>
      </c>
      <c r="C383" s="2" t="s">
        <v>30</v>
      </c>
      <c r="D383" s="2" t="s">
        <v>151</v>
      </c>
      <c r="E383" s="2" t="s">
        <v>170</v>
      </c>
      <c r="F383" s="2" t="s">
        <v>26</v>
      </c>
      <c r="G383" s="2" t="s">
        <v>171</v>
      </c>
      <c r="I383">
        <f>HEX2DEC(_0811_173439[[#This Row],[580C]])*B$4/B$5+B$6</f>
        <v>880</v>
      </c>
      <c r="J383">
        <f>HEX2DEC(_0811_173439[[#This Row],[4402]])*C$4/C$5+C$6</f>
        <v>36</v>
      </c>
      <c r="K383">
        <f>HEX2DEC(_0811_173439[[#This Row],[580F]])*D$4/D$5+D$6</f>
        <v>30</v>
      </c>
      <c r="L383">
        <f>ROUND(HEX2DEC(_0811_173439[[#This Row],[58F0]])*E$4/E$5+E$6,0)</f>
        <v>71</v>
      </c>
      <c r="M383">
        <f>ROUND(HEX2DEC(_0811_173439[[#This Row],[5805]])*F$4/F$5+F$6,0)</f>
        <v>42</v>
      </c>
      <c r="N383">
        <f>ROUND(HEX2DEC(_0811_173439[[#This Row],[58DD]])*G$4/G$5+G$6,2)</f>
        <v>-0.03</v>
      </c>
      <c r="P383">
        <v>880</v>
      </c>
      <c r="Q383">
        <v>36</v>
      </c>
      <c r="R383">
        <v>30</v>
      </c>
      <c r="S383">
        <v>71</v>
      </c>
      <c r="T383">
        <v>42</v>
      </c>
      <c r="U383">
        <v>-0.03</v>
      </c>
      <c r="W383">
        <f>DataLog_T717420_Aug11_4_59_37pm[[#This Row],[RPM '[1/MIN']]]-Table3[[#This Row],[580C]]</f>
        <v>0</v>
      </c>
      <c r="X383">
        <f>DataLog_T717420_Aug11_4_59_37pm[[#This Row],[OIL TEMP '[Â°C']]]-Table3[[#This Row],[4402]]</f>
        <v>0</v>
      </c>
      <c r="Y383">
        <f>DataLog_T717420_Aug11_4_59_37pm[[#This Row],[INTAKE TEMP '[Â°C']]]-Table3[[#This Row],[580F]]</f>
        <v>0</v>
      </c>
      <c r="Z383">
        <f>DataLog_T717420_Aug11_4_59_37pm[[#This Row],[HPFP PRES. '[BAR']]]-Table3[[#This Row],[58F0]]</f>
        <v>0</v>
      </c>
      <c r="AA383">
        <f>DataLog_T717420_Aug11_4_59_37pm[[#This Row],[COOLANT TEMP '[Â°C']]]-Table3[[#This Row],[5805]]</f>
        <v>0</v>
      </c>
      <c r="AB383">
        <f>DataLog_T717420_Aug11_4_59_37pm[[#This Row],[BOOST '[BAR']]]-Table3[[#This Row],[58DD]]</f>
        <v>0</v>
      </c>
    </row>
    <row r="384" spans="2:28" x14ac:dyDescent="0.25">
      <c r="B384" s="2" t="s">
        <v>160</v>
      </c>
      <c r="C384" s="2" t="s">
        <v>30</v>
      </c>
      <c r="D384" s="2" t="s">
        <v>151</v>
      </c>
      <c r="E384" s="2" t="s">
        <v>139</v>
      </c>
      <c r="F384" s="2" t="s">
        <v>26</v>
      </c>
      <c r="G384" s="2" t="s">
        <v>168</v>
      </c>
      <c r="I384">
        <f>HEX2DEC(_0811_173439[[#This Row],[580C]])*B$4/B$5+B$6</f>
        <v>880</v>
      </c>
      <c r="J384">
        <f>HEX2DEC(_0811_173439[[#This Row],[4402]])*C$4/C$5+C$6</f>
        <v>36</v>
      </c>
      <c r="K384">
        <f>HEX2DEC(_0811_173439[[#This Row],[580F]])*D$4/D$5+D$6</f>
        <v>30</v>
      </c>
      <c r="L384">
        <f>ROUND(HEX2DEC(_0811_173439[[#This Row],[58F0]])*E$4/E$5+E$6,0)</f>
        <v>71</v>
      </c>
      <c r="M384">
        <f>ROUND(HEX2DEC(_0811_173439[[#This Row],[5805]])*F$4/F$5+F$6,0)</f>
        <v>42</v>
      </c>
      <c r="N384">
        <f>ROUND(HEX2DEC(_0811_173439[[#This Row],[58DD]])*G$4/G$5+G$6,2)</f>
        <v>-0.02</v>
      </c>
      <c r="P384">
        <v>880</v>
      </c>
      <c r="Q384">
        <v>36</v>
      </c>
      <c r="R384">
        <v>30</v>
      </c>
      <c r="S384">
        <v>71</v>
      </c>
      <c r="T384">
        <v>42</v>
      </c>
      <c r="U384">
        <v>-0.03</v>
      </c>
      <c r="W384">
        <f>DataLog_T717420_Aug11_4_59_37pm[[#This Row],[RPM '[1/MIN']]]-Table3[[#This Row],[580C]]</f>
        <v>0</v>
      </c>
      <c r="X384">
        <f>DataLog_T717420_Aug11_4_59_37pm[[#This Row],[OIL TEMP '[Â°C']]]-Table3[[#This Row],[4402]]</f>
        <v>0</v>
      </c>
      <c r="Y384">
        <f>DataLog_T717420_Aug11_4_59_37pm[[#This Row],[INTAKE TEMP '[Â°C']]]-Table3[[#This Row],[580F]]</f>
        <v>0</v>
      </c>
      <c r="Z384">
        <f>DataLog_T717420_Aug11_4_59_37pm[[#This Row],[HPFP PRES. '[BAR']]]-Table3[[#This Row],[58F0]]</f>
        <v>0</v>
      </c>
      <c r="AA384">
        <f>DataLog_T717420_Aug11_4_59_37pm[[#This Row],[COOLANT TEMP '[Â°C']]]-Table3[[#This Row],[5805]]</f>
        <v>0</v>
      </c>
      <c r="AB384">
        <f>DataLog_T717420_Aug11_4_59_37pm[[#This Row],[BOOST '[BAR']]]-Table3[[#This Row],[58DD]]</f>
        <v>-9.9999999999999985E-3</v>
      </c>
    </row>
    <row r="385" spans="2:28" x14ac:dyDescent="0.25">
      <c r="B385" s="2" t="s">
        <v>160</v>
      </c>
      <c r="C385" s="2" t="s">
        <v>30</v>
      </c>
      <c r="D385" s="2" t="s">
        <v>151</v>
      </c>
      <c r="E385" s="2" t="s">
        <v>93</v>
      </c>
      <c r="F385" s="2" t="s">
        <v>26</v>
      </c>
      <c r="G385" s="2" t="s">
        <v>164</v>
      </c>
      <c r="I385">
        <f>HEX2DEC(_0811_173439[[#This Row],[580C]])*B$4/B$5+B$6</f>
        <v>880</v>
      </c>
      <c r="J385">
        <f>HEX2DEC(_0811_173439[[#This Row],[4402]])*C$4/C$5+C$6</f>
        <v>36</v>
      </c>
      <c r="K385">
        <f>HEX2DEC(_0811_173439[[#This Row],[580F]])*D$4/D$5+D$6</f>
        <v>30</v>
      </c>
      <c r="L385">
        <f>ROUND(HEX2DEC(_0811_173439[[#This Row],[58F0]])*E$4/E$5+E$6,0)</f>
        <v>70</v>
      </c>
      <c r="M385">
        <f>ROUND(HEX2DEC(_0811_173439[[#This Row],[5805]])*F$4/F$5+F$6,0)</f>
        <v>42</v>
      </c>
      <c r="N385">
        <f>ROUND(HEX2DEC(_0811_173439[[#This Row],[58DD]])*G$4/G$5+G$6,2)</f>
        <v>-0.02</v>
      </c>
      <c r="P385">
        <v>880</v>
      </c>
      <c r="Q385">
        <v>36</v>
      </c>
      <c r="R385">
        <v>30</v>
      </c>
      <c r="S385">
        <v>70</v>
      </c>
      <c r="T385">
        <v>42</v>
      </c>
      <c r="U385">
        <v>-0.02</v>
      </c>
      <c r="W385">
        <f>DataLog_T717420_Aug11_4_59_37pm[[#This Row],[RPM '[1/MIN']]]-Table3[[#This Row],[580C]]</f>
        <v>0</v>
      </c>
      <c r="X385">
        <f>DataLog_T717420_Aug11_4_59_37pm[[#This Row],[OIL TEMP '[Â°C']]]-Table3[[#This Row],[4402]]</f>
        <v>0</v>
      </c>
      <c r="Y385">
        <f>DataLog_T717420_Aug11_4_59_37pm[[#This Row],[INTAKE TEMP '[Â°C']]]-Table3[[#This Row],[580F]]</f>
        <v>0</v>
      </c>
      <c r="Z385">
        <f>DataLog_T717420_Aug11_4_59_37pm[[#This Row],[HPFP PRES. '[BAR']]]-Table3[[#This Row],[58F0]]</f>
        <v>0</v>
      </c>
      <c r="AA385">
        <f>DataLog_T717420_Aug11_4_59_37pm[[#This Row],[COOLANT TEMP '[Â°C']]]-Table3[[#This Row],[5805]]</f>
        <v>0</v>
      </c>
      <c r="AB385">
        <f>DataLog_T717420_Aug11_4_59_37pm[[#This Row],[BOOST '[BAR']]]-Table3[[#This Row],[58DD]]</f>
        <v>0</v>
      </c>
    </row>
    <row r="386" spans="2:28" x14ac:dyDescent="0.25">
      <c r="B386" s="2" t="s">
        <v>160</v>
      </c>
      <c r="C386" s="2" t="s">
        <v>30</v>
      </c>
      <c r="D386" s="2" t="s">
        <v>151</v>
      </c>
      <c r="E386" s="2" t="s">
        <v>172</v>
      </c>
      <c r="F386" s="2" t="s">
        <v>26</v>
      </c>
      <c r="G386" s="2" t="s">
        <v>168</v>
      </c>
      <c r="I386">
        <f>HEX2DEC(_0811_173439[[#This Row],[580C]])*B$4/B$5+B$6</f>
        <v>880</v>
      </c>
      <c r="J386">
        <f>HEX2DEC(_0811_173439[[#This Row],[4402]])*C$4/C$5+C$6</f>
        <v>36</v>
      </c>
      <c r="K386">
        <f>HEX2DEC(_0811_173439[[#This Row],[580F]])*D$4/D$5+D$6</f>
        <v>30</v>
      </c>
      <c r="L386">
        <f>ROUND(HEX2DEC(_0811_173439[[#This Row],[58F0]])*E$4/E$5+E$6,0)</f>
        <v>70</v>
      </c>
      <c r="M386">
        <f>ROUND(HEX2DEC(_0811_173439[[#This Row],[5805]])*F$4/F$5+F$6,0)</f>
        <v>42</v>
      </c>
      <c r="N386">
        <f>ROUND(HEX2DEC(_0811_173439[[#This Row],[58DD]])*G$4/G$5+G$6,2)</f>
        <v>-0.02</v>
      </c>
      <c r="P386">
        <v>880</v>
      </c>
      <c r="Q386">
        <v>36</v>
      </c>
      <c r="R386">
        <v>30</v>
      </c>
      <c r="S386">
        <v>70</v>
      </c>
      <c r="T386">
        <v>42</v>
      </c>
      <c r="U386">
        <v>-0.03</v>
      </c>
      <c r="W386">
        <f>DataLog_T717420_Aug11_4_59_37pm[[#This Row],[RPM '[1/MIN']]]-Table3[[#This Row],[580C]]</f>
        <v>0</v>
      </c>
      <c r="X386">
        <f>DataLog_T717420_Aug11_4_59_37pm[[#This Row],[OIL TEMP '[Â°C']]]-Table3[[#This Row],[4402]]</f>
        <v>0</v>
      </c>
      <c r="Y386">
        <f>DataLog_T717420_Aug11_4_59_37pm[[#This Row],[INTAKE TEMP '[Â°C']]]-Table3[[#This Row],[580F]]</f>
        <v>0</v>
      </c>
      <c r="Z386">
        <f>DataLog_T717420_Aug11_4_59_37pm[[#This Row],[HPFP PRES. '[BAR']]]-Table3[[#This Row],[58F0]]</f>
        <v>0</v>
      </c>
      <c r="AA386">
        <f>DataLog_T717420_Aug11_4_59_37pm[[#This Row],[COOLANT TEMP '[Â°C']]]-Table3[[#This Row],[5805]]</f>
        <v>0</v>
      </c>
      <c r="AB386">
        <f>DataLog_T717420_Aug11_4_59_37pm[[#This Row],[BOOST '[BAR']]]-Table3[[#This Row],[58DD]]</f>
        <v>-9.9999999999999985E-3</v>
      </c>
    </row>
    <row r="387" spans="2:28" x14ac:dyDescent="0.25">
      <c r="B387" s="2" t="s">
        <v>160</v>
      </c>
      <c r="C387" s="2" t="s">
        <v>30</v>
      </c>
      <c r="D387" s="2" t="s">
        <v>151</v>
      </c>
      <c r="E387" s="2" t="s">
        <v>157</v>
      </c>
      <c r="F387" s="2" t="s">
        <v>26</v>
      </c>
      <c r="G387" s="2" t="s">
        <v>173</v>
      </c>
      <c r="I387">
        <f>HEX2DEC(_0811_173439[[#This Row],[580C]])*B$4/B$5+B$6</f>
        <v>880</v>
      </c>
      <c r="J387">
        <f>HEX2DEC(_0811_173439[[#This Row],[4402]])*C$4/C$5+C$6</f>
        <v>36</v>
      </c>
      <c r="K387">
        <f>HEX2DEC(_0811_173439[[#This Row],[580F]])*D$4/D$5+D$6</f>
        <v>30</v>
      </c>
      <c r="L387">
        <f>ROUND(HEX2DEC(_0811_173439[[#This Row],[58F0]])*E$4/E$5+E$6,0)</f>
        <v>70</v>
      </c>
      <c r="M387">
        <f>ROUND(HEX2DEC(_0811_173439[[#This Row],[5805]])*F$4/F$5+F$6,0)</f>
        <v>42</v>
      </c>
      <c r="N387">
        <f>ROUND(HEX2DEC(_0811_173439[[#This Row],[58DD]])*G$4/G$5+G$6,2)</f>
        <v>-0.02</v>
      </c>
      <c r="P387">
        <v>880</v>
      </c>
      <c r="Q387">
        <v>36</v>
      </c>
      <c r="R387">
        <v>30</v>
      </c>
      <c r="S387">
        <v>70</v>
      </c>
      <c r="T387">
        <v>42</v>
      </c>
      <c r="U387">
        <v>-0.03</v>
      </c>
      <c r="W387">
        <f>DataLog_T717420_Aug11_4_59_37pm[[#This Row],[RPM '[1/MIN']]]-Table3[[#This Row],[580C]]</f>
        <v>0</v>
      </c>
      <c r="X387">
        <f>DataLog_T717420_Aug11_4_59_37pm[[#This Row],[OIL TEMP '[Â°C']]]-Table3[[#This Row],[4402]]</f>
        <v>0</v>
      </c>
      <c r="Y387">
        <f>DataLog_T717420_Aug11_4_59_37pm[[#This Row],[INTAKE TEMP '[Â°C']]]-Table3[[#This Row],[580F]]</f>
        <v>0</v>
      </c>
      <c r="Z387">
        <f>DataLog_T717420_Aug11_4_59_37pm[[#This Row],[HPFP PRES. '[BAR']]]-Table3[[#This Row],[58F0]]</f>
        <v>0</v>
      </c>
      <c r="AA387">
        <f>DataLog_T717420_Aug11_4_59_37pm[[#This Row],[COOLANT TEMP '[Â°C']]]-Table3[[#This Row],[5805]]</f>
        <v>0</v>
      </c>
      <c r="AB387">
        <f>DataLog_T717420_Aug11_4_59_37pm[[#This Row],[BOOST '[BAR']]]-Table3[[#This Row],[58DD]]</f>
        <v>-9.9999999999999985E-3</v>
      </c>
    </row>
    <row r="388" spans="2:28" x14ac:dyDescent="0.25">
      <c r="B388" s="2" t="s">
        <v>160</v>
      </c>
      <c r="C388" s="2" t="s">
        <v>30</v>
      </c>
      <c r="D388" s="2" t="s">
        <v>151</v>
      </c>
      <c r="E388" s="2" t="s">
        <v>163</v>
      </c>
      <c r="F388" s="2" t="s">
        <v>26</v>
      </c>
      <c r="G388" s="2" t="s">
        <v>173</v>
      </c>
      <c r="I388">
        <f>HEX2DEC(_0811_173439[[#This Row],[580C]])*B$4/B$5+B$6</f>
        <v>880</v>
      </c>
      <c r="J388">
        <f>HEX2DEC(_0811_173439[[#This Row],[4402]])*C$4/C$5+C$6</f>
        <v>36</v>
      </c>
      <c r="K388">
        <f>HEX2DEC(_0811_173439[[#This Row],[580F]])*D$4/D$5+D$6</f>
        <v>30</v>
      </c>
      <c r="L388">
        <f>ROUND(HEX2DEC(_0811_173439[[#This Row],[58F0]])*E$4/E$5+E$6,0)</f>
        <v>70</v>
      </c>
      <c r="M388">
        <f>ROUND(HEX2DEC(_0811_173439[[#This Row],[5805]])*F$4/F$5+F$6,0)</f>
        <v>42</v>
      </c>
      <c r="N388">
        <f>ROUND(HEX2DEC(_0811_173439[[#This Row],[58DD]])*G$4/G$5+G$6,2)</f>
        <v>-0.02</v>
      </c>
      <c r="P388">
        <v>880</v>
      </c>
      <c r="Q388">
        <v>36</v>
      </c>
      <c r="R388">
        <v>30</v>
      </c>
      <c r="S388">
        <v>70</v>
      </c>
      <c r="T388">
        <v>42</v>
      </c>
      <c r="U388">
        <v>-0.03</v>
      </c>
      <c r="W388">
        <f>DataLog_T717420_Aug11_4_59_37pm[[#This Row],[RPM '[1/MIN']]]-Table3[[#This Row],[580C]]</f>
        <v>0</v>
      </c>
      <c r="X388">
        <f>DataLog_T717420_Aug11_4_59_37pm[[#This Row],[OIL TEMP '[Â°C']]]-Table3[[#This Row],[4402]]</f>
        <v>0</v>
      </c>
      <c r="Y388">
        <f>DataLog_T717420_Aug11_4_59_37pm[[#This Row],[INTAKE TEMP '[Â°C']]]-Table3[[#This Row],[580F]]</f>
        <v>0</v>
      </c>
      <c r="Z388">
        <f>DataLog_T717420_Aug11_4_59_37pm[[#This Row],[HPFP PRES. '[BAR']]]-Table3[[#This Row],[58F0]]</f>
        <v>0</v>
      </c>
      <c r="AA388">
        <f>DataLog_T717420_Aug11_4_59_37pm[[#This Row],[COOLANT TEMP '[Â°C']]]-Table3[[#This Row],[5805]]</f>
        <v>0</v>
      </c>
      <c r="AB388">
        <f>DataLog_T717420_Aug11_4_59_37pm[[#This Row],[BOOST '[BAR']]]-Table3[[#This Row],[58DD]]</f>
        <v>-9.9999999999999985E-3</v>
      </c>
    </row>
    <row r="389" spans="2:28" x14ac:dyDescent="0.25">
      <c r="B389" s="2" t="s">
        <v>174</v>
      </c>
      <c r="C389" s="2" t="s">
        <v>30</v>
      </c>
      <c r="D389" s="2" t="s">
        <v>151</v>
      </c>
      <c r="E389" s="2" t="s">
        <v>159</v>
      </c>
      <c r="F389" s="2" t="s">
        <v>26</v>
      </c>
      <c r="G389" s="2" t="s">
        <v>169</v>
      </c>
      <c r="I389">
        <f>HEX2DEC(_0811_173439[[#This Row],[580C]])*B$4/B$5+B$6</f>
        <v>840</v>
      </c>
      <c r="J389">
        <f>HEX2DEC(_0811_173439[[#This Row],[4402]])*C$4/C$5+C$6</f>
        <v>36</v>
      </c>
      <c r="K389">
        <f>HEX2DEC(_0811_173439[[#This Row],[580F]])*D$4/D$5+D$6</f>
        <v>30</v>
      </c>
      <c r="L389">
        <f>ROUND(HEX2DEC(_0811_173439[[#This Row],[58F0]])*E$4/E$5+E$6,0)</f>
        <v>70</v>
      </c>
      <c r="M389">
        <f>ROUND(HEX2DEC(_0811_173439[[#This Row],[5805]])*F$4/F$5+F$6,0)</f>
        <v>42</v>
      </c>
      <c r="N389">
        <f>ROUND(HEX2DEC(_0811_173439[[#This Row],[58DD]])*G$4/G$5+G$6,2)</f>
        <v>-0.02</v>
      </c>
      <c r="P389">
        <v>840</v>
      </c>
      <c r="Q389">
        <v>36</v>
      </c>
      <c r="R389">
        <v>30</v>
      </c>
      <c r="S389">
        <v>70</v>
      </c>
      <c r="T389">
        <v>42</v>
      </c>
      <c r="U389">
        <v>-0.02</v>
      </c>
      <c r="W389">
        <f>DataLog_T717420_Aug11_4_59_37pm[[#This Row],[RPM '[1/MIN']]]-Table3[[#This Row],[580C]]</f>
        <v>0</v>
      </c>
      <c r="X389">
        <f>DataLog_T717420_Aug11_4_59_37pm[[#This Row],[OIL TEMP '[Â°C']]]-Table3[[#This Row],[4402]]</f>
        <v>0</v>
      </c>
      <c r="Y389">
        <f>DataLog_T717420_Aug11_4_59_37pm[[#This Row],[INTAKE TEMP '[Â°C']]]-Table3[[#This Row],[580F]]</f>
        <v>0</v>
      </c>
      <c r="Z389">
        <f>DataLog_T717420_Aug11_4_59_37pm[[#This Row],[HPFP PRES. '[BAR']]]-Table3[[#This Row],[58F0]]</f>
        <v>0</v>
      </c>
      <c r="AA389">
        <f>DataLog_T717420_Aug11_4_59_37pm[[#This Row],[COOLANT TEMP '[Â°C']]]-Table3[[#This Row],[5805]]</f>
        <v>0</v>
      </c>
      <c r="AB389">
        <f>DataLog_T717420_Aug11_4_59_37pm[[#This Row],[BOOST '[BAR']]]-Table3[[#This Row],[58DD]]</f>
        <v>0</v>
      </c>
    </row>
    <row r="390" spans="2:28" x14ac:dyDescent="0.25">
      <c r="B390" s="2" t="s">
        <v>174</v>
      </c>
      <c r="C390" s="2" t="s">
        <v>30</v>
      </c>
      <c r="D390" s="2" t="s">
        <v>151</v>
      </c>
      <c r="E390" s="2" t="s">
        <v>157</v>
      </c>
      <c r="F390" s="2" t="s">
        <v>26</v>
      </c>
      <c r="G390" s="2" t="s">
        <v>175</v>
      </c>
      <c r="I390">
        <f>HEX2DEC(_0811_173439[[#This Row],[580C]])*B$4/B$5+B$6</f>
        <v>840</v>
      </c>
      <c r="J390">
        <f>HEX2DEC(_0811_173439[[#This Row],[4402]])*C$4/C$5+C$6</f>
        <v>36</v>
      </c>
      <c r="K390">
        <f>HEX2DEC(_0811_173439[[#This Row],[580F]])*D$4/D$5+D$6</f>
        <v>30</v>
      </c>
      <c r="L390">
        <f>ROUND(HEX2DEC(_0811_173439[[#This Row],[58F0]])*E$4/E$5+E$6,0)</f>
        <v>70</v>
      </c>
      <c r="M390">
        <f>ROUND(HEX2DEC(_0811_173439[[#This Row],[5805]])*F$4/F$5+F$6,0)</f>
        <v>42</v>
      </c>
      <c r="N390">
        <f>ROUND(HEX2DEC(_0811_173439[[#This Row],[58DD]])*G$4/G$5+G$6,2)</f>
        <v>-0.03</v>
      </c>
      <c r="P390">
        <v>840</v>
      </c>
      <c r="Q390">
        <v>36</v>
      </c>
      <c r="R390">
        <v>30</v>
      </c>
      <c r="S390">
        <v>70</v>
      </c>
      <c r="T390">
        <v>42</v>
      </c>
      <c r="U390">
        <v>-0.03</v>
      </c>
      <c r="W390">
        <f>DataLog_T717420_Aug11_4_59_37pm[[#This Row],[RPM '[1/MIN']]]-Table3[[#This Row],[580C]]</f>
        <v>0</v>
      </c>
      <c r="X390">
        <f>DataLog_T717420_Aug11_4_59_37pm[[#This Row],[OIL TEMP '[Â°C']]]-Table3[[#This Row],[4402]]</f>
        <v>0</v>
      </c>
      <c r="Y390">
        <f>DataLog_T717420_Aug11_4_59_37pm[[#This Row],[INTAKE TEMP '[Â°C']]]-Table3[[#This Row],[580F]]</f>
        <v>0</v>
      </c>
      <c r="Z390">
        <f>DataLog_T717420_Aug11_4_59_37pm[[#This Row],[HPFP PRES. '[BAR']]]-Table3[[#This Row],[58F0]]</f>
        <v>0</v>
      </c>
      <c r="AA390">
        <f>DataLog_T717420_Aug11_4_59_37pm[[#This Row],[COOLANT TEMP '[Â°C']]]-Table3[[#This Row],[5805]]</f>
        <v>0</v>
      </c>
      <c r="AB390">
        <f>DataLog_T717420_Aug11_4_59_37pm[[#This Row],[BOOST '[BAR']]]-Table3[[#This Row],[58DD]]</f>
        <v>0</v>
      </c>
    </row>
    <row r="391" spans="2:28" x14ac:dyDescent="0.25">
      <c r="B391" s="2" t="s">
        <v>174</v>
      </c>
      <c r="C391" s="2" t="s">
        <v>30</v>
      </c>
      <c r="D391" s="2" t="s">
        <v>151</v>
      </c>
      <c r="E391" s="2" t="s">
        <v>176</v>
      </c>
      <c r="F391" s="2" t="s">
        <v>26</v>
      </c>
      <c r="G391" s="2" t="s">
        <v>175</v>
      </c>
      <c r="I391">
        <f>HEX2DEC(_0811_173439[[#This Row],[580C]])*B$4/B$5+B$6</f>
        <v>840</v>
      </c>
      <c r="J391">
        <f>HEX2DEC(_0811_173439[[#This Row],[4402]])*C$4/C$5+C$6</f>
        <v>36</v>
      </c>
      <c r="K391">
        <f>HEX2DEC(_0811_173439[[#This Row],[580F]])*D$4/D$5+D$6</f>
        <v>30</v>
      </c>
      <c r="L391">
        <f>ROUND(HEX2DEC(_0811_173439[[#This Row],[58F0]])*E$4/E$5+E$6,0)</f>
        <v>70</v>
      </c>
      <c r="M391">
        <f>ROUND(HEX2DEC(_0811_173439[[#This Row],[5805]])*F$4/F$5+F$6,0)</f>
        <v>42</v>
      </c>
      <c r="N391">
        <f>ROUND(HEX2DEC(_0811_173439[[#This Row],[58DD]])*G$4/G$5+G$6,2)</f>
        <v>-0.03</v>
      </c>
      <c r="P391">
        <v>840</v>
      </c>
      <c r="Q391">
        <v>36</v>
      </c>
      <c r="R391">
        <v>30</v>
      </c>
      <c r="S391">
        <v>70</v>
      </c>
      <c r="T391">
        <v>42</v>
      </c>
      <c r="U391">
        <v>-0.03</v>
      </c>
      <c r="W391">
        <f>DataLog_T717420_Aug11_4_59_37pm[[#This Row],[RPM '[1/MIN']]]-Table3[[#This Row],[580C]]</f>
        <v>0</v>
      </c>
      <c r="X391">
        <f>DataLog_T717420_Aug11_4_59_37pm[[#This Row],[OIL TEMP '[Â°C']]]-Table3[[#This Row],[4402]]</f>
        <v>0</v>
      </c>
      <c r="Y391">
        <f>DataLog_T717420_Aug11_4_59_37pm[[#This Row],[INTAKE TEMP '[Â°C']]]-Table3[[#This Row],[580F]]</f>
        <v>0</v>
      </c>
      <c r="Z391">
        <f>DataLog_T717420_Aug11_4_59_37pm[[#This Row],[HPFP PRES. '[BAR']]]-Table3[[#This Row],[58F0]]</f>
        <v>0</v>
      </c>
      <c r="AA391">
        <f>DataLog_T717420_Aug11_4_59_37pm[[#This Row],[COOLANT TEMP '[Â°C']]]-Table3[[#This Row],[5805]]</f>
        <v>0</v>
      </c>
      <c r="AB391">
        <f>DataLog_T717420_Aug11_4_59_37pm[[#This Row],[BOOST '[BAR']]]-Table3[[#This Row],[58DD]]</f>
        <v>0</v>
      </c>
    </row>
    <row r="392" spans="2:28" x14ac:dyDescent="0.25">
      <c r="B392" s="2" t="s">
        <v>174</v>
      </c>
      <c r="C392" s="2" t="s">
        <v>30</v>
      </c>
      <c r="D392" s="2" t="s">
        <v>151</v>
      </c>
      <c r="E392" s="2" t="s">
        <v>177</v>
      </c>
      <c r="F392" s="2" t="s">
        <v>26</v>
      </c>
      <c r="G392" s="2" t="s">
        <v>164</v>
      </c>
      <c r="I392">
        <f>HEX2DEC(_0811_173439[[#This Row],[580C]])*B$4/B$5+B$6</f>
        <v>840</v>
      </c>
      <c r="J392">
        <f>HEX2DEC(_0811_173439[[#This Row],[4402]])*C$4/C$5+C$6</f>
        <v>36</v>
      </c>
      <c r="K392">
        <f>HEX2DEC(_0811_173439[[#This Row],[580F]])*D$4/D$5+D$6</f>
        <v>30</v>
      </c>
      <c r="L392">
        <f>ROUND(HEX2DEC(_0811_173439[[#This Row],[58F0]])*E$4/E$5+E$6,0)</f>
        <v>71</v>
      </c>
      <c r="M392">
        <f>ROUND(HEX2DEC(_0811_173439[[#This Row],[5805]])*F$4/F$5+F$6,0)</f>
        <v>42</v>
      </c>
      <c r="N392">
        <f>ROUND(HEX2DEC(_0811_173439[[#This Row],[58DD]])*G$4/G$5+G$6,2)</f>
        <v>-0.02</v>
      </c>
      <c r="P392">
        <v>840</v>
      </c>
      <c r="Q392">
        <v>36</v>
      </c>
      <c r="R392">
        <v>30</v>
      </c>
      <c r="S392">
        <v>71</v>
      </c>
      <c r="T392">
        <v>42</v>
      </c>
      <c r="U392">
        <v>-0.02</v>
      </c>
      <c r="W392">
        <f>DataLog_T717420_Aug11_4_59_37pm[[#This Row],[RPM '[1/MIN']]]-Table3[[#This Row],[580C]]</f>
        <v>0</v>
      </c>
      <c r="X392">
        <f>DataLog_T717420_Aug11_4_59_37pm[[#This Row],[OIL TEMP '[Â°C']]]-Table3[[#This Row],[4402]]</f>
        <v>0</v>
      </c>
      <c r="Y392">
        <f>DataLog_T717420_Aug11_4_59_37pm[[#This Row],[INTAKE TEMP '[Â°C']]]-Table3[[#This Row],[580F]]</f>
        <v>0</v>
      </c>
      <c r="Z392">
        <f>DataLog_T717420_Aug11_4_59_37pm[[#This Row],[HPFP PRES. '[BAR']]]-Table3[[#This Row],[58F0]]</f>
        <v>0</v>
      </c>
      <c r="AA392">
        <f>DataLog_T717420_Aug11_4_59_37pm[[#This Row],[COOLANT TEMP '[Â°C']]]-Table3[[#This Row],[5805]]</f>
        <v>0</v>
      </c>
      <c r="AB392">
        <f>DataLog_T717420_Aug11_4_59_37pm[[#This Row],[BOOST '[BAR']]]-Table3[[#This Row],[58DD]]</f>
        <v>0</v>
      </c>
    </row>
    <row r="393" spans="2:28" x14ac:dyDescent="0.25">
      <c r="B393" s="2" t="s">
        <v>174</v>
      </c>
      <c r="C393" s="2" t="s">
        <v>30</v>
      </c>
      <c r="D393" s="2" t="s">
        <v>151</v>
      </c>
      <c r="E393" s="2" t="s">
        <v>93</v>
      </c>
      <c r="F393" s="2" t="s">
        <v>26</v>
      </c>
      <c r="G393" s="2" t="s">
        <v>168</v>
      </c>
      <c r="I393">
        <f>HEX2DEC(_0811_173439[[#This Row],[580C]])*B$4/B$5+B$6</f>
        <v>840</v>
      </c>
      <c r="J393">
        <f>HEX2DEC(_0811_173439[[#This Row],[4402]])*C$4/C$5+C$6</f>
        <v>36</v>
      </c>
      <c r="K393">
        <f>HEX2DEC(_0811_173439[[#This Row],[580F]])*D$4/D$5+D$6</f>
        <v>30</v>
      </c>
      <c r="L393">
        <f>ROUND(HEX2DEC(_0811_173439[[#This Row],[58F0]])*E$4/E$5+E$6,0)</f>
        <v>70</v>
      </c>
      <c r="M393">
        <f>ROUND(HEX2DEC(_0811_173439[[#This Row],[5805]])*F$4/F$5+F$6,0)</f>
        <v>42</v>
      </c>
      <c r="N393">
        <f>ROUND(HEX2DEC(_0811_173439[[#This Row],[58DD]])*G$4/G$5+G$6,2)</f>
        <v>-0.02</v>
      </c>
      <c r="P393">
        <v>840</v>
      </c>
      <c r="Q393">
        <v>36</v>
      </c>
      <c r="R393">
        <v>30</v>
      </c>
      <c r="S393">
        <v>70</v>
      </c>
      <c r="T393">
        <v>42</v>
      </c>
      <c r="U393">
        <v>-0.03</v>
      </c>
      <c r="W393">
        <f>DataLog_T717420_Aug11_4_59_37pm[[#This Row],[RPM '[1/MIN']]]-Table3[[#This Row],[580C]]</f>
        <v>0</v>
      </c>
      <c r="X393">
        <f>DataLog_T717420_Aug11_4_59_37pm[[#This Row],[OIL TEMP '[Â°C']]]-Table3[[#This Row],[4402]]</f>
        <v>0</v>
      </c>
      <c r="Y393">
        <f>DataLog_T717420_Aug11_4_59_37pm[[#This Row],[INTAKE TEMP '[Â°C']]]-Table3[[#This Row],[580F]]</f>
        <v>0</v>
      </c>
      <c r="Z393">
        <f>DataLog_T717420_Aug11_4_59_37pm[[#This Row],[HPFP PRES. '[BAR']]]-Table3[[#This Row],[58F0]]</f>
        <v>0</v>
      </c>
      <c r="AA393">
        <f>DataLog_T717420_Aug11_4_59_37pm[[#This Row],[COOLANT TEMP '[Â°C']]]-Table3[[#This Row],[5805]]</f>
        <v>0</v>
      </c>
      <c r="AB393">
        <f>DataLog_T717420_Aug11_4_59_37pm[[#This Row],[BOOST '[BAR']]]-Table3[[#This Row],[58DD]]</f>
        <v>-9.9999999999999985E-3</v>
      </c>
    </row>
    <row r="394" spans="2:28" x14ac:dyDescent="0.25">
      <c r="B394" s="2" t="s">
        <v>174</v>
      </c>
      <c r="C394" s="2" t="s">
        <v>30</v>
      </c>
      <c r="D394" s="2" t="s">
        <v>151</v>
      </c>
      <c r="E394" s="2" t="s">
        <v>124</v>
      </c>
      <c r="F394" s="2" t="s">
        <v>26</v>
      </c>
      <c r="G394" s="2" t="s">
        <v>175</v>
      </c>
      <c r="I394">
        <f>HEX2DEC(_0811_173439[[#This Row],[580C]])*B$4/B$5+B$6</f>
        <v>840</v>
      </c>
      <c r="J394">
        <f>HEX2DEC(_0811_173439[[#This Row],[4402]])*C$4/C$5+C$6</f>
        <v>36</v>
      </c>
      <c r="K394">
        <f>HEX2DEC(_0811_173439[[#This Row],[580F]])*D$4/D$5+D$6</f>
        <v>30</v>
      </c>
      <c r="L394">
        <f>ROUND(HEX2DEC(_0811_173439[[#This Row],[58F0]])*E$4/E$5+E$6,0)</f>
        <v>71</v>
      </c>
      <c r="M394">
        <f>ROUND(HEX2DEC(_0811_173439[[#This Row],[5805]])*F$4/F$5+F$6,0)</f>
        <v>42</v>
      </c>
      <c r="N394">
        <f>ROUND(HEX2DEC(_0811_173439[[#This Row],[58DD]])*G$4/G$5+G$6,2)</f>
        <v>-0.03</v>
      </c>
      <c r="P394">
        <v>840</v>
      </c>
      <c r="Q394">
        <v>36</v>
      </c>
      <c r="R394">
        <v>30</v>
      </c>
      <c r="S394">
        <v>71</v>
      </c>
      <c r="T394">
        <v>42</v>
      </c>
      <c r="U394">
        <v>-0.03</v>
      </c>
      <c r="W394">
        <f>DataLog_T717420_Aug11_4_59_37pm[[#This Row],[RPM '[1/MIN']]]-Table3[[#This Row],[580C]]</f>
        <v>0</v>
      </c>
      <c r="X394">
        <f>DataLog_T717420_Aug11_4_59_37pm[[#This Row],[OIL TEMP '[Â°C']]]-Table3[[#This Row],[4402]]</f>
        <v>0</v>
      </c>
      <c r="Y394">
        <f>DataLog_T717420_Aug11_4_59_37pm[[#This Row],[INTAKE TEMP '[Â°C']]]-Table3[[#This Row],[580F]]</f>
        <v>0</v>
      </c>
      <c r="Z394">
        <f>DataLog_T717420_Aug11_4_59_37pm[[#This Row],[HPFP PRES. '[BAR']]]-Table3[[#This Row],[58F0]]</f>
        <v>0</v>
      </c>
      <c r="AA394">
        <f>DataLog_T717420_Aug11_4_59_37pm[[#This Row],[COOLANT TEMP '[Â°C']]]-Table3[[#This Row],[5805]]</f>
        <v>0</v>
      </c>
      <c r="AB394">
        <f>DataLog_T717420_Aug11_4_59_37pm[[#This Row],[BOOST '[BAR']]]-Table3[[#This Row],[58DD]]</f>
        <v>0</v>
      </c>
    </row>
    <row r="395" spans="2:28" x14ac:dyDescent="0.25">
      <c r="B395" s="2" t="s">
        <v>174</v>
      </c>
      <c r="C395" s="2" t="s">
        <v>30</v>
      </c>
      <c r="D395" s="2" t="s">
        <v>151</v>
      </c>
      <c r="E395" s="2" t="s">
        <v>178</v>
      </c>
      <c r="F395" s="2" t="s">
        <v>26</v>
      </c>
      <c r="G395" s="2" t="s">
        <v>168</v>
      </c>
      <c r="I395">
        <f>HEX2DEC(_0811_173439[[#This Row],[580C]])*B$4/B$5+B$6</f>
        <v>840</v>
      </c>
      <c r="J395">
        <f>HEX2DEC(_0811_173439[[#This Row],[4402]])*C$4/C$5+C$6</f>
        <v>36</v>
      </c>
      <c r="K395">
        <f>HEX2DEC(_0811_173439[[#This Row],[580F]])*D$4/D$5+D$6</f>
        <v>30</v>
      </c>
      <c r="L395">
        <f>ROUND(HEX2DEC(_0811_173439[[#This Row],[58F0]])*E$4/E$5+E$6,0)</f>
        <v>71</v>
      </c>
      <c r="M395">
        <f>ROUND(HEX2DEC(_0811_173439[[#This Row],[5805]])*F$4/F$5+F$6,0)</f>
        <v>42</v>
      </c>
      <c r="N395">
        <f>ROUND(HEX2DEC(_0811_173439[[#This Row],[58DD]])*G$4/G$5+G$6,2)</f>
        <v>-0.02</v>
      </c>
      <c r="P395">
        <v>840</v>
      </c>
      <c r="Q395">
        <v>36</v>
      </c>
      <c r="R395">
        <v>30</v>
      </c>
      <c r="S395">
        <v>71</v>
      </c>
      <c r="T395">
        <v>42</v>
      </c>
      <c r="U395">
        <v>-0.03</v>
      </c>
      <c r="W395">
        <f>DataLog_T717420_Aug11_4_59_37pm[[#This Row],[RPM '[1/MIN']]]-Table3[[#This Row],[580C]]</f>
        <v>0</v>
      </c>
      <c r="X395">
        <f>DataLog_T717420_Aug11_4_59_37pm[[#This Row],[OIL TEMP '[Â°C']]]-Table3[[#This Row],[4402]]</f>
        <v>0</v>
      </c>
      <c r="Y395">
        <f>DataLog_T717420_Aug11_4_59_37pm[[#This Row],[INTAKE TEMP '[Â°C']]]-Table3[[#This Row],[580F]]</f>
        <v>0</v>
      </c>
      <c r="Z395">
        <f>DataLog_T717420_Aug11_4_59_37pm[[#This Row],[HPFP PRES. '[BAR']]]-Table3[[#This Row],[58F0]]</f>
        <v>0</v>
      </c>
      <c r="AA395">
        <f>DataLog_T717420_Aug11_4_59_37pm[[#This Row],[COOLANT TEMP '[Â°C']]]-Table3[[#This Row],[5805]]</f>
        <v>0</v>
      </c>
      <c r="AB395">
        <f>DataLog_T717420_Aug11_4_59_37pm[[#This Row],[BOOST '[BAR']]]-Table3[[#This Row],[58DD]]</f>
        <v>-9.9999999999999985E-3</v>
      </c>
    </row>
    <row r="396" spans="2:28" x14ac:dyDescent="0.25">
      <c r="B396" s="2" t="s">
        <v>174</v>
      </c>
      <c r="C396" s="2" t="s">
        <v>30</v>
      </c>
      <c r="D396" s="2" t="s">
        <v>151</v>
      </c>
      <c r="E396" s="2" t="s">
        <v>93</v>
      </c>
      <c r="F396" s="2" t="s">
        <v>26</v>
      </c>
      <c r="G396" s="2" t="s">
        <v>179</v>
      </c>
      <c r="I396">
        <f>HEX2DEC(_0811_173439[[#This Row],[580C]])*B$4/B$5+B$6</f>
        <v>840</v>
      </c>
      <c r="J396">
        <f>HEX2DEC(_0811_173439[[#This Row],[4402]])*C$4/C$5+C$6</f>
        <v>36</v>
      </c>
      <c r="K396">
        <f>HEX2DEC(_0811_173439[[#This Row],[580F]])*D$4/D$5+D$6</f>
        <v>30</v>
      </c>
      <c r="L396">
        <f>ROUND(HEX2DEC(_0811_173439[[#This Row],[58F0]])*E$4/E$5+E$6,0)</f>
        <v>70</v>
      </c>
      <c r="M396">
        <f>ROUND(HEX2DEC(_0811_173439[[#This Row],[5805]])*F$4/F$5+F$6,0)</f>
        <v>42</v>
      </c>
      <c r="N396">
        <f>ROUND(HEX2DEC(_0811_173439[[#This Row],[58DD]])*G$4/G$5+G$6,2)</f>
        <v>-0.03</v>
      </c>
      <c r="P396">
        <v>840</v>
      </c>
      <c r="Q396">
        <v>36</v>
      </c>
      <c r="R396">
        <v>30</v>
      </c>
      <c r="S396">
        <v>70</v>
      </c>
      <c r="T396">
        <v>42</v>
      </c>
      <c r="U396">
        <v>-0.03</v>
      </c>
      <c r="W396">
        <f>DataLog_T717420_Aug11_4_59_37pm[[#This Row],[RPM '[1/MIN']]]-Table3[[#This Row],[580C]]</f>
        <v>0</v>
      </c>
      <c r="X396">
        <f>DataLog_T717420_Aug11_4_59_37pm[[#This Row],[OIL TEMP '[Â°C']]]-Table3[[#This Row],[4402]]</f>
        <v>0</v>
      </c>
      <c r="Y396">
        <f>DataLog_T717420_Aug11_4_59_37pm[[#This Row],[INTAKE TEMP '[Â°C']]]-Table3[[#This Row],[580F]]</f>
        <v>0</v>
      </c>
      <c r="Z396">
        <f>DataLog_T717420_Aug11_4_59_37pm[[#This Row],[HPFP PRES. '[BAR']]]-Table3[[#This Row],[58F0]]</f>
        <v>0</v>
      </c>
      <c r="AA396">
        <f>DataLog_T717420_Aug11_4_59_37pm[[#This Row],[COOLANT TEMP '[Â°C']]]-Table3[[#This Row],[5805]]</f>
        <v>0</v>
      </c>
      <c r="AB396">
        <f>DataLog_T717420_Aug11_4_59_37pm[[#This Row],[BOOST '[BAR']]]-Table3[[#This Row],[58DD]]</f>
        <v>0</v>
      </c>
    </row>
    <row r="397" spans="2:28" x14ac:dyDescent="0.25">
      <c r="B397" s="2" t="s">
        <v>174</v>
      </c>
      <c r="C397" s="2" t="s">
        <v>30</v>
      </c>
      <c r="D397" s="2" t="s">
        <v>151</v>
      </c>
      <c r="E397" s="2" t="s">
        <v>163</v>
      </c>
      <c r="F397" s="2" t="s">
        <v>26</v>
      </c>
      <c r="G397" s="2" t="s">
        <v>180</v>
      </c>
      <c r="I397">
        <f>HEX2DEC(_0811_173439[[#This Row],[580C]])*B$4/B$5+B$6</f>
        <v>840</v>
      </c>
      <c r="J397">
        <f>HEX2DEC(_0811_173439[[#This Row],[4402]])*C$4/C$5+C$6</f>
        <v>36</v>
      </c>
      <c r="K397">
        <f>HEX2DEC(_0811_173439[[#This Row],[580F]])*D$4/D$5+D$6</f>
        <v>30</v>
      </c>
      <c r="L397">
        <f>ROUND(HEX2DEC(_0811_173439[[#This Row],[58F0]])*E$4/E$5+E$6,0)</f>
        <v>70</v>
      </c>
      <c r="M397">
        <f>ROUND(HEX2DEC(_0811_173439[[#This Row],[5805]])*F$4/F$5+F$6,0)</f>
        <v>42</v>
      </c>
      <c r="N397">
        <f>ROUND(HEX2DEC(_0811_173439[[#This Row],[58DD]])*G$4/G$5+G$6,2)</f>
        <v>-0.03</v>
      </c>
      <c r="P397">
        <v>840</v>
      </c>
      <c r="Q397">
        <v>36</v>
      </c>
      <c r="R397">
        <v>30</v>
      </c>
      <c r="S397">
        <v>70</v>
      </c>
      <c r="T397">
        <v>42</v>
      </c>
      <c r="U397">
        <v>-0.03</v>
      </c>
      <c r="W397">
        <f>DataLog_T717420_Aug11_4_59_37pm[[#This Row],[RPM '[1/MIN']]]-Table3[[#This Row],[580C]]</f>
        <v>0</v>
      </c>
      <c r="X397">
        <f>DataLog_T717420_Aug11_4_59_37pm[[#This Row],[OIL TEMP '[Â°C']]]-Table3[[#This Row],[4402]]</f>
        <v>0</v>
      </c>
      <c r="Y397">
        <f>DataLog_T717420_Aug11_4_59_37pm[[#This Row],[INTAKE TEMP '[Â°C']]]-Table3[[#This Row],[580F]]</f>
        <v>0</v>
      </c>
      <c r="Z397">
        <f>DataLog_T717420_Aug11_4_59_37pm[[#This Row],[HPFP PRES. '[BAR']]]-Table3[[#This Row],[58F0]]</f>
        <v>0</v>
      </c>
      <c r="AA397">
        <f>DataLog_T717420_Aug11_4_59_37pm[[#This Row],[COOLANT TEMP '[Â°C']]]-Table3[[#This Row],[5805]]</f>
        <v>0</v>
      </c>
      <c r="AB397">
        <f>DataLog_T717420_Aug11_4_59_37pm[[#This Row],[BOOST '[BAR']]]-Table3[[#This Row],[58DD]]</f>
        <v>0</v>
      </c>
    </row>
    <row r="398" spans="2:28" x14ac:dyDescent="0.25">
      <c r="B398" s="2" t="s">
        <v>174</v>
      </c>
      <c r="C398" s="2" t="s">
        <v>30</v>
      </c>
      <c r="D398" s="2" t="s">
        <v>151</v>
      </c>
      <c r="E398" s="2" t="s">
        <v>181</v>
      </c>
      <c r="F398" s="2" t="s">
        <v>26</v>
      </c>
      <c r="G398" s="2" t="s">
        <v>168</v>
      </c>
      <c r="I398">
        <f>HEX2DEC(_0811_173439[[#This Row],[580C]])*B$4/B$5+B$6</f>
        <v>840</v>
      </c>
      <c r="J398">
        <f>HEX2DEC(_0811_173439[[#This Row],[4402]])*C$4/C$5+C$6</f>
        <v>36</v>
      </c>
      <c r="K398">
        <f>HEX2DEC(_0811_173439[[#This Row],[580F]])*D$4/D$5+D$6</f>
        <v>30</v>
      </c>
      <c r="L398">
        <f>ROUND(HEX2DEC(_0811_173439[[#This Row],[58F0]])*E$4/E$5+E$6,0)</f>
        <v>70</v>
      </c>
      <c r="M398">
        <f>ROUND(HEX2DEC(_0811_173439[[#This Row],[5805]])*F$4/F$5+F$6,0)</f>
        <v>42</v>
      </c>
      <c r="N398">
        <f>ROUND(HEX2DEC(_0811_173439[[#This Row],[58DD]])*G$4/G$5+G$6,2)</f>
        <v>-0.02</v>
      </c>
      <c r="P398">
        <v>840</v>
      </c>
      <c r="Q398">
        <v>36</v>
      </c>
      <c r="R398">
        <v>30</v>
      </c>
      <c r="S398">
        <v>70</v>
      </c>
      <c r="T398">
        <v>42</v>
      </c>
      <c r="U398">
        <v>-0.03</v>
      </c>
      <c r="W398">
        <f>DataLog_T717420_Aug11_4_59_37pm[[#This Row],[RPM '[1/MIN']]]-Table3[[#This Row],[580C]]</f>
        <v>0</v>
      </c>
      <c r="X398">
        <f>DataLog_T717420_Aug11_4_59_37pm[[#This Row],[OIL TEMP '[Â°C']]]-Table3[[#This Row],[4402]]</f>
        <v>0</v>
      </c>
      <c r="Y398">
        <f>DataLog_T717420_Aug11_4_59_37pm[[#This Row],[INTAKE TEMP '[Â°C']]]-Table3[[#This Row],[580F]]</f>
        <v>0</v>
      </c>
      <c r="Z398">
        <f>DataLog_T717420_Aug11_4_59_37pm[[#This Row],[HPFP PRES. '[BAR']]]-Table3[[#This Row],[58F0]]</f>
        <v>0</v>
      </c>
      <c r="AA398">
        <f>DataLog_T717420_Aug11_4_59_37pm[[#This Row],[COOLANT TEMP '[Â°C']]]-Table3[[#This Row],[5805]]</f>
        <v>0</v>
      </c>
      <c r="AB398">
        <f>DataLog_T717420_Aug11_4_59_37pm[[#This Row],[BOOST '[BAR']]]-Table3[[#This Row],[58DD]]</f>
        <v>-9.9999999999999985E-3</v>
      </c>
    </row>
    <row r="399" spans="2:28" x14ac:dyDescent="0.25">
      <c r="B399" s="2" t="s">
        <v>174</v>
      </c>
      <c r="C399" s="2" t="s">
        <v>30</v>
      </c>
      <c r="D399" s="2" t="s">
        <v>151</v>
      </c>
      <c r="E399" s="2" t="s">
        <v>148</v>
      </c>
      <c r="F399" s="2" t="s">
        <v>26</v>
      </c>
      <c r="G399" s="2" t="s">
        <v>168</v>
      </c>
      <c r="I399">
        <f>HEX2DEC(_0811_173439[[#This Row],[580C]])*B$4/B$5+B$6</f>
        <v>840</v>
      </c>
      <c r="J399">
        <f>HEX2DEC(_0811_173439[[#This Row],[4402]])*C$4/C$5+C$6</f>
        <v>36</v>
      </c>
      <c r="K399">
        <f>HEX2DEC(_0811_173439[[#This Row],[580F]])*D$4/D$5+D$6</f>
        <v>30</v>
      </c>
      <c r="L399">
        <f>ROUND(HEX2DEC(_0811_173439[[#This Row],[58F0]])*E$4/E$5+E$6,0)</f>
        <v>70</v>
      </c>
      <c r="M399">
        <f>ROUND(HEX2DEC(_0811_173439[[#This Row],[5805]])*F$4/F$5+F$6,0)</f>
        <v>42</v>
      </c>
      <c r="N399">
        <f>ROUND(HEX2DEC(_0811_173439[[#This Row],[58DD]])*G$4/G$5+G$6,2)</f>
        <v>-0.02</v>
      </c>
      <c r="P399">
        <v>840</v>
      </c>
      <c r="Q399">
        <v>36</v>
      </c>
      <c r="R399">
        <v>30</v>
      </c>
      <c r="S399">
        <v>70</v>
      </c>
      <c r="T399">
        <v>42</v>
      </c>
      <c r="U399">
        <v>-0.03</v>
      </c>
      <c r="W399">
        <f>DataLog_T717420_Aug11_4_59_37pm[[#This Row],[RPM '[1/MIN']]]-Table3[[#This Row],[580C]]</f>
        <v>0</v>
      </c>
      <c r="X399">
        <f>DataLog_T717420_Aug11_4_59_37pm[[#This Row],[OIL TEMP '[Â°C']]]-Table3[[#This Row],[4402]]</f>
        <v>0</v>
      </c>
      <c r="Y399">
        <f>DataLog_T717420_Aug11_4_59_37pm[[#This Row],[INTAKE TEMP '[Â°C']]]-Table3[[#This Row],[580F]]</f>
        <v>0</v>
      </c>
      <c r="Z399">
        <f>DataLog_T717420_Aug11_4_59_37pm[[#This Row],[HPFP PRES. '[BAR']]]-Table3[[#This Row],[58F0]]</f>
        <v>0</v>
      </c>
      <c r="AA399">
        <f>DataLog_T717420_Aug11_4_59_37pm[[#This Row],[COOLANT TEMP '[Â°C']]]-Table3[[#This Row],[5805]]</f>
        <v>0</v>
      </c>
      <c r="AB399">
        <f>DataLog_T717420_Aug11_4_59_37pm[[#This Row],[BOOST '[BAR']]]-Table3[[#This Row],[58DD]]</f>
        <v>-9.9999999999999985E-3</v>
      </c>
    </row>
    <row r="400" spans="2:28" x14ac:dyDescent="0.25">
      <c r="B400" s="2" t="s">
        <v>174</v>
      </c>
      <c r="C400" s="2" t="s">
        <v>30</v>
      </c>
      <c r="D400" s="2" t="s">
        <v>151</v>
      </c>
      <c r="E400" s="2" t="s">
        <v>159</v>
      </c>
      <c r="F400" s="2" t="s">
        <v>26</v>
      </c>
      <c r="G400" s="2" t="s">
        <v>180</v>
      </c>
      <c r="I400">
        <f>HEX2DEC(_0811_173439[[#This Row],[580C]])*B$4/B$5+B$6</f>
        <v>840</v>
      </c>
      <c r="J400">
        <f>HEX2DEC(_0811_173439[[#This Row],[4402]])*C$4/C$5+C$6</f>
        <v>36</v>
      </c>
      <c r="K400">
        <f>HEX2DEC(_0811_173439[[#This Row],[580F]])*D$4/D$5+D$6</f>
        <v>30</v>
      </c>
      <c r="L400">
        <f>ROUND(HEX2DEC(_0811_173439[[#This Row],[58F0]])*E$4/E$5+E$6,0)</f>
        <v>70</v>
      </c>
      <c r="M400">
        <f>ROUND(HEX2DEC(_0811_173439[[#This Row],[5805]])*F$4/F$5+F$6,0)</f>
        <v>42</v>
      </c>
      <c r="N400">
        <f>ROUND(HEX2DEC(_0811_173439[[#This Row],[58DD]])*G$4/G$5+G$6,2)</f>
        <v>-0.03</v>
      </c>
      <c r="P400">
        <v>840</v>
      </c>
      <c r="Q400">
        <v>36</v>
      </c>
      <c r="R400">
        <v>30</v>
      </c>
      <c r="S400">
        <v>70</v>
      </c>
      <c r="T400">
        <v>42</v>
      </c>
      <c r="U400">
        <v>-0.03</v>
      </c>
      <c r="W400">
        <f>DataLog_T717420_Aug11_4_59_37pm[[#This Row],[RPM '[1/MIN']]]-Table3[[#This Row],[580C]]</f>
        <v>0</v>
      </c>
      <c r="X400">
        <f>DataLog_T717420_Aug11_4_59_37pm[[#This Row],[OIL TEMP '[Â°C']]]-Table3[[#This Row],[4402]]</f>
        <v>0</v>
      </c>
      <c r="Y400">
        <f>DataLog_T717420_Aug11_4_59_37pm[[#This Row],[INTAKE TEMP '[Â°C']]]-Table3[[#This Row],[580F]]</f>
        <v>0</v>
      </c>
      <c r="Z400">
        <f>DataLog_T717420_Aug11_4_59_37pm[[#This Row],[HPFP PRES. '[BAR']]]-Table3[[#This Row],[58F0]]</f>
        <v>0</v>
      </c>
      <c r="AA400">
        <f>DataLog_T717420_Aug11_4_59_37pm[[#This Row],[COOLANT TEMP '[Â°C']]]-Table3[[#This Row],[5805]]</f>
        <v>0</v>
      </c>
      <c r="AB400">
        <f>DataLog_T717420_Aug11_4_59_37pm[[#This Row],[BOOST '[BAR']]]-Table3[[#This Row],[58DD]]</f>
        <v>0</v>
      </c>
    </row>
    <row r="401" spans="2:28" x14ac:dyDescent="0.25">
      <c r="B401" s="2" t="s">
        <v>174</v>
      </c>
      <c r="C401" s="2" t="s">
        <v>30</v>
      </c>
      <c r="D401" s="2" t="s">
        <v>151</v>
      </c>
      <c r="E401" s="2" t="s">
        <v>93</v>
      </c>
      <c r="F401" s="2" t="s">
        <v>26</v>
      </c>
      <c r="G401" s="2" t="s">
        <v>180</v>
      </c>
      <c r="I401">
        <f>HEX2DEC(_0811_173439[[#This Row],[580C]])*B$4/B$5+B$6</f>
        <v>840</v>
      </c>
      <c r="J401">
        <f>HEX2DEC(_0811_173439[[#This Row],[4402]])*C$4/C$5+C$6</f>
        <v>36</v>
      </c>
      <c r="K401">
        <f>HEX2DEC(_0811_173439[[#This Row],[580F]])*D$4/D$5+D$6</f>
        <v>30</v>
      </c>
      <c r="L401">
        <f>ROUND(HEX2DEC(_0811_173439[[#This Row],[58F0]])*E$4/E$5+E$6,0)</f>
        <v>70</v>
      </c>
      <c r="M401">
        <f>ROUND(HEX2DEC(_0811_173439[[#This Row],[5805]])*F$4/F$5+F$6,0)</f>
        <v>42</v>
      </c>
      <c r="N401">
        <f>ROUND(HEX2DEC(_0811_173439[[#This Row],[58DD]])*G$4/G$5+G$6,2)</f>
        <v>-0.03</v>
      </c>
      <c r="P401">
        <v>840</v>
      </c>
      <c r="Q401">
        <v>36</v>
      </c>
      <c r="R401">
        <v>30</v>
      </c>
      <c r="S401">
        <v>70</v>
      </c>
      <c r="T401">
        <v>42</v>
      </c>
      <c r="U401">
        <v>-0.03</v>
      </c>
      <c r="W401">
        <f>DataLog_T717420_Aug11_4_59_37pm[[#This Row],[RPM '[1/MIN']]]-Table3[[#This Row],[580C]]</f>
        <v>0</v>
      </c>
      <c r="X401">
        <f>DataLog_T717420_Aug11_4_59_37pm[[#This Row],[OIL TEMP '[Â°C']]]-Table3[[#This Row],[4402]]</f>
        <v>0</v>
      </c>
      <c r="Y401">
        <f>DataLog_T717420_Aug11_4_59_37pm[[#This Row],[INTAKE TEMP '[Â°C']]]-Table3[[#This Row],[580F]]</f>
        <v>0</v>
      </c>
      <c r="Z401">
        <f>DataLog_T717420_Aug11_4_59_37pm[[#This Row],[HPFP PRES. '[BAR']]]-Table3[[#This Row],[58F0]]</f>
        <v>0</v>
      </c>
      <c r="AA401">
        <f>DataLog_T717420_Aug11_4_59_37pm[[#This Row],[COOLANT TEMP '[Â°C']]]-Table3[[#This Row],[5805]]</f>
        <v>0</v>
      </c>
      <c r="AB401">
        <f>DataLog_T717420_Aug11_4_59_37pm[[#This Row],[BOOST '[BAR']]]-Table3[[#This Row],[58DD]]</f>
        <v>0</v>
      </c>
    </row>
    <row r="402" spans="2:28" x14ac:dyDescent="0.25">
      <c r="B402" s="2" t="s">
        <v>174</v>
      </c>
      <c r="C402" s="2" t="s">
        <v>30</v>
      </c>
      <c r="D402" s="2" t="s">
        <v>151</v>
      </c>
      <c r="E402" s="2" t="s">
        <v>122</v>
      </c>
      <c r="F402" s="2" t="s">
        <v>26</v>
      </c>
      <c r="G402" s="2" t="s">
        <v>175</v>
      </c>
      <c r="I402">
        <f>HEX2DEC(_0811_173439[[#This Row],[580C]])*B$4/B$5+B$6</f>
        <v>840</v>
      </c>
      <c r="J402">
        <f>HEX2DEC(_0811_173439[[#This Row],[4402]])*C$4/C$5+C$6</f>
        <v>36</v>
      </c>
      <c r="K402">
        <f>HEX2DEC(_0811_173439[[#This Row],[580F]])*D$4/D$5+D$6</f>
        <v>30</v>
      </c>
      <c r="L402">
        <f>ROUND(HEX2DEC(_0811_173439[[#This Row],[58F0]])*E$4/E$5+E$6,0)</f>
        <v>71</v>
      </c>
      <c r="M402">
        <f>ROUND(HEX2DEC(_0811_173439[[#This Row],[5805]])*F$4/F$5+F$6,0)</f>
        <v>42</v>
      </c>
      <c r="N402">
        <f>ROUND(HEX2DEC(_0811_173439[[#This Row],[58DD]])*G$4/G$5+G$6,2)</f>
        <v>-0.03</v>
      </c>
      <c r="P402">
        <v>840</v>
      </c>
      <c r="Q402">
        <v>36</v>
      </c>
      <c r="R402">
        <v>30</v>
      </c>
      <c r="S402">
        <v>71</v>
      </c>
      <c r="T402">
        <v>42</v>
      </c>
      <c r="U402">
        <v>-0.03</v>
      </c>
      <c r="W402">
        <f>DataLog_T717420_Aug11_4_59_37pm[[#This Row],[RPM '[1/MIN']]]-Table3[[#This Row],[580C]]</f>
        <v>0</v>
      </c>
      <c r="X402">
        <f>DataLog_T717420_Aug11_4_59_37pm[[#This Row],[OIL TEMP '[Â°C']]]-Table3[[#This Row],[4402]]</f>
        <v>0</v>
      </c>
      <c r="Y402">
        <f>DataLog_T717420_Aug11_4_59_37pm[[#This Row],[INTAKE TEMP '[Â°C']]]-Table3[[#This Row],[580F]]</f>
        <v>0</v>
      </c>
      <c r="Z402">
        <f>DataLog_T717420_Aug11_4_59_37pm[[#This Row],[HPFP PRES. '[BAR']]]-Table3[[#This Row],[58F0]]</f>
        <v>0</v>
      </c>
      <c r="AA402">
        <f>DataLog_T717420_Aug11_4_59_37pm[[#This Row],[COOLANT TEMP '[Â°C']]]-Table3[[#This Row],[5805]]</f>
        <v>0</v>
      </c>
      <c r="AB402">
        <f>DataLog_T717420_Aug11_4_59_37pm[[#This Row],[BOOST '[BAR']]]-Table3[[#This Row],[58DD]]</f>
        <v>0</v>
      </c>
    </row>
    <row r="403" spans="2:28" x14ac:dyDescent="0.25">
      <c r="B403" s="2" t="s">
        <v>174</v>
      </c>
      <c r="C403" s="2" t="s">
        <v>30</v>
      </c>
      <c r="D403" s="2" t="s">
        <v>151</v>
      </c>
      <c r="E403" s="2" t="s">
        <v>129</v>
      </c>
      <c r="F403" s="2" t="s">
        <v>26</v>
      </c>
      <c r="G403" s="2" t="s">
        <v>102</v>
      </c>
      <c r="I403">
        <f>HEX2DEC(_0811_173439[[#This Row],[580C]])*B$4/B$5+B$6</f>
        <v>840</v>
      </c>
      <c r="J403">
        <f>HEX2DEC(_0811_173439[[#This Row],[4402]])*C$4/C$5+C$6</f>
        <v>36</v>
      </c>
      <c r="K403">
        <f>HEX2DEC(_0811_173439[[#This Row],[580F]])*D$4/D$5+D$6</f>
        <v>30</v>
      </c>
      <c r="L403">
        <f>ROUND(HEX2DEC(_0811_173439[[#This Row],[58F0]])*E$4/E$5+E$6,0)</f>
        <v>71</v>
      </c>
      <c r="M403">
        <f>ROUND(HEX2DEC(_0811_173439[[#This Row],[5805]])*F$4/F$5+F$6,0)</f>
        <v>42</v>
      </c>
      <c r="N403">
        <f>ROUND(HEX2DEC(_0811_173439[[#This Row],[58DD]])*G$4/G$5+G$6,2)</f>
        <v>-0.03</v>
      </c>
      <c r="P403">
        <v>840</v>
      </c>
      <c r="Q403">
        <v>36</v>
      </c>
      <c r="R403">
        <v>30</v>
      </c>
      <c r="S403">
        <v>71</v>
      </c>
      <c r="T403">
        <v>42</v>
      </c>
      <c r="U403">
        <v>-0.03</v>
      </c>
      <c r="W403">
        <f>DataLog_T717420_Aug11_4_59_37pm[[#This Row],[RPM '[1/MIN']]]-Table3[[#This Row],[580C]]</f>
        <v>0</v>
      </c>
      <c r="X403">
        <f>DataLog_T717420_Aug11_4_59_37pm[[#This Row],[OIL TEMP '[Â°C']]]-Table3[[#This Row],[4402]]</f>
        <v>0</v>
      </c>
      <c r="Y403">
        <f>DataLog_T717420_Aug11_4_59_37pm[[#This Row],[INTAKE TEMP '[Â°C']]]-Table3[[#This Row],[580F]]</f>
        <v>0</v>
      </c>
      <c r="Z403">
        <f>DataLog_T717420_Aug11_4_59_37pm[[#This Row],[HPFP PRES. '[BAR']]]-Table3[[#This Row],[58F0]]</f>
        <v>0</v>
      </c>
      <c r="AA403">
        <f>DataLog_T717420_Aug11_4_59_37pm[[#This Row],[COOLANT TEMP '[Â°C']]]-Table3[[#This Row],[5805]]</f>
        <v>0</v>
      </c>
      <c r="AB403">
        <f>DataLog_T717420_Aug11_4_59_37pm[[#This Row],[BOOST '[BAR']]]-Table3[[#This Row],[58DD]]</f>
        <v>0</v>
      </c>
    </row>
    <row r="404" spans="2:28" x14ac:dyDescent="0.25">
      <c r="B404" s="2" t="s">
        <v>174</v>
      </c>
      <c r="C404" s="2" t="s">
        <v>30</v>
      </c>
      <c r="D404" s="2" t="s">
        <v>151</v>
      </c>
      <c r="E404" s="2" t="s">
        <v>182</v>
      </c>
      <c r="F404" s="2" t="s">
        <v>26</v>
      </c>
      <c r="G404" s="2" t="s">
        <v>180</v>
      </c>
      <c r="I404">
        <f>HEX2DEC(_0811_173439[[#This Row],[580C]])*B$4/B$5+B$6</f>
        <v>840</v>
      </c>
      <c r="J404">
        <f>HEX2DEC(_0811_173439[[#This Row],[4402]])*C$4/C$5+C$6</f>
        <v>36</v>
      </c>
      <c r="K404">
        <f>HEX2DEC(_0811_173439[[#This Row],[580F]])*D$4/D$5+D$6</f>
        <v>30</v>
      </c>
      <c r="L404">
        <f>ROUND(HEX2DEC(_0811_173439[[#This Row],[58F0]])*E$4/E$5+E$6,0)</f>
        <v>72</v>
      </c>
      <c r="M404">
        <f>ROUND(HEX2DEC(_0811_173439[[#This Row],[5805]])*F$4/F$5+F$6,0)</f>
        <v>42</v>
      </c>
      <c r="N404">
        <f>ROUND(HEX2DEC(_0811_173439[[#This Row],[58DD]])*G$4/G$5+G$6,2)</f>
        <v>-0.03</v>
      </c>
      <c r="P404">
        <v>840</v>
      </c>
      <c r="Q404">
        <v>36</v>
      </c>
      <c r="R404">
        <v>30</v>
      </c>
      <c r="S404">
        <v>72</v>
      </c>
      <c r="T404">
        <v>42</v>
      </c>
      <c r="U404">
        <v>-0.03</v>
      </c>
      <c r="W404">
        <f>DataLog_T717420_Aug11_4_59_37pm[[#This Row],[RPM '[1/MIN']]]-Table3[[#This Row],[580C]]</f>
        <v>0</v>
      </c>
      <c r="X404">
        <f>DataLog_T717420_Aug11_4_59_37pm[[#This Row],[OIL TEMP '[Â°C']]]-Table3[[#This Row],[4402]]</f>
        <v>0</v>
      </c>
      <c r="Y404">
        <f>DataLog_T717420_Aug11_4_59_37pm[[#This Row],[INTAKE TEMP '[Â°C']]]-Table3[[#This Row],[580F]]</f>
        <v>0</v>
      </c>
      <c r="Z404">
        <f>DataLog_T717420_Aug11_4_59_37pm[[#This Row],[HPFP PRES. '[BAR']]]-Table3[[#This Row],[58F0]]</f>
        <v>0</v>
      </c>
      <c r="AA404">
        <f>DataLog_T717420_Aug11_4_59_37pm[[#This Row],[COOLANT TEMP '[Â°C']]]-Table3[[#This Row],[5805]]</f>
        <v>0</v>
      </c>
      <c r="AB404">
        <f>DataLog_T717420_Aug11_4_59_37pm[[#This Row],[BOOST '[BAR']]]-Table3[[#This Row],[58DD]]</f>
        <v>0</v>
      </c>
    </row>
    <row r="405" spans="2:28" x14ac:dyDescent="0.25">
      <c r="B405" s="2" t="s">
        <v>174</v>
      </c>
      <c r="C405" s="2" t="s">
        <v>30</v>
      </c>
      <c r="D405" s="2" t="s">
        <v>151</v>
      </c>
      <c r="E405" s="2" t="s">
        <v>122</v>
      </c>
      <c r="F405" s="2" t="s">
        <v>26</v>
      </c>
      <c r="G405" s="2" t="s">
        <v>102</v>
      </c>
      <c r="I405">
        <f>HEX2DEC(_0811_173439[[#This Row],[580C]])*B$4/B$5+B$6</f>
        <v>840</v>
      </c>
      <c r="J405">
        <f>HEX2DEC(_0811_173439[[#This Row],[4402]])*C$4/C$5+C$6</f>
        <v>36</v>
      </c>
      <c r="K405">
        <f>HEX2DEC(_0811_173439[[#This Row],[580F]])*D$4/D$5+D$6</f>
        <v>30</v>
      </c>
      <c r="L405">
        <f>ROUND(HEX2DEC(_0811_173439[[#This Row],[58F0]])*E$4/E$5+E$6,0)</f>
        <v>71</v>
      </c>
      <c r="M405">
        <f>ROUND(HEX2DEC(_0811_173439[[#This Row],[5805]])*F$4/F$5+F$6,0)</f>
        <v>42</v>
      </c>
      <c r="N405">
        <f>ROUND(HEX2DEC(_0811_173439[[#This Row],[58DD]])*G$4/G$5+G$6,2)</f>
        <v>-0.03</v>
      </c>
      <c r="P405">
        <v>840</v>
      </c>
      <c r="Q405">
        <v>36</v>
      </c>
      <c r="R405">
        <v>30</v>
      </c>
      <c r="S405">
        <v>71</v>
      </c>
      <c r="T405">
        <v>42</v>
      </c>
      <c r="U405">
        <v>-0.03</v>
      </c>
      <c r="W405">
        <f>DataLog_T717420_Aug11_4_59_37pm[[#This Row],[RPM '[1/MIN']]]-Table3[[#This Row],[580C]]</f>
        <v>0</v>
      </c>
      <c r="X405">
        <f>DataLog_T717420_Aug11_4_59_37pm[[#This Row],[OIL TEMP '[Â°C']]]-Table3[[#This Row],[4402]]</f>
        <v>0</v>
      </c>
      <c r="Y405">
        <f>DataLog_T717420_Aug11_4_59_37pm[[#This Row],[INTAKE TEMP '[Â°C']]]-Table3[[#This Row],[580F]]</f>
        <v>0</v>
      </c>
      <c r="Z405">
        <f>DataLog_T717420_Aug11_4_59_37pm[[#This Row],[HPFP PRES. '[BAR']]]-Table3[[#This Row],[58F0]]</f>
        <v>0</v>
      </c>
      <c r="AA405">
        <f>DataLog_T717420_Aug11_4_59_37pm[[#This Row],[COOLANT TEMP '[Â°C']]]-Table3[[#This Row],[5805]]</f>
        <v>0</v>
      </c>
      <c r="AB405">
        <f>DataLog_T717420_Aug11_4_59_37pm[[#This Row],[BOOST '[BAR']]]-Table3[[#This Row],[58DD]]</f>
        <v>0</v>
      </c>
    </row>
    <row r="406" spans="2:28" x14ac:dyDescent="0.25">
      <c r="B406" s="2" t="s">
        <v>183</v>
      </c>
      <c r="C406" s="2" t="s">
        <v>30</v>
      </c>
      <c r="D406" s="2" t="s">
        <v>151</v>
      </c>
      <c r="E406" s="2" t="s">
        <v>91</v>
      </c>
      <c r="F406" s="2" t="s">
        <v>26</v>
      </c>
      <c r="G406" s="2" t="s">
        <v>102</v>
      </c>
      <c r="I406">
        <f>HEX2DEC(_0811_173439[[#This Row],[580C]])*B$4/B$5+B$6</f>
        <v>800</v>
      </c>
      <c r="J406">
        <f>HEX2DEC(_0811_173439[[#This Row],[4402]])*C$4/C$5+C$6</f>
        <v>36</v>
      </c>
      <c r="K406">
        <f>HEX2DEC(_0811_173439[[#This Row],[580F]])*D$4/D$5+D$6</f>
        <v>30</v>
      </c>
      <c r="L406">
        <f>ROUND(HEX2DEC(_0811_173439[[#This Row],[58F0]])*E$4/E$5+E$6,0)</f>
        <v>71</v>
      </c>
      <c r="M406">
        <f>ROUND(HEX2DEC(_0811_173439[[#This Row],[5805]])*F$4/F$5+F$6,0)</f>
        <v>42</v>
      </c>
      <c r="N406">
        <f>ROUND(HEX2DEC(_0811_173439[[#This Row],[58DD]])*G$4/G$5+G$6,2)</f>
        <v>-0.03</v>
      </c>
      <c r="P406">
        <v>800</v>
      </c>
      <c r="Q406">
        <v>36</v>
      </c>
      <c r="R406">
        <v>30</v>
      </c>
      <c r="S406">
        <v>71</v>
      </c>
      <c r="T406">
        <v>42</v>
      </c>
      <c r="U406">
        <v>-0.03</v>
      </c>
      <c r="W406">
        <f>DataLog_T717420_Aug11_4_59_37pm[[#This Row],[RPM '[1/MIN']]]-Table3[[#This Row],[580C]]</f>
        <v>0</v>
      </c>
      <c r="X406">
        <f>DataLog_T717420_Aug11_4_59_37pm[[#This Row],[OIL TEMP '[Â°C']]]-Table3[[#This Row],[4402]]</f>
        <v>0</v>
      </c>
      <c r="Y406">
        <f>DataLog_T717420_Aug11_4_59_37pm[[#This Row],[INTAKE TEMP '[Â°C']]]-Table3[[#This Row],[580F]]</f>
        <v>0</v>
      </c>
      <c r="Z406">
        <f>DataLog_T717420_Aug11_4_59_37pm[[#This Row],[HPFP PRES. '[BAR']]]-Table3[[#This Row],[58F0]]</f>
        <v>0</v>
      </c>
      <c r="AA406">
        <f>DataLog_T717420_Aug11_4_59_37pm[[#This Row],[COOLANT TEMP '[Â°C']]]-Table3[[#This Row],[5805]]</f>
        <v>0</v>
      </c>
      <c r="AB406">
        <f>DataLog_T717420_Aug11_4_59_37pm[[#This Row],[BOOST '[BAR']]]-Table3[[#This Row],[58DD]]</f>
        <v>0</v>
      </c>
    </row>
    <row r="407" spans="2:28" x14ac:dyDescent="0.25">
      <c r="B407" s="2" t="s">
        <v>183</v>
      </c>
      <c r="C407" s="2" t="s">
        <v>30</v>
      </c>
      <c r="D407" s="2" t="s">
        <v>151</v>
      </c>
      <c r="E407" s="2" t="s">
        <v>184</v>
      </c>
      <c r="F407" s="2" t="s">
        <v>26</v>
      </c>
      <c r="G407" s="2" t="s">
        <v>185</v>
      </c>
      <c r="I407">
        <f>HEX2DEC(_0811_173439[[#This Row],[580C]])*B$4/B$5+B$6</f>
        <v>800</v>
      </c>
      <c r="J407">
        <f>HEX2DEC(_0811_173439[[#This Row],[4402]])*C$4/C$5+C$6</f>
        <v>36</v>
      </c>
      <c r="K407">
        <f>HEX2DEC(_0811_173439[[#This Row],[580F]])*D$4/D$5+D$6</f>
        <v>30</v>
      </c>
      <c r="L407">
        <f>ROUND(HEX2DEC(_0811_173439[[#This Row],[58F0]])*E$4/E$5+E$6,0)</f>
        <v>71</v>
      </c>
      <c r="M407">
        <f>ROUND(HEX2DEC(_0811_173439[[#This Row],[5805]])*F$4/F$5+F$6,0)</f>
        <v>42</v>
      </c>
      <c r="N407">
        <f>ROUND(HEX2DEC(_0811_173439[[#This Row],[58DD]])*G$4/G$5+G$6,2)</f>
        <v>-0.03</v>
      </c>
      <c r="P407">
        <v>800</v>
      </c>
      <c r="Q407">
        <v>36</v>
      </c>
      <c r="R407">
        <v>30</v>
      </c>
      <c r="S407">
        <v>71</v>
      </c>
      <c r="T407">
        <v>42</v>
      </c>
      <c r="U407">
        <v>-0.03</v>
      </c>
      <c r="W407">
        <f>DataLog_T717420_Aug11_4_59_37pm[[#This Row],[RPM '[1/MIN']]]-Table3[[#This Row],[580C]]</f>
        <v>0</v>
      </c>
      <c r="X407">
        <f>DataLog_T717420_Aug11_4_59_37pm[[#This Row],[OIL TEMP '[Â°C']]]-Table3[[#This Row],[4402]]</f>
        <v>0</v>
      </c>
      <c r="Y407">
        <f>DataLog_T717420_Aug11_4_59_37pm[[#This Row],[INTAKE TEMP '[Â°C']]]-Table3[[#This Row],[580F]]</f>
        <v>0</v>
      </c>
      <c r="Z407">
        <f>DataLog_T717420_Aug11_4_59_37pm[[#This Row],[HPFP PRES. '[BAR']]]-Table3[[#This Row],[58F0]]</f>
        <v>0</v>
      </c>
      <c r="AA407">
        <f>DataLog_T717420_Aug11_4_59_37pm[[#This Row],[COOLANT TEMP '[Â°C']]]-Table3[[#This Row],[5805]]</f>
        <v>0</v>
      </c>
      <c r="AB407">
        <f>DataLog_T717420_Aug11_4_59_37pm[[#This Row],[BOOST '[BAR']]]-Table3[[#This Row],[58DD]]</f>
        <v>0</v>
      </c>
    </row>
    <row r="408" spans="2:28" x14ac:dyDescent="0.25">
      <c r="B408" s="2" t="s">
        <v>183</v>
      </c>
      <c r="C408" s="2" t="s">
        <v>30</v>
      </c>
      <c r="D408" s="2" t="s">
        <v>151</v>
      </c>
      <c r="E408" s="2" t="s">
        <v>122</v>
      </c>
      <c r="F408" s="2" t="s">
        <v>26</v>
      </c>
      <c r="G408" s="2" t="s">
        <v>186</v>
      </c>
      <c r="I408">
        <f>HEX2DEC(_0811_173439[[#This Row],[580C]])*B$4/B$5+B$6</f>
        <v>800</v>
      </c>
      <c r="J408">
        <f>HEX2DEC(_0811_173439[[#This Row],[4402]])*C$4/C$5+C$6</f>
        <v>36</v>
      </c>
      <c r="K408">
        <f>HEX2DEC(_0811_173439[[#This Row],[580F]])*D$4/D$5+D$6</f>
        <v>30</v>
      </c>
      <c r="L408">
        <f>ROUND(HEX2DEC(_0811_173439[[#This Row],[58F0]])*E$4/E$5+E$6,0)</f>
        <v>71</v>
      </c>
      <c r="M408">
        <f>ROUND(HEX2DEC(_0811_173439[[#This Row],[5805]])*F$4/F$5+F$6,0)</f>
        <v>42</v>
      </c>
      <c r="N408">
        <f>ROUND(HEX2DEC(_0811_173439[[#This Row],[58DD]])*G$4/G$5+G$6,2)</f>
        <v>-0.03</v>
      </c>
      <c r="P408">
        <v>800</v>
      </c>
      <c r="Q408">
        <v>36</v>
      </c>
      <c r="R408">
        <v>30</v>
      </c>
      <c r="S408">
        <v>71</v>
      </c>
      <c r="T408">
        <v>42</v>
      </c>
      <c r="U408">
        <v>-0.03</v>
      </c>
      <c r="W408">
        <f>DataLog_T717420_Aug11_4_59_37pm[[#This Row],[RPM '[1/MIN']]]-Table3[[#This Row],[580C]]</f>
        <v>0</v>
      </c>
      <c r="X408">
        <f>DataLog_T717420_Aug11_4_59_37pm[[#This Row],[OIL TEMP '[Â°C']]]-Table3[[#This Row],[4402]]</f>
        <v>0</v>
      </c>
      <c r="Y408">
        <f>DataLog_T717420_Aug11_4_59_37pm[[#This Row],[INTAKE TEMP '[Â°C']]]-Table3[[#This Row],[580F]]</f>
        <v>0</v>
      </c>
      <c r="Z408">
        <f>DataLog_T717420_Aug11_4_59_37pm[[#This Row],[HPFP PRES. '[BAR']]]-Table3[[#This Row],[58F0]]</f>
        <v>0</v>
      </c>
      <c r="AA408">
        <f>DataLog_T717420_Aug11_4_59_37pm[[#This Row],[COOLANT TEMP '[Â°C']]]-Table3[[#This Row],[5805]]</f>
        <v>0</v>
      </c>
      <c r="AB408">
        <f>DataLog_T717420_Aug11_4_59_37pm[[#This Row],[BOOST '[BAR']]]-Table3[[#This Row],[58DD]]</f>
        <v>0</v>
      </c>
    </row>
    <row r="409" spans="2:28" x14ac:dyDescent="0.25">
      <c r="B409" s="2" t="s">
        <v>183</v>
      </c>
      <c r="C409" s="2" t="s">
        <v>30</v>
      </c>
      <c r="D409" s="2" t="s">
        <v>151</v>
      </c>
      <c r="E409" s="2" t="s">
        <v>91</v>
      </c>
      <c r="F409" s="2" t="s">
        <v>26</v>
      </c>
      <c r="G409" s="2" t="s">
        <v>187</v>
      </c>
      <c r="I409">
        <f>HEX2DEC(_0811_173439[[#This Row],[580C]])*B$4/B$5+B$6</f>
        <v>800</v>
      </c>
      <c r="J409">
        <f>HEX2DEC(_0811_173439[[#This Row],[4402]])*C$4/C$5+C$6</f>
        <v>36</v>
      </c>
      <c r="K409">
        <f>HEX2DEC(_0811_173439[[#This Row],[580F]])*D$4/D$5+D$6</f>
        <v>30</v>
      </c>
      <c r="L409">
        <f>ROUND(HEX2DEC(_0811_173439[[#This Row],[58F0]])*E$4/E$5+E$6,0)</f>
        <v>71</v>
      </c>
      <c r="M409">
        <f>ROUND(HEX2DEC(_0811_173439[[#This Row],[5805]])*F$4/F$5+F$6,0)</f>
        <v>42</v>
      </c>
      <c r="N409">
        <f>ROUND(HEX2DEC(_0811_173439[[#This Row],[58DD]])*G$4/G$5+G$6,2)</f>
        <v>-0.03</v>
      </c>
      <c r="P409">
        <v>800</v>
      </c>
      <c r="Q409">
        <v>36</v>
      </c>
      <c r="R409">
        <v>30</v>
      </c>
      <c r="S409">
        <v>71</v>
      </c>
      <c r="T409">
        <v>42</v>
      </c>
      <c r="U409">
        <v>-0.03</v>
      </c>
      <c r="W409">
        <f>DataLog_T717420_Aug11_4_59_37pm[[#This Row],[RPM '[1/MIN']]]-Table3[[#This Row],[580C]]</f>
        <v>0</v>
      </c>
      <c r="X409">
        <f>DataLog_T717420_Aug11_4_59_37pm[[#This Row],[OIL TEMP '[Â°C']]]-Table3[[#This Row],[4402]]</f>
        <v>0</v>
      </c>
      <c r="Y409">
        <f>DataLog_T717420_Aug11_4_59_37pm[[#This Row],[INTAKE TEMP '[Â°C']]]-Table3[[#This Row],[580F]]</f>
        <v>0</v>
      </c>
      <c r="Z409">
        <f>DataLog_T717420_Aug11_4_59_37pm[[#This Row],[HPFP PRES. '[BAR']]]-Table3[[#This Row],[58F0]]</f>
        <v>0</v>
      </c>
      <c r="AA409">
        <f>DataLog_T717420_Aug11_4_59_37pm[[#This Row],[COOLANT TEMP '[Â°C']]]-Table3[[#This Row],[5805]]</f>
        <v>0</v>
      </c>
      <c r="AB409">
        <f>DataLog_T717420_Aug11_4_59_37pm[[#This Row],[BOOST '[BAR']]]-Table3[[#This Row],[58DD]]</f>
        <v>0</v>
      </c>
    </row>
    <row r="410" spans="2:28" x14ac:dyDescent="0.25">
      <c r="B410" s="2" t="s">
        <v>183</v>
      </c>
      <c r="C410" s="2" t="s">
        <v>30</v>
      </c>
      <c r="D410" s="2" t="s">
        <v>151</v>
      </c>
      <c r="E410" s="2" t="s">
        <v>162</v>
      </c>
      <c r="F410" s="2" t="s">
        <v>26</v>
      </c>
      <c r="G410" s="2" t="s">
        <v>175</v>
      </c>
      <c r="I410">
        <f>HEX2DEC(_0811_173439[[#This Row],[580C]])*B$4/B$5+B$6</f>
        <v>800</v>
      </c>
      <c r="J410">
        <f>HEX2DEC(_0811_173439[[#This Row],[4402]])*C$4/C$5+C$6</f>
        <v>36</v>
      </c>
      <c r="K410">
        <f>HEX2DEC(_0811_173439[[#This Row],[580F]])*D$4/D$5+D$6</f>
        <v>30</v>
      </c>
      <c r="L410">
        <f>ROUND(HEX2DEC(_0811_173439[[#This Row],[58F0]])*E$4/E$5+E$6,0)</f>
        <v>71</v>
      </c>
      <c r="M410">
        <f>ROUND(HEX2DEC(_0811_173439[[#This Row],[5805]])*F$4/F$5+F$6,0)</f>
        <v>42</v>
      </c>
      <c r="N410">
        <f>ROUND(HEX2DEC(_0811_173439[[#This Row],[58DD]])*G$4/G$5+G$6,2)</f>
        <v>-0.03</v>
      </c>
      <c r="P410">
        <v>800</v>
      </c>
      <c r="Q410">
        <v>36</v>
      </c>
      <c r="R410">
        <v>30</v>
      </c>
      <c r="S410">
        <v>71</v>
      </c>
      <c r="T410">
        <v>42</v>
      </c>
      <c r="U410">
        <v>-0.03</v>
      </c>
      <c r="W410">
        <f>DataLog_T717420_Aug11_4_59_37pm[[#This Row],[RPM '[1/MIN']]]-Table3[[#This Row],[580C]]</f>
        <v>0</v>
      </c>
      <c r="X410">
        <f>DataLog_T717420_Aug11_4_59_37pm[[#This Row],[OIL TEMP '[Â°C']]]-Table3[[#This Row],[4402]]</f>
        <v>0</v>
      </c>
      <c r="Y410">
        <f>DataLog_T717420_Aug11_4_59_37pm[[#This Row],[INTAKE TEMP '[Â°C']]]-Table3[[#This Row],[580F]]</f>
        <v>0</v>
      </c>
      <c r="Z410">
        <f>DataLog_T717420_Aug11_4_59_37pm[[#This Row],[HPFP PRES. '[BAR']]]-Table3[[#This Row],[58F0]]</f>
        <v>0</v>
      </c>
      <c r="AA410">
        <f>DataLog_T717420_Aug11_4_59_37pm[[#This Row],[COOLANT TEMP '[Â°C']]]-Table3[[#This Row],[5805]]</f>
        <v>0</v>
      </c>
      <c r="AB410">
        <f>DataLog_T717420_Aug11_4_59_37pm[[#This Row],[BOOST '[BAR']]]-Table3[[#This Row],[58DD]]</f>
        <v>0</v>
      </c>
    </row>
    <row r="411" spans="2:28" x14ac:dyDescent="0.25">
      <c r="B411" s="2" t="s">
        <v>183</v>
      </c>
      <c r="C411" s="2" t="s">
        <v>30</v>
      </c>
      <c r="D411" s="2" t="s">
        <v>151</v>
      </c>
      <c r="E411" s="2" t="s">
        <v>123</v>
      </c>
      <c r="F411" s="2" t="s">
        <v>26</v>
      </c>
      <c r="G411" s="2" t="s">
        <v>102</v>
      </c>
      <c r="I411">
        <f>HEX2DEC(_0811_173439[[#This Row],[580C]])*B$4/B$5+B$6</f>
        <v>800</v>
      </c>
      <c r="J411">
        <f>HEX2DEC(_0811_173439[[#This Row],[4402]])*C$4/C$5+C$6</f>
        <v>36</v>
      </c>
      <c r="K411">
        <f>HEX2DEC(_0811_173439[[#This Row],[580F]])*D$4/D$5+D$6</f>
        <v>30</v>
      </c>
      <c r="L411">
        <f>ROUND(HEX2DEC(_0811_173439[[#This Row],[58F0]])*E$4/E$5+E$6,0)</f>
        <v>71</v>
      </c>
      <c r="M411">
        <f>ROUND(HEX2DEC(_0811_173439[[#This Row],[5805]])*F$4/F$5+F$6,0)</f>
        <v>42</v>
      </c>
      <c r="N411">
        <f>ROUND(HEX2DEC(_0811_173439[[#This Row],[58DD]])*G$4/G$5+G$6,2)</f>
        <v>-0.03</v>
      </c>
      <c r="P411">
        <v>800</v>
      </c>
      <c r="Q411">
        <v>36</v>
      </c>
      <c r="R411">
        <v>30</v>
      </c>
      <c r="S411">
        <v>71</v>
      </c>
      <c r="T411">
        <v>42</v>
      </c>
      <c r="U411">
        <v>-0.03</v>
      </c>
      <c r="W411">
        <f>DataLog_T717420_Aug11_4_59_37pm[[#This Row],[RPM '[1/MIN']]]-Table3[[#This Row],[580C]]</f>
        <v>0</v>
      </c>
      <c r="X411">
        <f>DataLog_T717420_Aug11_4_59_37pm[[#This Row],[OIL TEMP '[Â°C']]]-Table3[[#This Row],[4402]]</f>
        <v>0</v>
      </c>
      <c r="Y411">
        <f>DataLog_T717420_Aug11_4_59_37pm[[#This Row],[INTAKE TEMP '[Â°C']]]-Table3[[#This Row],[580F]]</f>
        <v>0</v>
      </c>
      <c r="Z411">
        <f>DataLog_T717420_Aug11_4_59_37pm[[#This Row],[HPFP PRES. '[BAR']]]-Table3[[#This Row],[58F0]]</f>
        <v>0</v>
      </c>
      <c r="AA411">
        <f>DataLog_T717420_Aug11_4_59_37pm[[#This Row],[COOLANT TEMP '[Â°C']]]-Table3[[#This Row],[5805]]</f>
        <v>0</v>
      </c>
      <c r="AB411">
        <f>DataLog_T717420_Aug11_4_59_37pm[[#This Row],[BOOST '[BAR']]]-Table3[[#This Row],[58DD]]</f>
        <v>0</v>
      </c>
    </row>
    <row r="412" spans="2:28" x14ac:dyDescent="0.25">
      <c r="B412" s="2" t="s">
        <v>183</v>
      </c>
      <c r="C412" s="2" t="s">
        <v>30</v>
      </c>
      <c r="D412" s="2" t="s">
        <v>151</v>
      </c>
      <c r="E412" s="2" t="s">
        <v>143</v>
      </c>
      <c r="F412" s="2" t="s">
        <v>26</v>
      </c>
      <c r="G412" s="2" t="s">
        <v>98</v>
      </c>
      <c r="I412">
        <f>HEX2DEC(_0811_173439[[#This Row],[580C]])*B$4/B$5+B$6</f>
        <v>800</v>
      </c>
      <c r="J412">
        <f>HEX2DEC(_0811_173439[[#This Row],[4402]])*C$4/C$5+C$6</f>
        <v>36</v>
      </c>
      <c r="K412">
        <f>HEX2DEC(_0811_173439[[#This Row],[580F]])*D$4/D$5+D$6</f>
        <v>30</v>
      </c>
      <c r="L412">
        <f>ROUND(HEX2DEC(_0811_173439[[#This Row],[58F0]])*E$4/E$5+E$6,0)</f>
        <v>71</v>
      </c>
      <c r="M412">
        <f>ROUND(HEX2DEC(_0811_173439[[#This Row],[5805]])*F$4/F$5+F$6,0)</f>
        <v>42</v>
      </c>
      <c r="N412">
        <f>ROUND(HEX2DEC(_0811_173439[[#This Row],[58DD]])*G$4/G$5+G$6,2)</f>
        <v>-0.03</v>
      </c>
      <c r="P412">
        <v>800</v>
      </c>
      <c r="Q412">
        <v>36</v>
      </c>
      <c r="R412">
        <v>30</v>
      </c>
      <c r="S412">
        <v>71</v>
      </c>
      <c r="T412">
        <v>42</v>
      </c>
      <c r="U412">
        <v>-0.03</v>
      </c>
      <c r="W412">
        <f>DataLog_T717420_Aug11_4_59_37pm[[#This Row],[RPM '[1/MIN']]]-Table3[[#This Row],[580C]]</f>
        <v>0</v>
      </c>
      <c r="X412">
        <f>DataLog_T717420_Aug11_4_59_37pm[[#This Row],[OIL TEMP '[Â°C']]]-Table3[[#This Row],[4402]]</f>
        <v>0</v>
      </c>
      <c r="Y412">
        <f>DataLog_T717420_Aug11_4_59_37pm[[#This Row],[INTAKE TEMP '[Â°C']]]-Table3[[#This Row],[580F]]</f>
        <v>0</v>
      </c>
      <c r="Z412">
        <f>DataLog_T717420_Aug11_4_59_37pm[[#This Row],[HPFP PRES. '[BAR']]]-Table3[[#This Row],[58F0]]</f>
        <v>0</v>
      </c>
      <c r="AA412">
        <f>DataLog_T717420_Aug11_4_59_37pm[[#This Row],[COOLANT TEMP '[Â°C']]]-Table3[[#This Row],[5805]]</f>
        <v>0</v>
      </c>
      <c r="AB412">
        <f>DataLog_T717420_Aug11_4_59_37pm[[#This Row],[BOOST '[BAR']]]-Table3[[#This Row],[58DD]]</f>
        <v>0</v>
      </c>
    </row>
    <row r="413" spans="2:28" x14ac:dyDescent="0.25">
      <c r="B413" s="2" t="s">
        <v>183</v>
      </c>
      <c r="C413" s="2" t="s">
        <v>30</v>
      </c>
      <c r="D413" s="2" t="s">
        <v>151</v>
      </c>
      <c r="E413" s="2" t="s">
        <v>93</v>
      </c>
      <c r="F413" s="2" t="s">
        <v>26</v>
      </c>
      <c r="G413" s="2" t="s">
        <v>186</v>
      </c>
      <c r="I413">
        <f>HEX2DEC(_0811_173439[[#This Row],[580C]])*B$4/B$5+B$6</f>
        <v>800</v>
      </c>
      <c r="J413">
        <f>HEX2DEC(_0811_173439[[#This Row],[4402]])*C$4/C$5+C$6</f>
        <v>36</v>
      </c>
      <c r="K413">
        <f>HEX2DEC(_0811_173439[[#This Row],[580F]])*D$4/D$5+D$6</f>
        <v>30</v>
      </c>
      <c r="L413">
        <f>ROUND(HEX2DEC(_0811_173439[[#This Row],[58F0]])*E$4/E$5+E$6,0)</f>
        <v>70</v>
      </c>
      <c r="M413">
        <f>ROUND(HEX2DEC(_0811_173439[[#This Row],[5805]])*F$4/F$5+F$6,0)</f>
        <v>42</v>
      </c>
      <c r="N413">
        <f>ROUND(HEX2DEC(_0811_173439[[#This Row],[58DD]])*G$4/G$5+G$6,2)</f>
        <v>-0.03</v>
      </c>
      <c r="P413">
        <v>800</v>
      </c>
      <c r="Q413">
        <v>36</v>
      </c>
      <c r="R413">
        <v>30</v>
      </c>
      <c r="S413">
        <v>70</v>
      </c>
      <c r="T413">
        <v>42</v>
      </c>
      <c r="U413">
        <v>-0.03</v>
      </c>
      <c r="W413">
        <f>DataLog_T717420_Aug11_4_59_37pm[[#This Row],[RPM '[1/MIN']]]-Table3[[#This Row],[580C]]</f>
        <v>0</v>
      </c>
      <c r="X413">
        <f>DataLog_T717420_Aug11_4_59_37pm[[#This Row],[OIL TEMP '[Â°C']]]-Table3[[#This Row],[4402]]</f>
        <v>0</v>
      </c>
      <c r="Y413">
        <f>DataLog_T717420_Aug11_4_59_37pm[[#This Row],[INTAKE TEMP '[Â°C']]]-Table3[[#This Row],[580F]]</f>
        <v>0</v>
      </c>
      <c r="Z413">
        <f>DataLog_T717420_Aug11_4_59_37pm[[#This Row],[HPFP PRES. '[BAR']]]-Table3[[#This Row],[58F0]]</f>
        <v>0</v>
      </c>
      <c r="AA413">
        <f>DataLog_T717420_Aug11_4_59_37pm[[#This Row],[COOLANT TEMP '[Â°C']]]-Table3[[#This Row],[5805]]</f>
        <v>0</v>
      </c>
      <c r="AB413">
        <f>DataLog_T717420_Aug11_4_59_37pm[[#This Row],[BOOST '[BAR']]]-Table3[[#This Row],[58DD]]</f>
        <v>0</v>
      </c>
    </row>
    <row r="414" spans="2:28" x14ac:dyDescent="0.25">
      <c r="B414" s="2" t="s">
        <v>183</v>
      </c>
      <c r="C414" s="2" t="s">
        <v>30</v>
      </c>
      <c r="D414" s="2" t="s">
        <v>151</v>
      </c>
      <c r="E414" s="2" t="s">
        <v>140</v>
      </c>
      <c r="F414" s="2" t="s">
        <v>26</v>
      </c>
      <c r="G414" s="2" t="s">
        <v>186</v>
      </c>
      <c r="I414">
        <f>HEX2DEC(_0811_173439[[#This Row],[580C]])*B$4/B$5+B$6</f>
        <v>800</v>
      </c>
      <c r="J414">
        <f>HEX2DEC(_0811_173439[[#This Row],[4402]])*C$4/C$5+C$6</f>
        <v>36</v>
      </c>
      <c r="K414">
        <f>HEX2DEC(_0811_173439[[#This Row],[580F]])*D$4/D$5+D$6</f>
        <v>30</v>
      </c>
      <c r="L414">
        <f>ROUND(HEX2DEC(_0811_173439[[#This Row],[58F0]])*E$4/E$5+E$6,0)</f>
        <v>71</v>
      </c>
      <c r="M414">
        <f>ROUND(HEX2DEC(_0811_173439[[#This Row],[5805]])*F$4/F$5+F$6,0)</f>
        <v>42</v>
      </c>
      <c r="N414">
        <f>ROUND(HEX2DEC(_0811_173439[[#This Row],[58DD]])*G$4/G$5+G$6,2)</f>
        <v>-0.03</v>
      </c>
      <c r="P414">
        <v>800</v>
      </c>
      <c r="Q414">
        <v>36</v>
      </c>
      <c r="R414">
        <v>30</v>
      </c>
      <c r="S414">
        <v>71</v>
      </c>
      <c r="T414">
        <v>42</v>
      </c>
      <c r="U414">
        <v>-0.03</v>
      </c>
      <c r="W414">
        <f>DataLog_T717420_Aug11_4_59_37pm[[#This Row],[RPM '[1/MIN']]]-Table3[[#This Row],[580C]]</f>
        <v>0</v>
      </c>
      <c r="X414">
        <f>DataLog_T717420_Aug11_4_59_37pm[[#This Row],[OIL TEMP '[Â°C']]]-Table3[[#This Row],[4402]]</f>
        <v>0</v>
      </c>
      <c r="Y414">
        <f>DataLog_T717420_Aug11_4_59_37pm[[#This Row],[INTAKE TEMP '[Â°C']]]-Table3[[#This Row],[580F]]</f>
        <v>0</v>
      </c>
      <c r="Z414">
        <f>DataLog_T717420_Aug11_4_59_37pm[[#This Row],[HPFP PRES. '[BAR']]]-Table3[[#This Row],[58F0]]</f>
        <v>0</v>
      </c>
      <c r="AA414">
        <f>DataLog_T717420_Aug11_4_59_37pm[[#This Row],[COOLANT TEMP '[Â°C']]]-Table3[[#This Row],[5805]]</f>
        <v>0</v>
      </c>
      <c r="AB414">
        <f>DataLog_T717420_Aug11_4_59_37pm[[#This Row],[BOOST '[BAR']]]-Table3[[#This Row],[58DD]]</f>
        <v>0</v>
      </c>
    </row>
    <row r="415" spans="2:28" x14ac:dyDescent="0.25">
      <c r="B415" s="2" t="s">
        <v>183</v>
      </c>
      <c r="C415" s="2" t="s">
        <v>30</v>
      </c>
      <c r="D415" s="2" t="s">
        <v>151</v>
      </c>
      <c r="E415" s="2" t="s">
        <v>188</v>
      </c>
      <c r="F415" s="2" t="s">
        <v>26</v>
      </c>
      <c r="G415" s="2" t="s">
        <v>187</v>
      </c>
      <c r="I415">
        <f>HEX2DEC(_0811_173439[[#This Row],[580C]])*B$4/B$5+B$6</f>
        <v>800</v>
      </c>
      <c r="J415">
        <f>HEX2DEC(_0811_173439[[#This Row],[4402]])*C$4/C$5+C$6</f>
        <v>36</v>
      </c>
      <c r="K415">
        <f>HEX2DEC(_0811_173439[[#This Row],[580F]])*D$4/D$5+D$6</f>
        <v>30</v>
      </c>
      <c r="L415">
        <f>ROUND(HEX2DEC(_0811_173439[[#This Row],[58F0]])*E$4/E$5+E$6,0)</f>
        <v>71</v>
      </c>
      <c r="M415">
        <f>ROUND(HEX2DEC(_0811_173439[[#This Row],[5805]])*F$4/F$5+F$6,0)</f>
        <v>42</v>
      </c>
      <c r="N415">
        <f>ROUND(HEX2DEC(_0811_173439[[#This Row],[58DD]])*G$4/G$5+G$6,2)</f>
        <v>-0.03</v>
      </c>
      <c r="P415">
        <v>800</v>
      </c>
      <c r="Q415">
        <v>36</v>
      </c>
      <c r="R415">
        <v>30</v>
      </c>
      <c r="S415">
        <v>71</v>
      </c>
      <c r="T415">
        <v>42</v>
      </c>
      <c r="U415">
        <v>-0.03</v>
      </c>
      <c r="W415">
        <f>DataLog_T717420_Aug11_4_59_37pm[[#This Row],[RPM '[1/MIN']]]-Table3[[#This Row],[580C]]</f>
        <v>0</v>
      </c>
      <c r="X415">
        <f>DataLog_T717420_Aug11_4_59_37pm[[#This Row],[OIL TEMP '[Â°C']]]-Table3[[#This Row],[4402]]</f>
        <v>0</v>
      </c>
      <c r="Y415">
        <f>DataLog_T717420_Aug11_4_59_37pm[[#This Row],[INTAKE TEMP '[Â°C']]]-Table3[[#This Row],[580F]]</f>
        <v>0</v>
      </c>
      <c r="Z415">
        <f>DataLog_T717420_Aug11_4_59_37pm[[#This Row],[HPFP PRES. '[BAR']]]-Table3[[#This Row],[58F0]]</f>
        <v>0</v>
      </c>
      <c r="AA415">
        <f>DataLog_T717420_Aug11_4_59_37pm[[#This Row],[COOLANT TEMP '[Â°C']]]-Table3[[#This Row],[5805]]</f>
        <v>0</v>
      </c>
      <c r="AB415">
        <f>DataLog_T717420_Aug11_4_59_37pm[[#This Row],[BOOST '[BAR']]]-Table3[[#This Row],[58DD]]</f>
        <v>0</v>
      </c>
    </row>
    <row r="416" spans="2:28" x14ac:dyDescent="0.25">
      <c r="B416" s="2" t="s">
        <v>183</v>
      </c>
      <c r="C416" s="2" t="s">
        <v>30</v>
      </c>
      <c r="D416" s="2" t="s">
        <v>151</v>
      </c>
      <c r="E416" s="2" t="s">
        <v>139</v>
      </c>
      <c r="F416" s="2" t="s">
        <v>26</v>
      </c>
      <c r="G416" s="2" t="s">
        <v>186</v>
      </c>
      <c r="I416">
        <f>HEX2DEC(_0811_173439[[#This Row],[580C]])*B$4/B$5+B$6</f>
        <v>800</v>
      </c>
      <c r="J416">
        <f>HEX2DEC(_0811_173439[[#This Row],[4402]])*C$4/C$5+C$6</f>
        <v>36</v>
      </c>
      <c r="K416">
        <f>HEX2DEC(_0811_173439[[#This Row],[580F]])*D$4/D$5+D$6</f>
        <v>30</v>
      </c>
      <c r="L416">
        <f>ROUND(HEX2DEC(_0811_173439[[#This Row],[58F0]])*E$4/E$5+E$6,0)</f>
        <v>71</v>
      </c>
      <c r="M416">
        <f>ROUND(HEX2DEC(_0811_173439[[#This Row],[5805]])*F$4/F$5+F$6,0)</f>
        <v>42</v>
      </c>
      <c r="N416">
        <f>ROUND(HEX2DEC(_0811_173439[[#This Row],[58DD]])*G$4/G$5+G$6,2)</f>
        <v>-0.03</v>
      </c>
      <c r="P416">
        <v>800</v>
      </c>
      <c r="Q416">
        <v>36</v>
      </c>
      <c r="R416">
        <v>30</v>
      </c>
      <c r="S416">
        <v>71</v>
      </c>
      <c r="T416">
        <v>42</v>
      </c>
      <c r="U416">
        <v>-0.03</v>
      </c>
      <c r="W416">
        <f>DataLog_T717420_Aug11_4_59_37pm[[#This Row],[RPM '[1/MIN']]]-Table3[[#This Row],[580C]]</f>
        <v>0</v>
      </c>
      <c r="X416">
        <f>DataLog_T717420_Aug11_4_59_37pm[[#This Row],[OIL TEMP '[Â°C']]]-Table3[[#This Row],[4402]]</f>
        <v>0</v>
      </c>
      <c r="Y416">
        <f>DataLog_T717420_Aug11_4_59_37pm[[#This Row],[INTAKE TEMP '[Â°C']]]-Table3[[#This Row],[580F]]</f>
        <v>0</v>
      </c>
      <c r="Z416">
        <f>DataLog_T717420_Aug11_4_59_37pm[[#This Row],[HPFP PRES. '[BAR']]]-Table3[[#This Row],[58F0]]</f>
        <v>0</v>
      </c>
      <c r="AA416">
        <f>DataLog_T717420_Aug11_4_59_37pm[[#This Row],[COOLANT TEMP '[Â°C']]]-Table3[[#This Row],[5805]]</f>
        <v>0</v>
      </c>
      <c r="AB416">
        <f>DataLog_T717420_Aug11_4_59_37pm[[#This Row],[BOOST '[BAR']]]-Table3[[#This Row],[58DD]]</f>
        <v>0</v>
      </c>
    </row>
    <row r="417" spans="2:28" x14ac:dyDescent="0.25">
      <c r="B417" s="2" t="s">
        <v>183</v>
      </c>
      <c r="C417" s="2" t="s">
        <v>30</v>
      </c>
      <c r="D417" s="2" t="s">
        <v>151</v>
      </c>
      <c r="E417" s="2" t="s">
        <v>124</v>
      </c>
      <c r="F417" s="2" t="s">
        <v>26</v>
      </c>
      <c r="G417" s="2" t="s">
        <v>186</v>
      </c>
      <c r="I417">
        <f>HEX2DEC(_0811_173439[[#This Row],[580C]])*B$4/B$5+B$6</f>
        <v>800</v>
      </c>
      <c r="J417">
        <f>HEX2DEC(_0811_173439[[#This Row],[4402]])*C$4/C$5+C$6</f>
        <v>36</v>
      </c>
      <c r="K417">
        <f>HEX2DEC(_0811_173439[[#This Row],[580F]])*D$4/D$5+D$6</f>
        <v>30</v>
      </c>
      <c r="L417">
        <f>ROUND(HEX2DEC(_0811_173439[[#This Row],[58F0]])*E$4/E$5+E$6,0)</f>
        <v>71</v>
      </c>
      <c r="M417">
        <f>ROUND(HEX2DEC(_0811_173439[[#This Row],[5805]])*F$4/F$5+F$6,0)</f>
        <v>42</v>
      </c>
      <c r="N417">
        <f>ROUND(HEX2DEC(_0811_173439[[#This Row],[58DD]])*G$4/G$5+G$6,2)</f>
        <v>-0.03</v>
      </c>
      <c r="P417">
        <v>800</v>
      </c>
      <c r="Q417">
        <v>36</v>
      </c>
      <c r="R417">
        <v>30</v>
      </c>
      <c r="S417">
        <v>71</v>
      </c>
      <c r="T417">
        <v>42</v>
      </c>
      <c r="U417">
        <v>-0.03</v>
      </c>
      <c r="W417">
        <f>DataLog_T717420_Aug11_4_59_37pm[[#This Row],[RPM '[1/MIN']]]-Table3[[#This Row],[580C]]</f>
        <v>0</v>
      </c>
      <c r="X417">
        <f>DataLog_T717420_Aug11_4_59_37pm[[#This Row],[OIL TEMP '[Â°C']]]-Table3[[#This Row],[4402]]</f>
        <v>0</v>
      </c>
      <c r="Y417">
        <f>DataLog_T717420_Aug11_4_59_37pm[[#This Row],[INTAKE TEMP '[Â°C']]]-Table3[[#This Row],[580F]]</f>
        <v>0</v>
      </c>
      <c r="Z417">
        <f>DataLog_T717420_Aug11_4_59_37pm[[#This Row],[HPFP PRES. '[BAR']]]-Table3[[#This Row],[58F0]]</f>
        <v>0</v>
      </c>
      <c r="AA417">
        <f>DataLog_T717420_Aug11_4_59_37pm[[#This Row],[COOLANT TEMP '[Â°C']]]-Table3[[#This Row],[5805]]</f>
        <v>0</v>
      </c>
      <c r="AB417">
        <f>DataLog_T717420_Aug11_4_59_37pm[[#This Row],[BOOST '[BAR']]]-Table3[[#This Row],[58DD]]</f>
        <v>0</v>
      </c>
    </row>
    <row r="418" spans="2:28" x14ac:dyDescent="0.25">
      <c r="B418" s="2" t="s">
        <v>183</v>
      </c>
      <c r="C418" s="2" t="s">
        <v>30</v>
      </c>
      <c r="D418" s="2" t="s">
        <v>151</v>
      </c>
      <c r="E418" s="2" t="s">
        <v>122</v>
      </c>
      <c r="F418" s="2" t="s">
        <v>26</v>
      </c>
      <c r="G418" s="2" t="s">
        <v>98</v>
      </c>
      <c r="I418">
        <f>HEX2DEC(_0811_173439[[#This Row],[580C]])*B$4/B$5+B$6</f>
        <v>800</v>
      </c>
      <c r="J418">
        <f>HEX2DEC(_0811_173439[[#This Row],[4402]])*C$4/C$5+C$6</f>
        <v>36</v>
      </c>
      <c r="K418">
        <f>HEX2DEC(_0811_173439[[#This Row],[580F]])*D$4/D$5+D$6</f>
        <v>30</v>
      </c>
      <c r="L418">
        <f>ROUND(HEX2DEC(_0811_173439[[#This Row],[58F0]])*E$4/E$5+E$6,0)</f>
        <v>71</v>
      </c>
      <c r="M418">
        <f>ROUND(HEX2DEC(_0811_173439[[#This Row],[5805]])*F$4/F$5+F$6,0)</f>
        <v>42</v>
      </c>
      <c r="N418">
        <f>ROUND(HEX2DEC(_0811_173439[[#This Row],[58DD]])*G$4/G$5+G$6,2)</f>
        <v>-0.03</v>
      </c>
      <c r="P418">
        <v>800</v>
      </c>
      <c r="Q418">
        <v>36</v>
      </c>
      <c r="R418">
        <v>30</v>
      </c>
      <c r="S418">
        <v>71</v>
      </c>
      <c r="T418">
        <v>42</v>
      </c>
      <c r="U418">
        <v>-0.03</v>
      </c>
      <c r="W418">
        <f>DataLog_T717420_Aug11_4_59_37pm[[#This Row],[RPM '[1/MIN']]]-Table3[[#This Row],[580C]]</f>
        <v>0</v>
      </c>
      <c r="X418">
        <f>DataLog_T717420_Aug11_4_59_37pm[[#This Row],[OIL TEMP '[Â°C']]]-Table3[[#This Row],[4402]]</f>
        <v>0</v>
      </c>
      <c r="Y418">
        <f>DataLog_T717420_Aug11_4_59_37pm[[#This Row],[INTAKE TEMP '[Â°C']]]-Table3[[#This Row],[580F]]</f>
        <v>0</v>
      </c>
      <c r="Z418">
        <f>DataLog_T717420_Aug11_4_59_37pm[[#This Row],[HPFP PRES. '[BAR']]]-Table3[[#This Row],[58F0]]</f>
        <v>0</v>
      </c>
      <c r="AA418">
        <f>DataLog_T717420_Aug11_4_59_37pm[[#This Row],[COOLANT TEMP '[Â°C']]]-Table3[[#This Row],[5805]]</f>
        <v>0</v>
      </c>
      <c r="AB418">
        <f>DataLog_T717420_Aug11_4_59_37pm[[#This Row],[BOOST '[BAR']]]-Table3[[#This Row],[58DD]]</f>
        <v>0</v>
      </c>
    </row>
    <row r="419" spans="2:28" x14ac:dyDescent="0.25">
      <c r="B419" s="2" t="s">
        <v>189</v>
      </c>
      <c r="C419" s="2" t="s">
        <v>30</v>
      </c>
      <c r="D419" s="2" t="s">
        <v>151</v>
      </c>
      <c r="E419" s="2" t="s">
        <v>178</v>
      </c>
      <c r="F419" s="2" t="s">
        <v>26</v>
      </c>
      <c r="G419" s="2" t="s">
        <v>187</v>
      </c>
      <c r="I419">
        <f>HEX2DEC(_0811_173439[[#This Row],[580C]])*B$4/B$5+B$6</f>
        <v>760</v>
      </c>
      <c r="J419">
        <f>HEX2DEC(_0811_173439[[#This Row],[4402]])*C$4/C$5+C$6</f>
        <v>36</v>
      </c>
      <c r="K419">
        <f>HEX2DEC(_0811_173439[[#This Row],[580F]])*D$4/D$5+D$6</f>
        <v>30</v>
      </c>
      <c r="L419">
        <f>ROUND(HEX2DEC(_0811_173439[[#This Row],[58F0]])*E$4/E$5+E$6,0)</f>
        <v>71</v>
      </c>
      <c r="M419">
        <f>ROUND(HEX2DEC(_0811_173439[[#This Row],[5805]])*F$4/F$5+F$6,0)</f>
        <v>42</v>
      </c>
      <c r="N419">
        <f>ROUND(HEX2DEC(_0811_173439[[#This Row],[58DD]])*G$4/G$5+G$6,2)</f>
        <v>-0.03</v>
      </c>
      <c r="P419">
        <v>760</v>
      </c>
      <c r="Q419">
        <v>36</v>
      </c>
      <c r="R419">
        <v>30</v>
      </c>
      <c r="S419">
        <v>71</v>
      </c>
      <c r="T419">
        <v>42</v>
      </c>
      <c r="U419">
        <v>-0.03</v>
      </c>
      <c r="W419">
        <f>DataLog_T717420_Aug11_4_59_37pm[[#This Row],[RPM '[1/MIN']]]-Table3[[#This Row],[580C]]</f>
        <v>0</v>
      </c>
      <c r="X419">
        <f>DataLog_T717420_Aug11_4_59_37pm[[#This Row],[OIL TEMP '[Â°C']]]-Table3[[#This Row],[4402]]</f>
        <v>0</v>
      </c>
      <c r="Y419">
        <f>DataLog_T717420_Aug11_4_59_37pm[[#This Row],[INTAKE TEMP '[Â°C']]]-Table3[[#This Row],[580F]]</f>
        <v>0</v>
      </c>
      <c r="Z419">
        <f>DataLog_T717420_Aug11_4_59_37pm[[#This Row],[HPFP PRES. '[BAR']]]-Table3[[#This Row],[58F0]]</f>
        <v>0</v>
      </c>
      <c r="AA419">
        <f>DataLog_T717420_Aug11_4_59_37pm[[#This Row],[COOLANT TEMP '[Â°C']]]-Table3[[#This Row],[5805]]</f>
        <v>0</v>
      </c>
      <c r="AB419">
        <f>DataLog_T717420_Aug11_4_59_37pm[[#This Row],[BOOST '[BAR']]]-Table3[[#This Row],[58DD]]</f>
        <v>0</v>
      </c>
    </row>
    <row r="420" spans="2:28" x14ac:dyDescent="0.25">
      <c r="B420" s="2" t="s">
        <v>183</v>
      </c>
      <c r="C420" s="2" t="s">
        <v>30</v>
      </c>
      <c r="D420" s="2" t="s">
        <v>151</v>
      </c>
      <c r="E420" s="2" t="s">
        <v>170</v>
      </c>
      <c r="F420" s="2" t="s">
        <v>26</v>
      </c>
      <c r="G420" s="2" t="s">
        <v>186</v>
      </c>
      <c r="I420">
        <f>HEX2DEC(_0811_173439[[#This Row],[580C]])*B$4/B$5+B$6</f>
        <v>800</v>
      </c>
      <c r="J420">
        <f>HEX2DEC(_0811_173439[[#This Row],[4402]])*C$4/C$5+C$6</f>
        <v>36</v>
      </c>
      <c r="K420">
        <f>HEX2DEC(_0811_173439[[#This Row],[580F]])*D$4/D$5+D$6</f>
        <v>30</v>
      </c>
      <c r="L420">
        <f>ROUND(HEX2DEC(_0811_173439[[#This Row],[58F0]])*E$4/E$5+E$6,0)</f>
        <v>71</v>
      </c>
      <c r="M420">
        <f>ROUND(HEX2DEC(_0811_173439[[#This Row],[5805]])*F$4/F$5+F$6,0)</f>
        <v>42</v>
      </c>
      <c r="N420">
        <f>ROUND(HEX2DEC(_0811_173439[[#This Row],[58DD]])*G$4/G$5+G$6,2)</f>
        <v>-0.03</v>
      </c>
      <c r="P420">
        <v>800</v>
      </c>
      <c r="Q420">
        <v>36</v>
      </c>
      <c r="R420">
        <v>30</v>
      </c>
      <c r="S420">
        <v>71</v>
      </c>
      <c r="T420">
        <v>42</v>
      </c>
      <c r="U420">
        <v>-0.03</v>
      </c>
      <c r="W420">
        <f>DataLog_T717420_Aug11_4_59_37pm[[#This Row],[RPM '[1/MIN']]]-Table3[[#This Row],[580C]]</f>
        <v>0</v>
      </c>
      <c r="X420">
        <f>DataLog_T717420_Aug11_4_59_37pm[[#This Row],[OIL TEMP '[Â°C']]]-Table3[[#This Row],[4402]]</f>
        <v>0</v>
      </c>
      <c r="Y420">
        <f>DataLog_T717420_Aug11_4_59_37pm[[#This Row],[INTAKE TEMP '[Â°C']]]-Table3[[#This Row],[580F]]</f>
        <v>0</v>
      </c>
      <c r="Z420">
        <f>DataLog_T717420_Aug11_4_59_37pm[[#This Row],[HPFP PRES. '[BAR']]]-Table3[[#This Row],[58F0]]</f>
        <v>0</v>
      </c>
      <c r="AA420">
        <f>DataLog_T717420_Aug11_4_59_37pm[[#This Row],[COOLANT TEMP '[Â°C']]]-Table3[[#This Row],[5805]]</f>
        <v>0</v>
      </c>
      <c r="AB420">
        <f>DataLog_T717420_Aug11_4_59_37pm[[#This Row],[BOOST '[BAR']]]-Table3[[#This Row],[58DD]]</f>
        <v>0</v>
      </c>
    </row>
    <row r="421" spans="2:28" x14ac:dyDescent="0.25">
      <c r="B421" s="2" t="s">
        <v>183</v>
      </c>
      <c r="C421" s="2" t="s">
        <v>30</v>
      </c>
      <c r="D421" s="2" t="s">
        <v>151</v>
      </c>
      <c r="E421" s="2" t="s">
        <v>170</v>
      </c>
      <c r="F421" s="2" t="s">
        <v>26</v>
      </c>
      <c r="G421" s="2" t="s">
        <v>190</v>
      </c>
      <c r="I421">
        <f>HEX2DEC(_0811_173439[[#This Row],[580C]])*B$4/B$5+B$6</f>
        <v>800</v>
      </c>
      <c r="J421">
        <f>HEX2DEC(_0811_173439[[#This Row],[4402]])*C$4/C$5+C$6</f>
        <v>36</v>
      </c>
      <c r="K421">
        <f>HEX2DEC(_0811_173439[[#This Row],[580F]])*D$4/D$5+D$6</f>
        <v>30</v>
      </c>
      <c r="L421">
        <f>ROUND(HEX2DEC(_0811_173439[[#This Row],[58F0]])*E$4/E$5+E$6,0)</f>
        <v>71</v>
      </c>
      <c r="M421">
        <f>ROUND(HEX2DEC(_0811_173439[[#This Row],[5805]])*F$4/F$5+F$6,0)</f>
        <v>42</v>
      </c>
      <c r="N421">
        <f>ROUND(HEX2DEC(_0811_173439[[#This Row],[58DD]])*G$4/G$5+G$6,2)</f>
        <v>-0.03</v>
      </c>
      <c r="P421">
        <v>800</v>
      </c>
      <c r="Q421">
        <v>36</v>
      </c>
      <c r="R421">
        <v>30</v>
      </c>
      <c r="S421">
        <v>71</v>
      </c>
      <c r="T421">
        <v>42</v>
      </c>
      <c r="U421">
        <v>-0.03</v>
      </c>
      <c r="W421">
        <f>DataLog_T717420_Aug11_4_59_37pm[[#This Row],[RPM '[1/MIN']]]-Table3[[#This Row],[580C]]</f>
        <v>0</v>
      </c>
      <c r="X421">
        <f>DataLog_T717420_Aug11_4_59_37pm[[#This Row],[OIL TEMP '[Â°C']]]-Table3[[#This Row],[4402]]</f>
        <v>0</v>
      </c>
      <c r="Y421">
        <f>DataLog_T717420_Aug11_4_59_37pm[[#This Row],[INTAKE TEMP '[Â°C']]]-Table3[[#This Row],[580F]]</f>
        <v>0</v>
      </c>
      <c r="Z421">
        <f>DataLog_T717420_Aug11_4_59_37pm[[#This Row],[HPFP PRES. '[BAR']]]-Table3[[#This Row],[58F0]]</f>
        <v>0</v>
      </c>
      <c r="AA421">
        <f>DataLog_T717420_Aug11_4_59_37pm[[#This Row],[COOLANT TEMP '[Â°C']]]-Table3[[#This Row],[5805]]</f>
        <v>0</v>
      </c>
      <c r="AB421">
        <f>DataLog_T717420_Aug11_4_59_37pm[[#This Row],[BOOST '[BAR']]]-Table3[[#This Row],[58DD]]</f>
        <v>0</v>
      </c>
    </row>
    <row r="422" spans="2:28" x14ac:dyDescent="0.25">
      <c r="B422" s="2" t="s">
        <v>183</v>
      </c>
      <c r="C422" s="2" t="s">
        <v>30</v>
      </c>
      <c r="D422" s="2" t="s">
        <v>151</v>
      </c>
      <c r="E422" s="2" t="s">
        <v>122</v>
      </c>
      <c r="F422" s="2" t="s">
        <v>26</v>
      </c>
      <c r="G422" s="2" t="s">
        <v>191</v>
      </c>
      <c r="I422">
        <f>HEX2DEC(_0811_173439[[#This Row],[580C]])*B$4/B$5+B$6</f>
        <v>800</v>
      </c>
      <c r="J422">
        <f>HEX2DEC(_0811_173439[[#This Row],[4402]])*C$4/C$5+C$6</f>
        <v>36</v>
      </c>
      <c r="K422">
        <f>HEX2DEC(_0811_173439[[#This Row],[580F]])*D$4/D$5+D$6</f>
        <v>30</v>
      </c>
      <c r="L422">
        <f>ROUND(HEX2DEC(_0811_173439[[#This Row],[58F0]])*E$4/E$5+E$6,0)</f>
        <v>71</v>
      </c>
      <c r="M422">
        <f>ROUND(HEX2DEC(_0811_173439[[#This Row],[5805]])*F$4/F$5+F$6,0)</f>
        <v>42</v>
      </c>
      <c r="N422">
        <f>ROUND(HEX2DEC(_0811_173439[[#This Row],[58DD]])*G$4/G$5+G$6,2)</f>
        <v>-0.03</v>
      </c>
      <c r="P422">
        <v>800</v>
      </c>
      <c r="Q422">
        <v>36</v>
      </c>
      <c r="R422">
        <v>30</v>
      </c>
      <c r="S422">
        <v>71</v>
      </c>
      <c r="T422">
        <v>42</v>
      </c>
      <c r="U422">
        <v>-0.03</v>
      </c>
      <c r="W422">
        <f>DataLog_T717420_Aug11_4_59_37pm[[#This Row],[RPM '[1/MIN']]]-Table3[[#This Row],[580C]]</f>
        <v>0</v>
      </c>
      <c r="X422">
        <f>DataLog_T717420_Aug11_4_59_37pm[[#This Row],[OIL TEMP '[Â°C']]]-Table3[[#This Row],[4402]]</f>
        <v>0</v>
      </c>
      <c r="Y422">
        <f>DataLog_T717420_Aug11_4_59_37pm[[#This Row],[INTAKE TEMP '[Â°C']]]-Table3[[#This Row],[580F]]</f>
        <v>0</v>
      </c>
      <c r="Z422">
        <f>DataLog_T717420_Aug11_4_59_37pm[[#This Row],[HPFP PRES. '[BAR']]]-Table3[[#This Row],[58F0]]</f>
        <v>0</v>
      </c>
      <c r="AA422">
        <f>DataLog_T717420_Aug11_4_59_37pm[[#This Row],[COOLANT TEMP '[Â°C']]]-Table3[[#This Row],[5805]]</f>
        <v>0</v>
      </c>
      <c r="AB422">
        <f>DataLog_T717420_Aug11_4_59_37pm[[#This Row],[BOOST '[BAR']]]-Table3[[#This Row],[58DD]]</f>
        <v>0</v>
      </c>
    </row>
    <row r="423" spans="2:28" x14ac:dyDescent="0.25">
      <c r="B423" s="2" t="s">
        <v>183</v>
      </c>
      <c r="C423" s="2" t="s">
        <v>30</v>
      </c>
      <c r="D423" s="2" t="s">
        <v>151</v>
      </c>
      <c r="E423" s="2" t="s">
        <v>124</v>
      </c>
      <c r="F423" s="2" t="s">
        <v>26</v>
      </c>
      <c r="G423" s="2" t="s">
        <v>187</v>
      </c>
      <c r="I423">
        <f>HEX2DEC(_0811_173439[[#This Row],[580C]])*B$4/B$5+B$6</f>
        <v>800</v>
      </c>
      <c r="J423">
        <f>HEX2DEC(_0811_173439[[#This Row],[4402]])*C$4/C$5+C$6</f>
        <v>36</v>
      </c>
      <c r="K423">
        <f>HEX2DEC(_0811_173439[[#This Row],[580F]])*D$4/D$5+D$6</f>
        <v>30</v>
      </c>
      <c r="L423">
        <f>ROUND(HEX2DEC(_0811_173439[[#This Row],[58F0]])*E$4/E$5+E$6,0)</f>
        <v>71</v>
      </c>
      <c r="M423">
        <f>ROUND(HEX2DEC(_0811_173439[[#This Row],[5805]])*F$4/F$5+F$6,0)</f>
        <v>42</v>
      </c>
      <c r="N423">
        <f>ROUND(HEX2DEC(_0811_173439[[#This Row],[58DD]])*G$4/G$5+G$6,2)</f>
        <v>-0.03</v>
      </c>
      <c r="P423">
        <v>800</v>
      </c>
      <c r="Q423">
        <v>36</v>
      </c>
      <c r="R423">
        <v>30</v>
      </c>
      <c r="S423">
        <v>71</v>
      </c>
      <c r="T423">
        <v>42</v>
      </c>
      <c r="U423">
        <v>-0.03</v>
      </c>
      <c r="W423">
        <f>DataLog_T717420_Aug11_4_59_37pm[[#This Row],[RPM '[1/MIN']]]-Table3[[#This Row],[580C]]</f>
        <v>0</v>
      </c>
      <c r="X423">
        <f>DataLog_T717420_Aug11_4_59_37pm[[#This Row],[OIL TEMP '[Â°C']]]-Table3[[#This Row],[4402]]</f>
        <v>0</v>
      </c>
      <c r="Y423">
        <f>DataLog_T717420_Aug11_4_59_37pm[[#This Row],[INTAKE TEMP '[Â°C']]]-Table3[[#This Row],[580F]]</f>
        <v>0</v>
      </c>
      <c r="Z423">
        <f>DataLog_T717420_Aug11_4_59_37pm[[#This Row],[HPFP PRES. '[BAR']]]-Table3[[#This Row],[58F0]]</f>
        <v>0</v>
      </c>
      <c r="AA423">
        <f>DataLog_T717420_Aug11_4_59_37pm[[#This Row],[COOLANT TEMP '[Â°C']]]-Table3[[#This Row],[5805]]</f>
        <v>0</v>
      </c>
      <c r="AB423">
        <f>DataLog_T717420_Aug11_4_59_37pm[[#This Row],[BOOST '[BAR']]]-Table3[[#This Row],[58DD]]</f>
        <v>0</v>
      </c>
    </row>
    <row r="424" spans="2:28" x14ac:dyDescent="0.25">
      <c r="B424" s="2" t="s">
        <v>183</v>
      </c>
      <c r="C424" s="2" t="s">
        <v>30</v>
      </c>
      <c r="D424" s="2" t="s">
        <v>151</v>
      </c>
      <c r="E424" s="2" t="s">
        <v>157</v>
      </c>
      <c r="F424" s="2" t="s">
        <v>26</v>
      </c>
      <c r="G424" s="2" t="s">
        <v>98</v>
      </c>
      <c r="I424">
        <f>HEX2DEC(_0811_173439[[#This Row],[580C]])*B$4/B$5+B$6</f>
        <v>800</v>
      </c>
      <c r="J424">
        <f>HEX2DEC(_0811_173439[[#This Row],[4402]])*C$4/C$5+C$6</f>
        <v>36</v>
      </c>
      <c r="K424">
        <f>HEX2DEC(_0811_173439[[#This Row],[580F]])*D$4/D$5+D$6</f>
        <v>30</v>
      </c>
      <c r="L424">
        <f>ROUND(HEX2DEC(_0811_173439[[#This Row],[58F0]])*E$4/E$5+E$6,0)</f>
        <v>70</v>
      </c>
      <c r="M424">
        <f>ROUND(HEX2DEC(_0811_173439[[#This Row],[5805]])*F$4/F$5+F$6,0)</f>
        <v>42</v>
      </c>
      <c r="N424">
        <f>ROUND(HEX2DEC(_0811_173439[[#This Row],[58DD]])*G$4/G$5+G$6,2)</f>
        <v>-0.03</v>
      </c>
      <c r="P424">
        <v>800</v>
      </c>
      <c r="Q424">
        <v>36</v>
      </c>
      <c r="R424">
        <v>30</v>
      </c>
      <c r="S424">
        <v>70</v>
      </c>
      <c r="T424">
        <v>42</v>
      </c>
      <c r="U424">
        <v>-0.03</v>
      </c>
      <c r="W424">
        <f>DataLog_T717420_Aug11_4_59_37pm[[#This Row],[RPM '[1/MIN']]]-Table3[[#This Row],[580C]]</f>
        <v>0</v>
      </c>
      <c r="X424">
        <f>DataLog_T717420_Aug11_4_59_37pm[[#This Row],[OIL TEMP '[Â°C']]]-Table3[[#This Row],[4402]]</f>
        <v>0</v>
      </c>
      <c r="Y424">
        <f>DataLog_T717420_Aug11_4_59_37pm[[#This Row],[INTAKE TEMP '[Â°C']]]-Table3[[#This Row],[580F]]</f>
        <v>0</v>
      </c>
      <c r="Z424">
        <f>DataLog_T717420_Aug11_4_59_37pm[[#This Row],[HPFP PRES. '[BAR']]]-Table3[[#This Row],[58F0]]</f>
        <v>0</v>
      </c>
      <c r="AA424">
        <f>DataLog_T717420_Aug11_4_59_37pm[[#This Row],[COOLANT TEMP '[Â°C']]]-Table3[[#This Row],[5805]]</f>
        <v>0</v>
      </c>
      <c r="AB424">
        <f>DataLog_T717420_Aug11_4_59_37pm[[#This Row],[BOOST '[BAR']]]-Table3[[#This Row],[58DD]]</f>
        <v>0</v>
      </c>
    </row>
    <row r="425" spans="2:28" x14ac:dyDescent="0.25">
      <c r="B425" s="2" t="s">
        <v>183</v>
      </c>
      <c r="C425" s="2" t="s">
        <v>30</v>
      </c>
      <c r="D425" s="2" t="s">
        <v>151</v>
      </c>
      <c r="E425" s="2" t="s">
        <v>122</v>
      </c>
      <c r="F425" s="2" t="s">
        <v>26</v>
      </c>
      <c r="G425" s="2" t="s">
        <v>98</v>
      </c>
      <c r="I425">
        <f>HEX2DEC(_0811_173439[[#This Row],[580C]])*B$4/B$5+B$6</f>
        <v>800</v>
      </c>
      <c r="J425">
        <f>HEX2DEC(_0811_173439[[#This Row],[4402]])*C$4/C$5+C$6</f>
        <v>36</v>
      </c>
      <c r="K425">
        <f>HEX2DEC(_0811_173439[[#This Row],[580F]])*D$4/D$5+D$6</f>
        <v>30</v>
      </c>
      <c r="L425">
        <f>ROUND(HEX2DEC(_0811_173439[[#This Row],[58F0]])*E$4/E$5+E$6,0)</f>
        <v>71</v>
      </c>
      <c r="M425">
        <f>ROUND(HEX2DEC(_0811_173439[[#This Row],[5805]])*F$4/F$5+F$6,0)</f>
        <v>42</v>
      </c>
      <c r="N425">
        <f>ROUND(HEX2DEC(_0811_173439[[#This Row],[58DD]])*G$4/G$5+G$6,2)</f>
        <v>-0.03</v>
      </c>
      <c r="P425">
        <v>800</v>
      </c>
      <c r="Q425">
        <v>36</v>
      </c>
      <c r="R425">
        <v>30</v>
      </c>
      <c r="S425">
        <v>71</v>
      </c>
      <c r="T425">
        <v>42</v>
      </c>
      <c r="U425">
        <v>-0.03</v>
      </c>
      <c r="W425">
        <f>DataLog_T717420_Aug11_4_59_37pm[[#This Row],[RPM '[1/MIN']]]-Table3[[#This Row],[580C]]</f>
        <v>0</v>
      </c>
      <c r="X425">
        <f>DataLog_T717420_Aug11_4_59_37pm[[#This Row],[OIL TEMP '[Â°C']]]-Table3[[#This Row],[4402]]</f>
        <v>0</v>
      </c>
      <c r="Y425">
        <f>DataLog_T717420_Aug11_4_59_37pm[[#This Row],[INTAKE TEMP '[Â°C']]]-Table3[[#This Row],[580F]]</f>
        <v>0</v>
      </c>
      <c r="Z425">
        <f>DataLog_T717420_Aug11_4_59_37pm[[#This Row],[HPFP PRES. '[BAR']]]-Table3[[#This Row],[58F0]]</f>
        <v>0</v>
      </c>
      <c r="AA425">
        <f>DataLog_T717420_Aug11_4_59_37pm[[#This Row],[COOLANT TEMP '[Â°C']]]-Table3[[#This Row],[5805]]</f>
        <v>0</v>
      </c>
      <c r="AB425">
        <f>DataLog_T717420_Aug11_4_59_37pm[[#This Row],[BOOST '[BAR']]]-Table3[[#This Row],[58DD]]</f>
        <v>0</v>
      </c>
    </row>
    <row r="426" spans="2:28" x14ac:dyDescent="0.25">
      <c r="B426" s="2" t="s">
        <v>183</v>
      </c>
      <c r="C426" s="2" t="s">
        <v>30</v>
      </c>
      <c r="D426" s="2" t="s">
        <v>151</v>
      </c>
      <c r="E426" s="2" t="s">
        <v>129</v>
      </c>
      <c r="F426" s="2" t="s">
        <v>26</v>
      </c>
      <c r="G426" s="2" t="s">
        <v>192</v>
      </c>
      <c r="I426">
        <f>HEX2DEC(_0811_173439[[#This Row],[580C]])*B$4/B$5+B$6</f>
        <v>800</v>
      </c>
      <c r="J426">
        <f>HEX2DEC(_0811_173439[[#This Row],[4402]])*C$4/C$5+C$6</f>
        <v>36</v>
      </c>
      <c r="K426">
        <f>HEX2DEC(_0811_173439[[#This Row],[580F]])*D$4/D$5+D$6</f>
        <v>30</v>
      </c>
      <c r="L426">
        <f>ROUND(HEX2DEC(_0811_173439[[#This Row],[58F0]])*E$4/E$5+E$6,0)</f>
        <v>71</v>
      </c>
      <c r="M426">
        <f>ROUND(HEX2DEC(_0811_173439[[#This Row],[5805]])*F$4/F$5+F$6,0)</f>
        <v>42</v>
      </c>
      <c r="N426">
        <f>ROUND(HEX2DEC(_0811_173439[[#This Row],[58DD]])*G$4/G$5+G$6,2)</f>
        <v>-0.03</v>
      </c>
      <c r="P426">
        <v>800</v>
      </c>
      <c r="Q426">
        <v>36</v>
      </c>
      <c r="R426">
        <v>30</v>
      </c>
      <c r="S426">
        <v>71</v>
      </c>
      <c r="T426">
        <v>42</v>
      </c>
      <c r="U426">
        <v>-0.03</v>
      </c>
      <c r="W426">
        <f>DataLog_T717420_Aug11_4_59_37pm[[#This Row],[RPM '[1/MIN']]]-Table3[[#This Row],[580C]]</f>
        <v>0</v>
      </c>
      <c r="X426">
        <f>DataLog_T717420_Aug11_4_59_37pm[[#This Row],[OIL TEMP '[Â°C']]]-Table3[[#This Row],[4402]]</f>
        <v>0</v>
      </c>
      <c r="Y426">
        <f>DataLog_T717420_Aug11_4_59_37pm[[#This Row],[INTAKE TEMP '[Â°C']]]-Table3[[#This Row],[580F]]</f>
        <v>0</v>
      </c>
      <c r="Z426">
        <f>DataLog_T717420_Aug11_4_59_37pm[[#This Row],[HPFP PRES. '[BAR']]]-Table3[[#This Row],[58F0]]</f>
        <v>0</v>
      </c>
      <c r="AA426">
        <f>DataLog_T717420_Aug11_4_59_37pm[[#This Row],[COOLANT TEMP '[Â°C']]]-Table3[[#This Row],[5805]]</f>
        <v>0</v>
      </c>
      <c r="AB426">
        <f>DataLog_T717420_Aug11_4_59_37pm[[#This Row],[BOOST '[BAR']]]-Table3[[#This Row],[58DD]]</f>
        <v>0</v>
      </c>
    </row>
    <row r="427" spans="2:28" x14ac:dyDescent="0.25">
      <c r="B427" s="2" t="s">
        <v>183</v>
      </c>
      <c r="C427" s="2" t="s">
        <v>30</v>
      </c>
      <c r="D427" s="2" t="s">
        <v>151</v>
      </c>
      <c r="E427" s="2" t="s">
        <v>163</v>
      </c>
      <c r="F427" s="2" t="s">
        <v>26</v>
      </c>
      <c r="G427" s="2" t="s">
        <v>187</v>
      </c>
      <c r="I427">
        <f>HEX2DEC(_0811_173439[[#This Row],[580C]])*B$4/B$5+B$6</f>
        <v>800</v>
      </c>
      <c r="J427">
        <f>HEX2DEC(_0811_173439[[#This Row],[4402]])*C$4/C$5+C$6</f>
        <v>36</v>
      </c>
      <c r="K427">
        <f>HEX2DEC(_0811_173439[[#This Row],[580F]])*D$4/D$5+D$6</f>
        <v>30</v>
      </c>
      <c r="L427">
        <f>ROUND(HEX2DEC(_0811_173439[[#This Row],[58F0]])*E$4/E$5+E$6,0)</f>
        <v>70</v>
      </c>
      <c r="M427">
        <f>ROUND(HEX2DEC(_0811_173439[[#This Row],[5805]])*F$4/F$5+F$6,0)</f>
        <v>42</v>
      </c>
      <c r="N427">
        <f>ROUND(HEX2DEC(_0811_173439[[#This Row],[58DD]])*G$4/G$5+G$6,2)</f>
        <v>-0.03</v>
      </c>
      <c r="P427">
        <v>800</v>
      </c>
      <c r="Q427">
        <v>36</v>
      </c>
      <c r="R427">
        <v>30</v>
      </c>
      <c r="S427">
        <v>70</v>
      </c>
      <c r="T427">
        <v>42</v>
      </c>
      <c r="U427">
        <v>-0.03</v>
      </c>
      <c r="W427">
        <f>DataLog_T717420_Aug11_4_59_37pm[[#This Row],[RPM '[1/MIN']]]-Table3[[#This Row],[580C]]</f>
        <v>0</v>
      </c>
      <c r="X427">
        <f>DataLog_T717420_Aug11_4_59_37pm[[#This Row],[OIL TEMP '[Â°C']]]-Table3[[#This Row],[4402]]</f>
        <v>0</v>
      </c>
      <c r="Y427">
        <f>DataLog_T717420_Aug11_4_59_37pm[[#This Row],[INTAKE TEMP '[Â°C']]]-Table3[[#This Row],[580F]]</f>
        <v>0</v>
      </c>
      <c r="Z427">
        <f>DataLog_T717420_Aug11_4_59_37pm[[#This Row],[HPFP PRES. '[BAR']]]-Table3[[#This Row],[58F0]]</f>
        <v>0</v>
      </c>
      <c r="AA427">
        <f>DataLog_T717420_Aug11_4_59_37pm[[#This Row],[COOLANT TEMP '[Â°C']]]-Table3[[#This Row],[5805]]</f>
        <v>0</v>
      </c>
      <c r="AB427">
        <f>DataLog_T717420_Aug11_4_59_37pm[[#This Row],[BOOST '[BAR']]]-Table3[[#This Row],[58DD]]</f>
        <v>0</v>
      </c>
    </row>
    <row r="428" spans="2:28" x14ac:dyDescent="0.25">
      <c r="B428" s="2" t="s">
        <v>183</v>
      </c>
      <c r="C428" s="2" t="s">
        <v>30</v>
      </c>
      <c r="D428" s="2" t="s">
        <v>151</v>
      </c>
      <c r="E428" s="2" t="s">
        <v>123</v>
      </c>
      <c r="F428" s="2" t="s">
        <v>26</v>
      </c>
      <c r="G428" s="2" t="s">
        <v>102</v>
      </c>
      <c r="I428">
        <f>HEX2DEC(_0811_173439[[#This Row],[580C]])*B$4/B$5+B$6</f>
        <v>800</v>
      </c>
      <c r="J428">
        <f>HEX2DEC(_0811_173439[[#This Row],[4402]])*C$4/C$5+C$6</f>
        <v>36</v>
      </c>
      <c r="K428">
        <f>HEX2DEC(_0811_173439[[#This Row],[580F]])*D$4/D$5+D$6</f>
        <v>30</v>
      </c>
      <c r="L428">
        <f>ROUND(HEX2DEC(_0811_173439[[#This Row],[58F0]])*E$4/E$5+E$6,0)</f>
        <v>71</v>
      </c>
      <c r="M428">
        <f>ROUND(HEX2DEC(_0811_173439[[#This Row],[5805]])*F$4/F$5+F$6,0)</f>
        <v>42</v>
      </c>
      <c r="N428">
        <f>ROUND(HEX2DEC(_0811_173439[[#This Row],[58DD]])*G$4/G$5+G$6,2)</f>
        <v>-0.03</v>
      </c>
      <c r="P428">
        <v>800</v>
      </c>
      <c r="Q428">
        <v>36</v>
      </c>
      <c r="R428">
        <v>30</v>
      </c>
      <c r="S428">
        <v>71</v>
      </c>
      <c r="T428">
        <v>42</v>
      </c>
      <c r="U428">
        <v>-0.03</v>
      </c>
      <c r="W428">
        <f>DataLog_T717420_Aug11_4_59_37pm[[#This Row],[RPM '[1/MIN']]]-Table3[[#This Row],[580C]]</f>
        <v>0</v>
      </c>
      <c r="X428">
        <f>DataLog_T717420_Aug11_4_59_37pm[[#This Row],[OIL TEMP '[Â°C']]]-Table3[[#This Row],[4402]]</f>
        <v>0</v>
      </c>
      <c r="Y428">
        <f>DataLog_T717420_Aug11_4_59_37pm[[#This Row],[INTAKE TEMP '[Â°C']]]-Table3[[#This Row],[580F]]</f>
        <v>0</v>
      </c>
      <c r="Z428">
        <f>DataLog_T717420_Aug11_4_59_37pm[[#This Row],[HPFP PRES. '[BAR']]]-Table3[[#This Row],[58F0]]</f>
        <v>0</v>
      </c>
      <c r="AA428">
        <f>DataLog_T717420_Aug11_4_59_37pm[[#This Row],[COOLANT TEMP '[Â°C']]]-Table3[[#This Row],[5805]]</f>
        <v>0</v>
      </c>
      <c r="AB428">
        <f>DataLog_T717420_Aug11_4_59_37pm[[#This Row],[BOOST '[BAR']]]-Table3[[#This Row],[58DD]]</f>
        <v>0</v>
      </c>
    </row>
    <row r="429" spans="2:28" x14ac:dyDescent="0.25">
      <c r="B429" s="2" t="s">
        <v>183</v>
      </c>
      <c r="C429" s="2" t="s">
        <v>30</v>
      </c>
      <c r="D429" s="2" t="s">
        <v>151</v>
      </c>
      <c r="E429" s="2" t="s">
        <v>91</v>
      </c>
      <c r="F429" s="2" t="s">
        <v>26</v>
      </c>
      <c r="G429" s="2" t="s">
        <v>186</v>
      </c>
      <c r="I429">
        <f>HEX2DEC(_0811_173439[[#This Row],[580C]])*B$4/B$5+B$6</f>
        <v>800</v>
      </c>
      <c r="J429">
        <f>HEX2DEC(_0811_173439[[#This Row],[4402]])*C$4/C$5+C$6</f>
        <v>36</v>
      </c>
      <c r="K429">
        <f>HEX2DEC(_0811_173439[[#This Row],[580F]])*D$4/D$5+D$6</f>
        <v>30</v>
      </c>
      <c r="L429">
        <f>ROUND(HEX2DEC(_0811_173439[[#This Row],[58F0]])*E$4/E$5+E$6,0)</f>
        <v>71</v>
      </c>
      <c r="M429">
        <f>ROUND(HEX2DEC(_0811_173439[[#This Row],[5805]])*F$4/F$5+F$6,0)</f>
        <v>42</v>
      </c>
      <c r="N429">
        <f>ROUND(HEX2DEC(_0811_173439[[#This Row],[58DD]])*G$4/G$5+G$6,2)</f>
        <v>-0.03</v>
      </c>
      <c r="P429">
        <v>800</v>
      </c>
      <c r="Q429">
        <v>36</v>
      </c>
      <c r="R429">
        <v>30</v>
      </c>
      <c r="S429">
        <v>71</v>
      </c>
      <c r="T429">
        <v>42</v>
      </c>
      <c r="U429">
        <v>-0.03</v>
      </c>
      <c r="W429">
        <f>DataLog_T717420_Aug11_4_59_37pm[[#This Row],[RPM '[1/MIN']]]-Table3[[#This Row],[580C]]</f>
        <v>0</v>
      </c>
      <c r="X429">
        <f>DataLog_T717420_Aug11_4_59_37pm[[#This Row],[OIL TEMP '[Â°C']]]-Table3[[#This Row],[4402]]</f>
        <v>0</v>
      </c>
      <c r="Y429">
        <f>DataLog_T717420_Aug11_4_59_37pm[[#This Row],[INTAKE TEMP '[Â°C']]]-Table3[[#This Row],[580F]]</f>
        <v>0</v>
      </c>
      <c r="Z429">
        <f>DataLog_T717420_Aug11_4_59_37pm[[#This Row],[HPFP PRES. '[BAR']]]-Table3[[#This Row],[58F0]]</f>
        <v>0</v>
      </c>
      <c r="AA429">
        <f>DataLog_T717420_Aug11_4_59_37pm[[#This Row],[COOLANT TEMP '[Â°C']]]-Table3[[#This Row],[5805]]</f>
        <v>0</v>
      </c>
      <c r="AB429">
        <f>DataLog_T717420_Aug11_4_59_37pm[[#This Row],[BOOST '[BAR']]]-Table3[[#This Row],[58DD]]</f>
        <v>0</v>
      </c>
    </row>
    <row r="430" spans="2:28" x14ac:dyDescent="0.25">
      <c r="B430" s="2" t="s">
        <v>183</v>
      </c>
      <c r="C430" s="2" t="s">
        <v>30</v>
      </c>
      <c r="D430" s="2" t="s">
        <v>151</v>
      </c>
      <c r="E430" s="2" t="s">
        <v>127</v>
      </c>
      <c r="F430" s="2" t="s">
        <v>26</v>
      </c>
      <c r="G430" s="2" t="s">
        <v>187</v>
      </c>
      <c r="I430">
        <f>HEX2DEC(_0811_173439[[#This Row],[580C]])*B$4/B$5+B$6</f>
        <v>800</v>
      </c>
      <c r="J430">
        <f>HEX2DEC(_0811_173439[[#This Row],[4402]])*C$4/C$5+C$6</f>
        <v>36</v>
      </c>
      <c r="K430">
        <f>HEX2DEC(_0811_173439[[#This Row],[580F]])*D$4/D$5+D$6</f>
        <v>30</v>
      </c>
      <c r="L430">
        <f>ROUND(HEX2DEC(_0811_173439[[#This Row],[58F0]])*E$4/E$5+E$6,0)</f>
        <v>70</v>
      </c>
      <c r="M430">
        <f>ROUND(HEX2DEC(_0811_173439[[#This Row],[5805]])*F$4/F$5+F$6,0)</f>
        <v>42</v>
      </c>
      <c r="N430">
        <f>ROUND(HEX2DEC(_0811_173439[[#This Row],[58DD]])*G$4/G$5+G$6,2)</f>
        <v>-0.03</v>
      </c>
      <c r="P430">
        <v>800</v>
      </c>
      <c r="Q430">
        <v>36</v>
      </c>
      <c r="R430">
        <v>30</v>
      </c>
      <c r="S430">
        <v>70</v>
      </c>
      <c r="T430">
        <v>42</v>
      </c>
      <c r="U430">
        <v>-0.03</v>
      </c>
      <c r="W430">
        <f>DataLog_T717420_Aug11_4_59_37pm[[#This Row],[RPM '[1/MIN']]]-Table3[[#This Row],[580C]]</f>
        <v>0</v>
      </c>
      <c r="X430">
        <f>DataLog_T717420_Aug11_4_59_37pm[[#This Row],[OIL TEMP '[Â°C']]]-Table3[[#This Row],[4402]]</f>
        <v>0</v>
      </c>
      <c r="Y430">
        <f>DataLog_T717420_Aug11_4_59_37pm[[#This Row],[INTAKE TEMP '[Â°C']]]-Table3[[#This Row],[580F]]</f>
        <v>0</v>
      </c>
      <c r="Z430">
        <f>DataLog_T717420_Aug11_4_59_37pm[[#This Row],[HPFP PRES. '[BAR']]]-Table3[[#This Row],[58F0]]</f>
        <v>0</v>
      </c>
      <c r="AA430">
        <f>DataLog_T717420_Aug11_4_59_37pm[[#This Row],[COOLANT TEMP '[Â°C']]]-Table3[[#This Row],[5805]]</f>
        <v>0</v>
      </c>
      <c r="AB430">
        <f>DataLog_T717420_Aug11_4_59_37pm[[#This Row],[BOOST '[BAR']]]-Table3[[#This Row],[58DD]]</f>
        <v>0</v>
      </c>
    </row>
    <row r="431" spans="2:28" x14ac:dyDescent="0.25">
      <c r="B431" s="2" t="s">
        <v>183</v>
      </c>
      <c r="C431" s="2" t="s">
        <v>30</v>
      </c>
      <c r="D431" s="2" t="s">
        <v>151</v>
      </c>
      <c r="E431" s="2" t="s">
        <v>122</v>
      </c>
      <c r="F431" s="2" t="s">
        <v>26</v>
      </c>
      <c r="G431" s="2" t="s">
        <v>180</v>
      </c>
      <c r="I431">
        <f>HEX2DEC(_0811_173439[[#This Row],[580C]])*B$4/B$5+B$6</f>
        <v>800</v>
      </c>
      <c r="J431">
        <f>HEX2DEC(_0811_173439[[#This Row],[4402]])*C$4/C$5+C$6</f>
        <v>36</v>
      </c>
      <c r="K431">
        <f>HEX2DEC(_0811_173439[[#This Row],[580F]])*D$4/D$5+D$6</f>
        <v>30</v>
      </c>
      <c r="L431">
        <f>ROUND(HEX2DEC(_0811_173439[[#This Row],[58F0]])*E$4/E$5+E$6,0)</f>
        <v>71</v>
      </c>
      <c r="M431">
        <f>ROUND(HEX2DEC(_0811_173439[[#This Row],[5805]])*F$4/F$5+F$6,0)</f>
        <v>42</v>
      </c>
      <c r="N431">
        <f>ROUND(HEX2DEC(_0811_173439[[#This Row],[58DD]])*G$4/G$5+G$6,2)</f>
        <v>-0.03</v>
      </c>
      <c r="P431">
        <v>800</v>
      </c>
      <c r="Q431">
        <v>36</v>
      </c>
      <c r="R431">
        <v>30</v>
      </c>
      <c r="S431">
        <v>71</v>
      </c>
      <c r="T431">
        <v>42</v>
      </c>
      <c r="U431">
        <v>-0.03</v>
      </c>
      <c r="W431">
        <f>DataLog_T717420_Aug11_4_59_37pm[[#This Row],[RPM '[1/MIN']]]-Table3[[#This Row],[580C]]</f>
        <v>0</v>
      </c>
      <c r="X431">
        <f>DataLog_T717420_Aug11_4_59_37pm[[#This Row],[OIL TEMP '[Â°C']]]-Table3[[#This Row],[4402]]</f>
        <v>0</v>
      </c>
      <c r="Y431">
        <f>DataLog_T717420_Aug11_4_59_37pm[[#This Row],[INTAKE TEMP '[Â°C']]]-Table3[[#This Row],[580F]]</f>
        <v>0</v>
      </c>
      <c r="Z431">
        <f>DataLog_T717420_Aug11_4_59_37pm[[#This Row],[HPFP PRES. '[BAR']]]-Table3[[#This Row],[58F0]]</f>
        <v>0</v>
      </c>
      <c r="AA431">
        <f>DataLog_T717420_Aug11_4_59_37pm[[#This Row],[COOLANT TEMP '[Â°C']]]-Table3[[#This Row],[5805]]</f>
        <v>0</v>
      </c>
      <c r="AB431">
        <f>DataLog_T717420_Aug11_4_59_37pm[[#This Row],[BOOST '[BAR']]]-Table3[[#This Row],[58DD]]</f>
        <v>0</v>
      </c>
    </row>
    <row r="432" spans="2:28" x14ac:dyDescent="0.25">
      <c r="B432" s="2" t="s">
        <v>183</v>
      </c>
      <c r="C432" s="2" t="s">
        <v>30</v>
      </c>
      <c r="D432" s="2" t="s">
        <v>151</v>
      </c>
      <c r="E432" s="2" t="s">
        <v>193</v>
      </c>
      <c r="F432" s="2" t="s">
        <v>26</v>
      </c>
      <c r="G432" s="2" t="s">
        <v>185</v>
      </c>
      <c r="I432">
        <f>HEX2DEC(_0811_173439[[#This Row],[580C]])*B$4/B$5+B$6</f>
        <v>800</v>
      </c>
      <c r="J432">
        <f>HEX2DEC(_0811_173439[[#This Row],[4402]])*C$4/C$5+C$6</f>
        <v>36</v>
      </c>
      <c r="K432">
        <f>HEX2DEC(_0811_173439[[#This Row],[580F]])*D$4/D$5+D$6</f>
        <v>30</v>
      </c>
      <c r="L432">
        <f>ROUND(HEX2DEC(_0811_173439[[#This Row],[58F0]])*E$4/E$5+E$6,0)</f>
        <v>71</v>
      </c>
      <c r="M432">
        <f>ROUND(HEX2DEC(_0811_173439[[#This Row],[5805]])*F$4/F$5+F$6,0)</f>
        <v>42</v>
      </c>
      <c r="N432">
        <f>ROUND(HEX2DEC(_0811_173439[[#This Row],[58DD]])*G$4/G$5+G$6,2)</f>
        <v>-0.03</v>
      </c>
      <c r="P432">
        <v>800</v>
      </c>
      <c r="Q432">
        <v>36</v>
      </c>
      <c r="R432">
        <v>30</v>
      </c>
      <c r="S432">
        <v>71</v>
      </c>
      <c r="T432">
        <v>42</v>
      </c>
      <c r="U432">
        <v>-0.03</v>
      </c>
      <c r="W432">
        <f>DataLog_T717420_Aug11_4_59_37pm[[#This Row],[RPM '[1/MIN']]]-Table3[[#This Row],[580C]]</f>
        <v>0</v>
      </c>
      <c r="X432">
        <f>DataLog_T717420_Aug11_4_59_37pm[[#This Row],[OIL TEMP '[Â°C']]]-Table3[[#This Row],[4402]]</f>
        <v>0</v>
      </c>
      <c r="Y432">
        <f>DataLog_T717420_Aug11_4_59_37pm[[#This Row],[INTAKE TEMP '[Â°C']]]-Table3[[#This Row],[580F]]</f>
        <v>0</v>
      </c>
      <c r="Z432">
        <f>DataLog_T717420_Aug11_4_59_37pm[[#This Row],[HPFP PRES. '[BAR']]]-Table3[[#This Row],[58F0]]</f>
        <v>0</v>
      </c>
      <c r="AA432">
        <f>DataLog_T717420_Aug11_4_59_37pm[[#This Row],[COOLANT TEMP '[Â°C']]]-Table3[[#This Row],[5805]]</f>
        <v>0</v>
      </c>
      <c r="AB432">
        <f>DataLog_T717420_Aug11_4_59_37pm[[#This Row],[BOOST '[BAR']]]-Table3[[#This Row],[58DD]]</f>
        <v>0</v>
      </c>
    </row>
    <row r="433" spans="2:28" x14ac:dyDescent="0.25">
      <c r="B433" s="2" t="s">
        <v>183</v>
      </c>
      <c r="C433" s="2" t="s">
        <v>30</v>
      </c>
      <c r="D433" s="2" t="s">
        <v>151</v>
      </c>
      <c r="E433" s="2" t="s">
        <v>145</v>
      </c>
      <c r="F433" s="2" t="s">
        <v>26</v>
      </c>
      <c r="G433" s="2" t="s">
        <v>186</v>
      </c>
      <c r="I433">
        <f>HEX2DEC(_0811_173439[[#This Row],[580C]])*B$4/B$5+B$6</f>
        <v>800</v>
      </c>
      <c r="J433">
        <f>HEX2DEC(_0811_173439[[#This Row],[4402]])*C$4/C$5+C$6</f>
        <v>36</v>
      </c>
      <c r="K433">
        <f>HEX2DEC(_0811_173439[[#This Row],[580F]])*D$4/D$5+D$6</f>
        <v>30</v>
      </c>
      <c r="L433">
        <f>ROUND(HEX2DEC(_0811_173439[[#This Row],[58F0]])*E$4/E$5+E$6,0)</f>
        <v>70</v>
      </c>
      <c r="M433">
        <f>ROUND(HEX2DEC(_0811_173439[[#This Row],[5805]])*F$4/F$5+F$6,0)</f>
        <v>42</v>
      </c>
      <c r="N433">
        <f>ROUND(HEX2DEC(_0811_173439[[#This Row],[58DD]])*G$4/G$5+G$6,2)</f>
        <v>-0.03</v>
      </c>
      <c r="P433">
        <v>800</v>
      </c>
      <c r="Q433">
        <v>36</v>
      </c>
      <c r="R433">
        <v>30</v>
      </c>
      <c r="S433">
        <v>70</v>
      </c>
      <c r="T433">
        <v>42</v>
      </c>
      <c r="U433">
        <v>-0.03</v>
      </c>
      <c r="W433">
        <f>DataLog_T717420_Aug11_4_59_37pm[[#This Row],[RPM '[1/MIN']]]-Table3[[#This Row],[580C]]</f>
        <v>0</v>
      </c>
      <c r="X433">
        <f>DataLog_T717420_Aug11_4_59_37pm[[#This Row],[OIL TEMP '[Â°C']]]-Table3[[#This Row],[4402]]</f>
        <v>0</v>
      </c>
      <c r="Y433">
        <f>DataLog_T717420_Aug11_4_59_37pm[[#This Row],[INTAKE TEMP '[Â°C']]]-Table3[[#This Row],[580F]]</f>
        <v>0</v>
      </c>
      <c r="Z433">
        <f>DataLog_T717420_Aug11_4_59_37pm[[#This Row],[HPFP PRES. '[BAR']]]-Table3[[#This Row],[58F0]]</f>
        <v>0</v>
      </c>
      <c r="AA433">
        <f>DataLog_T717420_Aug11_4_59_37pm[[#This Row],[COOLANT TEMP '[Â°C']]]-Table3[[#This Row],[5805]]</f>
        <v>0</v>
      </c>
      <c r="AB433">
        <f>DataLog_T717420_Aug11_4_59_37pm[[#This Row],[BOOST '[BAR']]]-Table3[[#This Row],[58DD]]</f>
        <v>0</v>
      </c>
    </row>
    <row r="434" spans="2:28" x14ac:dyDescent="0.25">
      <c r="B434" s="2" t="s">
        <v>183</v>
      </c>
      <c r="C434" s="2" t="s">
        <v>30</v>
      </c>
      <c r="D434" s="2" t="s">
        <v>151</v>
      </c>
      <c r="E434" s="2" t="s">
        <v>122</v>
      </c>
      <c r="F434" s="2" t="s">
        <v>26</v>
      </c>
      <c r="G434" s="2" t="s">
        <v>180</v>
      </c>
      <c r="I434">
        <f>HEX2DEC(_0811_173439[[#This Row],[580C]])*B$4/B$5+B$6</f>
        <v>800</v>
      </c>
      <c r="J434">
        <f>HEX2DEC(_0811_173439[[#This Row],[4402]])*C$4/C$5+C$6</f>
        <v>36</v>
      </c>
      <c r="K434">
        <f>HEX2DEC(_0811_173439[[#This Row],[580F]])*D$4/D$5+D$6</f>
        <v>30</v>
      </c>
      <c r="L434">
        <f>ROUND(HEX2DEC(_0811_173439[[#This Row],[58F0]])*E$4/E$5+E$6,0)</f>
        <v>71</v>
      </c>
      <c r="M434">
        <f>ROUND(HEX2DEC(_0811_173439[[#This Row],[5805]])*F$4/F$5+F$6,0)</f>
        <v>42</v>
      </c>
      <c r="N434">
        <f>ROUND(HEX2DEC(_0811_173439[[#This Row],[58DD]])*G$4/G$5+G$6,2)</f>
        <v>-0.03</v>
      </c>
      <c r="P434">
        <v>800</v>
      </c>
      <c r="Q434">
        <v>36</v>
      </c>
      <c r="R434">
        <v>30</v>
      </c>
      <c r="S434">
        <v>71</v>
      </c>
      <c r="T434">
        <v>42</v>
      </c>
      <c r="U434">
        <v>-0.03</v>
      </c>
      <c r="W434">
        <f>DataLog_T717420_Aug11_4_59_37pm[[#This Row],[RPM '[1/MIN']]]-Table3[[#This Row],[580C]]</f>
        <v>0</v>
      </c>
      <c r="X434">
        <f>DataLog_T717420_Aug11_4_59_37pm[[#This Row],[OIL TEMP '[Â°C']]]-Table3[[#This Row],[4402]]</f>
        <v>0</v>
      </c>
      <c r="Y434">
        <f>DataLog_T717420_Aug11_4_59_37pm[[#This Row],[INTAKE TEMP '[Â°C']]]-Table3[[#This Row],[580F]]</f>
        <v>0</v>
      </c>
      <c r="Z434">
        <f>DataLog_T717420_Aug11_4_59_37pm[[#This Row],[HPFP PRES. '[BAR']]]-Table3[[#This Row],[58F0]]</f>
        <v>0</v>
      </c>
      <c r="AA434">
        <f>DataLog_T717420_Aug11_4_59_37pm[[#This Row],[COOLANT TEMP '[Â°C']]]-Table3[[#This Row],[5805]]</f>
        <v>0</v>
      </c>
      <c r="AB434">
        <f>DataLog_T717420_Aug11_4_59_37pm[[#This Row],[BOOST '[BAR']]]-Table3[[#This Row],[58DD]]</f>
        <v>0</v>
      </c>
    </row>
    <row r="435" spans="2:28" x14ac:dyDescent="0.25">
      <c r="B435" s="2" t="s">
        <v>183</v>
      </c>
      <c r="C435" s="2" t="s">
        <v>30</v>
      </c>
      <c r="D435" s="2" t="s">
        <v>151</v>
      </c>
      <c r="E435" s="2" t="s">
        <v>162</v>
      </c>
      <c r="F435" s="2" t="s">
        <v>26</v>
      </c>
      <c r="G435" s="2" t="s">
        <v>102</v>
      </c>
      <c r="I435">
        <f>HEX2DEC(_0811_173439[[#This Row],[580C]])*B$4/B$5+B$6</f>
        <v>800</v>
      </c>
      <c r="J435">
        <f>HEX2DEC(_0811_173439[[#This Row],[4402]])*C$4/C$5+C$6</f>
        <v>36</v>
      </c>
      <c r="K435">
        <f>HEX2DEC(_0811_173439[[#This Row],[580F]])*D$4/D$5+D$6</f>
        <v>30</v>
      </c>
      <c r="L435">
        <f>ROUND(HEX2DEC(_0811_173439[[#This Row],[58F0]])*E$4/E$5+E$6,0)</f>
        <v>71</v>
      </c>
      <c r="M435">
        <f>ROUND(HEX2DEC(_0811_173439[[#This Row],[5805]])*F$4/F$5+F$6,0)</f>
        <v>42</v>
      </c>
      <c r="N435">
        <f>ROUND(HEX2DEC(_0811_173439[[#This Row],[58DD]])*G$4/G$5+G$6,2)</f>
        <v>-0.03</v>
      </c>
      <c r="P435">
        <v>800</v>
      </c>
      <c r="Q435">
        <v>36</v>
      </c>
      <c r="R435">
        <v>30</v>
      </c>
      <c r="S435">
        <v>71</v>
      </c>
      <c r="T435">
        <v>42</v>
      </c>
      <c r="U435">
        <v>-0.03</v>
      </c>
      <c r="W435">
        <f>DataLog_T717420_Aug11_4_59_37pm[[#This Row],[RPM '[1/MIN']]]-Table3[[#This Row],[580C]]</f>
        <v>0</v>
      </c>
      <c r="X435">
        <f>DataLog_T717420_Aug11_4_59_37pm[[#This Row],[OIL TEMP '[Â°C']]]-Table3[[#This Row],[4402]]</f>
        <v>0</v>
      </c>
      <c r="Y435">
        <f>DataLog_T717420_Aug11_4_59_37pm[[#This Row],[INTAKE TEMP '[Â°C']]]-Table3[[#This Row],[580F]]</f>
        <v>0</v>
      </c>
      <c r="Z435">
        <f>DataLog_T717420_Aug11_4_59_37pm[[#This Row],[HPFP PRES. '[BAR']]]-Table3[[#This Row],[58F0]]</f>
        <v>0</v>
      </c>
      <c r="AA435">
        <f>DataLog_T717420_Aug11_4_59_37pm[[#This Row],[COOLANT TEMP '[Â°C']]]-Table3[[#This Row],[5805]]</f>
        <v>0</v>
      </c>
      <c r="AB435">
        <f>DataLog_T717420_Aug11_4_59_37pm[[#This Row],[BOOST '[BAR']]]-Table3[[#This Row],[58DD]]</f>
        <v>0</v>
      </c>
    </row>
    <row r="436" spans="2:28" x14ac:dyDescent="0.25">
      <c r="B436" s="2" t="s">
        <v>183</v>
      </c>
      <c r="C436" s="2" t="s">
        <v>30</v>
      </c>
      <c r="D436" s="2" t="s">
        <v>151</v>
      </c>
      <c r="E436" s="2" t="s">
        <v>194</v>
      </c>
      <c r="F436" s="2" t="s">
        <v>26</v>
      </c>
      <c r="G436" s="2" t="s">
        <v>191</v>
      </c>
      <c r="I436">
        <f>HEX2DEC(_0811_173439[[#This Row],[580C]])*B$4/B$5+B$6</f>
        <v>800</v>
      </c>
      <c r="J436">
        <f>HEX2DEC(_0811_173439[[#This Row],[4402]])*C$4/C$5+C$6</f>
        <v>36</v>
      </c>
      <c r="K436">
        <f>HEX2DEC(_0811_173439[[#This Row],[580F]])*D$4/D$5+D$6</f>
        <v>30</v>
      </c>
      <c r="L436">
        <f>ROUND(HEX2DEC(_0811_173439[[#This Row],[58F0]])*E$4/E$5+E$6,0)</f>
        <v>70</v>
      </c>
      <c r="M436">
        <f>ROUND(HEX2DEC(_0811_173439[[#This Row],[5805]])*F$4/F$5+F$6,0)</f>
        <v>42</v>
      </c>
      <c r="N436">
        <f>ROUND(HEX2DEC(_0811_173439[[#This Row],[58DD]])*G$4/G$5+G$6,2)</f>
        <v>-0.03</v>
      </c>
      <c r="P436">
        <v>800</v>
      </c>
      <c r="Q436">
        <v>36</v>
      </c>
      <c r="R436">
        <v>30</v>
      </c>
      <c r="S436">
        <v>70</v>
      </c>
      <c r="T436">
        <v>42</v>
      </c>
      <c r="U436">
        <v>-0.03</v>
      </c>
      <c r="W436">
        <f>DataLog_T717420_Aug11_4_59_37pm[[#This Row],[RPM '[1/MIN']]]-Table3[[#This Row],[580C]]</f>
        <v>0</v>
      </c>
      <c r="X436">
        <f>DataLog_T717420_Aug11_4_59_37pm[[#This Row],[OIL TEMP '[Â°C']]]-Table3[[#This Row],[4402]]</f>
        <v>0</v>
      </c>
      <c r="Y436">
        <f>DataLog_T717420_Aug11_4_59_37pm[[#This Row],[INTAKE TEMP '[Â°C']]]-Table3[[#This Row],[580F]]</f>
        <v>0</v>
      </c>
      <c r="Z436">
        <f>DataLog_T717420_Aug11_4_59_37pm[[#This Row],[HPFP PRES. '[BAR']]]-Table3[[#This Row],[58F0]]</f>
        <v>0</v>
      </c>
      <c r="AA436">
        <f>DataLog_T717420_Aug11_4_59_37pm[[#This Row],[COOLANT TEMP '[Â°C']]]-Table3[[#This Row],[5805]]</f>
        <v>0</v>
      </c>
      <c r="AB436">
        <f>DataLog_T717420_Aug11_4_59_37pm[[#This Row],[BOOST '[BAR']]]-Table3[[#This Row],[58DD]]</f>
        <v>0</v>
      </c>
    </row>
    <row r="437" spans="2:28" x14ac:dyDescent="0.25">
      <c r="B437" s="2" t="s">
        <v>183</v>
      </c>
      <c r="C437" s="2" t="s">
        <v>30</v>
      </c>
      <c r="D437" s="2" t="s">
        <v>151</v>
      </c>
      <c r="E437" s="2" t="s">
        <v>93</v>
      </c>
      <c r="F437" s="2" t="s">
        <v>26</v>
      </c>
      <c r="G437" s="2" t="s">
        <v>175</v>
      </c>
      <c r="I437">
        <f>HEX2DEC(_0811_173439[[#This Row],[580C]])*B$4/B$5+B$6</f>
        <v>800</v>
      </c>
      <c r="J437">
        <f>HEX2DEC(_0811_173439[[#This Row],[4402]])*C$4/C$5+C$6</f>
        <v>36</v>
      </c>
      <c r="K437">
        <f>HEX2DEC(_0811_173439[[#This Row],[580F]])*D$4/D$5+D$6</f>
        <v>30</v>
      </c>
      <c r="L437">
        <f>ROUND(HEX2DEC(_0811_173439[[#This Row],[58F0]])*E$4/E$5+E$6,0)</f>
        <v>70</v>
      </c>
      <c r="M437">
        <f>ROUND(HEX2DEC(_0811_173439[[#This Row],[5805]])*F$4/F$5+F$6,0)</f>
        <v>42</v>
      </c>
      <c r="N437">
        <f>ROUND(HEX2DEC(_0811_173439[[#This Row],[58DD]])*G$4/G$5+G$6,2)</f>
        <v>-0.03</v>
      </c>
      <c r="P437">
        <v>800</v>
      </c>
      <c r="Q437">
        <v>36</v>
      </c>
      <c r="R437">
        <v>30</v>
      </c>
      <c r="S437">
        <v>70</v>
      </c>
      <c r="T437">
        <v>42</v>
      </c>
      <c r="U437">
        <v>-0.03</v>
      </c>
      <c r="W437">
        <f>DataLog_T717420_Aug11_4_59_37pm[[#This Row],[RPM '[1/MIN']]]-Table3[[#This Row],[580C]]</f>
        <v>0</v>
      </c>
      <c r="X437">
        <f>DataLog_T717420_Aug11_4_59_37pm[[#This Row],[OIL TEMP '[Â°C']]]-Table3[[#This Row],[4402]]</f>
        <v>0</v>
      </c>
      <c r="Y437">
        <f>DataLog_T717420_Aug11_4_59_37pm[[#This Row],[INTAKE TEMP '[Â°C']]]-Table3[[#This Row],[580F]]</f>
        <v>0</v>
      </c>
      <c r="Z437">
        <f>DataLog_T717420_Aug11_4_59_37pm[[#This Row],[HPFP PRES. '[BAR']]]-Table3[[#This Row],[58F0]]</f>
        <v>0</v>
      </c>
      <c r="AA437">
        <f>DataLog_T717420_Aug11_4_59_37pm[[#This Row],[COOLANT TEMP '[Â°C']]]-Table3[[#This Row],[5805]]</f>
        <v>0</v>
      </c>
      <c r="AB437">
        <f>DataLog_T717420_Aug11_4_59_37pm[[#This Row],[BOOST '[BAR']]]-Table3[[#This Row],[58DD]]</f>
        <v>0</v>
      </c>
    </row>
    <row r="438" spans="2:28" x14ac:dyDescent="0.25">
      <c r="B438" s="2" t="s">
        <v>183</v>
      </c>
      <c r="C438" s="2" t="s">
        <v>30</v>
      </c>
      <c r="D438" s="2" t="s">
        <v>151</v>
      </c>
      <c r="E438" s="2" t="s">
        <v>195</v>
      </c>
      <c r="F438" s="2" t="s">
        <v>26</v>
      </c>
      <c r="G438" s="2" t="s">
        <v>196</v>
      </c>
      <c r="I438">
        <f>HEX2DEC(_0811_173439[[#This Row],[580C]])*B$4/B$5+B$6</f>
        <v>800</v>
      </c>
      <c r="J438">
        <f>HEX2DEC(_0811_173439[[#This Row],[4402]])*C$4/C$5+C$6</f>
        <v>36</v>
      </c>
      <c r="K438">
        <f>HEX2DEC(_0811_173439[[#This Row],[580F]])*D$4/D$5+D$6</f>
        <v>30</v>
      </c>
      <c r="L438">
        <f>ROUND(HEX2DEC(_0811_173439[[#This Row],[58F0]])*E$4/E$5+E$6,0)</f>
        <v>70</v>
      </c>
      <c r="M438">
        <f>ROUND(HEX2DEC(_0811_173439[[#This Row],[5805]])*F$4/F$5+F$6,0)</f>
        <v>42</v>
      </c>
      <c r="N438">
        <f>ROUND(HEX2DEC(_0811_173439[[#This Row],[58DD]])*G$4/G$5+G$6,2)</f>
        <v>-0.02</v>
      </c>
      <c r="P438">
        <v>800</v>
      </c>
      <c r="Q438">
        <v>36</v>
      </c>
      <c r="R438">
        <v>30</v>
      </c>
      <c r="S438">
        <v>70</v>
      </c>
      <c r="T438">
        <v>42</v>
      </c>
      <c r="U438">
        <v>-0.03</v>
      </c>
      <c r="W438">
        <f>DataLog_T717420_Aug11_4_59_37pm[[#This Row],[RPM '[1/MIN']]]-Table3[[#This Row],[580C]]</f>
        <v>0</v>
      </c>
      <c r="X438">
        <f>DataLog_T717420_Aug11_4_59_37pm[[#This Row],[OIL TEMP '[Â°C']]]-Table3[[#This Row],[4402]]</f>
        <v>0</v>
      </c>
      <c r="Y438">
        <f>DataLog_T717420_Aug11_4_59_37pm[[#This Row],[INTAKE TEMP '[Â°C']]]-Table3[[#This Row],[580F]]</f>
        <v>0</v>
      </c>
      <c r="Z438">
        <f>DataLog_T717420_Aug11_4_59_37pm[[#This Row],[HPFP PRES. '[BAR']]]-Table3[[#This Row],[58F0]]</f>
        <v>0</v>
      </c>
      <c r="AA438">
        <f>DataLog_T717420_Aug11_4_59_37pm[[#This Row],[COOLANT TEMP '[Â°C']]]-Table3[[#This Row],[5805]]</f>
        <v>0</v>
      </c>
      <c r="AB438">
        <f>DataLog_T717420_Aug11_4_59_37pm[[#This Row],[BOOST '[BAR']]]-Table3[[#This Row],[58DD]]</f>
        <v>-9.9999999999999985E-3</v>
      </c>
    </row>
    <row r="439" spans="2:28" x14ac:dyDescent="0.25">
      <c r="B439" s="2" t="s">
        <v>183</v>
      </c>
      <c r="C439" s="2" t="s">
        <v>30</v>
      </c>
      <c r="D439" s="2" t="s">
        <v>151</v>
      </c>
      <c r="E439" s="2" t="s">
        <v>159</v>
      </c>
      <c r="F439" s="2" t="s">
        <v>26</v>
      </c>
      <c r="G439" s="2" t="s">
        <v>185</v>
      </c>
      <c r="I439">
        <f>HEX2DEC(_0811_173439[[#This Row],[580C]])*B$4/B$5+B$6</f>
        <v>800</v>
      </c>
      <c r="J439">
        <f>HEX2DEC(_0811_173439[[#This Row],[4402]])*C$4/C$5+C$6</f>
        <v>36</v>
      </c>
      <c r="K439">
        <f>HEX2DEC(_0811_173439[[#This Row],[580F]])*D$4/D$5+D$6</f>
        <v>30</v>
      </c>
      <c r="L439">
        <f>ROUND(HEX2DEC(_0811_173439[[#This Row],[58F0]])*E$4/E$5+E$6,0)</f>
        <v>70</v>
      </c>
      <c r="M439">
        <f>ROUND(HEX2DEC(_0811_173439[[#This Row],[5805]])*F$4/F$5+F$6,0)</f>
        <v>42</v>
      </c>
      <c r="N439">
        <f>ROUND(HEX2DEC(_0811_173439[[#This Row],[58DD]])*G$4/G$5+G$6,2)</f>
        <v>-0.03</v>
      </c>
      <c r="P439">
        <v>800</v>
      </c>
      <c r="Q439">
        <v>36</v>
      </c>
      <c r="R439">
        <v>30</v>
      </c>
      <c r="S439">
        <v>70</v>
      </c>
      <c r="T439">
        <v>42</v>
      </c>
      <c r="U439">
        <v>-0.03</v>
      </c>
      <c r="W439">
        <f>DataLog_T717420_Aug11_4_59_37pm[[#This Row],[RPM '[1/MIN']]]-Table3[[#This Row],[580C]]</f>
        <v>0</v>
      </c>
      <c r="X439">
        <f>DataLog_T717420_Aug11_4_59_37pm[[#This Row],[OIL TEMP '[Â°C']]]-Table3[[#This Row],[4402]]</f>
        <v>0</v>
      </c>
      <c r="Y439">
        <f>DataLog_T717420_Aug11_4_59_37pm[[#This Row],[INTAKE TEMP '[Â°C']]]-Table3[[#This Row],[580F]]</f>
        <v>0</v>
      </c>
      <c r="Z439">
        <f>DataLog_T717420_Aug11_4_59_37pm[[#This Row],[HPFP PRES. '[BAR']]]-Table3[[#This Row],[58F0]]</f>
        <v>0</v>
      </c>
      <c r="AA439">
        <f>DataLog_T717420_Aug11_4_59_37pm[[#This Row],[COOLANT TEMP '[Â°C']]]-Table3[[#This Row],[5805]]</f>
        <v>0</v>
      </c>
      <c r="AB439">
        <f>DataLog_T717420_Aug11_4_59_37pm[[#This Row],[BOOST '[BAR']]]-Table3[[#This Row],[58DD]]</f>
        <v>0</v>
      </c>
    </row>
    <row r="440" spans="2:28" x14ac:dyDescent="0.25">
      <c r="B440" s="2" t="s">
        <v>183</v>
      </c>
      <c r="C440" s="2" t="s">
        <v>30</v>
      </c>
      <c r="D440" s="2" t="s">
        <v>151</v>
      </c>
      <c r="E440" s="2" t="s">
        <v>93</v>
      </c>
      <c r="F440" s="2" t="s">
        <v>26</v>
      </c>
      <c r="G440" s="2" t="s">
        <v>175</v>
      </c>
      <c r="I440">
        <f>HEX2DEC(_0811_173439[[#This Row],[580C]])*B$4/B$5+B$6</f>
        <v>800</v>
      </c>
      <c r="J440">
        <f>HEX2DEC(_0811_173439[[#This Row],[4402]])*C$4/C$5+C$6</f>
        <v>36</v>
      </c>
      <c r="K440">
        <f>HEX2DEC(_0811_173439[[#This Row],[580F]])*D$4/D$5+D$6</f>
        <v>30</v>
      </c>
      <c r="L440">
        <f>ROUND(HEX2DEC(_0811_173439[[#This Row],[58F0]])*E$4/E$5+E$6,0)</f>
        <v>70</v>
      </c>
      <c r="M440">
        <f>ROUND(HEX2DEC(_0811_173439[[#This Row],[5805]])*F$4/F$5+F$6,0)</f>
        <v>42</v>
      </c>
      <c r="N440">
        <f>ROUND(HEX2DEC(_0811_173439[[#This Row],[58DD]])*G$4/G$5+G$6,2)</f>
        <v>-0.03</v>
      </c>
      <c r="P440">
        <v>800</v>
      </c>
      <c r="Q440">
        <v>36</v>
      </c>
      <c r="R440">
        <v>30</v>
      </c>
      <c r="S440">
        <v>70</v>
      </c>
      <c r="T440">
        <v>42</v>
      </c>
      <c r="U440">
        <v>-0.03</v>
      </c>
      <c r="W440">
        <f>DataLog_T717420_Aug11_4_59_37pm[[#This Row],[RPM '[1/MIN']]]-Table3[[#This Row],[580C]]</f>
        <v>0</v>
      </c>
      <c r="X440">
        <f>DataLog_T717420_Aug11_4_59_37pm[[#This Row],[OIL TEMP '[Â°C']]]-Table3[[#This Row],[4402]]</f>
        <v>0</v>
      </c>
      <c r="Y440">
        <f>DataLog_T717420_Aug11_4_59_37pm[[#This Row],[INTAKE TEMP '[Â°C']]]-Table3[[#This Row],[580F]]</f>
        <v>0</v>
      </c>
      <c r="Z440">
        <f>DataLog_T717420_Aug11_4_59_37pm[[#This Row],[HPFP PRES. '[BAR']]]-Table3[[#This Row],[58F0]]</f>
        <v>0</v>
      </c>
      <c r="AA440">
        <f>DataLog_T717420_Aug11_4_59_37pm[[#This Row],[COOLANT TEMP '[Â°C']]]-Table3[[#This Row],[5805]]</f>
        <v>0</v>
      </c>
      <c r="AB440">
        <f>DataLog_T717420_Aug11_4_59_37pm[[#This Row],[BOOST '[BAR']]]-Table3[[#This Row],[58DD]]</f>
        <v>0</v>
      </c>
    </row>
    <row r="441" spans="2:28" x14ac:dyDescent="0.25">
      <c r="B441" s="2" t="s">
        <v>183</v>
      </c>
      <c r="C441" s="2" t="s">
        <v>30</v>
      </c>
      <c r="D441" s="2" t="s">
        <v>151</v>
      </c>
      <c r="E441" s="2" t="s">
        <v>149</v>
      </c>
      <c r="F441" s="2" t="s">
        <v>26</v>
      </c>
      <c r="G441" s="2" t="s">
        <v>185</v>
      </c>
      <c r="I441">
        <f>HEX2DEC(_0811_173439[[#This Row],[580C]])*B$4/B$5+B$6</f>
        <v>800</v>
      </c>
      <c r="J441">
        <f>HEX2DEC(_0811_173439[[#This Row],[4402]])*C$4/C$5+C$6</f>
        <v>36</v>
      </c>
      <c r="K441">
        <f>HEX2DEC(_0811_173439[[#This Row],[580F]])*D$4/D$5+D$6</f>
        <v>30</v>
      </c>
      <c r="L441">
        <f>ROUND(HEX2DEC(_0811_173439[[#This Row],[58F0]])*E$4/E$5+E$6,0)</f>
        <v>70</v>
      </c>
      <c r="M441">
        <f>ROUND(HEX2DEC(_0811_173439[[#This Row],[5805]])*F$4/F$5+F$6,0)</f>
        <v>42</v>
      </c>
      <c r="N441">
        <f>ROUND(HEX2DEC(_0811_173439[[#This Row],[58DD]])*G$4/G$5+G$6,2)</f>
        <v>-0.03</v>
      </c>
      <c r="P441">
        <v>800</v>
      </c>
      <c r="Q441">
        <v>36</v>
      </c>
      <c r="R441">
        <v>30</v>
      </c>
      <c r="S441">
        <v>70</v>
      </c>
      <c r="T441">
        <v>42</v>
      </c>
      <c r="U441">
        <v>-0.03</v>
      </c>
      <c r="W441">
        <f>DataLog_T717420_Aug11_4_59_37pm[[#This Row],[RPM '[1/MIN']]]-Table3[[#This Row],[580C]]</f>
        <v>0</v>
      </c>
      <c r="X441">
        <f>DataLog_T717420_Aug11_4_59_37pm[[#This Row],[OIL TEMP '[Â°C']]]-Table3[[#This Row],[4402]]</f>
        <v>0</v>
      </c>
      <c r="Y441">
        <f>DataLog_T717420_Aug11_4_59_37pm[[#This Row],[INTAKE TEMP '[Â°C']]]-Table3[[#This Row],[580F]]</f>
        <v>0</v>
      </c>
      <c r="Z441">
        <f>DataLog_T717420_Aug11_4_59_37pm[[#This Row],[HPFP PRES. '[BAR']]]-Table3[[#This Row],[58F0]]</f>
        <v>0</v>
      </c>
      <c r="AA441">
        <f>DataLog_T717420_Aug11_4_59_37pm[[#This Row],[COOLANT TEMP '[Â°C']]]-Table3[[#This Row],[5805]]</f>
        <v>0</v>
      </c>
      <c r="AB441">
        <f>DataLog_T717420_Aug11_4_59_37pm[[#This Row],[BOOST '[BAR']]]-Table3[[#This Row],[58DD]]</f>
        <v>0</v>
      </c>
    </row>
    <row r="442" spans="2:28" x14ac:dyDescent="0.25">
      <c r="B442" s="2" t="s">
        <v>183</v>
      </c>
      <c r="C442" s="2" t="s">
        <v>30</v>
      </c>
      <c r="D442" s="2" t="s">
        <v>151</v>
      </c>
      <c r="E442" s="2" t="s">
        <v>159</v>
      </c>
      <c r="F442" s="2" t="s">
        <v>26</v>
      </c>
      <c r="G442" s="2" t="s">
        <v>102</v>
      </c>
      <c r="I442">
        <f>HEX2DEC(_0811_173439[[#This Row],[580C]])*B$4/B$5+B$6</f>
        <v>800</v>
      </c>
      <c r="J442">
        <f>HEX2DEC(_0811_173439[[#This Row],[4402]])*C$4/C$5+C$6</f>
        <v>36</v>
      </c>
      <c r="K442">
        <f>HEX2DEC(_0811_173439[[#This Row],[580F]])*D$4/D$5+D$6</f>
        <v>30</v>
      </c>
      <c r="L442">
        <f>ROUND(HEX2DEC(_0811_173439[[#This Row],[58F0]])*E$4/E$5+E$6,0)</f>
        <v>70</v>
      </c>
      <c r="M442">
        <f>ROUND(HEX2DEC(_0811_173439[[#This Row],[5805]])*F$4/F$5+F$6,0)</f>
        <v>42</v>
      </c>
      <c r="N442">
        <f>ROUND(HEX2DEC(_0811_173439[[#This Row],[58DD]])*G$4/G$5+G$6,2)</f>
        <v>-0.03</v>
      </c>
      <c r="P442">
        <v>800</v>
      </c>
      <c r="Q442">
        <v>36</v>
      </c>
      <c r="R442">
        <v>30</v>
      </c>
      <c r="S442">
        <v>70</v>
      </c>
      <c r="T442">
        <v>42</v>
      </c>
      <c r="U442">
        <v>-0.03</v>
      </c>
      <c r="W442">
        <f>DataLog_T717420_Aug11_4_59_37pm[[#This Row],[RPM '[1/MIN']]]-Table3[[#This Row],[580C]]</f>
        <v>0</v>
      </c>
      <c r="X442">
        <f>DataLog_T717420_Aug11_4_59_37pm[[#This Row],[OIL TEMP '[Â°C']]]-Table3[[#This Row],[4402]]</f>
        <v>0</v>
      </c>
      <c r="Y442">
        <f>DataLog_T717420_Aug11_4_59_37pm[[#This Row],[INTAKE TEMP '[Â°C']]]-Table3[[#This Row],[580F]]</f>
        <v>0</v>
      </c>
      <c r="Z442">
        <f>DataLog_T717420_Aug11_4_59_37pm[[#This Row],[HPFP PRES. '[BAR']]]-Table3[[#This Row],[58F0]]</f>
        <v>0</v>
      </c>
      <c r="AA442">
        <f>DataLog_T717420_Aug11_4_59_37pm[[#This Row],[COOLANT TEMP '[Â°C']]]-Table3[[#This Row],[5805]]</f>
        <v>0</v>
      </c>
      <c r="AB442">
        <f>DataLog_T717420_Aug11_4_59_37pm[[#This Row],[BOOST '[BAR']]]-Table3[[#This Row],[58DD]]</f>
        <v>0</v>
      </c>
    </row>
    <row r="443" spans="2:28" x14ac:dyDescent="0.25">
      <c r="B443" s="2" t="s">
        <v>183</v>
      </c>
      <c r="C443" s="2" t="s">
        <v>30</v>
      </c>
      <c r="D443" s="2" t="s">
        <v>151</v>
      </c>
      <c r="E443" s="2" t="s">
        <v>93</v>
      </c>
      <c r="F443" s="2" t="s">
        <v>26</v>
      </c>
      <c r="G443" s="2" t="s">
        <v>175</v>
      </c>
      <c r="I443">
        <f>HEX2DEC(_0811_173439[[#This Row],[580C]])*B$4/B$5+B$6</f>
        <v>800</v>
      </c>
      <c r="J443">
        <f>HEX2DEC(_0811_173439[[#This Row],[4402]])*C$4/C$5+C$6</f>
        <v>36</v>
      </c>
      <c r="K443">
        <f>HEX2DEC(_0811_173439[[#This Row],[580F]])*D$4/D$5+D$6</f>
        <v>30</v>
      </c>
      <c r="L443">
        <f>ROUND(HEX2DEC(_0811_173439[[#This Row],[58F0]])*E$4/E$5+E$6,0)</f>
        <v>70</v>
      </c>
      <c r="M443">
        <f>ROUND(HEX2DEC(_0811_173439[[#This Row],[5805]])*F$4/F$5+F$6,0)</f>
        <v>42</v>
      </c>
      <c r="N443">
        <f>ROUND(HEX2DEC(_0811_173439[[#This Row],[58DD]])*G$4/G$5+G$6,2)</f>
        <v>-0.03</v>
      </c>
      <c r="P443">
        <v>800</v>
      </c>
      <c r="Q443">
        <v>36</v>
      </c>
      <c r="R443">
        <v>30</v>
      </c>
      <c r="S443">
        <v>70</v>
      </c>
      <c r="T443">
        <v>42</v>
      </c>
      <c r="U443">
        <v>-0.03</v>
      </c>
      <c r="W443">
        <f>DataLog_T717420_Aug11_4_59_37pm[[#This Row],[RPM '[1/MIN']]]-Table3[[#This Row],[580C]]</f>
        <v>0</v>
      </c>
      <c r="X443">
        <f>DataLog_T717420_Aug11_4_59_37pm[[#This Row],[OIL TEMP '[Â°C']]]-Table3[[#This Row],[4402]]</f>
        <v>0</v>
      </c>
      <c r="Y443">
        <f>DataLog_T717420_Aug11_4_59_37pm[[#This Row],[INTAKE TEMP '[Â°C']]]-Table3[[#This Row],[580F]]</f>
        <v>0</v>
      </c>
      <c r="Z443">
        <f>DataLog_T717420_Aug11_4_59_37pm[[#This Row],[HPFP PRES. '[BAR']]]-Table3[[#This Row],[58F0]]</f>
        <v>0</v>
      </c>
      <c r="AA443">
        <f>DataLog_T717420_Aug11_4_59_37pm[[#This Row],[COOLANT TEMP '[Â°C']]]-Table3[[#This Row],[5805]]</f>
        <v>0</v>
      </c>
      <c r="AB443">
        <f>DataLog_T717420_Aug11_4_59_37pm[[#This Row],[BOOST '[BAR']]]-Table3[[#This Row],[58DD]]</f>
        <v>0</v>
      </c>
    </row>
    <row r="444" spans="2:28" x14ac:dyDescent="0.25">
      <c r="B444" s="2" t="s">
        <v>183</v>
      </c>
      <c r="C444" s="2" t="s">
        <v>30</v>
      </c>
      <c r="D444" s="2" t="s">
        <v>151</v>
      </c>
      <c r="E444" s="2" t="s">
        <v>197</v>
      </c>
      <c r="F444" s="2" t="s">
        <v>26</v>
      </c>
      <c r="G444" s="2" t="s">
        <v>180</v>
      </c>
      <c r="I444">
        <f>HEX2DEC(_0811_173439[[#This Row],[580C]])*B$4/B$5+B$6</f>
        <v>800</v>
      </c>
      <c r="J444">
        <f>HEX2DEC(_0811_173439[[#This Row],[4402]])*C$4/C$5+C$6</f>
        <v>36</v>
      </c>
      <c r="K444">
        <f>HEX2DEC(_0811_173439[[#This Row],[580F]])*D$4/D$5+D$6</f>
        <v>30</v>
      </c>
      <c r="L444">
        <f>ROUND(HEX2DEC(_0811_173439[[#This Row],[58F0]])*E$4/E$5+E$6,0)</f>
        <v>69</v>
      </c>
      <c r="M444">
        <f>ROUND(HEX2DEC(_0811_173439[[#This Row],[5805]])*F$4/F$5+F$6,0)</f>
        <v>42</v>
      </c>
      <c r="N444">
        <f>ROUND(HEX2DEC(_0811_173439[[#This Row],[58DD]])*G$4/G$5+G$6,2)</f>
        <v>-0.03</v>
      </c>
      <c r="P444">
        <v>800</v>
      </c>
      <c r="Q444">
        <v>36</v>
      </c>
      <c r="R444">
        <v>30</v>
      </c>
      <c r="S444">
        <v>69</v>
      </c>
      <c r="T444">
        <v>42</v>
      </c>
      <c r="U444">
        <v>-0.03</v>
      </c>
      <c r="W444">
        <f>DataLog_T717420_Aug11_4_59_37pm[[#This Row],[RPM '[1/MIN']]]-Table3[[#This Row],[580C]]</f>
        <v>0</v>
      </c>
      <c r="X444">
        <f>DataLog_T717420_Aug11_4_59_37pm[[#This Row],[OIL TEMP '[Â°C']]]-Table3[[#This Row],[4402]]</f>
        <v>0</v>
      </c>
      <c r="Y444">
        <f>DataLog_T717420_Aug11_4_59_37pm[[#This Row],[INTAKE TEMP '[Â°C']]]-Table3[[#This Row],[580F]]</f>
        <v>0</v>
      </c>
      <c r="Z444">
        <f>DataLog_T717420_Aug11_4_59_37pm[[#This Row],[HPFP PRES. '[BAR']]]-Table3[[#This Row],[58F0]]</f>
        <v>0</v>
      </c>
      <c r="AA444">
        <f>DataLog_T717420_Aug11_4_59_37pm[[#This Row],[COOLANT TEMP '[Â°C']]]-Table3[[#This Row],[5805]]</f>
        <v>0</v>
      </c>
      <c r="AB444">
        <f>DataLog_T717420_Aug11_4_59_37pm[[#This Row],[BOOST '[BAR']]]-Table3[[#This Row],[58DD]]</f>
        <v>0</v>
      </c>
    </row>
    <row r="445" spans="2:28" x14ac:dyDescent="0.25">
      <c r="B445" s="2" t="s">
        <v>183</v>
      </c>
      <c r="C445" s="2" t="s">
        <v>30</v>
      </c>
      <c r="D445" s="2" t="s">
        <v>151</v>
      </c>
      <c r="E445" s="2" t="s">
        <v>198</v>
      </c>
      <c r="F445" s="2" t="s">
        <v>26</v>
      </c>
      <c r="G445" s="2" t="s">
        <v>180</v>
      </c>
      <c r="I445">
        <f>HEX2DEC(_0811_173439[[#This Row],[580C]])*B$4/B$5+B$6</f>
        <v>800</v>
      </c>
      <c r="J445">
        <f>HEX2DEC(_0811_173439[[#This Row],[4402]])*C$4/C$5+C$6</f>
        <v>36</v>
      </c>
      <c r="K445">
        <f>HEX2DEC(_0811_173439[[#This Row],[580F]])*D$4/D$5+D$6</f>
        <v>30</v>
      </c>
      <c r="L445">
        <f>ROUND(HEX2DEC(_0811_173439[[#This Row],[58F0]])*E$4/E$5+E$6,0)</f>
        <v>70</v>
      </c>
      <c r="M445">
        <f>ROUND(HEX2DEC(_0811_173439[[#This Row],[5805]])*F$4/F$5+F$6,0)</f>
        <v>42</v>
      </c>
      <c r="N445">
        <f>ROUND(HEX2DEC(_0811_173439[[#This Row],[58DD]])*G$4/G$5+G$6,2)</f>
        <v>-0.03</v>
      </c>
      <c r="P445">
        <v>800</v>
      </c>
      <c r="Q445">
        <v>36</v>
      </c>
      <c r="R445">
        <v>30</v>
      </c>
      <c r="S445">
        <v>70</v>
      </c>
      <c r="T445">
        <v>42</v>
      </c>
      <c r="U445">
        <v>-0.03</v>
      </c>
      <c r="W445">
        <f>DataLog_T717420_Aug11_4_59_37pm[[#This Row],[RPM '[1/MIN']]]-Table3[[#This Row],[580C]]</f>
        <v>0</v>
      </c>
      <c r="X445">
        <f>DataLog_T717420_Aug11_4_59_37pm[[#This Row],[OIL TEMP '[Â°C']]]-Table3[[#This Row],[4402]]</f>
        <v>0</v>
      </c>
      <c r="Y445">
        <f>DataLog_T717420_Aug11_4_59_37pm[[#This Row],[INTAKE TEMP '[Â°C']]]-Table3[[#This Row],[580F]]</f>
        <v>0</v>
      </c>
      <c r="Z445">
        <f>DataLog_T717420_Aug11_4_59_37pm[[#This Row],[HPFP PRES. '[BAR']]]-Table3[[#This Row],[58F0]]</f>
        <v>0</v>
      </c>
      <c r="AA445">
        <f>DataLog_T717420_Aug11_4_59_37pm[[#This Row],[COOLANT TEMP '[Â°C']]]-Table3[[#This Row],[5805]]</f>
        <v>0</v>
      </c>
      <c r="AB445">
        <f>DataLog_T717420_Aug11_4_59_37pm[[#This Row],[BOOST '[BAR']]]-Table3[[#This Row],[58DD]]</f>
        <v>0</v>
      </c>
    </row>
    <row r="446" spans="2:28" x14ac:dyDescent="0.25">
      <c r="B446" s="2" t="s">
        <v>183</v>
      </c>
      <c r="C446" s="2" t="s">
        <v>30</v>
      </c>
      <c r="D446" s="2" t="s">
        <v>151</v>
      </c>
      <c r="E446" s="2" t="s">
        <v>93</v>
      </c>
      <c r="F446" s="2" t="s">
        <v>26</v>
      </c>
      <c r="G446" s="2" t="s">
        <v>175</v>
      </c>
      <c r="I446">
        <f>HEX2DEC(_0811_173439[[#This Row],[580C]])*B$4/B$5+B$6</f>
        <v>800</v>
      </c>
      <c r="J446">
        <f>HEX2DEC(_0811_173439[[#This Row],[4402]])*C$4/C$5+C$6</f>
        <v>36</v>
      </c>
      <c r="K446">
        <f>HEX2DEC(_0811_173439[[#This Row],[580F]])*D$4/D$5+D$6</f>
        <v>30</v>
      </c>
      <c r="L446">
        <f>ROUND(HEX2DEC(_0811_173439[[#This Row],[58F0]])*E$4/E$5+E$6,0)</f>
        <v>70</v>
      </c>
      <c r="M446">
        <f>ROUND(HEX2DEC(_0811_173439[[#This Row],[5805]])*F$4/F$5+F$6,0)</f>
        <v>42</v>
      </c>
      <c r="N446">
        <f>ROUND(HEX2DEC(_0811_173439[[#This Row],[58DD]])*G$4/G$5+G$6,2)</f>
        <v>-0.03</v>
      </c>
      <c r="P446">
        <v>800</v>
      </c>
      <c r="Q446">
        <v>36</v>
      </c>
      <c r="R446">
        <v>30</v>
      </c>
      <c r="S446">
        <v>70</v>
      </c>
      <c r="T446">
        <v>42</v>
      </c>
      <c r="U446">
        <v>-0.03</v>
      </c>
      <c r="W446">
        <f>DataLog_T717420_Aug11_4_59_37pm[[#This Row],[RPM '[1/MIN']]]-Table3[[#This Row],[580C]]</f>
        <v>0</v>
      </c>
      <c r="X446">
        <f>DataLog_T717420_Aug11_4_59_37pm[[#This Row],[OIL TEMP '[Â°C']]]-Table3[[#This Row],[4402]]</f>
        <v>0</v>
      </c>
      <c r="Y446">
        <f>DataLog_T717420_Aug11_4_59_37pm[[#This Row],[INTAKE TEMP '[Â°C']]]-Table3[[#This Row],[580F]]</f>
        <v>0</v>
      </c>
      <c r="Z446">
        <f>DataLog_T717420_Aug11_4_59_37pm[[#This Row],[HPFP PRES. '[BAR']]]-Table3[[#This Row],[58F0]]</f>
        <v>0</v>
      </c>
      <c r="AA446">
        <f>DataLog_T717420_Aug11_4_59_37pm[[#This Row],[COOLANT TEMP '[Â°C']]]-Table3[[#This Row],[5805]]</f>
        <v>0</v>
      </c>
      <c r="AB446">
        <f>DataLog_T717420_Aug11_4_59_37pm[[#This Row],[BOOST '[BAR']]]-Table3[[#This Row],[58DD]]</f>
        <v>0</v>
      </c>
    </row>
    <row r="447" spans="2:28" x14ac:dyDescent="0.25">
      <c r="B447" s="2" t="s">
        <v>183</v>
      </c>
      <c r="C447" s="2" t="s">
        <v>30</v>
      </c>
      <c r="D447" s="2" t="s">
        <v>151</v>
      </c>
      <c r="E447" s="2" t="s">
        <v>153</v>
      </c>
      <c r="F447" s="2" t="s">
        <v>26</v>
      </c>
      <c r="G447" s="2" t="s">
        <v>185</v>
      </c>
      <c r="I447">
        <f>HEX2DEC(_0811_173439[[#This Row],[580C]])*B$4/B$5+B$6</f>
        <v>800</v>
      </c>
      <c r="J447">
        <f>HEX2DEC(_0811_173439[[#This Row],[4402]])*C$4/C$5+C$6</f>
        <v>36</v>
      </c>
      <c r="K447">
        <f>HEX2DEC(_0811_173439[[#This Row],[580F]])*D$4/D$5+D$6</f>
        <v>30</v>
      </c>
      <c r="L447">
        <f>ROUND(HEX2DEC(_0811_173439[[#This Row],[58F0]])*E$4/E$5+E$6,0)</f>
        <v>70</v>
      </c>
      <c r="M447">
        <f>ROUND(HEX2DEC(_0811_173439[[#This Row],[5805]])*F$4/F$5+F$6,0)</f>
        <v>42</v>
      </c>
      <c r="N447">
        <f>ROUND(HEX2DEC(_0811_173439[[#This Row],[58DD]])*G$4/G$5+G$6,2)</f>
        <v>-0.03</v>
      </c>
      <c r="P447">
        <v>800</v>
      </c>
      <c r="Q447">
        <v>36</v>
      </c>
      <c r="R447">
        <v>30</v>
      </c>
      <c r="S447">
        <v>70</v>
      </c>
      <c r="T447">
        <v>42</v>
      </c>
      <c r="U447">
        <v>-0.03</v>
      </c>
      <c r="W447">
        <f>DataLog_T717420_Aug11_4_59_37pm[[#This Row],[RPM '[1/MIN']]]-Table3[[#This Row],[580C]]</f>
        <v>0</v>
      </c>
      <c r="X447">
        <f>DataLog_T717420_Aug11_4_59_37pm[[#This Row],[OIL TEMP '[Â°C']]]-Table3[[#This Row],[4402]]</f>
        <v>0</v>
      </c>
      <c r="Y447">
        <f>DataLog_T717420_Aug11_4_59_37pm[[#This Row],[INTAKE TEMP '[Â°C']]]-Table3[[#This Row],[580F]]</f>
        <v>0</v>
      </c>
      <c r="Z447">
        <f>DataLog_T717420_Aug11_4_59_37pm[[#This Row],[HPFP PRES. '[BAR']]]-Table3[[#This Row],[58F0]]</f>
        <v>0</v>
      </c>
      <c r="AA447">
        <f>DataLog_T717420_Aug11_4_59_37pm[[#This Row],[COOLANT TEMP '[Â°C']]]-Table3[[#This Row],[5805]]</f>
        <v>0</v>
      </c>
      <c r="AB447">
        <f>DataLog_T717420_Aug11_4_59_37pm[[#This Row],[BOOST '[BAR']]]-Table3[[#This Row],[58DD]]</f>
        <v>0</v>
      </c>
    </row>
    <row r="448" spans="2:28" x14ac:dyDescent="0.25">
      <c r="B448" s="2" t="s">
        <v>183</v>
      </c>
      <c r="C448" s="2" t="s">
        <v>30</v>
      </c>
      <c r="D448" s="2" t="s">
        <v>151</v>
      </c>
      <c r="E448" s="2" t="s">
        <v>158</v>
      </c>
      <c r="F448" s="2" t="s">
        <v>26</v>
      </c>
      <c r="G448" s="2" t="s">
        <v>186</v>
      </c>
      <c r="I448">
        <f>HEX2DEC(_0811_173439[[#This Row],[580C]])*B$4/B$5+B$6</f>
        <v>800</v>
      </c>
      <c r="J448">
        <f>HEX2DEC(_0811_173439[[#This Row],[4402]])*C$4/C$5+C$6</f>
        <v>36</v>
      </c>
      <c r="K448">
        <f>HEX2DEC(_0811_173439[[#This Row],[580F]])*D$4/D$5+D$6</f>
        <v>30</v>
      </c>
      <c r="L448">
        <f>ROUND(HEX2DEC(_0811_173439[[#This Row],[58F0]])*E$4/E$5+E$6,0)</f>
        <v>70</v>
      </c>
      <c r="M448">
        <f>ROUND(HEX2DEC(_0811_173439[[#This Row],[5805]])*F$4/F$5+F$6,0)</f>
        <v>42</v>
      </c>
      <c r="N448">
        <f>ROUND(HEX2DEC(_0811_173439[[#This Row],[58DD]])*G$4/G$5+G$6,2)</f>
        <v>-0.03</v>
      </c>
      <c r="P448">
        <v>800</v>
      </c>
      <c r="Q448">
        <v>36</v>
      </c>
      <c r="R448">
        <v>30</v>
      </c>
      <c r="S448">
        <v>70</v>
      </c>
      <c r="T448">
        <v>42</v>
      </c>
      <c r="U448">
        <v>-0.03</v>
      </c>
      <c r="W448">
        <f>DataLog_T717420_Aug11_4_59_37pm[[#This Row],[RPM '[1/MIN']]]-Table3[[#This Row],[580C]]</f>
        <v>0</v>
      </c>
      <c r="X448">
        <f>DataLog_T717420_Aug11_4_59_37pm[[#This Row],[OIL TEMP '[Â°C']]]-Table3[[#This Row],[4402]]</f>
        <v>0</v>
      </c>
      <c r="Y448">
        <f>DataLog_T717420_Aug11_4_59_37pm[[#This Row],[INTAKE TEMP '[Â°C']]]-Table3[[#This Row],[580F]]</f>
        <v>0</v>
      </c>
      <c r="Z448">
        <f>DataLog_T717420_Aug11_4_59_37pm[[#This Row],[HPFP PRES. '[BAR']]]-Table3[[#This Row],[58F0]]</f>
        <v>0</v>
      </c>
      <c r="AA448">
        <f>DataLog_T717420_Aug11_4_59_37pm[[#This Row],[COOLANT TEMP '[Â°C']]]-Table3[[#This Row],[5805]]</f>
        <v>0</v>
      </c>
      <c r="AB448">
        <f>DataLog_T717420_Aug11_4_59_37pm[[#This Row],[BOOST '[BAR']]]-Table3[[#This Row],[58DD]]</f>
        <v>0</v>
      </c>
    </row>
    <row r="449" spans="2:28" x14ac:dyDescent="0.25">
      <c r="B449" s="2" t="s">
        <v>183</v>
      </c>
      <c r="C449" s="2" t="s">
        <v>30</v>
      </c>
      <c r="D449" s="2" t="s">
        <v>151</v>
      </c>
      <c r="E449" s="2" t="s">
        <v>123</v>
      </c>
      <c r="F449" s="2" t="s">
        <v>26</v>
      </c>
      <c r="G449" s="2" t="s">
        <v>102</v>
      </c>
      <c r="I449">
        <f>HEX2DEC(_0811_173439[[#This Row],[580C]])*B$4/B$5+B$6</f>
        <v>800</v>
      </c>
      <c r="J449">
        <f>HEX2DEC(_0811_173439[[#This Row],[4402]])*C$4/C$5+C$6</f>
        <v>36</v>
      </c>
      <c r="K449">
        <f>HEX2DEC(_0811_173439[[#This Row],[580F]])*D$4/D$5+D$6</f>
        <v>30</v>
      </c>
      <c r="L449">
        <f>ROUND(HEX2DEC(_0811_173439[[#This Row],[58F0]])*E$4/E$5+E$6,0)</f>
        <v>71</v>
      </c>
      <c r="M449">
        <f>ROUND(HEX2DEC(_0811_173439[[#This Row],[5805]])*F$4/F$5+F$6,0)</f>
        <v>42</v>
      </c>
      <c r="N449">
        <f>ROUND(HEX2DEC(_0811_173439[[#This Row],[58DD]])*G$4/G$5+G$6,2)</f>
        <v>-0.03</v>
      </c>
      <c r="P449">
        <v>800</v>
      </c>
      <c r="Q449">
        <v>36</v>
      </c>
      <c r="R449">
        <v>30</v>
      </c>
      <c r="S449">
        <v>71</v>
      </c>
      <c r="T449">
        <v>42</v>
      </c>
      <c r="U449">
        <v>-0.03</v>
      </c>
      <c r="W449">
        <f>DataLog_T717420_Aug11_4_59_37pm[[#This Row],[RPM '[1/MIN']]]-Table3[[#This Row],[580C]]</f>
        <v>0</v>
      </c>
      <c r="X449">
        <f>DataLog_T717420_Aug11_4_59_37pm[[#This Row],[OIL TEMP '[Â°C']]]-Table3[[#This Row],[4402]]</f>
        <v>0</v>
      </c>
      <c r="Y449">
        <f>DataLog_T717420_Aug11_4_59_37pm[[#This Row],[INTAKE TEMP '[Â°C']]]-Table3[[#This Row],[580F]]</f>
        <v>0</v>
      </c>
      <c r="Z449">
        <f>DataLog_T717420_Aug11_4_59_37pm[[#This Row],[HPFP PRES. '[BAR']]]-Table3[[#This Row],[58F0]]</f>
        <v>0</v>
      </c>
      <c r="AA449">
        <f>DataLog_T717420_Aug11_4_59_37pm[[#This Row],[COOLANT TEMP '[Â°C']]]-Table3[[#This Row],[5805]]</f>
        <v>0</v>
      </c>
      <c r="AB449">
        <f>DataLog_T717420_Aug11_4_59_37pm[[#This Row],[BOOST '[BAR']]]-Table3[[#This Row],[58DD]]</f>
        <v>0</v>
      </c>
    </row>
    <row r="450" spans="2:28" x14ac:dyDescent="0.25">
      <c r="B450" s="2" t="s">
        <v>183</v>
      </c>
      <c r="C450" s="2" t="s">
        <v>30</v>
      </c>
      <c r="D450" s="2" t="s">
        <v>151</v>
      </c>
      <c r="E450" s="2" t="s">
        <v>199</v>
      </c>
      <c r="F450" s="2" t="s">
        <v>26</v>
      </c>
      <c r="G450" s="2" t="s">
        <v>175</v>
      </c>
      <c r="I450">
        <f>HEX2DEC(_0811_173439[[#This Row],[580C]])*B$4/B$5+B$6</f>
        <v>800</v>
      </c>
      <c r="J450">
        <f>HEX2DEC(_0811_173439[[#This Row],[4402]])*C$4/C$5+C$6</f>
        <v>36</v>
      </c>
      <c r="K450">
        <f>HEX2DEC(_0811_173439[[#This Row],[580F]])*D$4/D$5+D$6</f>
        <v>30</v>
      </c>
      <c r="L450">
        <f>ROUND(HEX2DEC(_0811_173439[[#This Row],[58F0]])*E$4/E$5+E$6,0)</f>
        <v>70</v>
      </c>
      <c r="M450">
        <f>ROUND(HEX2DEC(_0811_173439[[#This Row],[5805]])*F$4/F$5+F$6,0)</f>
        <v>42</v>
      </c>
      <c r="N450">
        <f>ROUND(HEX2DEC(_0811_173439[[#This Row],[58DD]])*G$4/G$5+G$6,2)</f>
        <v>-0.03</v>
      </c>
      <c r="P450">
        <v>800</v>
      </c>
      <c r="Q450">
        <v>36</v>
      </c>
      <c r="R450">
        <v>30</v>
      </c>
      <c r="S450">
        <v>70</v>
      </c>
      <c r="T450">
        <v>42</v>
      </c>
      <c r="U450">
        <v>-0.03</v>
      </c>
      <c r="W450">
        <f>DataLog_T717420_Aug11_4_59_37pm[[#This Row],[RPM '[1/MIN']]]-Table3[[#This Row],[580C]]</f>
        <v>0</v>
      </c>
      <c r="X450">
        <f>DataLog_T717420_Aug11_4_59_37pm[[#This Row],[OIL TEMP '[Â°C']]]-Table3[[#This Row],[4402]]</f>
        <v>0</v>
      </c>
      <c r="Y450">
        <f>DataLog_T717420_Aug11_4_59_37pm[[#This Row],[INTAKE TEMP '[Â°C']]]-Table3[[#This Row],[580F]]</f>
        <v>0</v>
      </c>
      <c r="Z450">
        <f>DataLog_T717420_Aug11_4_59_37pm[[#This Row],[HPFP PRES. '[BAR']]]-Table3[[#This Row],[58F0]]</f>
        <v>0</v>
      </c>
      <c r="AA450">
        <f>DataLog_T717420_Aug11_4_59_37pm[[#This Row],[COOLANT TEMP '[Â°C']]]-Table3[[#This Row],[5805]]</f>
        <v>0</v>
      </c>
      <c r="AB450">
        <f>DataLog_T717420_Aug11_4_59_37pm[[#This Row],[BOOST '[BAR']]]-Table3[[#This Row],[58DD]]</f>
        <v>0</v>
      </c>
    </row>
    <row r="451" spans="2:28" x14ac:dyDescent="0.25">
      <c r="B451" s="2" t="s">
        <v>183</v>
      </c>
      <c r="C451" s="2" t="s">
        <v>30</v>
      </c>
      <c r="D451" s="2" t="s">
        <v>151</v>
      </c>
      <c r="E451" s="2" t="s">
        <v>200</v>
      </c>
      <c r="F451" s="2" t="s">
        <v>26</v>
      </c>
      <c r="G451" s="2" t="s">
        <v>102</v>
      </c>
      <c r="I451">
        <f>HEX2DEC(_0811_173439[[#This Row],[580C]])*B$4/B$5+B$6</f>
        <v>800</v>
      </c>
      <c r="J451">
        <f>HEX2DEC(_0811_173439[[#This Row],[4402]])*C$4/C$5+C$6</f>
        <v>36</v>
      </c>
      <c r="K451">
        <f>HEX2DEC(_0811_173439[[#This Row],[580F]])*D$4/D$5+D$6</f>
        <v>30</v>
      </c>
      <c r="L451">
        <f>ROUND(HEX2DEC(_0811_173439[[#This Row],[58F0]])*E$4/E$5+E$6,0)</f>
        <v>72</v>
      </c>
      <c r="M451">
        <f>ROUND(HEX2DEC(_0811_173439[[#This Row],[5805]])*F$4/F$5+F$6,0)</f>
        <v>42</v>
      </c>
      <c r="N451">
        <f>ROUND(HEX2DEC(_0811_173439[[#This Row],[58DD]])*G$4/G$5+G$6,2)</f>
        <v>-0.03</v>
      </c>
      <c r="P451">
        <v>800</v>
      </c>
      <c r="Q451">
        <v>36</v>
      </c>
      <c r="R451">
        <v>30</v>
      </c>
      <c r="S451">
        <v>72</v>
      </c>
      <c r="T451">
        <v>42</v>
      </c>
      <c r="U451">
        <v>-0.03</v>
      </c>
      <c r="W451">
        <f>DataLog_T717420_Aug11_4_59_37pm[[#This Row],[RPM '[1/MIN']]]-Table3[[#This Row],[580C]]</f>
        <v>0</v>
      </c>
      <c r="X451">
        <f>DataLog_T717420_Aug11_4_59_37pm[[#This Row],[OIL TEMP '[Â°C']]]-Table3[[#This Row],[4402]]</f>
        <v>0</v>
      </c>
      <c r="Y451">
        <f>DataLog_T717420_Aug11_4_59_37pm[[#This Row],[INTAKE TEMP '[Â°C']]]-Table3[[#This Row],[580F]]</f>
        <v>0</v>
      </c>
      <c r="Z451">
        <f>DataLog_T717420_Aug11_4_59_37pm[[#This Row],[HPFP PRES. '[BAR']]]-Table3[[#This Row],[58F0]]</f>
        <v>0</v>
      </c>
      <c r="AA451">
        <f>DataLog_T717420_Aug11_4_59_37pm[[#This Row],[COOLANT TEMP '[Â°C']]]-Table3[[#This Row],[5805]]</f>
        <v>0</v>
      </c>
      <c r="AB451">
        <f>DataLog_T717420_Aug11_4_59_37pm[[#This Row],[BOOST '[BAR']]]-Table3[[#This Row],[58DD]]</f>
        <v>0</v>
      </c>
    </row>
    <row r="452" spans="2:28" x14ac:dyDescent="0.25">
      <c r="B452" s="2" t="s">
        <v>183</v>
      </c>
      <c r="C452" s="2" t="s">
        <v>30</v>
      </c>
      <c r="D452" s="2" t="s">
        <v>151</v>
      </c>
      <c r="E452" s="2" t="s">
        <v>121</v>
      </c>
      <c r="F452" s="2" t="s">
        <v>26</v>
      </c>
      <c r="G452" s="2" t="s">
        <v>180</v>
      </c>
      <c r="I452">
        <f>HEX2DEC(_0811_173439[[#This Row],[580C]])*B$4/B$5+B$6</f>
        <v>800</v>
      </c>
      <c r="J452">
        <f>HEX2DEC(_0811_173439[[#This Row],[4402]])*C$4/C$5+C$6</f>
        <v>36</v>
      </c>
      <c r="K452">
        <f>HEX2DEC(_0811_173439[[#This Row],[580F]])*D$4/D$5+D$6</f>
        <v>30</v>
      </c>
      <c r="L452">
        <f>ROUND(HEX2DEC(_0811_173439[[#This Row],[58F0]])*E$4/E$5+E$6,0)</f>
        <v>71</v>
      </c>
      <c r="M452">
        <f>ROUND(HEX2DEC(_0811_173439[[#This Row],[5805]])*F$4/F$5+F$6,0)</f>
        <v>42</v>
      </c>
      <c r="N452">
        <f>ROUND(HEX2DEC(_0811_173439[[#This Row],[58DD]])*G$4/G$5+G$6,2)</f>
        <v>-0.03</v>
      </c>
      <c r="P452">
        <v>800</v>
      </c>
      <c r="Q452">
        <v>36</v>
      </c>
      <c r="R452">
        <v>30</v>
      </c>
      <c r="S452">
        <v>71</v>
      </c>
      <c r="T452">
        <v>42</v>
      </c>
      <c r="U452">
        <v>-0.03</v>
      </c>
      <c r="W452">
        <f>DataLog_T717420_Aug11_4_59_37pm[[#This Row],[RPM '[1/MIN']]]-Table3[[#This Row],[580C]]</f>
        <v>0</v>
      </c>
      <c r="X452">
        <f>DataLog_T717420_Aug11_4_59_37pm[[#This Row],[OIL TEMP '[Â°C']]]-Table3[[#This Row],[4402]]</f>
        <v>0</v>
      </c>
      <c r="Y452">
        <f>DataLog_T717420_Aug11_4_59_37pm[[#This Row],[INTAKE TEMP '[Â°C']]]-Table3[[#This Row],[580F]]</f>
        <v>0</v>
      </c>
      <c r="Z452">
        <f>DataLog_T717420_Aug11_4_59_37pm[[#This Row],[HPFP PRES. '[BAR']]]-Table3[[#This Row],[58F0]]</f>
        <v>0</v>
      </c>
      <c r="AA452">
        <f>DataLog_T717420_Aug11_4_59_37pm[[#This Row],[COOLANT TEMP '[Â°C']]]-Table3[[#This Row],[5805]]</f>
        <v>0</v>
      </c>
      <c r="AB452">
        <f>DataLog_T717420_Aug11_4_59_37pm[[#This Row],[BOOST '[BAR']]]-Table3[[#This Row],[58DD]]</f>
        <v>0</v>
      </c>
    </row>
    <row r="453" spans="2:28" x14ac:dyDescent="0.25">
      <c r="B453" s="2" t="s">
        <v>183</v>
      </c>
      <c r="C453" s="2" t="s">
        <v>30</v>
      </c>
      <c r="D453" s="2" t="s">
        <v>151</v>
      </c>
      <c r="E453" s="2" t="s">
        <v>201</v>
      </c>
      <c r="F453" s="2" t="s">
        <v>26</v>
      </c>
      <c r="G453" s="2" t="s">
        <v>185</v>
      </c>
      <c r="I453">
        <f>HEX2DEC(_0811_173439[[#This Row],[580C]])*B$4/B$5+B$6</f>
        <v>800</v>
      </c>
      <c r="J453">
        <f>HEX2DEC(_0811_173439[[#This Row],[4402]])*C$4/C$5+C$6</f>
        <v>36</v>
      </c>
      <c r="K453">
        <f>HEX2DEC(_0811_173439[[#This Row],[580F]])*D$4/D$5+D$6</f>
        <v>30</v>
      </c>
      <c r="L453">
        <f>ROUND(HEX2DEC(_0811_173439[[#This Row],[58F0]])*E$4/E$5+E$6,0)</f>
        <v>69</v>
      </c>
      <c r="M453">
        <f>ROUND(HEX2DEC(_0811_173439[[#This Row],[5805]])*F$4/F$5+F$6,0)</f>
        <v>42</v>
      </c>
      <c r="N453">
        <f>ROUND(HEX2DEC(_0811_173439[[#This Row],[58DD]])*G$4/G$5+G$6,2)</f>
        <v>-0.03</v>
      </c>
      <c r="P453">
        <v>800</v>
      </c>
      <c r="Q453">
        <v>36</v>
      </c>
      <c r="R453">
        <v>30</v>
      </c>
      <c r="S453">
        <v>69</v>
      </c>
      <c r="T453">
        <v>42</v>
      </c>
      <c r="U453">
        <v>-0.03</v>
      </c>
      <c r="W453">
        <f>DataLog_T717420_Aug11_4_59_37pm[[#This Row],[RPM '[1/MIN']]]-Table3[[#This Row],[580C]]</f>
        <v>0</v>
      </c>
      <c r="X453">
        <f>DataLog_T717420_Aug11_4_59_37pm[[#This Row],[OIL TEMP '[Â°C']]]-Table3[[#This Row],[4402]]</f>
        <v>0</v>
      </c>
      <c r="Y453">
        <f>DataLog_T717420_Aug11_4_59_37pm[[#This Row],[INTAKE TEMP '[Â°C']]]-Table3[[#This Row],[580F]]</f>
        <v>0</v>
      </c>
      <c r="Z453">
        <f>DataLog_T717420_Aug11_4_59_37pm[[#This Row],[HPFP PRES. '[BAR']]]-Table3[[#This Row],[58F0]]</f>
        <v>0</v>
      </c>
      <c r="AA453">
        <f>DataLog_T717420_Aug11_4_59_37pm[[#This Row],[COOLANT TEMP '[Â°C']]]-Table3[[#This Row],[5805]]</f>
        <v>0</v>
      </c>
      <c r="AB453">
        <f>DataLog_T717420_Aug11_4_59_37pm[[#This Row],[BOOST '[BAR']]]-Table3[[#This Row],[58DD]]</f>
        <v>0</v>
      </c>
    </row>
    <row r="454" spans="2:28" x14ac:dyDescent="0.25">
      <c r="B454" s="2" t="s">
        <v>183</v>
      </c>
      <c r="C454" s="2" t="s">
        <v>30</v>
      </c>
      <c r="D454" s="2" t="s">
        <v>151</v>
      </c>
      <c r="E454" s="2" t="s">
        <v>153</v>
      </c>
      <c r="F454" s="2" t="s">
        <v>26</v>
      </c>
      <c r="G454" s="2" t="s">
        <v>186</v>
      </c>
      <c r="I454">
        <f>HEX2DEC(_0811_173439[[#This Row],[580C]])*B$4/B$5+B$6</f>
        <v>800</v>
      </c>
      <c r="J454">
        <f>HEX2DEC(_0811_173439[[#This Row],[4402]])*C$4/C$5+C$6</f>
        <v>36</v>
      </c>
      <c r="K454">
        <f>HEX2DEC(_0811_173439[[#This Row],[580F]])*D$4/D$5+D$6</f>
        <v>30</v>
      </c>
      <c r="L454">
        <f>ROUND(HEX2DEC(_0811_173439[[#This Row],[58F0]])*E$4/E$5+E$6,0)</f>
        <v>70</v>
      </c>
      <c r="M454">
        <f>ROUND(HEX2DEC(_0811_173439[[#This Row],[5805]])*F$4/F$5+F$6,0)</f>
        <v>42</v>
      </c>
      <c r="N454">
        <f>ROUND(HEX2DEC(_0811_173439[[#This Row],[58DD]])*G$4/G$5+G$6,2)</f>
        <v>-0.03</v>
      </c>
      <c r="P454">
        <v>800</v>
      </c>
      <c r="Q454">
        <v>36</v>
      </c>
      <c r="R454">
        <v>30</v>
      </c>
      <c r="S454">
        <v>70</v>
      </c>
      <c r="T454">
        <v>42</v>
      </c>
      <c r="U454">
        <v>-0.03</v>
      </c>
      <c r="W454">
        <f>DataLog_T717420_Aug11_4_59_37pm[[#This Row],[RPM '[1/MIN']]]-Table3[[#This Row],[580C]]</f>
        <v>0</v>
      </c>
      <c r="X454">
        <f>DataLog_T717420_Aug11_4_59_37pm[[#This Row],[OIL TEMP '[Â°C']]]-Table3[[#This Row],[4402]]</f>
        <v>0</v>
      </c>
      <c r="Y454">
        <f>DataLog_T717420_Aug11_4_59_37pm[[#This Row],[INTAKE TEMP '[Â°C']]]-Table3[[#This Row],[580F]]</f>
        <v>0</v>
      </c>
      <c r="Z454">
        <f>DataLog_T717420_Aug11_4_59_37pm[[#This Row],[HPFP PRES. '[BAR']]]-Table3[[#This Row],[58F0]]</f>
        <v>0</v>
      </c>
      <c r="AA454">
        <f>DataLog_T717420_Aug11_4_59_37pm[[#This Row],[COOLANT TEMP '[Â°C']]]-Table3[[#This Row],[5805]]</f>
        <v>0</v>
      </c>
      <c r="AB454">
        <f>DataLog_T717420_Aug11_4_59_37pm[[#This Row],[BOOST '[BAR']]]-Table3[[#This Row],[58DD]]</f>
        <v>0</v>
      </c>
    </row>
    <row r="455" spans="2:28" x14ac:dyDescent="0.25">
      <c r="B455" s="2" t="s">
        <v>183</v>
      </c>
      <c r="C455" s="2" t="s">
        <v>30</v>
      </c>
      <c r="D455" s="2" t="s">
        <v>151</v>
      </c>
      <c r="E455" s="2" t="s">
        <v>178</v>
      </c>
      <c r="F455" s="2" t="s">
        <v>26</v>
      </c>
      <c r="G455" s="2" t="s">
        <v>192</v>
      </c>
      <c r="I455">
        <f>HEX2DEC(_0811_173439[[#This Row],[580C]])*B$4/B$5+B$6</f>
        <v>800</v>
      </c>
      <c r="J455">
        <f>HEX2DEC(_0811_173439[[#This Row],[4402]])*C$4/C$5+C$6</f>
        <v>36</v>
      </c>
      <c r="K455">
        <f>HEX2DEC(_0811_173439[[#This Row],[580F]])*D$4/D$5+D$6</f>
        <v>30</v>
      </c>
      <c r="L455">
        <f>ROUND(HEX2DEC(_0811_173439[[#This Row],[58F0]])*E$4/E$5+E$6,0)</f>
        <v>71</v>
      </c>
      <c r="M455">
        <f>ROUND(HEX2DEC(_0811_173439[[#This Row],[5805]])*F$4/F$5+F$6,0)</f>
        <v>42</v>
      </c>
      <c r="N455">
        <f>ROUND(HEX2DEC(_0811_173439[[#This Row],[58DD]])*G$4/G$5+G$6,2)</f>
        <v>-0.03</v>
      </c>
      <c r="P455">
        <v>800</v>
      </c>
      <c r="Q455">
        <v>36</v>
      </c>
      <c r="R455">
        <v>30</v>
      </c>
      <c r="S455">
        <v>71</v>
      </c>
      <c r="T455">
        <v>42</v>
      </c>
      <c r="U455">
        <v>-0.03</v>
      </c>
      <c r="W455">
        <f>DataLog_T717420_Aug11_4_59_37pm[[#This Row],[RPM '[1/MIN']]]-Table3[[#This Row],[580C]]</f>
        <v>0</v>
      </c>
      <c r="X455">
        <f>DataLog_T717420_Aug11_4_59_37pm[[#This Row],[OIL TEMP '[Â°C']]]-Table3[[#This Row],[4402]]</f>
        <v>0</v>
      </c>
      <c r="Y455">
        <f>DataLog_T717420_Aug11_4_59_37pm[[#This Row],[INTAKE TEMP '[Â°C']]]-Table3[[#This Row],[580F]]</f>
        <v>0</v>
      </c>
      <c r="Z455">
        <f>DataLog_T717420_Aug11_4_59_37pm[[#This Row],[HPFP PRES. '[BAR']]]-Table3[[#This Row],[58F0]]</f>
        <v>0</v>
      </c>
      <c r="AA455">
        <f>DataLog_T717420_Aug11_4_59_37pm[[#This Row],[COOLANT TEMP '[Â°C']]]-Table3[[#This Row],[5805]]</f>
        <v>0</v>
      </c>
      <c r="AB455">
        <f>DataLog_T717420_Aug11_4_59_37pm[[#This Row],[BOOST '[BAR']]]-Table3[[#This Row],[58DD]]</f>
        <v>0</v>
      </c>
    </row>
    <row r="456" spans="2:28" x14ac:dyDescent="0.25">
      <c r="B456" s="2" t="s">
        <v>183</v>
      </c>
      <c r="C456" s="2" t="s">
        <v>30</v>
      </c>
      <c r="D456" s="2" t="s">
        <v>151</v>
      </c>
      <c r="E456" s="2" t="s">
        <v>150</v>
      </c>
      <c r="F456" s="2" t="s">
        <v>26</v>
      </c>
      <c r="G456" s="2" t="s">
        <v>102</v>
      </c>
      <c r="I456">
        <f>HEX2DEC(_0811_173439[[#This Row],[580C]])*B$4/B$5+B$6</f>
        <v>800</v>
      </c>
      <c r="J456">
        <f>HEX2DEC(_0811_173439[[#This Row],[4402]])*C$4/C$5+C$6</f>
        <v>36</v>
      </c>
      <c r="K456">
        <f>HEX2DEC(_0811_173439[[#This Row],[580F]])*D$4/D$5+D$6</f>
        <v>30</v>
      </c>
      <c r="L456">
        <f>ROUND(HEX2DEC(_0811_173439[[#This Row],[58F0]])*E$4/E$5+E$6,0)</f>
        <v>70</v>
      </c>
      <c r="M456">
        <f>ROUND(HEX2DEC(_0811_173439[[#This Row],[5805]])*F$4/F$5+F$6,0)</f>
        <v>42</v>
      </c>
      <c r="N456">
        <f>ROUND(HEX2DEC(_0811_173439[[#This Row],[58DD]])*G$4/G$5+G$6,2)</f>
        <v>-0.03</v>
      </c>
      <c r="P456">
        <v>800</v>
      </c>
      <c r="Q456">
        <v>36</v>
      </c>
      <c r="R456">
        <v>30</v>
      </c>
      <c r="S456">
        <v>70</v>
      </c>
      <c r="T456">
        <v>42</v>
      </c>
      <c r="U456">
        <v>-0.03</v>
      </c>
      <c r="W456">
        <f>DataLog_T717420_Aug11_4_59_37pm[[#This Row],[RPM '[1/MIN']]]-Table3[[#This Row],[580C]]</f>
        <v>0</v>
      </c>
      <c r="X456">
        <f>DataLog_T717420_Aug11_4_59_37pm[[#This Row],[OIL TEMP '[Â°C']]]-Table3[[#This Row],[4402]]</f>
        <v>0</v>
      </c>
      <c r="Y456">
        <f>DataLog_T717420_Aug11_4_59_37pm[[#This Row],[INTAKE TEMP '[Â°C']]]-Table3[[#This Row],[580F]]</f>
        <v>0</v>
      </c>
      <c r="Z456">
        <f>DataLog_T717420_Aug11_4_59_37pm[[#This Row],[HPFP PRES. '[BAR']]]-Table3[[#This Row],[58F0]]</f>
        <v>0</v>
      </c>
      <c r="AA456">
        <f>DataLog_T717420_Aug11_4_59_37pm[[#This Row],[COOLANT TEMP '[Â°C']]]-Table3[[#This Row],[5805]]</f>
        <v>0</v>
      </c>
      <c r="AB456">
        <f>DataLog_T717420_Aug11_4_59_37pm[[#This Row],[BOOST '[BAR']]]-Table3[[#This Row],[58DD]]</f>
        <v>0</v>
      </c>
    </row>
    <row r="457" spans="2:28" x14ac:dyDescent="0.25">
      <c r="B457" s="2" t="s">
        <v>183</v>
      </c>
      <c r="C457" s="2" t="s">
        <v>30</v>
      </c>
      <c r="D457" s="2" t="s">
        <v>151</v>
      </c>
      <c r="E457" s="2" t="s">
        <v>202</v>
      </c>
      <c r="F457" s="2" t="s">
        <v>26</v>
      </c>
      <c r="G457" s="2" t="s">
        <v>203</v>
      </c>
      <c r="I457">
        <f>HEX2DEC(_0811_173439[[#This Row],[580C]])*B$4/B$5+B$6</f>
        <v>800</v>
      </c>
      <c r="J457">
        <f>HEX2DEC(_0811_173439[[#This Row],[4402]])*C$4/C$5+C$6</f>
        <v>36</v>
      </c>
      <c r="K457">
        <f>HEX2DEC(_0811_173439[[#This Row],[580F]])*D$4/D$5+D$6</f>
        <v>30</v>
      </c>
      <c r="L457">
        <f>ROUND(HEX2DEC(_0811_173439[[#This Row],[58F0]])*E$4/E$5+E$6,0)</f>
        <v>71</v>
      </c>
      <c r="M457">
        <f>ROUND(HEX2DEC(_0811_173439[[#This Row],[5805]])*F$4/F$5+F$6,0)</f>
        <v>42</v>
      </c>
      <c r="N457">
        <f>ROUND(HEX2DEC(_0811_173439[[#This Row],[58DD]])*G$4/G$5+G$6,2)</f>
        <v>-0.03</v>
      </c>
      <c r="P457">
        <v>800</v>
      </c>
      <c r="Q457">
        <v>36</v>
      </c>
      <c r="R457">
        <v>30</v>
      </c>
      <c r="S457">
        <v>71</v>
      </c>
      <c r="T457">
        <v>42</v>
      </c>
      <c r="U457">
        <v>-0.03</v>
      </c>
      <c r="W457">
        <f>DataLog_T717420_Aug11_4_59_37pm[[#This Row],[RPM '[1/MIN']]]-Table3[[#This Row],[580C]]</f>
        <v>0</v>
      </c>
      <c r="X457">
        <f>DataLog_T717420_Aug11_4_59_37pm[[#This Row],[OIL TEMP '[Â°C']]]-Table3[[#This Row],[4402]]</f>
        <v>0</v>
      </c>
      <c r="Y457">
        <f>DataLog_T717420_Aug11_4_59_37pm[[#This Row],[INTAKE TEMP '[Â°C']]]-Table3[[#This Row],[580F]]</f>
        <v>0</v>
      </c>
      <c r="Z457">
        <f>DataLog_T717420_Aug11_4_59_37pm[[#This Row],[HPFP PRES. '[BAR']]]-Table3[[#This Row],[58F0]]</f>
        <v>0</v>
      </c>
      <c r="AA457">
        <f>DataLog_T717420_Aug11_4_59_37pm[[#This Row],[COOLANT TEMP '[Â°C']]]-Table3[[#This Row],[5805]]</f>
        <v>0</v>
      </c>
      <c r="AB457">
        <f>DataLog_T717420_Aug11_4_59_37pm[[#This Row],[BOOST '[BAR']]]-Table3[[#This Row],[58DD]]</f>
        <v>0</v>
      </c>
    </row>
    <row r="458" spans="2:28" x14ac:dyDescent="0.25">
      <c r="B458" s="2" t="s">
        <v>183</v>
      </c>
      <c r="C458" s="2" t="s">
        <v>30</v>
      </c>
      <c r="D458" s="2" t="s">
        <v>151</v>
      </c>
      <c r="E458" s="2" t="s">
        <v>147</v>
      </c>
      <c r="F458" s="2" t="s">
        <v>26</v>
      </c>
      <c r="G458" s="2" t="s">
        <v>203</v>
      </c>
      <c r="I458">
        <f>HEX2DEC(_0811_173439[[#This Row],[580C]])*B$4/B$5+B$6</f>
        <v>800</v>
      </c>
      <c r="J458">
        <f>HEX2DEC(_0811_173439[[#This Row],[4402]])*C$4/C$5+C$6</f>
        <v>36</v>
      </c>
      <c r="K458">
        <f>HEX2DEC(_0811_173439[[#This Row],[580F]])*D$4/D$5+D$6</f>
        <v>30</v>
      </c>
      <c r="L458">
        <f>ROUND(HEX2DEC(_0811_173439[[#This Row],[58F0]])*E$4/E$5+E$6,0)</f>
        <v>71</v>
      </c>
      <c r="M458">
        <f>ROUND(HEX2DEC(_0811_173439[[#This Row],[5805]])*F$4/F$5+F$6,0)</f>
        <v>42</v>
      </c>
      <c r="N458">
        <f>ROUND(HEX2DEC(_0811_173439[[#This Row],[58DD]])*G$4/G$5+G$6,2)</f>
        <v>-0.03</v>
      </c>
      <c r="P458">
        <v>800</v>
      </c>
      <c r="Q458">
        <v>36</v>
      </c>
      <c r="R458">
        <v>30</v>
      </c>
      <c r="S458">
        <v>71</v>
      </c>
      <c r="T458">
        <v>42</v>
      </c>
      <c r="U458">
        <v>-0.03</v>
      </c>
      <c r="W458">
        <f>DataLog_T717420_Aug11_4_59_37pm[[#This Row],[RPM '[1/MIN']]]-Table3[[#This Row],[580C]]</f>
        <v>0</v>
      </c>
      <c r="X458">
        <f>DataLog_T717420_Aug11_4_59_37pm[[#This Row],[OIL TEMP '[Â°C']]]-Table3[[#This Row],[4402]]</f>
        <v>0</v>
      </c>
      <c r="Y458">
        <f>DataLog_T717420_Aug11_4_59_37pm[[#This Row],[INTAKE TEMP '[Â°C']]]-Table3[[#This Row],[580F]]</f>
        <v>0</v>
      </c>
      <c r="Z458">
        <f>DataLog_T717420_Aug11_4_59_37pm[[#This Row],[HPFP PRES. '[BAR']]]-Table3[[#This Row],[58F0]]</f>
        <v>0</v>
      </c>
      <c r="AA458">
        <f>DataLog_T717420_Aug11_4_59_37pm[[#This Row],[COOLANT TEMP '[Â°C']]]-Table3[[#This Row],[5805]]</f>
        <v>0</v>
      </c>
      <c r="AB458">
        <f>DataLog_T717420_Aug11_4_59_37pm[[#This Row],[BOOST '[BAR']]]-Table3[[#This Row],[58DD]]</f>
        <v>0</v>
      </c>
    </row>
    <row r="459" spans="2:28" x14ac:dyDescent="0.25">
      <c r="B459" s="2" t="s">
        <v>183</v>
      </c>
      <c r="C459" s="2" t="s">
        <v>30</v>
      </c>
      <c r="D459" s="2" t="s">
        <v>151</v>
      </c>
      <c r="E459" s="2" t="s">
        <v>122</v>
      </c>
      <c r="F459" s="2" t="s">
        <v>26</v>
      </c>
      <c r="G459" s="2" t="s">
        <v>180</v>
      </c>
      <c r="I459">
        <f>HEX2DEC(_0811_173439[[#This Row],[580C]])*B$4/B$5+B$6</f>
        <v>800</v>
      </c>
      <c r="J459">
        <f>HEX2DEC(_0811_173439[[#This Row],[4402]])*C$4/C$5+C$6</f>
        <v>36</v>
      </c>
      <c r="K459">
        <f>HEX2DEC(_0811_173439[[#This Row],[580F]])*D$4/D$5+D$6</f>
        <v>30</v>
      </c>
      <c r="L459">
        <f>ROUND(HEX2DEC(_0811_173439[[#This Row],[58F0]])*E$4/E$5+E$6,0)</f>
        <v>71</v>
      </c>
      <c r="M459">
        <f>ROUND(HEX2DEC(_0811_173439[[#This Row],[5805]])*F$4/F$5+F$6,0)</f>
        <v>42</v>
      </c>
      <c r="N459">
        <f>ROUND(HEX2DEC(_0811_173439[[#This Row],[58DD]])*G$4/G$5+G$6,2)</f>
        <v>-0.03</v>
      </c>
      <c r="P459">
        <v>800</v>
      </c>
      <c r="Q459">
        <v>36</v>
      </c>
      <c r="R459">
        <v>30</v>
      </c>
      <c r="S459">
        <v>71</v>
      </c>
      <c r="T459">
        <v>42</v>
      </c>
      <c r="U459">
        <v>-0.03</v>
      </c>
      <c r="W459">
        <f>DataLog_T717420_Aug11_4_59_37pm[[#This Row],[RPM '[1/MIN']]]-Table3[[#This Row],[580C]]</f>
        <v>0</v>
      </c>
      <c r="X459">
        <f>DataLog_T717420_Aug11_4_59_37pm[[#This Row],[OIL TEMP '[Â°C']]]-Table3[[#This Row],[4402]]</f>
        <v>0</v>
      </c>
      <c r="Y459">
        <f>DataLog_T717420_Aug11_4_59_37pm[[#This Row],[INTAKE TEMP '[Â°C']]]-Table3[[#This Row],[580F]]</f>
        <v>0</v>
      </c>
      <c r="Z459">
        <f>DataLog_T717420_Aug11_4_59_37pm[[#This Row],[HPFP PRES. '[BAR']]]-Table3[[#This Row],[58F0]]</f>
        <v>0</v>
      </c>
      <c r="AA459">
        <f>DataLog_T717420_Aug11_4_59_37pm[[#This Row],[COOLANT TEMP '[Â°C']]]-Table3[[#This Row],[5805]]</f>
        <v>0</v>
      </c>
      <c r="AB459">
        <f>DataLog_T717420_Aug11_4_59_37pm[[#This Row],[BOOST '[BAR']]]-Table3[[#This Row],[58DD]]</f>
        <v>0</v>
      </c>
    </row>
    <row r="460" spans="2:28" x14ac:dyDescent="0.25">
      <c r="B460" s="2" t="s">
        <v>183</v>
      </c>
      <c r="C460" s="2" t="s">
        <v>30</v>
      </c>
      <c r="D460" s="2" t="s">
        <v>151</v>
      </c>
      <c r="E460" s="2" t="s">
        <v>204</v>
      </c>
      <c r="F460" s="2" t="s">
        <v>26</v>
      </c>
      <c r="G460" s="2" t="s">
        <v>179</v>
      </c>
      <c r="I460">
        <f>HEX2DEC(_0811_173439[[#This Row],[580C]])*B$4/B$5+B$6</f>
        <v>800</v>
      </c>
      <c r="J460">
        <f>HEX2DEC(_0811_173439[[#This Row],[4402]])*C$4/C$5+C$6</f>
        <v>36</v>
      </c>
      <c r="K460">
        <f>HEX2DEC(_0811_173439[[#This Row],[580F]])*D$4/D$5+D$6</f>
        <v>30</v>
      </c>
      <c r="L460">
        <f>ROUND(HEX2DEC(_0811_173439[[#This Row],[58F0]])*E$4/E$5+E$6,0)</f>
        <v>71</v>
      </c>
      <c r="M460">
        <f>ROUND(HEX2DEC(_0811_173439[[#This Row],[5805]])*F$4/F$5+F$6,0)</f>
        <v>42</v>
      </c>
      <c r="N460">
        <f>ROUND(HEX2DEC(_0811_173439[[#This Row],[58DD]])*G$4/G$5+G$6,2)</f>
        <v>-0.03</v>
      </c>
      <c r="P460">
        <v>800</v>
      </c>
      <c r="Q460">
        <v>36</v>
      </c>
      <c r="R460">
        <v>30</v>
      </c>
      <c r="S460">
        <v>71</v>
      </c>
      <c r="T460">
        <v>42</v>
      </c>
      <c r="U460">
        <v>-0.03</v>
      </c>
      <c r="W460">
        <f>DataLog_T717420_Aug11_4_59_37pm[[#This Row],[RPM '[1/MIN']]]-Table3[[#This Row],[580C]]</f>
        <v>0</v>
      </c>
      <c r="X460">
        <f>DataLog_T717420_Aug11_4_59_37pm[[#This Row],[OIL TEMP '[Â°C']]]-Table3[[#This Row],[4402]]</f>
        <v>0</v>
      </c>
      <c r="Y460">
        <f>DataLog_T717420_Aug11_4_59_37pm[[#This Row],[INTAKE TEMP '[Â°C']]]-Table3[[#This Row],[580F]]</f>
        <v>0</v>
      </c>
      <c r="Z460">
        <f>DataLog_T717420_Aug11_4_59_37pm[[#This Row],[HPFP PRES. '[BAR']]]-Table3[[#This Row],[58F0]]</f>
        <v>0</v>
      </c>
      <c r="AA460">
        <f>DataLog_T717420_Aug11_4_59_37pm[[#This Row],[COOLANT TEMP '[Â°C']]]-Table3[[#This Row],[5805]]</f>
        <v>0</v>
      </c>
      <c r="AB460">
        <f>DataLog_T717420_Aug11_4_59_37pm[[#This Row],[BOOST '[BAR']]]-Table3[[#This Row],[58DD]]</f>
        <v>0</v>
      </c>
    </row>
    <row r="461" spans="2:28" x14ac:dyDescent="0.25">
      <c r="B461" s="2" t="s">
        <v>183</v>
      </c>
      <c r="C461" s="2" t="s">
        <v>30</v>
      </c>
      <c r="D461" s="2" t="s">
        <v>151</v>
      </c>
      <c r="E461" s="2" t="s">
        <v>140</v>
      </c>
      <c r="F461" s="2" t="s">
        <v>26</v>
      </c>
      <c r="G461" s="2" t="s">
        <v>169</v>
      </c>
      <c r="I461">
        <f>HEX2DEC(_0811_173439[[#This Row],[580C]])*B$4/B$5+B$6</f>
        <v>800</v>
      </c>
      <c r="J461">
        <f>HEX2DEC(_0811_173439[[#This Row],[4402]])*C$4/C$5+C$6</f>
        <v>36</v>
      </c>
      <c r="K461">
        <f>HEX2DEC(_0811_173439[[#This Row],[580F]])*D$4/D$5+D$6</f>
        <v>30</v>
      </c>
      <c r="L461">
        <f>ROUND(HEX2DEC(_0811_173439[[#This Row],[58F0]])*E$4/E$5+E$6,0)</f>
        <v>71</v>
      </c>
      <c r="M461">
        <f>ROUND(HEX2DEC(_0811_173439[[#This Row],[5805]])*F$4/F$5+F$6,0)</f>
        <v>42</v>
      </c>
      <c r="N461">
        <f>ROUND(HEX2DEC(_0811_173439[[#This Row],[58DD]])*G$4/G$5+G$6,2)</f>
        <v>-0.02</v>
      </c>
      <c r="P461">
        <v>800</v>
      </c>
      <c r="Q461">
        <v>36</v>
      </c>
      <c r="R461">
        <v>30</v>
      </c>
      <c r="S461">
        <v>71</v>
      </c>
      <c r="T461">
        <v>42</v>
      </c>
      <c r="U461">
        <v>-0.02</v>
      </c>
      <c r="W461">
        <f>DataLog_T717420_Aug11_4_59_37pm[[#This Row],[RPM '[1/MIN']]]-Table3[[#This Row],[580C]]</f>
        <v>0</v>
      </c>
      <c r="X461">
        <f>DataLog_T717420_Aug11_4_59_37pm[[#This Row],[OIL TEMP '[Â°C']]]-Table3[[#This Row],[4402]]</f>
        <v>0</v>
      </c>
      <c r="Y461">
        <f>DataLog_T717420_Aug11_4_59_37pm[[#This Row],[INTAKE TEMP '[Â°C']]]-Table3[[#This Row],[580F]]</f>
        <v>0</v>
      </c>
      <c r="Z461">
        <f>DataLog_T717420_Aug11_4_59_37pm[[#This Row],[HPFP PRES. '[BAR']]]-Table3[[#This Row],[58F0]]</f>
        <v>0</v>
      </c>
      <c r="AA461">
        <f>DataLog_T717420_Aug11_4_59_37pm[[#This Row],[COOLANT TEMP '[Â°C']]]-Table3[[#This Row],[5805]]</f>
        <v>0</v>
      </c>
      <c r="AB461">
        <f>DataLog_T717420_Aug11_4_59_37pm[[#This Row],[BOOST '[BAR']]]-Table3[[#This Row],[58DD]]</f>
        <v>0</v>
      </c>
    </row>
    <row r="462" spans="2:28" x14ac:dyDescent="0.25">
      <c r="B462" s="2" t="s">
        <v>183</v>
      </c>
      <c r="C462" s="2" t="s">
        <v>30</v>
      </c>
      <c r="D462" s="2" t="s">
        <v>151</v>
      </c>
      <c r="E462" s="2" t="s">
        <v>205</v>
      </c>
      <c r="F462" s="2" t="s">
        <v>26</v>
      </c>
      <c r="G462" s="2" t="s">
        <v>192</v>
      </c>
      <c r="I462">
        <f>HEX2DEC(_0811_173439[[#This Row],[580C]])*B$4/B$5+B$6</f>
        <v>800</v>
      </c>
      <c r="J462">
        <f>HEX2DEC(_0811_173439[[#This Row],[4402]])*C$4/C$5+C$6</f>
        <v>36</v>
      </c>
      <c r="K462">
        <f>HEX2DEC(_0811_173439[[#This Row],[580F]])*D$4/D$5+D$6</f>
        <v>30</v>
      </c>
      <c r="L462">
        <f>ROUND(HEX2DEC(_0811_173439[[#This Row],[58F0]])*E$4/E$5+E$6,0)</f>
        <v>71</v>
      </c>
      <c r="M462">
        <f>ROUND(HEX2DEC(_0811_173439[[#This Row],[5805]])*F$4/F$5+F$6,0)</f>
        <v>42</v>
      </c>
      <c r="N462">
        <f>ROUND(HEX2DEC(_0811_173439[[#This Row],[58DD]])*G$4/G$5+G$6,2)</f>
        <v>-0.03</v>
      </c>
      <c r="P462">
        <v>800</v>
      </c>
      <c r="Q462">
        <v>36</v>
      </c>
      <c r="R462">
        <v>30</v>
      </c>
      <c r="S462">
        <v>71</v>
      </c>
      <c r="T462">
        <v>42</v>
      </c>
      <c r="U462">
        <v>-0.03</v>
      </c>
      <c r="W462">
        <f>DataLog_T717420_Aug11_4_59_37pm[[#This Row],[RPM '[1/MIN']]]-Table3[[#This Row],[580C]]</f>
        <v>0</v>
      </c>
      <c r="X462">
        <f>DataLog_T717420_Aug11_4_59_37pm[[#This Row],[OIL TEMP '[Â°C']]]-Table3[[#This Row],[4402]]</f>
        <v>0</v>
      </c>
      <c r="Y462">
        <f>DataLog_T717420_Aug11_4_59_37pm[[#This Row],[INTAKE TEMP '[Â°C']]]-Table3[[#This Row],[580F]]</f>
        <v>0</v>
      </c>
      <c r="Z462">
        <f>DataLog_T717420_Aug11_4_59_37pm[[#This Row],[HPFP PRES. '[BAR']]]-Table3[[#This Row],[58F0]]</f>
        <v>0</v>
      </c>
      <c r="AA462">
        <f>DataLog_T717420_Aug11_4_59_37pm[[#This Row],[COOLANT TEMP '[Â°C']]]-Table3[[#This Row],[5805]]</f>
        <v>0</v>
      </c>
      <c r="AB462">
        <f>DataLog_T717420_Aug11_4_59_37pm[[#This Row],[BOOST '[BAR']]]-Table3[[#This Row],[58DD]]</f>
        <v>0</v>
      </c>
    </row>
    <row r="463" spans="2:28" x14ac:dyDescent="0.25">
      <c r="B463" s="2" t="s">
        <v>183</v>
      </c>
      <c r="C463" s="2" t="s">
        <v>30</v>
      </c>
      <c r="D463" s="2" t="s">
        <v>151</v>
      </c>
      <c r="E463" s="2" t="s">
        <v>129</v>
      </c>
      <c r="F463" s="2" t="s">
        <v>26</v>
      </c>
      <c r="G463" s="2" t="s">
        <v>171</v>
      </c>
      <c r="I463">
        <f>HEX2DEC(_0811_173439[[#This Row],[580C]])*B$4/B$5+B$6</f>
        <v>800</v>
      </c>
      <c r="J463">
        <f>HEX2DEC(_0811_173439[[#This Row],[4402]])*C$4/C$5+C$6</f>
        <v>36</v>
      </c>
      <c r="K463">
        <f>HEX2DEC(_0811_173439[[#This Row],[580F]])*D$4/D$5+D$6</f>
        <v>30</v>
      </c>
      <c r="L463">
        <f>ROUND(HEX2DEC(_0811_173439[[#This Row],[58F0]])*E$4/E$5+E$6,0)</f>
        <v>71</v>
      </c>
      <c r="M463">
        <f>ROUND(HEX2DEC(_0811_173439[[#This Row],[5805]])*F$4/F$5+F$6,0)</f>
        <v>42</v>
      </c>
      <c r="N463">
        <f>ROUND(HEX2DEC(_0811_173439[[#This Row],[58DD]])*G$4/G$5+G$6,2)</f>
        <v>-0.03</v>
      </c>
      <c r="P463">
        <v>800</v>
      </c>
      <c r="Q463">
        <v>36</v>
      </c>
      <c r="R463">
        <v>30</v>
      </c>
      <c r="S463">
        <v>71</v>
      </c>
      <c r="T463">
        <v>42</v>
      </c>
      <c r="U463">
        <v>-0.03</v>
      </c>
      <c r="W463">
        <f>DataLog_T717420_Aug11_4_59_37pm[[#This Row],[RPM '[1/MIN']]]-Table3[[#This Row],[580C]]</f>
        <v>0</v>
      </c>
      <c r="X463">
        <f>DataLog_T717420_Aug11_4_59_37pm[[#This Row],[OIL TEMP '[Â°C']]]-Table3[[#This Row],[4402]]</f>
        <v>0</v>
      </c>
      <c r="Y463">
        <f>DataLog_T717420_Aug11_4_59_37pm[[#This Row],[INTAKE TEMP '[Â°C']]]-Table3[[#This Row],[580F]]</f>
        <v>0</v>
      </c>
      <c r="Z463">
        <f>DataLog_T717420_Aug11_4_59_37pm[[#This Row],[HPFP PRES. '[BAR']]]-Table3[[#This Row],[58F0]]</f>
        <v>0</v>
      </c>
      <c r="AA463">
        <f>DataLog_T717420_Aug11_4_59_37pm[[#This Row],[COOLANT TEMP '[Â°C']]]-Table3[[#This Row],[5805]]</f>
        <v>0</v>
      </c>
      <c r="AB463">
        <f>DataLog_T717420_Aug11_4_59_37pm[[#This Row],[BOOST '[BAR']]]-Table3[[#This Row],[58DD]]</f>
        <v>0</v>
      </c>
    </row>
    <row r="464" spans="2:28" x14ac:dyDescent="0.25">
      <c r="B464" s="2" t="s">
        <v>183</v>
      </c>
      <c r="C464" s="2" t="s">
        <v>30</v>
      </c>
      <c r="D464" s="2" t="s">
        <v>151</v>
      </c>
      <c r="E464" s="2" t="s">
        <v>118</v>
      </c>
      <c r="F464" s="2" t="s">
        <v>26</v>
      </c>
      <c r="G464" s="2" t="s">
        <v>171</v>
      </c>
      <c r="I464">
        <f>HEX2DEC(_0811_173439[[#This Row],[580C]])*B$4/B$5+B$6</f>
        <v>800</v>
      </c>
      <c r="J464">
        <f>HEX2DEC(_0811_173439[[#This Row],[4402]])*C$4/C$5+C$6</f>
        <v>36</v>
      </c>
      <c r="K464">
        <f>HEX2DEC(_0811_173439[[#This Row],[580F]])*D$4/D$5+D$6</f>
        <v>30</v>
      </c>
      <c r="L464">
        <f>ROUND(HEX2DEC(_0811_173439[[#This Row],[58F0]])*E$4/E$5+E$6,0)</f>
        <v>70</v>
      </c>
      <c r="M464">
        <f>ROUND(HEX2DEC(_0811_173439[[#This Row],[5805]])*F$4/F$5+F$6,0)</f>
        <v>42</v>
      </c>
      <c r="N464">
        <f>ROUND(HEX2DEC(_0811_173439[[#This Row],[58DD]])*G$4/G$5+G$6,2)</f>
        <v>-0.03</v>
      </c>
      <c r="P464">
        <v>800</v>
      </c>
      <c r="Q464">
        <v>36</v>
      </c>
      <c r="R464">
        <v>30</v>
      </c>
      <c r="S464">
        <v>70</v>
      </c>
      <c r="T464">
        <v>42</v>
      </c>
      <c r="U464">
        <v>-0.03</v>
      </c>
      <c r="W464">
        <f>DataLog_T717420_Aug11_4_59_37pm[[#This Row],[RPM '[1/MIN']]]-Table3[[#This Row],[580C]]</f>
        <v>0</v>
      </c>
      <c r="X464">
        <f>DataLog_T717420_Aug11_4_59_37pm[[#This Row],[OIL TEMP '[Â°C']]]-Table3[[#This Row],[4402]]</f>
        <v>0</v>
      </c>
      <c r="Y464">
        <f>DataLog_T717420_Aug11_4_59_37pm[[#This Row],[INTAKE TEMP '[Â°C']]]-Table3[[#This Row],[580F]]</f>
        <v>0</v>
      </c>
      <c r="Z464">
        <f>DataLog_T717420_Aug11_4_59_37pm[[#This Row],[HPFP PRES. '[BAR']]]-Table3[[#This Row],[58F0]]</f>
        <v>0</v>
      </c>
      <c r="AA464">
        <f>DataLog_T717420_Aug11_4_59_37pm[[#This Row],[COOLANT TEMP '[Â°C']]]-Table3[[#This Row],[5805]]</f>
        <v>0</v>
      </c>
      <c r="AB464">
        <f>DataLog_T717420_Aug11_4_59_37pm[[#This Row],[BOOST '[BAR']]]-Table3[[#This Row],[58DD]]</f>
        <v>0</v>
      </c>
    </row>
    <row r="465" spans="2:28" x14ac:dyDescent="0.25">
      <c r="B465" s="2" t="s">
        <v>183</v>
      </c>
      <c r="C465" s="2" t="s">
        <v>30</v>
      </c>
      <c r="D465" s="2" t="s">
        <v>151</v>
      </c>
      <c r="E465" s="2" t="s">
        <v>121</v>
      </c>
      <c r="F465" s="2" t="s">
        <v>26</v>
      </c>
      <c r="G465" s="2" t="s">
        <v>196</v>
      </c>
      <c r="I465">
        <f>HEX2DEC(_0811_173439[[#This Row],[580C]])*B$4/B$5+B$6</f>
        <v>800</v>
      </c>
      <c r="J465">
        <f>HEX2DEC(_0811_173439[[#This Row],[4402]])*C$4/C$5+C$6</f>
        <v>36</v>
      </c>
      <c r="K465">
        <f>HEX2DEC(_0811_173439[[#This Row],[580F]])*D$4/D$5+D$6</f>
        <v>30</v>
      </c>
      <c r="L465">
        <f>ROUND(HEX2DEC(_0811_173439[[#This Row],[58F0]])*E$4/E$5+E$6,0)</f>
        <v>71</v>
      </c>
      <c r="M465">
        <f>ROUND(HEX2DEC(_0811_173439[[#This Row],[5805]])*F$4/F$5+F$6,0)</f>
        <v>42</v>
      </c>
      <c r="N465">
        <f>ROUND(HEX2DEC(_0811_173439[[#This Row],[58DD]])*G$4/G$5+G$6,2)</f>
        <v>-0.02</v>
      </c>
      <c r="P465">
        <v>800</v>
      </c>
      <c r="Q465">
        <v>36</v>
      </c>
      <c r="R465">
        <v>30</v>
      </c>
      <c r="S465">
        <v>71</v>
      </c>
      <c r="T465">
        <v>42</v>
      </c>
      <c r="U465">
        <v>-0.03</v>
      </c>
      <c r="W465">
        <f>DataLog_T717420_Aug11_4_59_37pm[[#This Row],[RPM '[1/MIN']]]-Table3[[#This Row],[580C]]</f>
        <v>0</v>
      </c>
      <c r="X465">
        <f>DataLog_T717420_Aug11_4_59_37pm[[#This Row],[OIL TEMP '[Â°C']]]-Table3[[#This Row],[4402]]</f>
        <v>0</v>
      </c>
      <c r="Y465">
        <f>DataLog_T717420_Aug11_4_59_37pm[[#This Row],[INTAKE TEMP '[Â°C']]]-Table3[[#This Row],[580F]]</f>
        <v>0</v>
      </c>
      <c r="Z465">
        <f>DataLog_T717420_Aug11_4_59_37pm[[#This Row],[HPFP PRES. '[BAR']]]-Table3[[#This Row],[58F0]]</f>
        <v>0</v>
      </c>
      <c r="AA465">
        <f>DataLog_T717420_Aug11_4_59_37pm[[#This Row],[COOLANT TEMP '[Â°C']]]-Table3[[#This Row],[5805]]</f>
        <v>0</v>
      </c>
      <c r="AB465">
        <f>DataLog_T717420_Aug11_4_59_37pm[[#This Row],[BOOST '[BAR']]]-Table3[[#This Row],[58DD]]</f>
        <v>-9.9999999999999985E-3</v>
      </c>
    </row>
    <row r="466" spans="2:28" x14ac:dyDescent="0.25">
      <c r="B466" s="2" t="s">
        <v>183</v>
      </c>
      <c r="C466" s="2" t="s">
        <v>30</v>
      </c>
      <c r="D466" s="2" t="s">
        <v>151</v>
      </c>
      <c r="E466" s="2" t="s">
        <v>119</v>
      </c>
      <c r="F466" s="2" t="s">
        <v>26</v>
      </c>
      <c r="G466" s="2" t="s">
        <v>102</v>
      </c>
      <c r="I466">
        <f>HEX2DEC(_0811_173439[[#This Row],[580C]])*B$4/B$5+B$6</f>
        <v>800</v>
      </c>
      <c r="J466">
        <f>HEX2DEC(_0811_173439[[#This Row],[4402]])*C$4/C$5+C$6</f>
        <v>36</v>
      </c>
      <c r="K466">
        <f>HEX2DEC(_0811_173439[[#This Row],[580F]])*D$4/D$5+D$6</f>
        <v>30</v>
      </c>
      <c r="L466">
        <f>ROUND(HEX2DEC(_0811_173439[[#This Row],[58F0]])*E$4/E$5+E$6,0)</f>
        <v>71</v>
      </c>
      <c r="M466">
        <f>ROUND(HEX2DEC(_0811_173439[[#This Row],[5805]])*F$4/F$5+F$6,0)</f>
        <v>42</v>
      </c>
      <c r="N466">
        <f>ROUND(HEX2DEC(_0811_173439[[#This Row],[58DD]])*G$4/G$5+G$6,2)</f>
        <v>-0.03</v>
      </c>
      <c r="P466">
        <v>800</v>
      </c>
      <c r="Q466">
        <v>36</v>
      </c>
      <c r="R466">
        <v>30</v>
      </c>
      <c r="S466">
        <v>71</v>
      </c>
      <c r="T466">
        <v>42</v>
      </c>
      <c r="U466">
        <v>-0.03</v>
      </c>
      <c r="W466">
        <f>DataLog_T717420_Aug11_4_59_37pm[[#This Row],[RPM '[1/MIN']]]-Table3[[#This Row],[580C]]</f>
        <v>0</v>
      </c>
      <c r="X466">
        <f>DataLog_T717420_Aug11_4_59_37pm[[#This Row],[OIL TEMP '[Â°C']]]-Table3[[#This Row],[4402]]</f>
        <v>0</v>
      </c>
      <c r="Y466">
        <f>DataLog_T717420_Aug11_4_59_37pm[[#This Row],[INTAKE TEMP '[Â°C']]]-Table3[[#This Row],[580F]]</f>
        <v>0</v>
      </c>
      <c r="Z466">
        <f>DataLog_T717420_Aug11_4_59_37pm[[#This Row],[HPFP PRES. '[BAR']]]-Table3[[#This Row],[58F0]]</f>
        <v>0</v>
      </c>
      <c r="AA466">
        <f>DataLog_T717420_Aug11_4_59_37pm[[#This Row],[COOLANT TEMP '[Â°C']]]-Table3[[#This Row],[5805]]</f>
        <v>0</v>
      </c>
      <c r="AB466">
        <f>DataLog_T717420_Aug11_4_59_37pm[[#This Row],[BOOST '[BAR']]]-Table3[[#This Row],[58DD]]</f>
        <v>0</v>
      </c>
    </row>
    <row r="467" spans="2:28" x14ac:dyDescent="0.25">
      <c r="B467" s="2" t="s">
        <v>183</v>
      </c>
      <c r="C467" s="2" t="s">
        <v>30</v>
      </c>
      <c r="D467" s="2" t="s">
        <v>151</v>
      </c>
      <c r="E467" s="2" t="s">
        <v>122</v>
      </c>
      <c r="F467" s="2" t="s">
        <v>26</v>
      </c>
      <c r="G467" s="2" t="s">
        <v>203</v>
      </c>
      <c r="I467">
        <f>HEX2DEC(_0811_173439[[#This Row],[580C]])*B$4/B$5+B$6</f>
        <v>800</v>
      </c>
      <c r="J467">
        <f>HEX2DEC(_0811_173439[[#This Row],[4402]])*C$4/C$5+C$6</f>
        <v>36</v>
      </c>
      <c r="K467">
        <f>HEX2DEC(_0811_173439[[#This Row],[580F]])*D$4/D$5+D$6</f>
        <v>30</v>
      </c>
      <c r="L467">
        <f>ROUND(HEX2DEC(_0811_173439[[#This Row],[58F0]])*E$4/E$5+E$6,0)</f>
        <v>71</v>
      </c>
      <c r="M467">
        <f>ROUND(HEX2DEC(_0811_173439[[#This Row],[5805]])*F$4/F$5+F$6,0)</f>
        <v>42</v>
      </c>
      <c r="N467">
        <f>ROUND(HEX2DEC(_0811_173439[[#This Row],[58DD]])*G$4/G$5+G$6,2)</f>
        <v>-0.03</v>
      </c>
      <c r="P467">
        <v>800</v>
      </c>
      <c r="Q467">
        <v>36</v>
      </c>
      <c r="R467">
        <v>30</v>
      </c>
      <c r="S467">
        <v>71</v>
      </c>
      <c r="T467">
        <v>42</v>
      </c>
      <c r="U467">
        <v>-0.03</v>
      </c>
      <c r="W467">
        <f>DataLog_T717420_Aug11_4_59_37pm[[#This Row],[RPM '[1/MIN']]]-Table3[[#This Row],[580C]]</f>
        <v>0</v>
      </c>
      <c r="X467">
        <f>DataLog_T717420_Aug11_4_59_37pm[[#This Row],[OIL TEMP '[Â°C']]]-Table3[[#This Row],[4402]]</f>
        <v>0</v>
      </c>
      <c r="Y467">
        <f>DataLog_T717420_Aug11_4_59_37pm[[#This Row],[INTAKE TEMP '[Â°C']]]-Table3[[#This Row],[580F]]</f>
        <v>0</v>
      </c>
      <c r="Z467">
        <f>DataLog_T717420_Aug11_4_59_37pm[[#This Row],[HPFP PRES. '[BAR']]]-Table3[[#This Row],[58F0]]</f>
        <v>0</v>
      </c>
      <c r="AA467">
        <f>DataLog_T717420_Aug11_4_59_37pm[[#This Row],[COOLANT TEMP '[Â°C']]]-Table3[[#This Row],[5805]]</f>
        <v>0</v>
      </c>
      <c r="AB467">
        <f>DataLog_T717420_Aug11_4_59_37pm[[#This Row],[BOOST '[BAR']]]-Table3[[#This Row],[58DD]]</f>
        <v>0</v>
      </c>
    </row>
    <row r="468" spans="2:28" x14ac:dyDescent="0.25">
      <c r="B468" s="2" t="s">
        <v>183</v>
      </c>
      <c r="C468" s="2" t="s">
        <v>30</v>
      </c>
      <c r="D468" s="2" t="s">
        <v>151</v>
      </c>
      <c r="E468" s="2" t="s">
        <v>124</v>
      </c>
      <c r="F468" s="2" t="s">
        <v>26</v>
      </c>
      <c r="G468" s="2" t="s">
        <v>180</v>
      </c>
      <c r="I468">
        <f>HEX2DEC(_0811_173439[[#This Row],[580C]])*B$4/B$5+B$6</f>
        <v>800</v>
      </c>
      <c r="J468">
        <f>HEX2DEC(_0811_173439[[#This Row],[4402]])*C$4/C$5+C$6</f>
        <v>36</v>
      </c>
      <c r="K468">
        <f>HEX2DEC(_0811_173439[[#This Row],[580F]])*D$4/D$5+D$6</f>
        <v>30</v>
      </c>
      <c r="L468">
        <f>ROUND(HEX2DEC(_0811_173439[[#This Row],[58F0]])*E$4/E$5+E$6,0)</f>
        <v>71</v>
      </c>
      <c r="M468">
        <f>ROUND(HEX2DEC(_0811_173439[[#This Row],[5805]])*F$4/F$5+F$6,0)</f>
        <v>42</v>
      </c>
      <c r="N468">
        <f>ROUND(HEX2DEC(_0811_173439[[#This Row],[58DD]])*G$4/G$5+G$6,2)</f>
        <v>-0.03</v>
      </c>
      <c r="P468">
        <v>800</v>
      </c>
      <c r="Q468">
        <v>36</v>
      </c>
      <c r="R468">
        <v>30</v>
      </c>
      <c r="S468">
        <v>71</v>
      </c>
      <c r="T468">
        <v>42</v>
      </c>
      <c r="U468">
        <v>-0.03</v>
      </c>
      <c r="W468">
        <f>DataLog_T717420_Aug11_4_59_37pm[[#This Row],[RPM '[1/MIN']]]-Table3[[#This Row],[580C]]</f>
        <v>0</v>
      </c>
      <c r="X468">
        <f>DataLog_T717420_Aug11_4_59_37pm[[#This Row],[OIL TEMP '[Â°C']]]-Table3[[#This Row],[4402]]</f>
        <v>0</v>
      </c>
      <c r="Y468">
        <f>DataLog_T717420_Aug11_4_59_37pm[[#This Row],[INTAKE TEMP '[Â°C']]]-Table3[[#This Row],[580F]]</f>
        <v>0</v>
      </c>
      <c r="Z468">
        <f>DataLog_T717420_Aug11_4_59_37pm[[#This Row],[HPFP PRES. '[BAR']]]-Table3[[#This Row],[58F0]]</f>
        <v>0</v>
      </c>
      <c r="AA468">
        <f>DataLog_T717420_Aug11_4_59_37pm[[#This Row],[COOLANT TEMP '[Â°C']]]-Table3[[#This Row],[5805]]</f>
        <v>0</v>
      </c>
      <c r="AB468">
        <f>DataLog_T717420_Aug11_4_59_37pm[[#This Row],[BOOST '[BAR']]]-Table3[[#This Row],[58DD]]</f>
        <v>0</v>
      </c>
    </row>
    <row r="469" spans="2:28" x14ac:dyDescent="0.25">
      <c r="B469" s="2" t="s">
        <v>183</v>
      </c>
      <c r="C469" s="2" t="s">
        <v>30</v>
      </c>
      <c r="D469" s="2" t="s">
        <v>151</v>
      </c>
      <c r="E469" s="2" t="s">
        <v>125</v>
      </c>
      <c r="F469" s="2" t="s">
        <v>26</v>
      </c>
      <c r="G469" s="2" t="s">
        <v>185</v>
      </c>
      <c r="I469">
        <f>HEX2DEC(_0811_173439[[#This Row],[580C]])*B$4/B$5+B$6</f>
        <v>800</v>
      </c>
      <c r="J469">
        <f>HEX2DEC(_0811_173439[[#This Row],[4402]])*C$4/C$5+C$6</f>
        <v>36</v>
      </c>
      <c r="K469">
        <f>HEX2DEC(_0811_173439[[#This Row],[580F]])*D$4/D$5+D$6</f>
        <v>30</v>
      </c>
      <c r="L469">
        <f>ROUND(HEX2DEC(_0811_173439[[#This Row],[58F0]])*E$4/E$5+E$6,0)</f>
        <v>70</v>
      </c>
      <c r="M469">
        <f>ROUND(HEX2DEC(_0811_173439[[#This Row],[5805]])*F$4/F$5+F$6,0)</f>
        <v>42</v>
      </c>
      <c r="N469">
        <f>ROUND(HEX2DEC(_0811_173439[[#This Row],[58DD]])*G$4/G$5+G$6,2)</f>
        <v>-0.03</v>
      </c>
      <c r="P469">
        <v>800</v>
      </c>
      <c r="Q469">
        <v>36</v>
      </c>
      <c r="R469">
        <v>30</v>
      </c>
      <c r="S469">
        <v>70</v>
      </c>
      <c r="T469">
        <v>42</v>
      </c>
      <c r="U469">
        <v>-0.03</v>
      </c>
      <c r="W469">
        <f>DataLog_T717420_Aug11_4_59_37pm[[#This Row],[RPM '[1/MIN']]]-Table3[[#This Row],[580C]]</f>
        <v>0</v>
      </c>
      <c r="X469">
        <f>DataLog_T717420_Aug11_4_59_37pm[[#This Row],[OIL TEMP '[Â°C']]]-Table3[[#This Row],[4402]]</f>
        <v>0</v>
      </c>
      <c r="Y469">
        <f>DataLog_T717420_Aug11_4_59_37pm[[#This Row],[INTAKE TEMP '[Â°C']]]-Table3[[#This Row],[580F]]</f>
        <v>0</v>
      </c>
      <c r="Z469">
        <f>DataLog_T717420_Aug11_4_59_37pm[[#This Row],[HPFP PRES. '[BAR']]]-Table3[[#This Row],[58F0]]</f>
        <v>0</v>
      </c>
      <c r="AA469">
        <f>DataLog_T717420_Aug11_4_59_37pm[[#This Row],[COOLANT TEMP '[Â°C']]]-Table3[[#This Row],[5805]]</f>
        <v>0</v>
      </c>
      <c r="AB469">
        <f>DataLog_T717420_Aug11_4_59_37pm[[#This Row],[BOOST '[BAR']]]-Table3[[#This Row],[58DD]]</f>
        <v>0</v>
      </c>
    </row>
    <row r="470" spans="2:28" x14ac:dyDescent="0.25">
      <c r="B470" s="2" t="s">
        <v>183</v>
      </c>
      <c r="C470" s="2" t="s">
        <v>30</v>
      </c>
      <c r="D470" s="2" t="s">
        <v>151</v>
      </c>
      <c r="E470" s="2" t="s">
        <v>122</v>
      </c>
      <c r="F470" s="2" t="s">
        <v>26</v>
      </c>
      <c r="G470" s="2" t="s">
        <v>180</v>
      </c>
      <c r="I470">
        <f>HEX2DEC(_0811_173439[[#This Row],[580C]])*B$4/B$5+B$6</f>
        <v>800</v>
      </c>
      <c r="J470">
        <f>HEX2DEC(_0811_173439[[#This Row],[4402]])*C$4/C$5+C$6</f>
        <v>36</v>
      </c>
      <c r="K470">
        <f>HEX2DEC(_0811_173439[[#This Row],[580F]])*D$4/D$5+D$6</f>
        <v>30</v>
      </c>
      <c r="L470">
        <f>ROUND(HEX2DEC(_0811_173439[[#This Row],[58F0]])*E$4/E$5+E$6,0)</f>
        <v>71</v>
      </c>
      <c r="M470">
        <f>ROUND(HEX2DEC(_0811_173439[[#This Row],[5805]])*F$4/F$5+F$6,0)</f>
        <v>42</v>
      </c>
      <c r="N470">
        <f>ROUND(HEX2DEC(_0811_173439[[#This Row],[58DD]])*G$4/G$5+G$6,2)</f>
        <v>-0.03</v>
      </c>
      <c r="P470">
        <v>800</v>
      </c>
      <c r="Q470">
        <v>36</v>
      </c>
      <c r="R470">
        <v>30</v>
      </c>
      <c r="S470">
        <v>71</v>
      </c>
      <c r="T470">
        <v>42</v>
      </c>
      <c r="U470">
        <v>-0.03</v>
      </c>
      <c r="W470">
        <f>DataLog_T717420_Aug11_4_59_37pm[[#This Row],[RPM '[1/MIN']]]-Table3[[#This Row],[580C]]</f>
        <v>0</v>
      </c>
      <c r="X470">
        <f>DataLog_T717420_Aug11_4_59_37pm[[#This Row],[OIL TEMP '[Â°C']]]-Table3[[#This Row],[4402]]</f>
        <v>0</v>
      </c>
      <c r="Y470">
        <f>DataLog_T717420_Aug11_4_59_37pm[[#This Row],[INTAKE TEMP '[Â°C']]]-Table3[[#This Row],[580F]]</f>
        <v>0</v>
      </c>
      <c r="Z470">
        <f>DataLog_T717420_Aug11_4_59_37pm[[#This Row],[HPFP PRES. '[BAR']]]-Table3[[#This Row],[58F0]]</f>
        <v>0</v>
      </c>
      <c r="AA470">
        <f>DataLog_T717420_Aug11_4_59_37pm[[#This Row],[COOLANT TEMP '[Â°C']]]-Table3[[#This Row],[5805]]</f>
        <v>0</v>
      </c>
      <c r="AB470">
        <f>DataLog_T717420_Aug11_4_59_37pm[[#This Row],[BOOST '[BAR']]]-Table3[[#This Row],[58DD]]</f>
        <v>0</v>
      </c>
    </row>
    <row r="471" spans="2:28" x14ac:dyDescent="0.25">
      <c r="B471" s="2" t="s">
        <v>183</v>
      </c>
      <c r="C471" s="2" t="s">
        <v>30</v>
      </c>
      <c r="D471" s="2" t="s">
        <v>151</v>
      </c>
      <c r="E471" s="2" t="s">
        <v>206</v>
      </c>
      <c r="F471" s="2" t="s">
        <v>26</v>
      </c>
      <c r="G471" s="2" t="s">
        <v>185</v>
      </c>
      <c r="I471">
        <f>HEX2DEC(_0811_173439[[#This Row],[580C]])*B$4/B$5+B$6</f>
        <v>800</v>
      </c>
      <c r="J471">
        <f>HEX2DEC(_0811_173439[[#This Row],[4402]])*C$4/C$5+C$6</f>
        <v>36</v>
      </c>
      <c r="K471">
        <f>HEX2DEC(_0811_173439[[#This Row],[580F]])*D$4/D$5+D$6</f>
        <v>30</v>
      </c>
      <c r="L471">
        <f>ROUND(HEX2DEC(_0811_173439[[#This Row],[58F0]])*E$4/E$5+E$6,0)</f>
        <v>71</v>
      </c>
      <c r="M471">
        <f>ROUND(HEX2DEC(_0811_173439[[#This Row],[5805]])*F$4/F$5+F$6,0)</f>
        <v>42</v>
      </c>
      <c r="N471">
        <f>ROUND(HEX2DEC(_0811_173439[[#This Row],[58DD]])*G$4/G$5+G$6,2)</f>
        <v>-0.03</v>
      </c>
      <c r="P471">
        <v>800</v>
      </c>
      <c r="Q471">
        <v>36</v>
      </c>
      <c r="R471">
        <v>30</v>
      </c>
      <c r="S471">
        <v>71</v>
      </c>
      <c r="T471">
        <v>42</v>
      </c>
      <c r="U471">
        <v>-0.03</v>
      </c>
      <c r="W471">
        <f>DataLog_T717420_Aug11_4_59_37pm[[#This Row],[RPM '[1/MIN']]]-Table3[[#This Row],[580C]]</f>
        <v>0</v>
      </c>
      <c r="X471">
        <f>DataLog_T717420_Aug11_4_59_37pm[[#This Row],[OIL TEMP '[Â°C']]]-Table3[[#This Row],[4402]]</f>
        <v>0</v>
      </c>
      <c r="Y471">
        <f>DataLog_T717420_Aug11_4_59_37pm[[#This Row],[INTAKE TEMP '[Â°C']]]-Table3[[#This Row],[580F]]</f>
        <v>0</v>
      </c>
      <c r="Z471">
        <f>DataLog_T717420_Aug11_4_59_37pm[[#This Row],[HPFP PRES. '[BAR']]]-Table3[[#This Row],[58F0]]</f>
        <v>0</v>
      </c>
      <c r="AA471">
        <f>DataLog_T717420_Aug11_4_59_37pm[[#This Row],[COOLANT TEMP '[Â°C']]]-Table3[[#This Row],[5805]]</f>
        <v>0</v>
      </c>
      <c r="AB471">
        <f>DataLog_T717420_Aug11_4_59_37pm[[#This Row],[BOOST '[BAR']]]-Table3[[#This Row],[58DD]]</f>
        <v>0</v>
      </c>
    </row>
    <row r="472" spans="2:28" x14ac:dyDescent="0.25">
      <c r="B472" s="2" t="s">
        <v>183</v>
      </c>
      <c r="C472" s="2" t="s">
        <v>30</v>
      </c>
      <c r="D472" s="2" t="s">
        <v>151</v>
      </c>
      <c r="E472" s="2" t="s">
        <v>194</v>
      </c>
      <c r="F472" s="2" t="s">
        <v>26</v>
      </c>
      <c r="G472" s="2" t="s">
        <v>192</v>
      </c>
      <c r="I472">
        <f>HEX2DEC(_0811_173439[[#This Row],[580C]])*B$4/B$5+B$6</f>
        <v>800</v>
      </c>
      <c r="J472">
        <f>HEX2DEC(_0811_173439[[#This Row],[4402]])*C$4/C$5+C$6</f>
        <v>36</v>
      </c>
      <c r="K472">
        <f>HEX2DEC(_0811_173439[[#This Row],[580F]])*D$4/D$5+D$6</f>
        <v>30</v>
      </c>
      <c r="L472">
        <f>ROUND(HEX2DEC(_0811_173439[[#This Row],[58F0]])*E$4/E$5+E$6,0)</f>
        <v>70</v>
      </c>
      <c r="M472">
        <f>ROUND(HEX2DEC(_0811_173439[[#This Row],[5805]])*F$4/F$5+F$6,0)</f>
        <v>42</v>
      </c>
      <c r="N472">
        <f>ROUND(HEX2DEC(_0811_173439[[#This Row],[58DD]])*G$4/G$5+G$6,2)</f>
        <v>-0.03</v>
      </c>
      <c r="P472">
        <v>800</v>
      </c>
      <c r="Q472">
        <v>36</v>
      </c>
      <c r="R472">
        <v>30</v>
      </c>
      <c r="S472">
        <v>70</v>
      </c>
      <c r="T472">
        <v>42</v>
      </c>
      <c r="U472">
        <v>-0.03</v>
      </c>
      <c r="W472">
        <f>DataLog_T717420_Aug11_4_59_37pm[[#This Row],[RPM '[1/MIN']]]-Table3[[#This Row],[580C]]</f>
        <v>0</v>
      </c>
      <c r="X472">
        <f>DataLog_T717420_Aug11_4_59_37pm[[#This Row],[OIL TEMP '[Â°C']]]-Table3[[#This Row],[4402]]</f>
        <v>0</v>
      </c>
      <c r="Y472">
        <f>DataLog_T717420_Aug11_4_59_37pm[[#This Row],[INTAKE TEMP '[Â°C']]]-Table3[[#This Row],[580F]]</f>
        <v>0</v>
      </c>
      <c r="Z472">
        <f>DataLog_T717420_Aug11_4_59_37pm[[#This Row],[HPFP PRES. '[BAR']]]-Table3[[#This Row],[58F0]]</f>
        <v>0</v>
      </c>
      <c r="AA472">
        <f>DataLog_T717420_Aug11_4_59_37pm[[#This Row],[COOLANT TEMP '[Â°C']]]-Table3[[#This Row],[5805]]</f>
        <v>0</v>
      </c>
      <c r="AB472">
        <f>DataLog_T717420_Aug11_4_59_37pm[[#This Row],[BOOST '[BAR']]]-Table3[[#This Row],[58DD]]</f>
        <v>0</v>
      </c>
    </row>
    <row r="473" spans="2:28" x14ac:dyDescent="0.25">
      <c r="B473" s="2" t="s">
        <v>183</v>
      </c>
      <c r="C473" s="2" t="s">
        <v>30</v>
      </c>
      <c r="D473" s="2" t="s">
        <v>151</v>
      </c>
      <c r="E473" s="2" t="s">
        <v>205</v>
      </c>
      <c r="F473" s="2" t="s">
        <v>26</v>
      </c>
      <c r="G473" s="2" t="s">
        <v>180</v>
      </c>
      <c r="I473">
        <f>HEX2DEC(_0811_173439[[#This Row],[580C]])*B$4/B$5+B$6</f>
        <v>800</v>
      </c>
      <c r="J473">
        <f>HEX2DEC(_0811_173439[[#This Row],[4402]])*C$4/C$5+C$6</f>
        <v>36</v>
      </c>
      <c r="K473">
        <f>HEX2DEC(_0811_173439[[#This Row],[580F]])*D$4/D$5+D$6</f>
        <v>30</v>
      </c>
      <c r="L473">
        <f>ROUND(HEX2DEC(_0811_173439[[#This Row],[58F0]])*E$4/E$5+E$6,0)</f>
        <v>71</v>
      </c>
      <c r="M473">
        <f>ROUND(HEX2DEC(_0811_173439[[#This Row],[5805]])*F$4/F$5+F$6,0)</f>
        <v>42</v>
      </c>
      <c r="N473">
        <f>ROUND(HEX2DEC(_0811_173439[[#This Row],[58DD]])*G$4/G$5+G$6,2)</f>
        <v>-0.03</v>
      </c>
      <c r="P473">
        <v>800</v>
      </c>
      <c r="Q473">
        <v>36</v>
      </c>
      <c r="R473">
        <v>30</v>
      </c>
      <c r="S473">
        <v>71</v>
      </c>
      <c r="T473">
        <v>42</v>
      </c>
      <c r="U473">
        <v>-0.03</v>
      </c>
      <c r="W473">
        <f>DataLog_T717420_Aug11_4_59_37pm[[#This Row],[RPM '[1/MIN']]]-Table3[[#This Row],[580C]]</f>
        <v>0</v>
      </c>
      <c r="X473">
        <f>DataLog_T717420_Aug11_4_59_37pm[[#This Row],[OIL TEMP '[Â°C']]]-Table3[[#This Row],[4402]]</f>
        <v>0</v>
      </c>
      <c r="Y473">
        <f>DataLog_T717420_Aug11_4_59_37pm[[#This Row],[INTAKE TEMP '[Â°C']]]-Table3[[#This Row],[580F]]</f>
        <v>0</v>
      </c>
      <c r="Z473">
        <f>DataLog_T717420_Aug11_4_59_37pm[[#This Row],[HPFP PRES. '[BAR']]]-Table3[[#This Row],[58F0]]</f>
        <v>0</v>
      </c>
      <c r="AA473">
        <f>DataLog_T717420_Aug11_4_59_37pm[[#This Row],[COOLANT TEMP '[Â°C']]]-Table3[[#This Row],[5805]]</f>
        <v>0</v>
      </c>
      <c r="AB473">
        <f>DataLog_T717420_Aug11_4_59_37pm[[#This Row],[BOOST '[BAR']]]-Table3[[#This Row],[58DD]]</f>
        <v>0</v>
      </c>
    </row>
    <row r="474" spans="2:28" x14ac:dyDescent="0.25">
      <c r="B474" s="2" t="s">
        <v>183</v>
      </c>
      <c r="C474" s="2" t="s">
        <v>30</v>
      </c>
      <c r="D474" s="2" t="s">
        <v>151</v>
      </c>
      <c r="E474" s="2" t="s">
        <v>150</v>
      </c>
      <c r="F474" s="2" t="s">
        <v>26</v>
      </c>
      <c r="G474" s="2" t="s">
        <v>185</v>
      </c>
      <c r="I474">
        <f>HEX2DEC(_0811_173439[[#This Row],[580C]])*B$4/B$5+B$6</f>
        <v>800</v>
      </c>
      <c r="J474">
        <f>HEX2DEC(_0811_173439[[#This Row],[4402]])*C$4/C$5+C$6</f>
        <v>36</v>
      </c>
      <c r="K474">
        <f>HEX2DEC(_0811_173439[[#This Row],[580F]])*D$4/D$5+D$6</f>
        <v>30</v>
      </c>
      <c r="L474">
        <f>ROUND(HEX2DEC(_0811_173439[[#This Row],[58F0]])*E$4/E$5+E$6,0)</f>
        <v>70</v>
      </c>
      <c r="M474">
        <f>ROUND(HEX2DEC(_0811_173439[[#This Row],[5805]])*F$4/F$5+F$6,0)</f>
        <v>42</v>
      </c>
      <c r="N474">
        <f>ROUND(HEX2DEC(_0811_173439[[#This Row],[58DD]])*G$4/G$5+G$6,2)</f>
        <v>-0.03</v>
      </c>
      <c r="P474">
        <v>800</v>
      </c>
      <c r="Q474">
        <v>36</v>
      </c>
      <c r="R474">
        <v>30</v>
      </c>
      <c r="S474">
        <v>70</v>
      </c>
      <c r="T474">
        <v>42</v>
      </c>
      <c r="U474">
        <v>-0.03</v>
      </c>
      <c r="W474">
        <f>DataLog_T717420_Aug11_4_59_37pm[[#This Row],[RPM '[1/MIN']]]-Table3[[#This Row],[580C]]</f>
        <v>0</v>
      </c>
      <c r="X474">
        <f>DataLog_T717420_Aug11_4_59_37pm[[#This Row],[OIL TEMP '[Â°C']]]-Table3[[#This Row],[4402]]</f>
        <v>0</v>
      </c>
      <c r="Y474">
        <f>DataLog_T717420_Aug11_4_59_37pm[[#This Row],[INTAKE TEMP '[Â°C']]]-Table3[[#This Row],[580F]]</f>
        <v>0</v>
      </c>
      <c r="Z474">
        <f>DataLog_T717420_Aug11_4_59_37pm[[#This Row],[HPFP PRES. '[BAR']]]-Table3[[#This Row],[58F0]]</f>
        <v>0</v>
      </c>
      <c r="AA474">
        <f>DataLog_T717420_Aug11_4_59_37pm[[#This Row],[COOLANT TEMP '[Â°C']]]-Table3[[#This Row],[5805]]</f>
        <v>0</v>
      </c>
      <c r="AB474">
        <f>DataLog_T717420_Aug11_4_59_37pm[[#This Row],[BOOST '[BAR']]]-Table3[[#This Row],[58DD]]</f>
        <v>0</v>
      </c>
    </row>
    <row r="475" spans="2:28" x14ac:dyDescent="0.25">
      <c r="B475" s="2" t="s">
        <v>183</v>
      </c>
      <c r="C475" s="2" t="s">
        <v>30</v>
      </c>
      <c r="D475" s="2" t="s">
        <v>151</v>
      </c>
      <c r="E475" s="2" t="s">
        <v>159</v>
      </c>
      <c r="F475" s="2" t="s">
        <v>26</v>
      </c>
      <c r="G475" s="2" t="s">
        <v>187</v>
      </c>
      <c r="I475">
        <f>HEX2DEC(_0811_173439[[#This Row],[580C]])*B$4/B$5+B$6</f>
        <v>800</v>
      </c>
      <c r="J475">
        <f>HEX2DEC(_0811_173439[[#This Row],[4402]])*C$4/C$5+C$6</f>
        <v>36</v>
      </c>
      <c r="K475">
        <f>HEX2DEC(_0811_173439[[#This Row],[580F]])*D$4/D$5+D$6</f>
        <v>30</v>
      </c>
      <c r="L475">
        <f>ROUND(HEX2DEC(_0811_173439[[#This Row],[58F0]])*E$4/E$5+E$6,0)</f>
        <v>70</v>
      </c>
      <c r="M475">
        <f>ROUND(HEX2DEC(_0811_173439[[#This Row],[5805]])*F$4/F$5+F$6,0)</f>
        <v>42</v>
      </c>
      <c r="N475">
        <f>ROUND(HEX2DEC(_0811_173439[[#This Row],[58DD]])*G$4/G$5+G$6,2)</f>
        <v>-0.03</v>
      </c>
      <c r="P475">
        <v>800</v>
      </c>
      <c r="Q475">
        <v>36</v>
      </c>
      <c r="R475">
        <v>30</v>
      </c>
      <c r="S475">
        <v>70</v>
      </c>
      <c r="T475">
        <v>42</v>
      </c>
      <c r="U475">
        <v>-0.03</v>
      </c>
      <c r="W475">
        <f>DataLog_T717420_Aug11_4_59_37pm[[#This Row],[RPM '[1/MIN']]]-Table3[[#This Row],[580C]]</f>
        <v>0</v>
      </c>
      <c r="X475">
        <f>DataLog_T717420_Aug11_4_59_37pm[[#This Row],[OIL TEMP '[Â°C']]]-Table3[[#This Row],[4402]]</f>
        <v>0</v>
      </c>
      <c r="Y475">
        <f>DataLog_T717420_Aug11_4_59_37pm[[#This Row],[INTAKE TEMP '[Â°C']]]-Table3[[#This Row],[580F]]</f>
        <v>0</v>
      </c>
      <c r="Z475">
        <f>DataLog_T717420_Aug11_4_59_37pm[[#This Row],[HPFP PRES. '[BAR']]]-Table3[[#This Row],[58F0]]</f>
        <v>0</v>
      </c>
      <c r="AA475">
        <f>DataLog_T717420_Aug11_4_59_37pm[[#This Row],[COOLANT TEMP '[Â°C']]]-Table3[[#This Row],[5805]]</f>
        <v>0</v>
      </c>
      <c r="AB475">
        <f>DataLog_T717420_Aug11_4_59_37pm[[#This Row],[BOOST '[BAR']]]-Table3[[#This Row],[58DD]]</f>
        <v>0</v>
      </c>
    </row>
    <row r="476" spans="2:28" x14ac:dyDescent="0.25">
      <c r="B476" s="2" t="s">
        <v>183</v>
      </c>
      <c r="C476" s="2" t="s">
        <v>30</v>
      </c>
      <c r="D476" s="2" t="s">
        <v>151</v>
      </c>
      <c r="E476" s="2" t="s">
        <v>93</v>
      </c>
      <c r="F476" s="2" t="s">
        <v>26</v>
      </c>
      <c r="G476" s="2" t="s">
        <v>186</v>
      </c>
      <c r="I476">
        <f>HEX2DEC(_0811_173439[[#This Row],[580C]])*B$4/B$5+B$6</f>
        <v>800</v>
      </c>
      <c r="J476">
        <f>HEX2DEC(_0811_173439[[#This Row],[4402]])*C$4/C$5+C$6</f>
        <v>36</v>
      </c>
      <c r="K476">
        <f>HEX2DEC(_0811_173439[[#This Row],[580F]])*D$4/D$5+D$6</f>
        <v>30</v>
      </c>
      <c r="L476">
        <f>ROUND(HEX2DEC(_0811_173439[[#This Row],[58F0]])*E$4/E$5+E$6,0)</f>
        <v>70</v>
      </c>
      <c r="M476">
        <f>ROUND(HEX2DEC(_0811_173439[[#This Row],[5805]])*F$4/F$5+F$6,0)</f>
        <v>42</v>
      </c>
      <c r="N476">
        <f>ROUND(HEX2DEC(_0811_173439[[#This Row],[58DD]])*G$4/G$5+G$6,2)</f>
        <v>-0.03</v>
      </c>
      <c r="P476">
        <v>800</v>
      </c>
      <c r="Q476">
        <v>36</v>
      </c>
      <c r="R476">
        <v>30</v>
      </c>
      <c r="S476">
        <v>70</v>
      </c>
      <c r="T476">
        <v>42</v>
      </c>
      <c r="U476">
        <v>-0.03</v>
      </c>
      <c r="W476">
        <f>DataLog_T717420_Aug11_4_59_37pm[[#This Row],[RPM '[1/MIN']]]-Table3[[#This Row],[580C]]</f>
        <v>0</v>
      </c>
      <c r="X476">
        <f>DataLog_T717420_Aug11_4_59_37pm[[#This Row],[OIL TEMP '[Â°C']]]-Table3[[#This Row],[4402]]</f>
        <v>0</v>
      </c>
      <c r="Y476">
        <f>DataLog_T717420_Aug11_4_59_37pm[[#This Row],[INTAKE TEMP '[Â°C']]]-Table3[[#This Row],[580F]]</f>
        <v>0</v>
      </c>
      <c r="Z476">
        <f>DataLog_T717420_Aug11_4_59_37pm[[#This Row],[HPFP PRES. '[BAR']]]-Table3[[#This Row],[58F0]]</f>
        <v>0</v>
      </c>
      <c r="AA476">
        <f>DataLog_T717420_Aug11_4_59_37pm[[#This Row],[COOLANT TEMP '[Â°C']]]-Table3[[#This Row],[5805]]</f>
        <v>0</v>
      </c>
      <c r="AB476">
        <f>DataLog_T717420_Aug11_4_59_37pm[[#This Row],[BOOST '[BAR']]]-Table3[[#This Row],[58DD]]</f>
        <v>0</v>
      </c>
    </row>
    <row r="477" spans="2:28" x14ac:dyDescent="0.25">
      <c r="B477" s="2" t="s">
        <v>183</v>
      </c>
      <c r="C477" s="2" t="s">
        <v>30</v>
      </c>
      <c r="D477" s="2" t="s">
        <v>151</v>
      </c>
      <c r="E477" s="2" t="s">
        <v>142</v>
      </c>
      <c r="F477" s="2" t="s">
        <v>26</v>
      </c>
      <c r="G477" s="2" t="s">
        <v>102</v>
      </c>
      <c r="I477">
        <f>HEX2DEC(_0811_173439[[#This Row],[580C]])*B$4/B$5+B$6</f>
        <v>800</v>
      </c>
      <c r="J477">
        <f>HEX2DEC(_0811_173439[[#This Row],[4402]])*C$4/C$5+C$6</f>
        <v>36</v>
      </c>
      <c r="K477">
        <f>HEX2DEC(_0811_173439[[#This Row],[580F]])*D$4/D$5+D$6</f>
        <v>30</v>
      </c>
      <c r="L477">
        <f>ROUND(HEX2DEC(_0811_173439[[#This Row],[58F0]])*E$4/E$5+E$6,0)</f>
        <v>69</v>
      </c>
      <c r="M477">
        <f>ROUND(HEX2DEC(_0811_173439[[#This Row],[5805]])*F$4/F$5+F$6,0)</f>
        <v>42</v>
      </c>
      <c r="N477">
        <f>ROUND(HEX2DEC(_0811_173439[[#This Row],[58DD]])*G$4/G$5+G$6,2)</f>
        <v>-0.03</v>
      </c>
      <c r="P477">
        <v>800</v>
      </c>
      <c r="Q477">
        <v>36</v>
      </c>
      <c r="R477">
        <v>30</v>
      </c>
      <c r="S477">
        <v>69</v>
      </c>
      <c r="T477">
        <v>42</v>
      </c>
      <c r="U477">
        <v>-0.03</v>
      </c>
      <c r="W477">
        <f>DataLog_T717420_Aug11_4_59_37pm[[#This Row],[RPM '[1/MIN']]]-Table3[[#This Row],[580C]]</f>
        <v>0</v>
      </c>
      <c r="X477">
        <f>DataLog_T717420_Aug11_4_59_37pm[[#This Row],[OIL TEMP '[Â°C']]]-Table3[[#This Row],[4402]]</f>
        <v>0</v>
      </c>
      <c r="Y477">
        <f>DataLog_T717420_Aug11_4_59_37pm[[#This Row],[INTAKE TEMP '[Â°C']]]-Table3[[#This Row],[580F]]</f>
        <v>0</v>
      </c>
      <c r="Z477">
        <f>DataLog_T717420_Aug11_4_59_37pm[[#This Row],[HPFP PRES. '[BAR']]]-Table3[[#This Row],[58F0]]</f>
        <v>0</v>
      </c>
      <c r="AA477">
        <f>DataLog_T717420_Aug11_4_59_37pm[[#This Row],[COOLANT TEMP '[Â°C']]]-Table3[[#This Row],[5805]]</f>
        <v>0</v>
      </c>
      <c r="AB477">
        <f>DataLog_T717420_Aug11_4_59_37pm[[#This Row],[BOOST '[BAR']]]-Table3[[#This Row],[58DD]]</f>
        <v>0</v>
      </c>
    </row>
    <row r="478" spans="2:28" x14ac:dyDescent="0.25">
      <c r="B478" s="2" t="s">
        <v>183</v>
      </c>
      <c r="C478" s="2" t="s">
        <v>30</v>
      </c>
      <c r="D478" s="2" t="s">
        <v>151</v>
      </c>
      <c r="E478" s="2" t="s">
        <v>159</v>
      </c>
      <c r="F478" s="2" t="s">
        <v>26</v>
      </c>
      <c r="G478" s="2" t="s">
        <v>191</v>
      </c>
      <c r="I478">
        <f>HEX2DEC(_0811_173439[[#This Row],[580C]])*B$4/B$5+B$6</f>
        <v>800</v>
      </c>
      <c r="J478">
        <f>HEX2DEC(_0811_173439[[#This Row],[4402]])*C$4/C$5+C$6</f>
        <v>36</v>
      </c>
      <c r="K478">
        <f>HEX2DEC(_0811_173439[[#This Row],[580F]])*D$4/D$5+D$6</f>
        <v>30</v>
      </c>
      <c r="L478">
        <f>ROUND(HEX2DEC(_0811_173439[[#This Row],[58F0]])*E$4/E$5+E$6,0)</f>
        <v>70</v>
      </c>
      <c r="M478">
        <f>ROUND(HEX2DEC(_0811_173439[[#This Row],[5805]])*F$4/F$5+F$6,0)</f>
        <v>42</v>
      </c>
      <c r="N478">
        <f>ROUND(HEX2DEC(_0811_173439[[#This Row],[58DD]])*G$4/G$5+G$6,2)</f>
        <v>-0.03</v>
      </c>
      <c r="P478">
        <v>800</v>
      </c>
      <c r="Q478">
        <v>36</v>
      </c>
      <c r="R478">
        <v>30</v>
      </c>
      <c r="S478">
        <v>70</v>
      </c>
      <c r="T478">
        <v>42</v>
      </c>
      <c r="U478">
        <v>-0.03</v>
      </c>
      <c r="W478">
        <f>DataLog_T717420_Aug11_4_59_37pm[[#This Row],[RPM '[1/MIN']]]-Table3[[#This Row],[580C]]</f>
        <v>0</v>
      </c>
      <c r="X478">
        <f>DataLog_T717420_Aug11_4_59_37pm[[#This Row],[OIL TEMP '[Â°C']]]-Table3[[#This Row],[4402]]</f>
        <v>0</v>
      </c>
      <c r="Y478">
        <f>DataLog_T717420_Aug11_4_59_37pm[[#This Row],[INTAKE TEMP '[Â°C']]]-Table3[[#This Row],[580F]]</f>
        <v>0</v>
      </c>
      <c r="Z478">
        <f>DataLog_T717420_Aug11_4_59_37pm[[#This Row],[HPFP PRES. '[BAR']]]-Table3[[#This Row],[58F0]]</f>
        <v>0</v>
      </c>
      <c r="AA478">
        <f>DataLog_T717420_Aug11_4_59_37pm[[#This Row],[COOLANT TEMP '[Â°C']]]-Table3[[#This Row],[5805]]</f>
        <v>0</v>
      </c>
      <c r="AB478">
        <f>DataLog_T717420_Aug11_4_59_37pm[[#This Row],[BOOST '[BAR']]]-Table3[[#This Row],[58DD]]</f>
        <v>0</v>
      </c>
    </row>
    <row r="479" spans="2:28" x14ac:dyDescent="0.25">
      <c r="B479" s="2" t="s">
        <v>183</v>
      </c>
      <c r="C479" s="2" t="s">
        <v>30</v>
      </c>
      <c r="D479" s="2" t="s">
        <v>151</v>
      </c>
      <c r="E479" s="2" t="s">
        <v>207</v>
      </c>
      <c r="F479" s="2" t="s">
        <v>26</v>
      </c>
      <c r="G479" s="2" t="s">
        <v>192</v>
      </c>
      <c r="I479">
        <f>HEX2DEC(_0811_173439[[#This Row],[580C]])*B$4/B$5+B$6</f>
        <v>800</v>
      </c>
      <c r="J479">
        <f>HEX2DEC(_0811_173439[[#This Row],[4402]])*C$4/C$5+C$6</f>
        <v>36</v>
      </c>
      <c r="K479">
        <f>HEX2DEC(_0811_173439[[#This Row],[580F]])*D$4/D$5+D$6</f>
        <v>30</v>
      </c>
      <c r="L479">
        <f>ROUND(HEX2DEC(_0811_173439[[#This Row],[58F0]])*E$4/E$5+E$6,0)</f>
        <v>70</v>
      </c>
      <c r="M479">
        <f>ROUND(HEX2DEC(_0811_173439[[#This Row],[5805]])*F$4/F$5+F$6,0)</f>
        <v>42</v>
      </c>
      <c r="N479">
        <f>ROUND(HEX2DEC(_0811_173439[[#This Row],[58DD]])*G$4/G$5+G$6,2)</f>
        <v>-0.03</v>
      </c>
      <c r="P479">
        <v>800</v>
      </c>
      <c r="Q479">
        <v>36</v>
      </c>
      <c r="R479">
        <v>30</v>
      </c>
      <c r="S479">
        <v>70</v>
      </c>
      <c r="T479">
        <v>42</v>
      </c>
      <c r="U479">
        <v>-0.03</v>
      </c>
      <c r="W479">
        <f>DataLog_T717420_Aug11_4_59_37pm[[#This Row],[RPM '[1/MIN']]]-Table3[[#This Row],[580C]]</f>
        <v>0</v>
      </c>
      <c r="X479">
        <f>DataLog_T717420_Aug11_4_59_37pm[[#This Row],[OIL TEMP '[Â°C']]]-Table3[[#This Row],[4402]]</f>
        <v>0</v>
      </c>
      <c r="Y479">
        <f>DataLog_T717420_Aug11_4_59_37pm[[#This Row],[INTAKE TEMP '[Â°C']]]-Table3[[#This Row],[580F]]</f>
        <v>0</v>
      </c>
      <c r="Z479">
        <f>DataLog_T717420_Aug11_4_59_37pm[[#This Row],[HPFP PRES. '[BAR']]]-Table3[[#This Row],[58F0]]</f>
        <v>0</v>
      </c>
      <c r="AA479">
        <f>DataLog_T717420_Aug11_4_59_37pm[[#This Row],[COOLANT TEMP '[Â°C']]]-Table3[[#This Row],[5805]]</f>
        <v>0</v>
      </c>
      <c r="AB479">
        <f>DataLog_T717420_Aug11_4_59_37pm[[#This Row],[BOOST '[BAR']]]-Table3[[#This Row],[58DD]]</f>
        <v>0</v>
      </c>
    </row>
    <row r="480" spans="2:28" x14ac:dyDescent="0.25">
      <c r="B480" s="2" t="s">
        <v>183</v>
      </c>
      <c r="C480" s="2" t="s">
        <v>30</v>
      </c>
      <c r="D480" s="2" t="s">
        <v>151</v>
      </c>
      <c r="E480" s="2" t="s">
        <v>208</v>
      </c>
      <c r="F480" s="2" t="s">
        <v>26</v>
      </c>
      <c r="G480" s="2" t="s">
        <v>192</v>
      </c>
      <c r="I480">
        <f>HEX2DEC(_0811_173439[[#This Row],[580C]])*B$4/B$5+B$6</f>
        <v>800</v>
      </c>
      <c r="J480">
        <f>HEX2DEC(_0811_173439[[#This Row],[4402]])*C$4/C$5+C$6</f>
        <v>36</v>
      </c>
      <c r="K480">
        <f>HEX2DEC(_0811_173439[[#This Row],[580F]])*D$4/D$5+D$6</f>
        <v>30</v>
      </c>
      <c r="L480">
        <f>ROUND(HEX2DEC(_0811_173439[[#This Row],[58F0]])*E$4/E$5+E$6,0)</f>
        <v>69</v>
      </c>
      <c r="M480">
        <f>ROUND(HEX2DEC(_0811_173439[[#This Row],[5805]])*F$4/F$5+F$6,0)</f>
        <v>42</v>
      </c>
      <c r="N480">
        <f>ROUND(HEX2DEC(_0811_173439[[#This Row],[58DD]])*G$4/G$5+G$6,2)</f>
        <v>-0.03</v>
      </c>
      <c r="P480">
        <v>800</v>
      </c>
      <c r="Q480">
        <v>36</v>
      </c>
      <c r="R480">
        <v>30</v>
      </c>
      <c r="S480">
        <v>69</v>
      </c>
      <c r="T480">
        <v>42</v>
      </c>
      <c r="U480">
        <v>-0.03</v>
      </c>
      <c r="W480">
        <f>DataLog_T717420_Aug11_4_59_37pm[[#This Row],[RPM '[1/MIN']]]-Table3[[#This Row],[580C]]</f>
        <v>0</v>
      </c>
      <c r="X480">
        <f>DataLog_T717420_Aug11_4_59_37pm[[#This Row],[OIL TEMP '[Â°C']]]-Table3[[#This Row],[4402]]</f>
        <v>0</v>
      </c>
      <c r="Y480">
        <f>DataLog_T717420_Aug11_4_59_37pm[[#This Row],[INTAKE TEMP '[Â°C']]]-Table3[[#This Row],[580F]]</f>
        <v>0</v>
      </c>
      <c r="Z480">
        <f>DataLog_T717420_Aug11_4_59_37pm[[#This Row],[HPFP PRES. '[BAR']]]-Table3[[#This Row],[58F0]]</f>
        <v>0</v>
      </c>
      <c r="AA480">
        <f>DataLog_T717420_Aug11_4_59_37pm[[#This Row],[COOLANT TEMP '[Â°C']]]-Table3[[#This Row],[5805]]</f>
        <v>0</v>
      </c>
      <c r="AB480">
        <f>DataLog_T717420_Aug11_4_59_37pm[[#This Row],[BOOST '[BAR']]]-Table3[[#This Row],[58DD]]</f>
        <v>0</v>
      </c>
    </row>
    <row r="481" spans="2:28" x14ac:dyDescent="0.25">
      <c r="B481" s="2" t="s">
        <v>183</v>
      </c>
      <c r="C481" s="2" t="s">
        <v>30</v>
      </c>
      <c r="D481" s="2" t="s">
        <v>151</v>
      </c>
      <c r="E481" s="2" t="s">
        <v>209</v>
      </c>
      <c r="F481" s="2" t="s">
        <v>26</v>
      </c>
      <c r="G481" s="2" t="s">
        <v>190</v>
      </c>
      <c r="I481">
        <f>HEX2DEC(_0811_173439[[#This Row],[580C]])*B$4/B$5+B$6</f>
        <v>800</v>
      </c>
      <c r="J481">
        <f>HEX2DEC(_0811_173439[[#This Row],[4402]])*C$4/C$5+C$6</f>
        <v>36</v>
      </c>
      <c r="K481">
        <f>HEX2DEC(_0811_173439[[#This Row],[580F]])*D$4/D$5+D$6</f>
        <v>30</v>
      </c>
      <c r="L481">
        <f>ROUND(HEX2DEC(_0811_173439[[#This Row],[58F0]])*E$4/E$5+E$6,0)</f>
        <v>70</v>
      </c>
      <c r="M481">
        <f>ROUND(HEX2DEC(_0811_173439[[#This Row],[5805]])*F$4/F$5+F$6,0)</f>
        <v>42</v>
      </c>
      <c r="N481">
        <f>ROUND(HEX2DEC(_0811_173439[[#This Row],[58DD]])*G$4/G$5+G$6,2)</f>
        <v>-0.03</v>
      </c>
      <c r="P481">
        <v>800</v>
      </c>
      <c r="Q481">
        <v>36</v>
      </c>
      <c r="R481">
        <v>30</v>
      </c>
      <c r="S481">
        <v>70</v>
      </c>
      <c r="T481">
        <v>42</v>
      </c>
      <c r="U481">
        <v>-0.03</v>
      </c>
      <c r="W481">
        <f>DataLog_T717420_Aug11_4_59_37pm[[#This Row],[RPM '[1/MIN']]]-Table3[[#This Row],[580C]]</f>
        <v>0</v>
      </c>
      <c r="X481">
        <f>DataLog_T717420_Aug11_4_59_37pm[[#This Row],[OIL TEMP '[Â°C']]]-Table3[[#This Row],[4402]]</f>
        <v>0</v>
      </c>
      <c r="Y481">
        <f>DataLog_T717420_Aug11_4_59_37pm[[#This Row],[INTAKE TEMP '[Â°C']]]-Table3[[#This Row],[580F]]</f>
        <v>0</v>
      </c>
      <c r="Z481">
        <f>DataLog_T717420_Aug11_4_59_37pm[[#This Row],[HPFP PRES. '[BAR']]]-Table3[[#This Row],[58F0]]</f>
        <v>0</v>
      </c>
      <c r="AA481">
        <f>DataLog_T717420_Aug11_4_59_37pm[[#This Row],[COOLANT TEMP '[Â°C']]]-Table3[[#This Row],[5805]]</f>
        <v>0</v>
      </c>
      <c r="AB481">
        <f>DataLog_T717420_Aug11_4_59_37pm[[#This Row],[BOOST '[BAR']]]-Table3[[#This Row],[58DD]]</f>
        <v>0</v>
      </c>
    </row>
    <row r="482" spans="2:28" x14ac:dyDescent="0.25">
      <c r="B482" s="2" t="s">
        <v>183</v>
      </c>
      <c r="C482" s="2" t="s">
        <v>30</v>
      </c>
      <c r="D482" s="2" t="s">
        <v>151</v>
      </c>
      <c r="E482" s="2" t="s">
        <v>93</v>
      </c>
      <c r="F482" s="2" t="s">
        <v>26</v>
      </c>
      <c r="G482" s="2" t="s">
        <v>185</v>
      </c>
      <c r="I482">
        <f>HEX2DEC(_0811_173439[[#This Row],[580C]])*B$4/B$5+B$6</f>
        <v>800</v>
      </c>
      <c r="J482">
        <f>HEX2DEC(_0811_173439[[#This Row],[4402]])*C$4/C$5+C$6</f>
        <v>36</v>
      </c>
      <c r="K482">
        <f>HEX2DEC(_0811_173439[[#This Row],[580F]])*D$4/D$5+D$6</f>
        <v>30</v>
      </c>
      <c r="L482">
        <f>ROUND(HEX2DEC(_0811_173439[[#This Row],[58F0]])*E$4/E$5+E$6,0)</f>
        <v>70</v>
      </c>
      <c r="M482">
        <f>ROUND(HEX2DEC(_0811_173439[[#This Row],[5805]])*F$4/F$5+F$6,0)</f>
        <v>42</v>
      </c>
      <c r="N482">
        <f>ROUND(HEX2DEC(_0811_173439[[#This Row],[58DD]])*G$4/G$5+G$6,2)</f>
        <v>-0.03</v>
      </c>
      <c r="P482">
        <v>800</v>
      </c>
      <c r="Q482">
        <v>36</v>
      </c>
      <c r="R482">
        <v>30</v>
      </c>
      <c r="S482">
        <v>70</v>
      </c>
      <c r="T482">
        <v>42</v>
      </c>
      <c r="U482">
        <v>-0.03</v>
      </c>
      <c r="W482">
        <f>DataLog_T717420_Aug11_4_59_37pm[[#This Row],[RPM '[1/MIN']]]-Table3[[#This Row],[580C]]</f>
        <v>0</v>
      </c>
      <c r="X482">
        <f>DataLog_T717420_Aug11_4_59_37pm[[#This Row],[OIL TEMP '[Â°C']]]-Table3[[#This Row],[4402]]</f>
        <v>0</v>
      </c>
      <c r="Y482">
        <f>DataLog_T717420_Aug11_4_59_37pm[[#This Row],[INTAKE TEMP '[Â°C']]]-Table3[[#This Row],[580F]]</f>
        <v>0</v>
      </c>
      <c r="Z482">
        <f>DataLog_T717420_Aug11_4_59_37pm[[#This Row],[HPFP PRES. '[BAR']]]-Table3[[#This Row],[58F0]]</f>
        <v>0</v>
      </c>
      <c r="AA482">
        <f>DataLog_T717420_Aug11_4_59_37pm[[#This Row],[COOLANT TEMP '[Â°C']]]-Table3[[#This Row],[5805]]</f>
        <v>0</v>
      </c>
      <c r="AB482">
        <f>DataLog_T717420_Aug11_4_59_37pm[[#This Row],[BOOST '[BAR']]]-Table3[[#This Row],[58DD]]</f>
        <v>0</v>
      </c>
    </row>
    <row r="483" spans="2:28" x14ac:dyDescent="0.25">
      <c r="B483" s="2" t="s">
        <v>183</v>
      </c>
      <c r="C483" s="2" t="s">
        <v>30</v>
      </c>
      <c r="D483" s="2" t="s">
        <v>151</v>
      </c>
      <c r="E483" s="2" t="s">
        <v>210</v>
      </c>
      <c r="F483" s="2" t="s">
        <v>26</v>
      </c>
      <c r="G483" s="2" t="s">
        <v>102</v>
      </c>
      <c r="I483">
        <f>HEX2DEC(_0811_173439[[#This Row],[580C]])*B$4/B$5+B$6</f>
        <v>800</v>
      </c>
      <c r="J483">
        <f>HEX2DEC(_0811_173439[[#This Row],[4402]])*C$4/C$5+C$6</f>
        <v>36</v>
      </c>
      <c r="K483">
        <f>HEX2DEC(_0811_173439[[#This Row],[580F]])*D$4/D$5+D$6</f>
        <v>30</v>
      </c>
      <c r="L483">
        <f>ROUND(HEX2DEC(_0811_173439[[#This Row],[58F0]])*E$4/E$5+E$6,0)</f>
        <v>69</v>
      </c>
      <c r="M483">
        <f>ROUND(HEX2DEC(_0811_173439[[#This Row],[5805]])*F$4/F$5+F$6,0)</f>
        <v>42</v>
      </c>
      <c r="N483">
        <f>ROUND(HEX2DEC(_0811_173439[[#This Row],[58DD]])*G$4/G$5+G$6,2)</f>
        <v>-0.03</v>
      </c>
      <c r="P483">
        <v>800</v>
      </c>
      <c r="Q483">
        <v>36</v>
      </c>
      <c r="R483">
        <v>30</v>
      </c>
      <c r="S483">
        <v>69</v>
      </c>
      <c r="T483">
        <v>42</v>
      </c>
      <c r="U483">
        <v>-0.03</v>
      </c>
      <c r="W483">
        <f>DataLog_T717420_Aug11_4_59_37pm[[#This Row],[RPM '[1/MIN']]]-Table3[[#This Row],[580C]]</f>
        <v>0</v>
      </c>
      <c r="X483">
        <f>DataLog_T717420_Aug11_4_59_37pm[[#This Row],[OIL TEMP '[Â°C']]]-Table3[[#This Row],[4402]]</f>
        <v>0</v>
      </c>
      <c r="Y483">
        <f>DataLog_T717420_Aug11_4_59_37pm[[#This Row],[INTAKE TEMP '[Â°C']]]-Table3[[#This Row],[580F]]</f>
        <v>0</v>
      </c>
      <c r="Z483">
        <f>DataLog_T717420_Aug11_4_59_37pm[[#This Row],[HPFP PRES. '[BAR']]]-Table3[[#This Row],[58F0]]</f>
        <v>0</v>
      </c>
      <c r="AA483">
        <f>DataLog_T717420_Aug11_4_59_37pm[[#This Row],[COOLANT TEMP '[Â°C']]]-Table3[[#This Row],[5805]]</f>
        <v>0</v>
      </c>
      <c r="AB483">
        <f>DataLog_T717420_Aug11_4_59_37pm[[#This Row],[BOOST '[BAR']]]-Table3[[#This Row],[58DD]]</f>
        <v>0</v>
      </c>
    </row>
    <row r="484" spans="2:28" x14ac:dyDescent="0.25">
      <c r="B484" s="2" t="s">
        <v>183</v>
      </c>
      <c r="C484" s="2" t="s">
        <v>30</v>
      </c>
      <c r="D484" s="2" t="s">
        <v>151</v>
      </c>
      <c r="E484" s="2" t="s">
        <v>194</v>
      </c>
      <c r="F484" s="2" t="s">
        <v>26</v>
      </c>
      <c r="G484" s="2" t="s">
        <v>211</v>
      </c>
      <c r="I484">
        <f>HEX2DEC(_0811_173439[[#This Row],[580C]])*B$4/B$5+B$6</f>
        <v>800</v>
      </c>
      <c r="J484">
        <f>HEX2DEC(_0811_173439[[#This Row],[4402]])*C$4/C$5+C$6</f>
        <v>36</v>
      </c>
      <c r="K484">
        <f>HEX2DEC(_0811_173439[[#This Row],[580F]])*D$4/D$5+D$6</f>
        <v>30</v>
      </c>
      <c r="L484">
        <f>ROUND(HEX2DEC(_0811_173439[[#This Row],[58F0]])*E$4/E$5+E$6,0)</f>
        <v>70</v>
      </c>
      <c r="M484">
        <f>ROUND(HEX2DEC(_0811_173439[[#This Row],[5805]])*F$4/F$5+F$6,0)</f>
        <v>42</v>
      </c>
      <c r="N484">
        <f>ROUND(HEX2DEC(_0811_173439[[#This Row],[58DD]])*G$4/G$5+G$6,2)</f>
        <v>-0.03</v>
      </c>
      <c r="P484">
        <v>800</v>
      </c>
      <c r="Q484">
        <v>36</v>
      </c>
      <c r="R484">
        <v>30</v>
      </c>
      <c r="S484">
        <v>70</v>
      </c>
      <c r="T484">
        <v>42</v>
      </c>
      <c r="U484">
        <v>-0.03</v>
      </c>
      <c r="W484">
        <f>DataLog_T717420_Aug11_4_59_37pm[[#This Row],[RPM '[1/MIN']]]-Table3[[#This Row],[580C]]</f>
        <v>0</v>
      </c>
      <c r="X484">
        <f>DataLog_T717420_Aug11_4_59_37pm[[#This Row],[OIL TEMP '[Â°C']]]-Table3[[#This Row],[4402]]</f>
        <v>0</v>
      </c>
      <c r="Y484">
        <f>DataLog_T717420_Aug11_4_59_37pm[[#This Row],[INTAKE TEMP '[Â°C']]]-Table3[[#This Row],[580F]]</f>
        <v>0</v>
      </c>
      <c r="Z484">
        <f>DataLog_T717420_Aug11_4_59_37pm[[#This Row],[HPFP PRES. '[BAR']]]-Table3[[#This Row],[58F0]]</f>
        <v>0</v>
      </c>
      <c r="AA484">
        <f>DataLog_T717420_Aug11_4_59_37pm[[#This Row],[COOLANT TEMP '[Â°C']]]-Table3[[#This Row],[5805]]</f>
        <v>0</v>
      </c>
      <c r="AB484">
        <f>DataLog_T717420_Aug11_4_59_37pm[[#This Row],[BOOST '[BAR']]]-Table3[[#This Row],[58DD]]</f>
        <v>0</v>
      </c>
    </row>
    <row r="485" spans="2:28" x14ac:dyDescent="0.25">
      <c r="B485" s="2" t="s">
        <v>183</v>
      </c>
      <c r="C485" s="2" t="s">
        <v>30</v>
      </c>
      <c r="D485" s="2" t="s">
        <v>151</v>
      </c>
      <c r="E485" s="2" t="s">
        <v>93</v>
      </c>
      <c r="F485" s="2" t="s">
        <v>26</v>
      </c>
      <c r="G485" s="2" t="s">
        <v>192</v>
      </c>
      <c r="I485">
        <f>HEX2DEC(_0811_173439[[#This Row],[580C]])*B$4/B$5+B$6</f>
        <v>800</v>
      </c>
      <c r="J485">
        <f>HEX2DEC(_0811_173439[[#This Row],[4402]])*C$4/C$5+C$6</f>
        <v>36</v>
      </c>
      <c r="K485">
        <f>HEX2DEC(_0811_173439[[#This Row],[580F]])*D$4/D$5+D$6</f>
        <v>30</v>
      </c>
      <c r="L485">
        <f>ROUND(HEX2DEC(_0811_173439[[#This Row],[58F0]])*E$4/E$5+E$6,0)</f>
        <v>70</v>
      </c>
      <c r="M485">
        <f>ROUND(HEX2DEC(_0811_173439[[#This Row],[5805]])*F$4/F$5+F$6,0)</f>
        <v>42</v>
      </c>
      <c r="N485">
        <f>ROUND(HEX2DEC(_0811_173439[[#This Row],[58DD]])*G$4/G$5+G$6,2)</f>
        <v>-0.03</v>
      </c>
      <c r="P485">
        <v>800</v>
      </c>
      <c r="Q485">
        <v>36</v>
      </c>
      <c r="R485">
        <v>30</v>
      </c>
      <c r="S485">
        <v>70</v>
      </c>
      <c r="T485">
        <v>42</v>
      </c>
      <c r="U485">
        <v>-0.03</v>
      </c>
      <c r="W485">
        <f>DataLog_T717420_Aug11_4_59_37pm[[#This Row],[RPM '[1/MIN']]]-Table3[[#This Row],[580C]]</f>
        <v>0</v>
      </c>
      <c r="X485">
        <f>DataLog_T717420_Aug11_4_59_37pm[[#This Row],[OIL TEMP '[Â°C']]]-Table3[[#This Row],[4402]]</f>
        <v>0</v>
      </c>
      <c r="Y485">
        <f>DataLog_T717420_Aug11_4_59_37pm[[#This Row],[INTAKE TEMP '[Â°C']]]-Table3[[#This Row],[580F]]</f>
        <v>0</v>
      </c>
      <c r="Z485">
        <f>DataLog_T717420_Aug11_4_59_37pm[[#This Row],[HPFP PRES. '[BAR']]]-Table3[[#This Row],[58F0]]</f>
        <v>0</v>
      </c>
      <c r="AA485">
        <f>DataLog_T717420_Aug11_4_59_37pm[[#This Row],[COOLANT TEMP '[Â°C']]]-Table3[[#This Row],[5805]]</f>
        <v>0</v>
      </c>
      <c r="AB485">
        <f>DataLog_T717420_Aug11_4_59_37pm[[#This Row],[BOOST '[BAR']]]-Table3[[#This Row],[58DD]]</f>
        <v>0</v>
      </c>
    </row>
    <row r="486" spans="2:28" x14ac:dyDescent="0.25">
      <c r="B486" s="2" t="s">
        <v>189</v>
      </c>
      <c r="C486" s="2" t="s">
        <v>30</v>
      </c>
      <c r="D486" s="2" t="s">
        <v>151</v>
      </c>
      <c r="E486" s="2" t="s">
        <v>212</v>
      </c>
      <c r="F486" s="2" t="s">
        <v>26</v>
      </c>
      <c r="G486" s="2" t="s">
        <v>185</v>
      </c>
      <c r="I486">
        <f>HEX2DEC(_0811_173439[[#This Row],[580C]])*B$4/B$5+B$6</f>
        <v>760</v>
      </c>
      <c r="J486">
        <f>HEX2DEC(_0811_173439[[#This Row],[4402]])*C$4/C$5+C$6</f>
        <v>36</v>
      </c>
      <c r="K486">
        <f>HEX2DEC(_0811_173439[[#This Row],[580F]])*D$4/D$5+D$6</f>
        <v>30</v>
      </c>
      <c r="L486">
        <f>ROUND(HEX2DEC(_0811_173439[[#This Row],[58F0]])*E$4/E$5+E$6,0)</f>
        <v>69</v>
      </c>
      <c r="M486">
        <f>ROUND(HEX2DEC(_0811_173439[[#This Row],[5805]])*F$4/F$5+F$6,0)</f>
        <v>42</v>
      </c>
      <c r="N486">
        <f>ROUND(HEX2DEC(_0811_173439[[#This Row],[58DD]])*G$4/G$5+G$6,2)</f>
        <v>-0.03</v>
      </c>
      <c r="P486">
        <v>760</v>
      </c>
      <c r="Q486">
        <v>36</v>
      </c>
      <c r="R486">
        <v>30</v>
      </c>
      <c r="S486">
        <v>69</v>
      </c>
      <c r="T486">
        <v>42</v>
      </c>
      <c r="U486">
        <v>-0.03</v>
      </c>
      <c r="W486">
        <f>DataLog_T717420_Aug11_4_59_37pm[[#This Row],[RPM '[1/MIN']]]-Table3[[#This Row],[580C]]</f>
        <v>0</v>
      </c>
      <c r="X486">
        <f>DataLog_T717420_Aug11_4_59_37pm[[#This Row],[OIL TEMP '[Â°C']]]-Table3[[#This Row],[4402]]</f>
        <v>0</v>
      </c>
      <c r="Y486">
        <f>DataLog_T717420_Aug11_4_59_37pm[[#This Row],[INTAKE TEMP '[Â°C']]]-Table3[[#This Row],[580F]]</f>
        <v>0</v>
      </c>
      <c r="Z486">
        <f>DataLog_T717420_Aug11_4_59_37pm[[#This Row],[HPFP PRES. '[BAR']]]-Table3[[#This Row],[58F0]]</f>
        <v>0</v>
      </c>
      <c r="AA486">
        <f>DataLog_T717420_Aug11_4_59_37pm[[#This Row],[COOLANT TEMP '[Â°C']]]-Table3[[#This Row],[5805]]</f>
        <v>0</v>
      </c>
      <c r="AB486">
        <f>DataLog_T717420_Aug11_4_59_37pm[[#This Row],[BOOST '[BAR']]]-Table3[[#This Row],[58DD]]</f>
        <v>0</v>
      </c>
    </row>
    <row r="487" spans="2:28" x14ac:dyDescent="0.25">
      <c r="B487" s="2" t="s">
        <v>189</v>
      </c>
      <c r="C487" s="2" t="s">
        <v>30</v>
      </c>
      <c r="D487" s="2" t="s">
        <v>151</v>
      </c>
      <c r="E487" s="2" t="s">
        <v>138</v>
      </c>
      <c r="F487" s="2" t="s">
        <v>26</v>
      </c>
      <c r="G487" s="2" t="s">
        <v>192</v>
      </c>
      <c r="I487">
        <f>HEX2DEC(_0811_173439[[#This Row],[580C]])*B$4/B$5+B$6</f>
        <v>760</v>
      </c>
      <c r="J487">
        <f>HEX2DEC(_0811_173439[[#This Row],[4402]])*C$4/C$5+C$6</f>
        <v>36</v>
      </c>
      <c r="K487">
        <f>HEX2DEC(_0811_173439[[#This Row],[580F]])*D$4/D$5+D$6</f>
        <v>30</v>
      </c>
      <c r="L487">
        <f>ROUND(HEX2DEC(_0811_173439[[#This Row],[58F0]])*E$4/E$5+E$6,0)</f>
        <v>70</v>
      </c>
      <c r="M487">
        <f>ROUND(HEX2DEC(_0811_173439[[#This Row],[5805]])*F$4/F$5+F$6,0)</f>
        <v>42</v>
      </c>
      <c r="N487">
        <f>ROUND(HEX2DEC(_0811_173439[[#This Row],[58DD]])*G$4/G$5+G$6,2)</f>
        <v>-0.03</v>
      </c>
      <c r="P487">
        <v>760</v>
      </c>
      <c r="Q487">
        <v>36</v>
      </c>
      <c r="R487">
        <v>30</v>
      </c>
      <c r="S487">
        <v>70</v>
      </c>
      <c r="T487">
        <v>42</v>
      </c>
      <c r="U487">
        <v>-0.03</v>
      </c>
      <c r="W487">
        <f>DataLog_T717420_Aug11_4_59_37pm[[#This Row],[RPM '[1/MIN']]]-Table3[[#This Row],[580C]]</f>
        <v>0</v>
      </c>
      <c r="X487">
        <f>DataLog_T717420_Aug11_4_59_37pm[[#This Row],[OIL TEMP '[Â°C']]]-Table3[[#This Row],[4402]]</f>
        <v>0</v>
      </c>
      <c r="Y487">
        <f>DataLog_T717420_Aug11_4_59_37pm[[#This Row],[INTAKE TEMP '[Â°C']]]-Table3[[#This Row],[580F]]</f>
        <v>0</v>
      </c>
      <c r="Z487">
        <f>DataLog_T717420_Aug11_4_59_37pm[[#This Row],[HPFP PRES. '[BAR']]]-Table3[[#This Row],[58F0]]</f>
        <v>0</v>
      </c>
      <c r="AA487">
        <f>DataLog_T717420_Aug11_4_59_37pm[[#This Row],[COOLANT TEMP '[Â°C']]]-Table3[[#This Row],[5805]]</f>
        <v>0</v>
      </c>
      <c r="AB487">
        <f>DataLog_T717420_Aug11_4_59_37pm[[#This Row],[BOOST '[BAR']]]-Table3[[#This Row],[58DD]]</f>
        <v>0</v>
      </c>
    </row>
    <row r="488" spans="2:28" x14ac:dyDescent="0.25">
      <c r="B488" s="2" t="s">
        <v>189</v>
      </c>
      <c r="C488" s="2" t="s">
        <v>30</v>
      </c>
      <c r="D488" s="2" t="s">
        <v>151</v>
      </c>
      <c r="E488" s="2" t="s">
        <v>93</v>
      </c>
      <c r="F488" s="2" t="s">
        <v>26</v>
      </c>
      <c r="G488" s="2" t="s">
        <v>186</v>
      </c>
      <c r="I488">
        <f>HEX2DEC(_0811_173439[[#This Row],[580C]])*B$4/B$5+B$6</f>
        <v>760</v>
      </c>
      <c r="J488">
        <f>HEX2DEC(_0811_173439[[#This Row],[4402]])*C$4/C$5+C$6</f>
        <v>36</v>
      </c>
      <c r="K488">
        <f>HEX2DEC(_0811_173439[[#This Row],[580F]])*D$4/D$5+D$6</f>
        <v>30</v>
      </c>
      <c r="L488">
        <f>ROUND(HEX2DEC(_0811_173439[[#This Row],[58F0]])*E$4/E$5+E$6,0)</f>
        <v>70</v>
      </c>
      <c r="M488">
        <f>ROUND(HEX2DEC(_0811_173439[[#This Row],[5805]])*F$4/F$5+F$6,0)</f>
        <v>42</v>
      </c>
      <c r="N488">
        <f>ROUND(HEX2DEC(_0811_173439[[#This Row],[58DD]])*G$4/G$5+G$6,2)</f>
        <v>-0.03</v>
      </c>
      <c r="P488">
        <v>760</v>
      </c>
      <c r="Q488">
        <v>36</v>
      </c>
      <c r="R488">
        <v>30</v>
      </c>
      <c r="S488">
        <v>70</v>
      </c>
      <c r="T488">
        <v>42</v>
      </c>
      <c r="U488">
        <v>-0.03</v>
      </c>
      <c r="W488">
        <f>DataLog_T717420_Aug11_4_59_37pm[[#This Row],[RPM '[1/MIN']]]-Table3[[#This Row],[580C]]</f>
        <v>0</v>
      </c>
      <c r="X488">
        <f>DataLog_T717420_Aug11_4_59_37pm[[#This Row],[OIL TEMP '[Â°C']]]-Table3[[#This Row],[4402]]</f>
        <v>0</v>
      </c>
      <c r="Y488">
        <f>DataLog_T717420_Aug11_4_59_37pm[[#This Row],[INTAKE TEMP '[Â°C']]]-Table3[[#This Row],[580F]]</f>
        <v>0</v>
      </c>
      <c r="Z488">
        <f>DataLog_T717420_Aug11_4_59_37pm[[#This Row],[HPFP PRES. '[BAR']]]-Table3[[#This Row],[58F0]]</f>
        <v>0</v>
      </c>
      <c r="AA488">
        <f>DataLog_T717420_Aug11_4_59_37pm[[#This Row],[COOLANT TEMP '[Â°C']]]-Table3[[#This Row],[5805]]</f>
        <v>0</v>
      </c>
      <c r="AB488">
        <f>DataLog_T717420_Aug11_4_59_37pm[[#This Row],[BOOST '[BAR']]]-Table3[[#This Row],[58DD]]</f>
        <v>0</v>
      </c>
    </row>
    <row r="489" spans="2:28" x14ac:dyDescent="0.25">
      <c r="B489" s="2" t="s">
        <v>189</v>
      </c>
      <c r="C489" s="2" t="s">
        <v>30</v>
      </c>
      <c r="D489" s="2" t="s">
        <v>151</v>
      </c>
      <c r="E489" s="2" t="s">
        <v>144</v>
      </c>
      <c r="F489" s="2" t="s">
        <v>26</v>
      </c>
      <c r="G489" s="2" t="s">
        <v>102</v>
      </c>
      <c r="I489">
        <f>HEX2DEC(_0811_173439[[#This Row],[580C]])*B$4/B$5+B$6</f>
        <v>760</v>
      </c>
      <c r="J489">
        <f>HEX2DEC(_0811_173439[[#This Row],[4402]])*C$4/C$5+C$6</f>
        <v>36</v>
      </c>
      <c r="K489">
        <f>HEX2DEC(_0811_173439[[#This Row],[580F]])*D$4/D$5+D$6</f>
        <v>30</v>
      </c>
      <c r="L489">
        <f>ROUND(HEX2DEC(_0811_173439[[#This Row],[58F0]])*E$4/E$5+E$6,0)</f>
        <v>69</v>
      </c>
      <c r="M489">
        <f>ROUND(HEX2DEC(_0811_173439[[#This Row],[5805]])*F$4/F$5+F$6,0)</f>
        <v>42</v>
      </c>
      <c r="N489">
        <f>ROUND(HEX2DEC(_0811_173439[[#This Row],[58DD]])*G$4/G$5+G$6,2)</f>
        <v>-0.03</v>
      </c>
      <c r="P489">
        <v>760</v>
      </c>
      <c r="Q489">
        <v>36</v>
      </c>
      <c r="R489">
        <v>30</v>
      </c>
      <c r="S489">
        <v>69</v>
      </c>
      <c r="T489">
        <v>42</v>
      </c>
      <c r="U489">
        <v>-0.03</v>
      </c>
      <c r="W489">
        <f>DataLog_T717420_Aug11_4_59_37pm[[#This Row],[RPM '[1/MIN']]]-Table3[[#This Row],[580C]]</f>
        <v>0</v>
      </c>
      <c r="X489">
        <f>DataLog_T717420_Aug11_4_59_37pm[[#This Row],[OIL TEMP '[Â°C']]]-Table3[[#This Row],[4402]]</f>
        <v>0</v>
      </c>
      <c r="Y489">
        <f>DataLog_T717420_Aug11_4_59_37pm[[#This Row],[INTAKE TEMP '[Â°C']]]-Table3[[#This Row],[580F]]</f>
        <v>0</v>
      </c>
      <c r="Z489">
        <f>DataLog_T717420_Aug11_4_59_37pm[[#This Row],[HPFP PRES. '[BAR']]]-Table3[[#This Row],[58F0]]</f>
        <v>0</v>
      </c>
      <c r="AA489">
        <f>DataLog_T717420_Aug11_4_59_37pm[[#This Row],[COOLANT TEMP '[Â°C']]]-Table3[[#This Row],[5805]]</f>
        <v>0</v>
      </c>
      <c r="AB489">
        <f>DataLog_T717420_Aug11_4_59_37pm[[#This Row],[BOOST '[BAR']]]-Table3[[#This Row],[58DD]]</f>
        <v>0</v>
      </c>
    </row>
    <row r="490" spans="2:28" x14ac:dyDescent="0.25">
      <c r="B490" s="2" t="s">
        <v>189</v>
      </c>
      <c r="C490" s="2" t="s">
        <v>30</v>
      </c>
      <c r="D490" s="2" t="s">
        <v>151</v>
      </c>
      <c r="E490" s="2" t="s">
        <v>159</v>
      </c>
      <c r="F490" s="2" t="s">
        <v>26</v>
      </c>
      <c r="G490" s="2" t="s">
        <v>190</v>
      </c>
      <c r="I490">
        <f>HEX2DEC(_0811_173439[[#This Row],[580C]])*B$4/B$5+B$6</f>
        <v>760</v>
      </c>
      <c r="J490">
        <f>HEX2DEC(_0811_173439[[#This Row],[4402]])*C$4/C$5+C$6</f>
        <v>36</v>
      </c>
      <c r="K490">
        <f>HEX2DEC(_0811_173439[[#This Row],[580F]])*D$4/D$5+D$6</f>
        <v>30</v>
      </c>
      <c r="L490">
        <f>ROUND(HEX2DEC(_0811_173439[[#This Row],[58F0]])*E$4/E$5+E$6,0)</f>
        <v>70</v>
      </c>
      <c r="M490">
        <f>ROUND(HEX2DEC(_0811_173439[[#This Row],[5805]])*F$4/F$5+F$6,0)</f>
        <v>42</v>
      </c>
      <c r="N490">
        <f>ROUND(HEX2DEC(_0811_173439[[#This Row],[58DD]])*G$4/G$5+G$6,2)</f>
        <v>-0.03</v>
      </c>
      <c r="P490">
        <v>760</v>
      </c>
      <c r="Q490">
        <v>36</v>
      </c>
      <c r="R490">
        <v>30</v>
      </c>
      <c r="S490">
        <v>70</v>
      </c>
      <c r="T490">
        <v>42</v>
      </c>
      <c r="U490">
        <v>-0.03</v>
      </c>
      <c r="W490">
        <f>DataLog_T717420_Aug11_4_59_37pm[[#This Row],[RPM '[1/MIN']]]-Table3[[#This Row],[580C]]</f>
        <v>0</v>
      </c>
      <c r="X490">
        <f>DataLog_T717420_Aug11_4_59_37pm[[#This Row],[OIL TEMP '[Â°C']]]-Table3[[#This Row],[4402]]</f>
        <v>0</v>
      </c>
      <c r="Y490">
        <f>DataLog_T717420_Aug11_4_59_37pm[[#This Row],[INTAKE TEMP '[Â°C']]]-Table3[[#This Row],[580F]]</f>
        <v>0</v>
      </c>
      <c r="Z490">
        <f>DataLog_T717420_Aug11_4_59_37pm[[#This Row],[HPFP PRES. '[BAR']]]-Table3[[#This Row],[58F0]]</f>
        <v>0</v>
      </c>
      <c r="AA490">
        <f>DataLog_T717420_Aug11_4_59_37pm[[#This Row],[COOLANT TEMP '[Â°C']]]-Table3[[#This Row],[5805]]</f>
        <v>0</v>
      </c>
      <c r="AB490">
        <f>DataLog_T717420_Aug11_4_59_37pm[[#This Row],[BOOST '[BAR']]]-Table3[[#This Row],[58DD]]</f>
        <v>0</v>
      </c>
    </row>
    <row r="491" spans="2:28" x14ac:dyDescent="0.25">
      <c r="B491" s="2" t="s">
        <v>189</v>
      </c>
      <c r="C491" s="2" t="s">
        <v>30</v>
      </c>
      <c r="D491" s="2" t="s">
        <v>151</v>
      </c>
      <c r="E491" s="2" t="s">
        <v>93</v>
      </c>
      <c r="F491" s="2" t="s">
        <v>26</v>
      </c>
      <c r="G491" s="2" t="s">
        <v>213</v>
      </c>
      <c r="I491">
        <f>HEX2DEC(_0811_173439[[#This Row],[580C]])*B$4/B$5+B$6</f>
        <v>760</v>
      </c>
      <c r="J491">
        <f>HEX2DEC(_0811_173439[[#This Row],[4402]])*C$4/C$5+C$6</f>
        <v>36</v>
      </c>
      <c r="K491">
        <f>HEX2DEC(_0811_173439[[#This Row],[580F]])*D$4/D$5+D$6</f>
        <v>30</v>
      </c>
      <c r="L491">
        <f>ROUND(HEX2DEC(_0811_173439[[#This Row],[58F0]])*E$4/E$5+E$6,0)</f>
        <v>70</v>
      </c>
      <c r="M491">
        <f>ROUND(HEX2DEC(_0811_173439[[#This Row],[5805]])*F$4/F$5+F$6,0)</f>
        <v>42</v>
      </c>
      <c r="N491">
        <f>ROUND(HEX2DEC(_0811_173439[[#This Row],[58DD]])*G$4/G$5+G$6,2)</f>
        <v>-0.03</v>
      </c>
      <c r="P491">
        <v>760</v>
      </c>
      <c r="Q491">
        <v>36</v>
      </c>
      <c r="R491">
        <v>30</v>
      </c>
      <c r="S491">
        <v>70</v>
      </c>
      <c r="T491">
        <v>42</v>
      </c>
      <c r="U491">
        <v>-0.03</v>
      </c>
      <c r="W491">
        <f>DataLog_T717420_Aug11_4_59_37pm[[#This Row],[RPM '[1/MIN']]]-Table3[[#This Row],[580C]]</f>
        <v>0</v>
      </c>
      <c r="X491">
        <f>DataLog_T717420_Aug11_4_59_37pm[[#This Row],[OIL TEMP '[Â°C']]]-Table3[[#This Row],[4402]]</f>
        <v>0</v>
      </c>
      <c r="Y491">
        <f>DataLog_T717420_Aug11_4_59_37pm[[#This Row],[INTAKE TEMP '[Â°C']]]-Table3[[#This Row],[580F]]</f>
        <v>0</v>
      </c>
      <c r="Z491">
        <f>DataLog_T717420_Aug11_4_59_37pm[[#This Row],[HPFP PRES. '[BAR']]]-Table3[[#This Row],[58F0]]</f>
        <v>0</v>
      </c>
      <c r="AA491">
        <f>DataLog_T717420_Aug11_4_59_37pm[[#This Row],[COOLANT TEMP '[Â°C']]]-Table3[[#This Row],[5805]]</f>
        <v>0</v>
      </c>
      <c r="AB491">
        <f>DataLog_T717420_Aug11_4_59_37pm[[#This Row],[BOOST '[BAR']]]-Table3[[#This Row],[58DD]]</f>
        <v>0</v>
      </c>
    </row>
    <row r="492" spans="2:28" x14ac:dyDescent="0.25">
      <c r="B492" s="2" t="s">
        <v>189</v>
      </c>
      <c r="C492" s="2" t="s">
        <v>30</v>
      </c>
      <c r="D492" s="2" t="s">
        <v>151</v>
      </c>
      <c r="E492" s="2" t="s">
        <v>214</v>
      </c>
      <c r="F492" s="2" t="s">
        <v>26</v>
      </c>
      <c r="G492" s="2" t="s">
        <v>186</v>
      </c>
      <c r="I492">
        <f>HEX2DEC(_0811_173439[[#This Row],[580C]])*B$4/B$5+B$6</f>
        <v>760</v>
      </c>
      <c r="J492">
        <f>HEX2DEC(_0811_173439[[#This Row],[4402]])*C$4/C$5+C$6</f>
        <v>36</v>
      </c>
      <c r="K492">
        <f>HEX2DEC(_0811_173439[[#This Row],[580F]])*D$4/D$5+D$6</f>
        <v>30</v>
      </c>
      <c r="L492">
        <f>ROUND(HEX2DEC(_0811_173439[[#This Row],[58F0]])*E$4/E$5+E$6,0)</f>
        <v>70</v>
      </c>
      <c r="M492">
        <f>ROUND(HEX2DEC(_0811_173439[[#This Row],[5805]])*F$4/F$5+F$6,0)</f>
        <v>42</v>
      </c>
      <c r="N492">
        <f>ROUND(HEX2DEC(_0811_173439[[#This Row],[58DD]])*G$4/G$5+G$6,2)</f>
        <v>-0.03</v>
      </c>
      <c r="P492">
        <v>760</v>
      </c>
      <c r="Q492">
        <v>36</v>
      </c>
      <c r="R492">
        <v>30</v>
      </c>
      <c r="S492">
        <v>70</v>
      </c>
      <c r="T492">
        <v>42</v>
      </c>
      <c r="U492">
        <v>-0.03</v>
      </c>
      <c r="W492">
        <f>DataLog_T717420_Aug11_4_59_37pm[[#This Row],[RPM '[1/MIN']]]-Table3[[#This Row],[580C]]</f>
        <v>0</v>
      </c>
      <c r="X492">
        <f>DataLog_T717420_Aug11_4_59_37pm[[#This Row],[OIL TEMP '[Â°C']]]-Table3[[#This Row],[4402]]</f>
        <v>0</v>
      </c>
      <c r="Y492">
        <f>DataLog_T717420_Aug11_4_59_37pm[[#This Row],[INTAKE TEMP '[Â°C']]]-Table3[[#This Row],[580F]]</f>
        <v>0</v>
      </c>
      <c r="Z492">
        <f>DataLog_T717420_Aug11_4_59_37pm[[#This Row],[HPFP PRES. '[BAR']]]-Table3[[#This Row],[58F0]]</f>
        <v>0</v>
      </c>
      <c r="AA492">
        <f>DataLog_T717420_Aug11_4_59_37pm[[#This Row],[COOLANT TEMP '[Â°C']]]-Table3[[#This Row],[5805]]</f>
        <v>0</v>
      </c>
      <c r="AB492">
        <f>DataLog_T717420_Aug11_4_59_37pm[[#This Row],[BOOST '[BAR']]]-Table3[[#This Row],[58DD]]</f>
        <v>0</v>
      </c>
    </row>
    <row r="493" spans="2:28" x14ac:dyDescent="0.25">
      <c r="B493" s="2" t="s">
        <v>189</v>
      </c>
      <c r="C493" s="2" t="s">
        <v>30</v>
      </c>
      <c r="D493" s="2" t="s">
        <v>151</v>
      </c>
      <c r="E493" s="2" t="s">
        <v>159</v>
      </c>
      <c r="F493" s="2" t="s">
        <v>26</v>
      </c>
      <c r="G493" s="2" t="s">
        <v>190</v>
      </c>
      <c r="I493">
        <f>HEX2DEC(_0811_173439[[#This Row],[580C]])*B$4/B$5+B$6</f>
        <v>760</v>
      </c>
      <c r="J493">
        <f>HEX2DEC(_0811_173439[[#This Row],[4402]])*C$4/C$5+C$6</f>
        <v>36</v>
      </c>
      <c r="K493">
        <f>HEX2DEC(_0811_173439[[#This Row],[580F]])*D$4/D$5+D$6</f>
        <v>30</v>
      </c>
      <c r="L493">
        <f>ROUND(HEX2DEC(_0811_173439[[#This Row],[58F0]])*E$4/E$5+E$6,0)</f>
        <v>70</v>
      </c>
      <c r="M493">
        <f>ROUND(HEX2DEC(_0811_173439[[#This Row],[5805]])*F$4/F$5+F$6,0)</f>
        <v>42</v>
      </c>
      <c r="N493">
        <f>ROUND(HEX2DEC(_0811_173439[[#This Row],[58DD]])*G$4/G$5+G$6,2)</f>
        <v>-0.03</v>
      </c>
      <c r="P493">
        <v>760</v>
      </c>
      <c r="Q493">
        <v>36</v>
      </c>
      <c r="R493">
        <v>30</v>
      </c>
      <c r="S493">
        <v>70</v>
      </c>
      <c r="T493">
        <v>42</v>
      </c>
      <c r="U493">
        <v>-0.03</v>
      </c>
      <c r="W493">
        <f>DataLog_T717420_Aug11_4_59_37pm[[#This Row],[RPM '[1/MIN']]]-Table3[[#This Row],[580C]]</f>
        <v>0</v>
      </c>
      <c r="X493">
        <f>DataLog_T717420_Aug11_4_59_37pm[[#This Row],[OIL TEMP '[Â°C']]]-Table3[[#This Row],[4402]]</f>
        <v>0</v>
      </c>
      <c r="Y493">
        <f>DataLog_T717420_Aug11_4_59_37pm[[#This Row],[INTAKE TEMP '[Â°C']]]-Table3[[#This Row],[580F]]</f>
        <v>0</v>
      </c>
      <c r="Z493">
        <f>DataLog_T717420_Aug11_4_59_37pm[[#This Row],[HPFP PRES. '[BAR']]]-Table3[[#This Row],[58F0]]</f>
        <v>0</v>
      </c>
      <c r="AA493">
        <f>DataLog_T717420_Aug11_4_59_37pm[[#This Row],[COOLANT TEMP '[Â°C']]]-Table3[[#This Row],[5805]]</f>
        <v>0</v>
      </c>
      <c r="AB493">
        <f>DataLog_T717420_Aug11_4_59_37pm[[#This Row],[BOOST '[BAR']]]-Table3[[#This Row],[58DD]]</f>
        <v>0</v>
      </c>
    </row>
    <row r="494" spans="2:28" x14ac:dyDescent="0.25">
      <c r="B494" s="2" t="s">
        <v>189</v>
      </c>
      <c r="C494" s="2" t="s">
        <v>30</v>
      </c>
      <c r="D494" s="2" t="s">
        <v>151</v>
      </c>
      <c r="E494" s="2" t="s">
        <v>93</v>
      </c>
      <c r="F494" s="2" t="s">
        <v>26</v>
      </c>
      <c r="G494" s="2" t="s">
        <v>213</v>
      </c>
      <c r="I494">
        <f>HEX2DEC(_0811_173439[[#This Row],[580C]])*B$4/B$5+B$6</f>
        <v>760</v>
      </c>
      <c r="J494">
        <f>HEX2DEC(_0811_173439[[#This Row],[4402]])*C$4/C$5+C$6</f>
        <v>36</v>
      </c>
      <c r="K494">
        <f>HEX2DEC(_0811_173439[[#This Row],[580F]])*D$4/D$5+D$6</f>
        <v>30</v>
      </c>
      <c r="L494">
        <f>ROUND(HEX2DEC(_0811_173439[[#This Row],[58F0]])*E$4/E$5+E$6,0)</f>
        <v>70</v>
      </c>
      <c r="M494">
        <f>ROUND(HEX2DEC(_0811_173439[[#This Row],[5805]])*F$4/F$5+F$6,0)</f>
        <v>42</v>
      </c>
      <c r="N494">
        <f>ROUND(HEX2DEC(_0811_173439[[#This Row],[58DD]])*G$4/G$5+G$6,2)</f>
        <v>-0.03</v>
      </c>
      <c r="P494">
        <v>760</v>
      </c>
      <c r="Q494">
        <v>36</v>
      </c>
      <c r="R494">
        <v>30</v>
      </c>
      <c r="S494">
        <v>70</v>
      </c>
      <c r="T494">
        <v>42</v>
      </c>
      <c r="U494">
        <v>-0.03</v>
      </c>
      <c r="W494">
        <f>DataLog_T717420_Aug11_4_59_37pm[[#This Row],[RPM '[1/MIN']]]-Table3[[#This Row],[580C]]</f>
        <v>0</v>
      </c>
      <c r="X494">
        <f>DataLog_T717420_Aug11_4_59_37pm[[#This Row],[OIL TEMP '[Â°C']]]-Table3[[#This Row],[4402]]</f>
        <v>0</v>
      </c>
      <c r="Y494">
        <f>DataLog_T717420_Aug11_4_59_37pm[[#This Row],[INTAKE TEMP '[Â°C']]]-Table3[[#This Row],[580F]]</f>
        <v>0</v>
      </c>
      <c r="Z494">
        <f>DataLog_T717420_Aug11_4_59_37pm[[#This Row],[HPFP PRES. '[BAR']]]-Table3[[#This Row],[58F0]]</f>
        <v>0</v>
      </c>
      <c r="AA494">
        <f>DataLog_T717420_Aug11_4_59_37pm[[#This Row],[COOLANT TEMP '[Â°C']]]-Table3[[#This Row],[5805]]</f>
        <v>0</v>
      </c>
      <c r="AB494">
        <f>DataLog_T717420_Aug11_4_59_37pm[[#This Row],[BOOST '[BAR']]]-Table3[[#This Row],[58DD]]</f>
        <v>0</v>
      </c>
    </row>
    <row r="495" spans="2:28" x14ac:dyDescent="0.25">
      <c r="B495" s="2" t="s">
        <v>189</v>
      </c>
      <c r="C495" s="2" t="s">
        <v>30</v>
      </c>
      <c r="D495" s="2" t="s">
        <v>151</v>
      </c>
      <c r="E495" s="2" t="s">
        <v>148</v>
      </c>
      <c r="F495" s="2" t="s">
        <v>26</v>
      </c>
      <c r="G495" s="2" t="s">
        <v>98</v>
      </c>
      <c r="I495">
        <f>HEX2DEC(_0811_173439[[#This Row],[580C]])*B$4/B$5+B$6</f>
        <v>760</v>
      </c>
      <c r="J495">
        <f>HEX2DEC(_0811_173439[[#This Row],[4402]])*C$4/C$5+C$6</f>
        <v>36</v>
      </c>
      <c r="K495">
        <f>HEX2DEC(_0811_173439[[#This Row],[580F]])*D$4/D$5+D$6</f>
        <v>30</v>
      </c>
      <c r="L495">
        <f>ROUND(HEX2DEC(_0811_173439[[#This Row],[58F0]])*E$4/E$5+E$6,0)</f>
        <v>70</v>
      </c>
      <c r="M495">
        <f>ROUND(HEX2DEC(_0811_173439[[#This Row],[5805]])*F$4/F$5+F$6,0)</f>
        <v>42</v>
      </c>
      <c r="N495">
        <f>ROUND(HEX2DEC(_0811_173439[[#This Row],[58DD]])*G$4/G$5+G$6,2)</f>
        <v>-0.03</v>
      </c>
      <c r="P495">
        <v>760</v>
      </c>
      <c r="Q495">
        <v>36</v>
      </c>
      <c r="R495">
        <v>30</v>
      </c>
      <c r="S495">
        <v>70</v>
      </c>
      <c r="T495">
        <v>42</v>
      </c>
      <c r="U495">
        <v>-0.03</v>
      </c>
      <c r="W495">
        <f>DataLog_T717420_Aug11_4_59_37pm[[#This Row],[RPM '[1/MIN']]]-Table3[[#This Row],[580C]]</f>
        <v>0</v>
      </c>
      <c r="X495">
        <f>DataLog_T717420_Aug11_4_59_37pm[[#This Row],[OIL TEMP '[Â°C']]]-Table3[[#This Row],[4402]]</f>
        <v>0</v>
      </c>
      <c r="Y495">
        <f>DataLog_T717420_Aug11_4_59_37pm[[#This Row],[INTAKE TEMP '[Â°C']]]-Table3[[#This Row],[580F]]</f>
        <v>0</v>
      </c>
      <c r="Z495">
        <f>DataLog_T717420_Aug11_4_59_37pm[[#This Row],[HPFP PRES. '[BAR']]]-Table3[[#This Row],[58F0]]</f>
        <v>0</v>
      </c>
      <c r="AA495">
        <f>DataLog_T717420_Aug11_4_59_37pm[[#This Row],[COOLANT TEMP '[Â°C']]]-Table3[[#This Row],[5805]]</f>
        <v>0</v>
      </c>
      <c r="AB495">
        <f>DataLog_T717420_Aug11_4_59_37pm[[#This Row],[BOOST '[BAR']]]-Table3[[#This Row],[58DD]]</f>
        <v>0</v>
      </c>
    </row>
    <row r="496" spans="2:28" x14ac:dyDescent="0.25">
      <c r="B496" s="2" t="s">
        <v>189</v>
      </c>
      <c r="C496" s="2" t="s">
        <v>30</v>
      </c>
      <c r="D496" s="2" t="s">
        <v>151</v>
      </c>
      <c r="E496" s="2" t="s">
        <v>159</v>
      </c>
      <c r="F496" s="2" t="s">
        <v>26</v>
      </c>
      <c r="G496" s="2" t="s">
        <v>98</v>
      </c>
      <c r="I496">
        <f>HEX2DEC(_0811_173439[[#This Row],[580C]])*B$4/B$5+B$6</f>
        <v>760</v>
      </c>
      <c r="J496">
        <f>HEX2DEC(_0811_173439[[#This Row],[4402]])*C$4/C$5+C$6</f>
        <v>36</v>
      </c>
      <c r="K496">
        <f>HEX2DEC(_0811_173439[[#This Row],[580F]])*D$4/D$5+D$6</f>
        <v>30</v>
      </c>
      <c r="L496">
        <f>ROUND(HEX2DEC(_0811_173439[[#This Row],[58F0]])*E$4/E$5+E$6,0)</f>
        <v>70</v>
      </c>
      <c r="M496">
        <f>ROUND(HEX2DEC(_0811_173439[[#This Row],[5805]])*F$4/F$5+F$6,0)</f>
        <v>42</v>
      </c>
      <c r="N496">
        <f>ROUND(HEX2DEC(_0811_173439[[#This Row],[58DD]])*G$4/G$5+G$6,2)</f>
        <v>-0.03</v>
      </c>
      <c r="P496">
        <v>760</v>
      </c>
      <c r="Q496">
        <v>36</v>
      </c>
      <c r="R496">
        <v>30</v>
      </c>
      <c r="S496">
        <v>70</v>
      </c>
      <c r="T496">
        <v>42</v>
      </c>
      <c r="U496">
        <v>-0.03</v>
      </c>
      <c r="W496">
        <f>DataLog_T717420_Aug11_4_59_37pm[[#This Row],[RPM '[1/MIN']]]-Table3[[#This Row],[580C]]</f>
        <v>0</v>
      </c>
      <c r="X496">
        <f>DataLog_T717420_Aug11_4_59_37pm[[#This Row],[OIL TEMP '[Â°C']]]-Table3[[#This Row],[4402]]</f>
        <v>0</v>
      </c>
      <c r="Y496">
        <f>DataLog_T717420_Aug11_4_59_37pm[[#This Row],[INTAKE TEMP '[Â°C']]]-Table3[[#This Row],[580F]]</f>
        <v>0</v>
      </c>
      <c r="Z496">
        <f>DataLog_T717420_Aug11_4_59_37pm[[#This Row],[HPFP PRES. '[BAR']]]-Table3[[#This Row],[58F0]]</f>
        <v>0</v>
      </c>
      <c r="AA496">
        <f>DataLog_T717420_Aug11_4_59_37pm[[#This Row],[COOLANT TEMP '[Â°C']]]-Table3[[#This Row],[5805]]</f>
        <v>0</v>
      </c>
      <c r="AB496">
        <f>DataLog_T717420_Aug11_4_59_37pm[[#This Row],[BOOST '[BAR']]]-Table3[[#This Row],[58DD]]</f>
        <v>0</v>
      </c>
    </row>
    <row r="497" spans="2:28" x14ac:dyDescent="0.25">
      <c r="B497" s="2" t="s">
        <v>189</v>
      </c>
      <c r="C497" s="2" t="s">
        <v>30</v>
      </c>
      <c r="D497" s="2" t="s">
        <v>151</v>
      </c>
      <c r="E497" s="2" t="s">
        <v>150</v>
      </c>
      <c r="F497" s="2" t="s">
        <v>26</v>
      </c>
      <c r="G497" s="2" t="s">
        <v>187</v>
      </c>
      <c r="I497">
        <f>HEX2DEC(_0811_173439[[#This Row],[580C]])*B$4/B$5+B$6</f>
        <v>760</v>
      </c>
      <c r="J497">
        <f>HEX2DEC(_0811_173439[[#This Row],[4402]])*C$4/C$5+C$6</f>
        <v>36</v>
      </c>
      <c r="K497">
        <f>HEX2DEC(_0811_173439[[#This Row],[580F]])*D$4/D$5+D$6</f>
        <v>30</v>
      </c>
      <c r="L497">
        <f>ROUND(HEX2DEC(_0811_173439[[#This Row],[58F0]])*E$4/E$5+E$6,0)</f>
        <v>70</v>
      </c>
      <c r="M497">
        <f>ROUND(HEX2DEC(_0811_173439[[#This Row],[5805]])*F$4/F$5+F$6,0)</f>
        <v>42</v>
      </c>
      <c r="N497">
        <f>ROUND(HEX2DEC(_0811_173439[[#This Row],[58DD]])*G$4/G$5+G$6,2)</f>
        <v>-0.03</v>
      </c>
      <c r="P497">
        <v>760</v>
      </c>
      <c r="Q497">
        <v>36</v>
      </c>
      <c r="R497">
        <v>30</v>
      </c>
      <c r="S497">
        <v>70</v>
      </c>
      <c r="T497">
        <v>42</v>
      </c>
      <c r="U497">
        <v>-0.03</v>
      </c>
      <c r="W497">
        <f>DataLog_T717420_Aug11_4_59_37pm[[#This Row],[RPM '[1/MIN']]]-Table3[[#This Row],[580C]]</f>
        <v>0</v>
      </c>
      <c r="X497">
        <f>DataLog_T717420_Aug11_4_59_37pm[[#This Row],[OIL TEMP '[Â°C']]]-Table3[[#This Row],[4402]]</f>
        <v>0</v>
      </c>
      <c r="Y497">
        <f>DataLog_T717420_Aug11_4_59_37pm[[#This Row],[INTAKE TEMP '[Â°C']]]-Table3[[#This Row],[580F]]</f>
        <v>0</v>
      </c>
      <c r="Z497">
        <f>DataLog_T717420_Aug11_4_59_37pm[[#This Row],[HPFP PRES. '[BAR']]]-Table3[[#This Row],[58F0]]</f>
        <v>0</v>
      </c>
      <c r="AA497">
        <f>DataLog_T717420_Aug11_4_59_37pm[[#This Row],[COOLANT TEMP '[Â°C']]]-Table3[[#This Row],[5805]]</f>
        <v>0</v>
      </c>
      <c r="AB497">
        <f>DataLog_T717420_Aug11_4_59_37pm[[#This Row],[BOOST '[BAR']]]-Table3[[#This Row],[58DD]]</f>
        <v>0</v>
      </c>
    </row>
    <row r="498" spans="2:28" x14ac:dyDescent="0.25">
      <c r="B498" s="2" t="s">
        <v>189</v>
      </c>
      <c r="C498" s="2" t="s">
        <v>30</v>
      </c>
      <c r="D498" s="2" t="s">
        <v>151</v>
      </c>
      <c r="E498" s="2" t="s">
        <v>172</v>
      </c>
      <c r="F498" s="2" t="s">
        <v>26</v>
      </c>
      <c r="G498" s="2" t="s">
        <v>98</v>
      </c>
      <c r="I498">
        <f>HEX2DEC(_0811_173439[[#This Row],[580C]])*B$4/B$5+B$6</f>
        <v>760</v>
      </c>
      <c r="J498">
        <f>HEX2DEC(_0811_173439[[#This Row],[4402]])*C$4/C$5+C$6</f>
        <v>36</v>
      </c>
      <c r="K498">
        <f>HEX2DEC(_0811_173439[[#This Row],[580F]])*D$4/D$5+D$6</f>
        <v>30</v>
      </c>
      <c r="L498">
        <f>ROUND(HEX2DEC(_0811_173439[[#This Row],[58F0]])*E$4/E$5+E$6,0)</f>
        <v>70</v>
      </c>
      <c r="M498">
        <f>ROUND(HEX2DEC(_0811_173439[[#This Row],[5805]])*F$4/F$5+F$6,0)</f>
        <v>42</v>
      </c>
      <c r="N498">
        <f>ROUND(HEX2DEC(_0811_173439[[#This Row],[58DD]])*G$4/G$5+G$6,2)</f>
        <v>-0.03</v>
      </c>
      <c r="P498">
        <v>760</v>
      </c>
      <c r="Q498">
        <v>36</v>
      </c>
      <c r="R498">
        <v>30</v>
      </c>
      <c r="S498">
        <v>70</v>
      </c>
      <c r="T498">
        <v>42</v>
      </c>
      <c r="U498">
        <v>-0.03</v>
      </c>
      <c r="W498">
        <f>DataLog_T717420_Aug11_4_59_37pm[[#This Row],[RPM '[1/MIN']]]-Table3[[#This Row],[580C]]</f>
        <v>0</v>
      </c>
      <c r="X498">
        <f>DataLog_T717420_Aug11_4_59_37pm[[#This Row],[OIL TEMP '[Â°C']]]-Table3[[#This Row],[4402]]</f>
        <v>0</v>
      </c>
      <c r="Y498">
        <f>DataLog_T717420_Aug11_4_59_37pm[[#This Row],[INTAKE TEMP '[Â°C']]]-Table3[[#This Row],[580F]]</f>
        <v>0</v>
      </c>
      <c r="Z498">
        <f>DataLog_T717420_Aug11_4_59_37pm[[#This Row],[HPFP PRES. '[BAR']]]-Table3[[#This Row],[58F0]]</f>
        <v>0</v>
      </c>
      <c r="AA498">
        <f>DataLog_T717420_Aug11_4_59_37pm[[#This Row],[COOLANT TEMP '[Â°C']]]-Table3[[#This Row],[5805]]</f>
        <v>0</v>
      </c>
      <c r="AB498">
        <f>DataLog_T717420_Aug11_4_59_37pm[[#This Row],[BOOST '[BAR']]]-Table3[[#This Row],[58DD]]</f>
        <v>0</v>
      </c>
    </row>
    <row r="499" spans="2:28" x14ac:dyDescent="0.25">
      <c r="B499" s="2" t="s">
        <v>189</v>
      </c>
      <c r="C499" s="2" t="s">
        <v>30</v>
      </c>
      <c r="D499" s="2" t="s">
        <v>151</v>
      </c>
      <c r="E499" s="2" t="s">
        <v>159</v>
      </c>
      <c r="F499" s="2" t="s">
        <v>26</v>
      </c>
      <c r="G499" s="2" t="s">
        <v>190</v>
      </c>
      <c r="I499">
        <f>HEX2DEC(_0811_173439[[#This Row],[580C]])*B$4/B$5+B$6</f>
        <v>760</v>
      </c>
      <c r="J499">
        <f>HEX2DEC(_0811_173439[[#This Row],[4402]])*C$4/C$5+C$6</f>
        <v>36</v>
      </c>
      <c r="K499">
        <f>HEX2DEC(_0811_173439[[#This Row],[580F]])*D$4/D$5+D$6</f>
        <v>30</v>
      </c>
      <c r="L499">
        <f>ROUND(HEX2DEC(_0811_173439[[#This Row],[58F0]])*E$4/E$5+E$6,0)</f>
        <v>70</v>
      </c>
      <c r="M499">
        <f>ROUND(HEX2DEC(_0811_173439[[#This Row],[5805]])*F$4/F$5+F$6,0)</f>
        <v>42</v>
      </c>
      <c r="N499">
        <f>ROUND(HEX2DEC(_0811_173439[[#This Row],[58DD]])*G$4/G$5+G$6,2)</f>
        <v>-0.03</v>
      </c>
      <c r="P499">
        <v>760</v>
      </c>
      <c r="Q499">
        <v>36</v>
      </c>
      <c r="R499">
        <v>30</v>
      </c>
      <c r="S499">
        <v>70</v>
      </c>
      <c r="T499">
        <v>42</v>
      </c>
      <c r="U499">
        <v>-0.03</v>
      </c>
      <c r="W499">
        <f>DataLog_T717420_Aug11_4_59_37pm[[#This Row],[RPM '[1/MIN']]]-Table3[[#This Row],[580C]]</f>
        <v>0</v>
      </c>
      <c r="X499">
        <f>DataLog_T717420_Aug11_4_59_37pm[[#This Row],[OIL TEMP '[Â°C']]]-Table3[[#This Row],[4402]]</f>
        <v>0</v>
      </c>
      <c r="Y499">
        <f>DataLog_T717420_Aug11_4_59_37pm[[#This Row],[INTAKE TEMP '[Â°C']]]-Table3[[#This Row],[580F]]</f>
        <v>0</v>
      </c>
      <c r="Z499">
        <f>DataLog_T717420_Aug11_4_59_37pm[[#This Row],[HPFP PRES. '[BAR']]]-Table3[[#This Row],[58F0]]</f>
        <v>0</v>
      </c>
      <c r="AA499">
        <f>DataLog_T717420_Aug11_4_59_37pm[[#This Row],[COOLANT TEMP '[Â°C']]]-Table3[[#This Row],[5805]]</f>
        <v>0</v>
      </c>
      <c r="AB499">
        <f>DataLog_T717420_Aug11_4_59_37pm[[#This Row],[BOOST '[BAR']]]-Table3[[#This Row],[58DD]]</f>
        <v>0</v>
      </c>
    </row>
    <row r="500" spans="2:28" x14ac:dyDescent="0.25">
      <c r="B500" s="2" t="s">
        <v>189</v>
      </c>
      <c r="C500" s="2" t="s">
        <v>30</v>
      </c>
      <c r="D500" s="2" t="s">
        <v>151</v>
      </c>
      <c r="E500" s="2" t="s">
        <v>93</v>
      </c>
      <c r="F500" s="2" t="s">
        <v>26</v>
      </c>
      <c r="G500" s="2" t="s">
        <v>191</v>
      </c>
      <c r="I500">
        <f>HEX2DEC(_0811_173439[[#This Row],[580C]])*B$4/B$5+B$6</f>
        <v>760</v>
      </c>
      <c r="J500">
        <f>HEX2DEC(_0811_173439[[#This Row],[4402]])*C$4/C$5+C$6</f>
        <v>36</v>
      </c>
      <c r="K500">
        <f>HEX2DEC(_0811_173439[[#This Row],[580F]])*D$4/D$5+D$6</f>
        <v>30</v>
      </c>
      <c r="L500">
        <f>ROUND(HEX2DEC(_0811_173439[[#This Row],[58F0]])*E$4/E$5+E$6,0)</f>
        <v>70</v>
      </c>
      <c r="M500">
        <f>ROUND(HEX2DEC(_0811_173439[[#This Row],[5805]])*F$4/F$5+F$6,0)</f>
        <v>42</v>
      </c>
      <c r="N500">
        <f>ROUND(HEX2DEC(_0811_173439[[#This Row],[58DD]])*G$4/G$5+G$6,2)</f>
        <v>-0.03</v>
      </c>
      <c r="P500">
        <v>760</v>
      </c>
      <c r="Q500">
        <v>36</v>
      </c>
      <c r="R500">
        <v>30</v>
      </c>
      <c r="S500">
        <v>70</v>
      </c>
      <c r="T500">
        <v>42</v>
      </c>
      <c r="U500">
        <v>-0.03</v>
      </c>
      <c r="W500">
        <f>DataLog_T717420_Aug11_4_59_37pm[[#This Row],[RPM '[1/MIN']]]-Table3[[#This Row],[580C]]</f>
        <v>0</v>
      </c>
      <c r="X500">
        <f>DataLog_T717420_Aug11_4_59_37pm[[#This Row],[OIL TEMP '[Â°C']]]-Table3[[#This Row],[4402]]</f>
        <v>0</v>
      </c>
      <c r="Y500">
        <f>DataLog_T717420_Aug11_4_59_37pm[[#This Row],[INTAKE TEMP '[Â°C']]]-Table3[[#This Row],[580F]]</f>
        <v>0</v>
      </c>
      <c r="Z500">
        <f>DataLog_T717420_Aug11_4_59_37pm[[#This Row],[HPFP PRES. '[BAR']]]-Table3[[#This Row],[58F0]]</f>
        <v>0</v>
      </c>
      <c r="AA500">
        <f>DataLog_T717420_Aug11_4_59_37pm[[#This Row],[COOLANT TEMP '[Â°C']]]-Table3[[#This Row],[5805]]</f>
        <v>0</v>
      </c>
      <c r="AB500">
        <f>DataLog_T717420_Aug11_4_59_37pm[[#This Row],[BOOST '[BAR']]]-Table3[[#This Row],[58DD]]</f>
        <v>0</v>
      </c>
    </row>
    <row r="501" spans="2:28" x14ac:dyDescent="0.25">
      <c r="B501" s="2" t="s">
        <v>189</v>
      </c>
      <c r="C501" s="2" t="s">
        <v>30</v>
      </c>
      <c r="D501" s="2" t="s">
        <v>151</v>
      </c>
      <c r="E501" s="2" t="s">
        <v>118</v>
      </c>
      <c r="F501" s="2" t="s">
        <v>26</v>
      </c>
      <c r="G501" s="2" t="s">
        <v>191</v>
      </c>
      <c r="I501">
        <f>HEX2DEC(_0811_173439[[#This Row],[580C]])*B$4/B$5+B$6</f>
        <v>760</v>
      </c>
      <c r="J501">
        <f>HEX2DEC(_0811_173439[[#This Row],[4402]])*C$4/C$5+C$6</f>
        <v>36</v>
      </c>
      <c r="K501">
        <f>HEX2DEC(_0811_173439[[#This Row],[580F]])*D$4/D$5+D$6</f>
        <v>30</v>
      </c>
      <c r="L501">
        <f>ROUND(HEX2DEC(_0811_173439[[#This Row],[58F0]])*E$4/E$5+E$6,0)</f>
        <v>70</v>
      </c>
      <c r="M501">
        <f>ROUND(HEX2DEC(_0811_173439[[#This Row],[5805]])*F$4/F$5+F$6,0)</f>
        <v>42</v>
      </c>
      <c r="N501">
        <f>ROUND(HEX2DEC(_0811_173439[[#This Row],[58DD]])*G$4/G$5+G$6,2)</f>
        <v>-0.03</v>
      </c>
      <c r="P501">
        <v>760</v>
      </c>
      <c r="Q501">
        <v>36</v>
      </c>
      <c r="R501">
        <v>30</v>
      </c>
      <c r="S501">
        <v>70</v>
      </c>
      <c r="T501">
        <v>42</v>
      </c>
      <c r="U501">
        <v>-0.03</v>
      </c>
      <c r="W501">
        <f>DataLog_T717420_Aug11_4_59_37pm[[#This Row],[RPM '[1/MIN']]]-Table3[[#This Row],[580C]]</f>
        <v>0</v>
      </c>
      <c r="X501">
        <f>DataLog_T717420_Aug11_4_59_37pm[[#This Row],[OIL TEMP '[Â°C']]]-Table3[[#This Row],[4402]]</f>
        <v>0</v>
      </c>
      <c r="Y501">
        <f>DataLog_T717420_Aug11_4_59_37pm[[#This Row],[INTAKE TEMP '[Â°C']]]-Table3[[#This Row],[580F]]</f>
        <v>0</v>
      </c>
      <c r="Z501">
        <f>DataLog_T717420_Aug11_4_59_37pm[[#This Row],[HPFP PRES. '[BAR']]]-Table3[[#This Row],[58F0]]</f>
        <v>0</v>
      </c>
      <c r="AA501">
        <f>DataLog_T717420_Aug11_4_59_37pm[[#This Row],[COOLANT TEMP '[Â°C']]]-Table3[[#This Row],[5805]]</f>
        <v>0</v>
      </c>
      <c r="AB501">
        <f>DataLog_T717420_Aug11_4_59_37pm[[#This Row],[BOOST '[BAR']]]-Table3[[#This Row],[58DD]]</f>
        <v>0</v>
      </c>
    </row>
    <row r="502" spans="2:28" x14ac:dyDescent="0.25">
      <c r="B502" s="2" t="s">
        <v>189</v>
      </c>
      <c r="C502" s="2" t="s">
        <v>30</v>
      </c>
      <c r="D502" s="2" t="s">
        <v>151</v>
      </c>
      <c r="E502" s="2" t="s">
        <v>215</v>
      </c>
      <c r="F502" s="2" t="s">
        <v>26</v>
      </c>
      <c r="G502" s="2" t="s">
        <v>216</v>
      </c>
      <c r="I502">
        <f>HEX2DEC(_0811_173439[[#This Row],[580C]])*B$4/B$5+B$6</f>
        <v>760</v>
      </c>
      <c r="J502">
        <f>HEX2DEC(_0811_173439[[#This Row],[4402]])*C$4/C$5+C$6</f>
        <v>36</v>
      </c>
      <c r="K502">
        <f>HEX2DEC(_0811_173439[[#This Row],[580F]])*D$4/D$5+D$6</f>
        <v>30</v>
      </c>
      <c r="L502">
        <f>ROUND(HEX2DEC(_0811_173439[[#This Row],[58F0]])*E$4/E$5+E$6,0)</f>
        <v>70</v>
      </c>
      <c r="M502">
        <f>ROUND(HEX2DEC(_0811_173439[[#This Row],[5805]])*F$4/F$5+F$6,0)</f>
        <v>42</v>
      </c>
      <c r="N502">
        <f>ROUND(HEX2DEC(_0811_173439[[#This Row],[58DD]])*G$4/G$5+G$6,2)</f>
        <v>-0.03</v>
      </c>
      <c r="P502">
        <v>760</v>
      </c>
      <c r="Q502">
        <v>36</v>
      </c>
      <c r="R502">
        <v>30</v>
      </c>
      <c r="S502">
        <v>70</v>
      </c>
      <c r="T502">
        <v>42</v>
      </c>
      <c r="U502">
        <v>-0.03</v>
      </c>
      <c r="W502">
        <f>DataLog_T717420_Aug11_4_59_37pm[[#This Row],[RPM '[1/MIN']]]-Table3[[#This Row],[580C]]</f>
        <v>0</v>
      </c>
      <c r="X502">
        <f>DataLog_T717420_Aug11_4_59_37pm[[#This Row],[OIL TEMP '[Â°C']]]-Table3[[#This Row],[4402]]</f>
        <v>0</v>
      </c>
      <c r="Y502">
        <f>DataLog_T717420_Aug11_4_59_37pm[[#This Row],[INTAKE TEMP '[Â°C']]]-Table3[[#This Row],[580F]]</f>
        <v>0</v>
      </c>
      <c r="Z502">
        <f>DataLog_T717420_Aug11_4_59_37pm[[#This Row],[HPFP PRES. '[BAR']]]-Table3[[#This Row],[58F0]]</f>
        <v>0</v>
      </c>
      <c r="AA502">
        <f>DataLog_T717420_Aug11_4_59_37pm[[#This Row],[COOLANT TEMP '[Â°C']]]-Table3[[#This Row],[5805]]</f>
        <v>0</v>
      </c>
      <c r="AB502">
        <f>DataLog_T717420_Aug11_4_59_37pm[[#This Row],[BOOST '[BAR']]]-Table3[[#This Row],[58DD]]</f>
        <v>0</v>
      </c>
    </row>
    <row r="503" spans="2:28" x14ac:dyDescent="0.25">
      <c r="B503" s="2" t="s">
        <v>189</v>
      </c>
      <c r="C503" s="2" t="s">
        <v>30</v>
      </c>
      <c r="D503" s="2" t="s">
        <v>151</v>
      </c>
      <c r="E503" s="2" t="s">
        <v>93</v>
      </c>
      <c r="F503" s="2" t="s">
        <v>26</v>
      </c>
      <c r="G503" s="2" t="s">
        <v>213</v>
      </c>
      <c r="I503">
        <f>HEX2DEC(_0811_173439[[#This Row],[580C]])*B$4/B$5+B$6</f>
        <v>760</v>
      </c>
      <c r="J503">
        <f>HEX2DEC(_0811_173439[[#This Row],[4402]])*C$4/C$5+C$6</f>
        <v>36</v>
      </c>
      <c r="K503">
        <f>HEX2DEC(_0811_173439[[#This Row],[580F]])*D$4/D$5+D$6</f>
        <v>30</v>
      </c>
      <c r="L503">
        <f>ROUND(HEX2DEC(_0811_173439[[#This Row],[58F0]])*E$4/E$5+E$6,0)</f>
        <v>70</v>
      </c>
      <c r="M503">
        <f>ROUND(HEX2DEC(_0811_173439[[#This Row],[5805]])*F$4/F$5+F$6,0)</f>
        <v>42</v>
      </c>
      <c r="N503">
        <f>ROUND(HEX2DEC(_0811_173439[[#This Row],[58DD]])*G$4/G$5+G$6,2)</f>
        <v>-0.03</v>
      </c>
      <c r="P503">
        <v>760</v>
      </c>
      <c r="Q503">
        <v>36</v>
      </c>
      <c r="R503">
        <v>30</v>
      </c>
      <c r="S503">
        <v>70</v>
      </c>
      <c r="T503">
        <v>42</v>
      </c>
      <c r="U503">
        <v>-0.03</v>
      </c>
      <c r="W503">
        <f>DataLog_T717420_Aug11_4_59_37pm[[#This Row],[RPM '[1/MIN']]]-Table3[[#This Row],[580C]]</f>
        <v>0</v>
      </c>
      <c r="X503">
        <f>DataLog_T717420_Aug11_4_59_37pm[[#This Row],[OIL TEMP '[Â°C']]]-Table3[[#This Row],[4402]]</f>
        <v>0</v>
      </c>
      <c r="Y503">
        <f>DataLog_T717420_Aug11_4_59_37pm[[#This Row],[INTAKE TEMP '[Â°C']]]-Table3[[#This Row],[580F]]</f>
        <v>0</v>
      </c>
      <c r="Z503">
        <f>DataLog_T717420_Aug11_4_59_37pm[[#This Row],[HPFP PRES. '[BAR']]]-Table3[[#This Row],[58F0]]</f>
        <v>0</v>
      </c>
      <c r="AA503">
        <f>DataLog_T717420_Aug11_4_59_37pm[[#This Row],[COOLANT TEMP '[Â°C']]]-Table3[[#This Row],[5805]]</f>
        <v>0</v>
      </c>
      <c r="AB503">
        <f>DataLog_T717420_Aug11_4_59_37pm[[#This Row],[BOOST '[BAR']]]-Table3[[#This Row],[58DD]]</f>
        <v>0</v>
      </c>
    </row>
    <row r="504" spans="2:28" x14ac:dyDescent="0.25">
      <c r="B504" s="2" t="s">
        <v>189</v>
      </c>
      <c r="C504" s="2" t="s">
        <v>30</v>
      </c>
      <c r="D504" s="2" t="s">
        <v>151</v>
      </c>
      <c r="E504" s="2" t="s">
        <v>118</v>
      </c>
      <c r="F504" s="2" t="s">
        <v>26</v>
      </c>
      <c r="G504" s="2" t="s">
        <v>191</v>
      </c>
      <c r="I504">
        <f>HEX2DEC(_0811_173439[[#This Row],[580C]])*B$4/B$5+B$6</f>
        <v>760</v>
      </c>
      <c r="J504">
        <f>HEX2DEC(_0811_173439[[#This Row],[4402]])*C$4/C$5+C$6</f>
        <v>36</v>
      </c>
      <c r="K504">
        <f>HEX2DEC(_0811_173439[[#This Row],[580F]])*D$4/D$5+D$6</f>
        <v>30</v>
      </c>
      <c r="L504">
        <f>ROUND(HEX2DEC(_0811_173439[[#This Row],[58F0]])*E$4/E$5+E$6,0)</f>
        <v>70</v>
      </c>
      <c r="M504">
        <f>ROUND(HEX2DEC(_0811_173439[[#This Row],[5805]])*F$4/F$5+F$6,0)</f>
        <v>42</v>
      </c>
      <c r="N504">
        <f>ROUND(HEX2DEC(_0811_173439[[#This Row],[58DD]])*G$4/G$5+G$6,2)</f>
        <v>-0.03</v>
      </c>
      <c r="P504">
        <v>760</v>
      </c>
      <c r="Q504">
        <v>36</v>
      </c>
      <c r="R504">
        <v>30</v>
      </c>
      <c r="S504">
        <v>70</v>
      </c>
      <c r="T504">
        <v>42</v>
      </c>
      <c r="U504">
        <v>-0.03</v>
      </c>
      <c r="W504">
        <f>DataLog_T717420_Aug11_4_59_37pm[[#This Row],[RPM '[1/MIN']]]-Table3[[#This Row],[580C]]</f>
        <v>0</v>
      </c>
      <c r="X504">
        <f>DataLog_T717420_Aug11_4_59_37pm[[#This Row],[OIL TEMP '[Â°C']]]-Table3[[#This Row],[4402]]</f>
        <v>0</v>
      </c>
      <c r="Y504">
        <f>DataLog_T717420_Aug11_4_59_37pm[[#This Row],[INTAKE TEMP '[Â°C']]]-Table3[[#This Row],[580F]]</f>
        <v>0</v>
      </c>
      <c r="Z504">
        <f>DataLog_T717420_Aug11_4_59_37pm[[#This Row],[HPFP PRES. '[BAR']]]-Table3[[#This Row],[58F0]]</f>
        <v>0</v>
      </c>
      <c r="AA504">
        <f>DataLog_T717420_Aug11_4_59_37pm[[#This Row],[COOLANT TEMP '[Â°C']]]-Table3[[#This Row],[5805]]</f>
        <v>0</v>
      </c>
      <c r="AB504">
        <f>DataLog_T717420_Aug11_4_59_37pm[[#This Row],[BOOST '[BAR']]]-Table3[[#This Row],[58DD]]</f>
        <v>0</v>
      </c>
    </row>
    <row r="505" spans="2:28" x14ac:dyDescent="0.25">
      <c r="B505" s="2" t="s">
        <v>189</v>
      </c>
      <c r="C505" s="2" t="s">
        <v>30</v>
      </c>
      <c r="D505" s="2" t="s">
        <v>151</v>
      </c>
      <c r="E505" s="2" t="s">
        <v>132</v>
      </c>
      <c r="F505" s="2" t="s">
        <v>26</v>
      </c>
      <c r="G505" s="2" t="s">
        <v>190</v>
      </c>
      <c r="I505">
        <f>HEX2DEC(_0811_173439[[#This Row],[580C]])*B$4/B$5+B$6</f>
        <v>760</v>
      </c>
      <c r="J505">
        <f>HEX2DEC(_0811_173439[[#This Row],[4402]])*C$4/C$5+C$6</f>
        <v>36</v>
      </c>
      <c r="K505">
        <f>HEX2DEC(_0811_173439[[#This Row],[580F]])*D$4/D$5+D$6</f>
        <v>30</v>
      </c>
      <c r="L505">
        <f>ROUND(HEX2DEC(_0811_173439[[#This Row],[58F0]])*E$4/E$5+E$6,0)</f>
        <v>70</v>
      </c>
      <c r="M505">
        <f>ROUND(HEX2DEC(_0811_173439[[#This Row],[5805]])*F$4/F$5+F$6,0)</f>
        <v>42</v>
      </c>
      <c r="N505">
        <f>ROUND(HEX2DEC(_0811_173439[[#This Row],[58DD]])*G$4/G$5+G$6,2)</f>
        <v>-0.03</v>
      </c>
      <c r="P505">
        <v>760</v>
      </c>
      <c r="Q505">
        <v>36</v>
      </c>
      <c r="R505">
        <v>30</v>
      </c>
      <c r="S505">
        <v>70</v>
      </c>
      <c r="T505">
        <v>42</v>
      </c>
      <c r="U505">
        <v>-0.03</v>
      </c>
      <c r="W505">
        <f>DataLog_T717420_Aug11_4_59_37pm[[#This Row],[RPM '[1/MIN']]]-Table3[[#This Row],[580C]]</f>
        <v>0</v>
      </c>
      <c r="X505">
        <f>DataLog_T717420_Aug11_4_59_37pm[[#This Row],[OIL TEMP '[Â°C']]]-Table3[[#This Row],[4402]]</f>
        <v>0</v>
      </c>
      <c r="Y505">
        <f>DataLog_T717420_Aug11_4_59_37pm[[#This Row],[INTAKE TEMP '[Â°C']]]-Table3[[#This Row],[580F]]</f>
        <v>0</v>
      </c>
      <c r="Z505">
        <f>DataLog_T717420_Aug11_4_59_37pm[[#This Row],[HPFP PRES. '[BAR']]]-Table3[[#This Row],[58F0]]</f>
        <v>0</v>
      </c>
      <c r="AA505">
        <f>DataLog_T717420_Aug11_4_59_37pm[[#This Row],[COOLANT TEMP '[Â°C']]]-Table3[[#This Row],[5805]]</f>
        <v>0</v>
      </c>
      <c r="AB505">
        <f>DataLog_T717420_Aug11_4_59_37pm[[#This Row],[BOOST '[BAR']]]-Table3[[#This Row],[58DD]]</f>
        <v>0</v>
      </c>
    </row>
    <row r="506" spans="2:28" x14ac:dyDescent="0.25">
      <c r="B506" s="2" t="s">
        <v>189</v>
      </c>
      <c r="C506" s="2" t="s">
        <v>30</v>
      </c>
      <c r="D506" s="2" t="s">
        <v>151</v>
      </c>
      <c r="E506" s="2" t="s">
        <v>93</v>
      </c>
      <c r="F506" s="2" t="s">
        <v>26</v>
      </c>
      <c r="G506" s="2" t="s">
        <v>190</v>
      </c>
      <c r="I506">
        <f>HEX2DEC(_0811_173439[[#This Row],[580C]])*B$4/B$5+B$6</f>
        <v>760</v>
      </c>
      <c r="J506">
        <f>HEX2DEC(_0811_173439[[#This Row],[4402]])*C$4/C$5+C$6</f>
        <v>36</v>
      </c>
      <c r="K506">
        <f>HEX2DEC(_0811_173439[[#This Row],[580F]])*D$4/D$5+D$6</f>
        <v>30</v>
      </c>
      <c r="L506">
        <f>ROUND(HEX2DEC(_0811_173439[[#This Row],[58F0]])*E$4/E$5+E$6,0)</f>
        <v>70</v>
      </c>
      <c r="M506">
        <f>ROUND(HEX2DEC(_0811_173439[[#This Row],[5805]])*F$4/F$5+F$6,0)</f>
        <v>42</v>
      </c>
      <c r="N506">
        <f>ROUND(HEX2DEC(_0811_173439[[#This Row],[58DD]])*G$4/G$5+G$6,2)</f>
        <v>-0.03</v>
      </c>
      <c r="P506">
        <v>760</v>
      </c>
      <c r="Q506">
        <v>36</v>
      </c>
      <c r="R506">
        <v>30</v>
      </c>
      <c r="S506">
        <v>70</v>
      </c>
      <c r="T506">
        <v>42</v>
      </c>
      <c r="U506">
        <v>-0.03</v>
      </c>
      <c r="W506">
        <f>DataLog_T717420_Aug11_4_59_37pm[[#This Row],[RPM '[1/MIN']]]-Table3[[#This Row],[580C]]</f>
        <v>0</v>
      </c>
      <c r="X506">
        <f>DataLog_T717420_Aug11_4_59_37pm[[#This Row],[OIL TEMP '[Â°C']]]-Table3[[#This Row],[4402]]</f>
        <v>0</v>
      </c>
      <c r="Y506">
        <f>DataLog_T717420_Aug11_4_59_37pm[[#This Row],[INTAKE TEMP '[Â°C']]]-Table3[[#This Row],[580F]]</f>
        <v>0</v>
      </c>
      <c r="Z506">
        <f>DataLog_T717420_Aug11_4_59_37pm[[#This Row],[HPFP PRES. '[BAR']]]-Table3[[#This Row],[58F0]]</f>
        <v>0</v>
      </c>
      <c r="AA506">
        <f>DataLog_T717420_Aug11_4_59_37pm[[#This Row],[COOLANT TEMP '[Â°C']]]-Table3[[#This Row],[5805]]</f>
        <v>0</v>
      </c>
      <c r="AB506">
        <f>DataLog_T717420_Aug11_4_59_37pm[[#This Row],[BOOST '[BAR']]]-Table3[[#This Row],[58DD]]</f>
        <v>0</v>
      </c>
    </row>
    <row r="507" spans="2:28" x14ac:dyDescent="0.25">
      <c r="B507" s="2" t="s">
        <v>189</v>
      </c>
      <c r="C507" s="2" t="s">
        <v>30</v>
      </c>
      <c r="D507" s="2" t="s">
        <v>151</v>
      </c>
      <c r="E507" s="2" t="s">
        <v>93</v>
      </c>
      <c r="F507" s="2" t="s">
        <v>26</v>
      </c>
      <c r="G507" s="2" t="s">
        <v>96</v>
      </c>
      <c r="I507">
        <f>HEX2DEC(_0811_173439[[#This Row],[580C]])*B$4/B$5+B$6</f>
        <v>760</v>
      </c>
      <c r="J507">
        <f>HEX2DEC(_0811_173439[[#This Row],[4402]])*C$4/C$5+C$6</f>
        <v>36</v>
      </c>
      <c r="K507">
        <f>HEX2DEC(_0811_173439[[#This Row],[580F]])*D$4/D$5+D$6</f>
        <v>30</v>
      </c>
      <c r="L507">
        <f>ROUND(HEX2DEC(_0811_173439[[#This Row],[58F0]])*E$4/E$5+E$6,0)</f>
        <v>70</v>
      </c>
      <c r="M507">
        <f>ROUND(HEX2DEC(_0811_173439[[#This Row],[5805]])*F$4/F$5+F$6,0)</f>
        <v>42</v>
      </c>
      <c r="N507">
        <f>ROUND(HEX2DEC(_0811_173439[[#This Row],[58DD]])*G$4/G$5+G$6,2)</f>
        <v>-0.03</v>
      </c>
      <c r="P507">
        <v>760</v>
      </c>
      <c r="Q507">
        <v>36</v>
      </c>
      <c r="R507">
        <v>30</v>
      </c>
      <c r="S507">
        <v>70</v>
      </c>
      <c r="T507">
        <v>42</v>
      </c>
      <c r="U507">
        <v>-0.03</v>
      </c>
      <c r="W507">
        <f>DataLog_T717420_Aug11_4_59_37pm[[#This Row],[RPM '[1/MIN']]]-Table3[[#This Row],[580C]]</f>
        <v>0</v>
      </c>
      <c r="X507">
        <f>DataLog_T717420_Aug11_4_59_37pm[[#This Row],[OIL TEMP '[Â°C']]]-Table3[[#This Row],[4402]]</f>
        <v>0</v>
      </c>
      <c r="Y507">
        <f>DataLog_T717420_Aug11_4_59_37pm[[#This Row],[INTAKE TEMP '[Â°C']]]-Table3[[#This Row],[580F]]</f>
        <v>0</v>
      </c>
      <c r="Z507">
        <f>DataLog_T717420_Aug11_4_59_37pm[[#This Row],[HPFP PRES. '[BAR']]]-Table3[[#This Row],[58F0]]</f>
        <v>0</v>
      </c>
      <c r="AA507">
        <f>DataLog_T717420_Aug11_4_59_37pm[[#This Row],[COOLANT TEMP '[Â°C']]]-Table3[[#This Row],[5805]]</f>
        <v>0</v>
      </c>
      <c r="AB507">
        <f>DataLog_T717420_Aug11_4_59_37pm[[#This Row],[BOOST '[BAR']]]-Table3[[#This Row],[58DD]]</f>
        <v>0</v>
      </c>
    </row>
    <row r="508" spans="2:28" x14ac:dyDescent="0.25">
      <c r="B508" s="2" t="s">
        <v>189</v>
      </c>
      <c r="C508" s="2" t="s">
        <v>30</v>
      </c>
      <c r="D508" s="2" t="s">
        <v>151</v>
      </c>
      <c r="E508" s="2" t="s">
        <v>122</v>
      </c>
      <c r="F508" s="2" t="s">
        <v>26</v>
      </c>
      <c r="G508" s="2" t="s">
        <v>98</v>
      </c>
      <c r="I508">
        <f>HEX2DEC(_0811_173439[[#This Row],[580C]])*B$4/B$5+B$6</f>
        <v>760</v>
      </c>
      <c r="J508">
        <f>HEX2DEC(_0811_173439[[#This Row],[4402]])*C$4/C$5+C$6</f>
        <v>36</v>
      </c>
      <c r="K508">
        <f>HEX2DEC(_0811_173439[[#This Row],[580F]])*D$4/D$5+D$6</f>
        <v>30</v>
      </c>
      <c r="L508">
        <f>ROUND(HEX2DEC(_0811_173439[[#This Row],[58F0]])*E$4/E$5+E$6,0)</f>
        <v>71</v>
      </c>
      <c r="M508">
        <f>ROUND(HEX2DEC(_0811_173439[[#This Row],[5805]])*F$4/F$5+F$6,0)</f>
        <v>42</v>
      </c>
      <c r="N508">
        <f>ROUND(HEX2DEC(_0811_173439[[#This Row],[58DD]])*G$4/G$5+G$6,2)</f>
        <v>-0.03</v>
      </c>
      <c r="P508">
        <v>760</v>
      </c>
      <c r="Q508">
        <v>36</v>
      </c>
      <c r="R508">
        <v>30</v>
      </c>
      <c r="S508">
        <v>71</v>
      </c>
      <c r="T508">
        <v>42</v>
      </c>
      <c r="U508">
        <v>-0.03</v>
      </c>
      <c r="W508">
        <f>DataLog_T717420_Aug11_4_59_37pm[[#This Row],[RPM '[1/MIN']]]-Table3[[#This Row],[580C]]</f>
        <v>0</v>
      </c>
      <c r="X508">
        <f>DataLog_T717420_Aug11_4_59_37pm[[#This Row],[OIL TEMP '[Â°C']]]-Table3[[#This Row],[4402]]</f>
        <v>0</v>
      </c>
      <c r="Y508">
        <f>DataLog_T717420_Aug11_4_59_37pm[[#This Row],[INTAKE TEMP '[Â°C']]]-Table3[[#This Row],[580F]]</f>
        <v>0</v>
      </c>
      <c r="Z508">
        <f>DataLog_T717420_Aug11_4_59_37pm[[#This Row],[HPFP PRES. '[BAR']]]-Table3[[#This Row],[58F0]]</f>
        <v>0</v>
      </c>
      <c r="AA508">
        <f>DataLog_T717420_Aug11_4_59_37pm[[#This Row],[COOLANT TEMP '[Â°C']]]-Table3[[#This Row],[5805]]</f>
        <v>0</v>
      </c>
      <c r="AB508">
        <f>DataLog_T717420_Aug11_4_59_37pm[[#This Row],[BOOST '[BAR']]]-Table3[[#This Row],[58DD]]</f>
        <v>0</v>
      </c>
    </row>
    <row r="509" spans="2:28" x14ac:dyDescent="0.25">
      <c r="B509" s="2" t="s">
        <v>189</v>
      </c>
      <c r="C509" s="2" t="s">
        <v>30</v>
      </c>
      <c r="D509" s="2" t="s">
        <v>151</v>
      </c>
      <c r="E509" s="2" t="s">
        <v>118</v>
      </c>
      <c r="F509" s="2" t="s">
        <v>26</v>
      </c>
      <c r="G509" s="2" t="s">
        <v>187</v>
      </c>
      <c r="I509">
        <f>HEX2DEC(_0811_173439[[#This Row],[580C]])*B$4/B$5+B$6</f>
        <v>760</v>
      </c>
      <c r="J509">
        <f>HEX2DEC(_0811_173439[[#This Row],[4402]])*C$4/C$5+C$6</f>
        <v>36</v>
      </c>
      <c r="K509">
        <f>HEX2DEC(_0811_173439[[#This Row],[580F]])*D$4/D$5+D$6</f>
        <v>30</v>
      </c>
      <c r="L509">
        <f>ROUND(HEX2DEC(_0811_173439[[#This Row],[58F0]])*E$4/E$5+E$6,0)</f>
        <v>70</v>
      </c>
      <c r="M509">
        <f>ROUND(HEX2DEC(_0811_173439[[#This Row],[5805]])*F$4/F$5+F$6,0)</f>
        <v>42</v>
      </c>
      <c r="N509">
        <f>ROUND(HEX2DEC(_0811_173439[[#This Row],[58DD]])*G$4/G$5+G$6,2)</f>
        <v>-0.03</v>
      </c>
      <c r="P509">
        <v>760</v>
      </c>
      <c r="Q509">
        <v>36</v>
      </c>
      <c r="R509">
        <v>30</v>
      </c>
      <c r="S509">
        <v>70</v>
      </c>
      <c r="T509">
        <v>42</v>
      </c>
      <c r="U509">
        <v>-0.03</v>
      </c>
      <c r="W509">
        <f>DataLog_T717420_Aug11_4_59_37pm[[#This Row],[RPM '[1/MIN']]]-Table3[[#This Row],[580C]]</f>
        <v>0</v>
      </c>
      <c r="X509">
        <f>DataLog_T717420_Aug11_4_59_37pm[[#This Row],[OIL TEMP '[Â°C']]]-Table3[[#This Row],[4402]]</f>
        <v>0</v>
      </c>
      <c r="Y509">
        <f>DataLog_T717420_Aug11_4_59_37pm[[#This Row],[INTAKE TEMP '[Â°C']]]-Table3[[#This Row],[580F]]</f>
        <v>0</v>
      </c>
      <c r="Z509">
        <f>DataLog_T717420_Aug11_4_59_37pm[[#This Row],[HPFP PRES. '[BAR']]]-Table3[[#This Row],[58F0]]</f>
        <v>0</v>
      </c>
      <c r="AA509">
        <f>DataLog_T717420_Aug11_4_59_37pm[[#This Row],[COOLANT TEMP '[Â°C']]]-Table3[[#This Row],[5805]]</f>
        <v>0</v>
      </c>
      <c r="AB509">
        <f>DataLog_T717420_Aug11_4_59_37pm[[#This Row],[BOOST '[BAR']]]-Table3[[#This Row],[58DD]]</f>
        <v>0</v>
      </c>
    </row>
    <row r="510" spans="2:28" x14ac:dyDescent="0.25">
      <c r="B510" s="2" t="s">
        <v>189</v>
      </c>
      <c r="C510" s="2" t="s">
        <v>30</v>
      </c>
      <c r="D510" s="2" t="s">
        <v>151</v>
      </c>
      <c r="E510" s="2" t="s">
        <v>122</v>
      </c>
      <c r="F510" s="2" t="s">
        <v>26</v>
      </c>
      <c r="G510" s="2" t="s">
        <v>190</v>
      </c>
      <c r="I510">
        <f>HEX2DEC(_0811_173439[[#This Row],[580C]])*B$4/B$5+B$6</f>
        <v>760</v>
      </c>
      <c r="J510">
        <f>HEX2DEC(_0811_173439[[#This Row],[4402]])*C$4/C$5+C$6</f>
        <v>36</v>
      </c>
      <c r="K510">
        <f>HEX2DEC(_0811_173439[[#This Row],[580F]])*D$4/D$5+D$6</f>
        <v>30</v>
      </c>
      <c r="L510">
        <f>ROUND(HEX2DEC(_0811_173439[[#This Row],[58F0]])*E$4/E$5+E$6,0)</f>
        <v>71</v>
      </c>
      <c r="M510">
        <f>ROUND(HEX2DEC(_0811_173439[[#This Row],[5805]])*F$4/F$5+F$6,0)</f>
        <v>42</v>
      </c>
      <c r="N510">
        <f>ROUND(HEX2DEC(_0811_173439[[#This Row],[58DD]])*G$4/G$5+G$6,2)</f>
        <v>-0.03</v>
      </c>
      <c r="P510">
        <v>760</v>
      </c>
      <c r="Q510">
        <v>36</v>
      </c>
      <c r="R510">
        <v>30</v>
      </c>
      <c r="S510">
        <v>71</v>
      </c>
      <c r="T510">
        <v>42</v>
      </c>
      <c r="U510">
        <v>-0.03</v>
      </c>
      <c r="W510">
        <f>DataLog_T717420_Aug11_4_59_37pm[[#This Row],[RPM '[1/MIN']]]-Table3[[#This Row],[580C]]</f>
        <v>0</v>
      </c>
      <c r="X510">
        <f>DataLog_T717420_Aug11_4_59_37pm[[#This Row],[OIL TEMP '[Â°C']]]-Table3[[#This Row],[4402]]</f>
        <v>0</v>
      </c>
      <c r="Y510">
        <f>DataLog_T717420_Aug11_4_59_37pm[[#This Row],[INTAKE TEMP '[Â°C']]]-Table3[[#This Row],[580F]]</f>
        <v>0</v>
      </c>
      <c r="Z510">
        <f>DataLog_T717420_Aug11_4_59_37pm[[#This Row],[HPFP PRES. '[BAR']]]-Table3[[#This Row],[58F0]]</f>
        <v>0</v>
      </c>
      <c r="AA510">
        <f>DataLog_T717420_Aug11_4_59_37pm[[#This Row],[COOLANT TEMP '[Â°C']]]-Table3[[#This Row],[5805]]</f>
        <v>0</v>
      </c>
      <c r="AB510">
        <f>DataLog_T717420_Aug11_4_59_37pm[[#This Row],[BOOST '[BAR']]]-Table3[[#This Row],[58DD]]</f>
        <v>0</v>
      </c>
    </row>
    <row r="511" spans="2:28" x14ac:dyDescent="0.25">
      <c r="B511" s="2" t="s">
        <v>189</v>
      </c>
      <c r="C511" s="2" t="s">
        <v>30</v>
      </c>
      <c r="D511" s="2" t="s">
        <v>151</v>
      </c>
      <c r="E511" s="2" t="s">
        <v>140</v>
      </c>
      <c r="F511" s="2" t="s">
        <v>26</v>
      </c>
      <c r="G511" s="2" t="s">
        <v>191</v>
      </c>
      <c r="I511">
        <f>HEX2DEC(_0811_173439[[#This Row],[580C]])*B$4/B$5+B$6</f>
        <v>760</v>
      </c>
      <c r="J511">
        <f>HEX2DEC(_0811_173439[[#This Row],[4402]])*C$4/C$5+C$6</f>
        <v>36</v>
      </c>
      <c r="K511">
        <f>HEX2DEC(_0811_173439[[#This Row],[580F]])*D$4/D$5+D$6</f>
        <v>30</v>
      </c>
      <c r="L511">
        <f>ROUND(HEX2DEC(_0811_173439[[#This Row],[58F0]])*E$4/E$5+E$6,0)</f>
        <v>71</v>
      </c>
      <c r="M511">
        <f>ROUND(HEX2DEC(_0811_173439[[#This Row],[5805]])*F$4/F$5+F$6,0)</f>
        <v>42</v>
      </c>
      <c r="N511">
        <f>ROUND(HEX2DEC(_0811_173439[[#This Row],[58DD]])*G$4/G$5+G$6,2)</f>
        <v>-0.03</v>
      </c>
      <c r="P511">
        <v>760</v>
      </c>
      <c r="Q511">
        <v>36</v>
      </c>
      <c r="R511">
        <v>30</v>
      </c>
      <c r="S511">
        <v>71</v>
      </c>
      <c r="T511">
        <v>42</v>
      </c>
      <c r="U511">
        <v>-0.03</v>
      </c>
      <c r="W511">
        <f>DataLog_T717420_Aug11_4_59_37pm[[#This Row],[RPM '[1/MIN']]]-Table3[[#This Row],[580C]]</f>
        <v>0</v>
      </c>
      <c r="X511">
        <f>DataLog_T717420_Aug11_4_59_37pm[[#This Row],[OIL TEMP '[Â°C']]]-Table3[[#This Row],[4402]]</f>
        <v>0</v>
      </c>
      <c r="Y511">
        <f>DataLog_T717420_Aug11_4_59_37pm[[#This Row],[INTAKE TEMP '[Â°C']]]-Table3[[#This Row],[580F]]</f>
        <v>0</v>
      </c>
      <c r="Z511">
        <f>DataLog_T717420_Aug11_4_59_37pm[[#This Row],[HPFP PRES. '[BAR']]]-Table3[[#This Row],[58F0]]</f>
        <v>0</v>
      </c>
      <c r="AA511">
        <f>DataLog_T717420_Aug11_4_59_37pm[[#This Row],[COOLANT TEMP '[Â°C']]]-Table3[[#This Row],[5805]]</f>
        <v>0</v>
      </c>
      <c r="AB511">
        <f>DataLog_T717420_Aug11_4_59_37pm[[#This Row],[BOOST '[BAR']]]-Table3[[#This Row],[58DD]]</f>
        <v>0</v>
      </c>
    </row>
    <row r="512" spans="2:28" x14ac:dyDescent="0.25">
      <c r="B512" s="2" t="s">
        <v>189</v>
      </c>
      <c r="C512" s="2" t="s">
        <v>30</v>
      </c>
      <c r="D512" s="2" t="s">
        <v>151</v>
      </c>
      <c r="E512" s="2" t="s">
        <v>118</v>
      </c>
      <c r="F512" s="2" t="s">
        <v>26</v>
      </c>
      <c r="G512" s="2" t="s">
        <v>191</v>
      </c>
      <c r="I512">
        <f>HEX2DEC(_0811_173439[[#This Row],[580C]])*B$4/B$5+B$6</f>
        <v>760</v>
      </c>
      <c r="J512">
        <f>HEX2DEC(_0811_173439[[#This Row],[4402]])*C$4/C$5+C$6</f>
        <v>36</v>
      </c>
      <c r="K512">
        <f>HEX2DEC(_0811_173439[[#This Row],[580F]])*D$4/D$5+D$6</f>
        <v>30</v>
      </c>
      <c r="L512">
        <f>ROUND(HEX2DEC(_0811_173439[[#This Row],[58F0]])*E$4/E$5+E$6,0)</f>
        <v>70</v>
      </c>
      <c r="M512">
        <f>ROUND(HEX2DEC(_0811_173439[[#This Row],[5805]])*F$4/F$5+F$6,0)</f>
        <v>42</v>
      </c>
      <c r="N512">
        <f>ROUND(HEX2DEC(_0811_173439[[#This Row],[58DD]])*G$4/G$5+G$6,2)</f>
        <v>-0.03</v>
      </c>
      <c r="P512">
        <v>760</v>
      </c>
      <c r="Q512">
        <v>36</v>
      </c>
      <c r="R512">
        <v>30</v>
      </c>
      <c r="S512">
        <v>70</v>
      </c>
      <c r="T512">
        <v>42</v>
      </c>
      <c r="U512">
        <v>-0.03</v>
      </c>
      <c r="W512">
        <f>DataLog_T717420_Aug11_4_59_37pm[[#This Row],[RPM '[1/MIN']]]-Table3[[#This Row],[580C]]</f>
        <v>0</v>
      </c>
      <c r="X512">
        <f>DataLog_T717420_Aug11_4_59_37pm[[#This Row],[OIL TEMP '[Â°C']]]-Table3[[#This Row],[4402]]</f>
        <v>0</v>
      </c>
      <c r="Y512">
        <f>DataLog_T717420_Aug11_4_59_37pm[[#This Row],[INTAKE TEMP '[Â°C']]]-Table3[[#This Row],[580F]]</f>
        <v>0</v>
      </c>
      <c r="Z512">
        <f>DataLog_T717420_Aug11_4_59_37pm[[#This Row],[HPFP PRES. '[BAR']]]-Table3[[#This Row],[58F0]]</f>
        <v>0</v>
      </c>
      <c r="AA512">
        <f>DataLog_T717420_Aug11_4_59_37pm[[#This Row],[COOLANT TEMP '[Â°C']]]-Table3[[#This Row],[5805]]</f>
        <v>0</v>
      </c>
      <c r="AB512">
        <f>DataLog_T717420_Aug11_4_59_37pm[[#This Row],[BOOST '[BAR']]]-Table3[[#This Row],[58DD]]</f>
        <v>0</v>
      </c>
    </row>
    <row r="513" spans="2:28" x14ac:dyDescent="0.25">
      <c r="B513" s="2" t="s">
        <v>189</v>
      </c>
      <c r="C513" s="2" t="s">
        <v>30</v>
      </c>
      <c r="D513" s="2" t="s">
        <v>151</v>
      </c>
      <c r="E513" s="2" t="s">
        <v>125</v>
      </c>
      <c r="F513" s="2" t="s">
        <v>26</v>
      </c>
      <c r="G513" s="2" t="s">
        <v>191</v>
      </c>
      <c r="I513">
        <f>HEX2DEC(_0811_173439[[#This Row],[580C]])*B$4/B$5+B$6</f>
        <v>760</v>
      </c>
      <c r="J513">
        <f>HEX2DEC(_0811_173439[[#This Row],[4402]])*C$4/C$5+C$6</f>
        <v>36</v>
      </c>
      <c r="K513">
        <f>HEX2DEC(_0811_173439[[#This Row],[580F]])*D$4/D$5+D$6</f>
        <v>30</v>
      </c>
      <c r="L513">
        <f>ROUND(HEX2DEC(_0811_173439[[#This Row],[58F0]])*E$4/E$5+E$6,0)</f>
        <v>70</v>
      </c>
      <c r="M513">
        <f>ROUND(HEX2DEC(_0811_173439[[#This Row],[5805]])*F$4/F$5+F$6,0)</f>
        <v>42</v>
      </c>
      <c r="N513">
        <f>ROUND(HEX2DEC(_0811_173439[[#This Row],[58DD]])*G$4/G$5+G$6,2)</f>
        <v>-0.03</v>
      </c>
      <c r="P513">
        <v>760</v>
      </c>
      <c r="Q513">
        <v>36</v>
      </c>
      <c r="R513">
        <v>30</v>
      </c>
      <c r="S513">
        <v>70</v>
      </c>
      <c r="T513">
        <v>42</v>
      </c>
      <c r="U513">
        <v>-0.03</v>
      </c>
      <c r="W513">
        <f>DataLog_T717420_Aug11_4_59_37pm[[#This Row],[RPM '[1/MIN']]]-Table3[[#This Row],[580C]]</f>
        <v>0</v>
      </c>
      <c r="X513">
        <f>DataLog_T717420_Aug11_4_59_37pm[[#This Row],[OIL TEMP '[Â°C']]]-Table3[[#This Row],[4402]]</f>
        <v>0</v>
      </c>
      <c r="Y513">
        <f>DataLog_T717420_Aug11_4_59_37pm[[#This Row],[INTAKE TEMP '[Â°C']]]-Table3[[#This Row],[580F]]</f>
        <v>0</v>
      </c>
      <c r="Z513">
        <f>DataLog_T717420_Aug11_4_59_37pm[[#This Row],[HPFP PRES. '[BAR']]]-Table3[[#This Row],[58F0]]</f>
        <v>0</v>
      </c>
      <c r="AA513">
        <f>DataLog_T717420_Aug11_4_59_37pm[[#This Row],[COOLANT TEMP '[Â°C']]]-Table3[[#This Row],[5805]]</f>
        <v>0</v>
      </c>
      <c r="AB513">
        <f>DataLog_T717420_Aug11_4_59_37pm[[#This Row],[BOOST '[BAR']]]-Table3[[#This Row],[58DD]]</f>
        <v>0</v>
      </c>
    </row>
    <row r="514" spans="2:28" x14ac:dyDescent="0.25">
      <c r="B514" s="2" t="s">
        <v>189</v>
      </c>
      <c r="C514" s="2" t="s">
        <v>30</v>
      </c>
      <c r="D514" s="2" t="s">
        <v>151</v>
      </c>
      <c r="E514" s="2" t="s">
        <v>93</v>
      </c>
      <c r="F514" s="2" t="s">
        <v>26</v>
      </c>
      <c r="G514" s="2" t="s">
        <v>53</v>
      </c>
      <c r="I514">
        <f>HEX2DEC(_0811_173439[[#This Row],[580C]])*B$4/B$5+B$6</f>
        <v>760</v>
      </c>
      <c r="J514">
        <f>HEX2DEC(_0811_173439[[#This Row],[4402]])*C$4/C$5+C$6</f>
        <v>36</v>
      </c>
      <c r="K514">
        <f>HEX2DEC(_0811_173439[[#This Row],[580F]])*D$4/D$5+D$6</f>
        <v>30</v>
      </c>
      <c r="L514">
        <f>ROUND(HEX2DEC(_0811_173439[[#This Row],[58F0]])*E$4/E$5+E$6,0)</f>
        <v>70</v>
      </c>
      <c r="M514">
        <f>ROUND(HEX2DEC(_0811_173439[[#This Row],[5805]])*F$4/F$5+F$6,0)</f>
        <v>42</v>
      </c>
      <c r="N514">
        <f>ROUND(HEX2DEC(_0811_173439[[#This Row],[58DD]])*G$4/G$5+G$6,2)</f>
        <v>-0.03</v>
      </c>
      <c r="P514">
        <v>760</v>
      </c>
      <c r="Q514">
        <v>36</v>
      </c>
      <c r="R514">
        <v>30</v>
      </c>
      <c r="S514">
        <v>70</v>
      </c>
      <c r="T514">
        <v>42</v>
      </c>
      <c r="U514">
        <v>-0.03</v>
      </c>
      <c r="W514">
        <f>DataLog_T717420_Aug11_4_59_37pm[[#This Row],[RPM '[1/MIN']]]-Table3[[#This Row],[580C]]</f>
        <v>0</v>
      </c>
      <c r="X514">
        <f>DataLog_T717420_Aug11_4_59_37pm[[#This Row],[OIL TEMP '[Â°C']]]-Table3[[#This Row],[4402]]</f>
        <v>0</v>
      </c>
      <c r="Y514">
        <f>DataLog_T717420_Aug11_4_59_37pm[[#This Row],[INTAKE TEMP '[Â°C']]]-Table3[[#This Row],[580F]]</f>
        <v>0</v>
      </c>
      <c r="Z514">
        <f>DataLog_T717420_Aug11_4_59_37pm[[#This Row],[HPFP PRES. '[BAR']]]-Table3[[#This Row],[58F0]]</f>
        <v>0</v>
      </c>
      <c r="AA514">
        <f>DataLog_T717420_Aug11_4_59_37pm[[#This Row],[COOLANT TEMP '[Â°C']]]-Table3[[#This Row],[5805]]</f>
        <v>0</v>
      </c>
      <c r="AB514">
        <f>DataLog_T717420_Aug11_4_59_37pm[[#This Row],[BOOST '[BAR']]]-Table3[[#This Row],[58DD]]</f>
        <v>0</v>
      </c>
    </row>
    <row r="515" spans="2:28" x14ac:dyDescent="0.25">
      <c r="B515" s="2" t="s">
        <v>189</v>
      </c>
      <c r="C515" s="2" t="s">
        <v>30</v>
      </c>
      <c r="D515" s="2" t="s">
        <v>151</v>
      </c>
      <c r="E515" s="2" t="s">
        <v>124</v>
      </c>
      <c r="F515" s="2" t="s">
        <v>26</v>
      </c>
      <c r="G515" s="2" t="s">
        <v>96</v>
      </c>
      <c r="I515">
        <f>HEX2DEC(_0811_173439[[#This Row],[580C]])*B$4/B$5+B$6</f>
        <v>760</v>
      </c>
      <c r="J515">
        <f>HEX2DEC(_0811_173439[[#This Row],[4402]])*C$4/C$5+C$6</f>
        <v>36</v>
      </c>
      <c r="K515">
        <f>HEX2DEC(_0811_173439[[#This Row],[580F]])*D$4/D$5+D$6</f>
        <v>30</v>
      </c>
      <c r="L515">
        <f>ROUND(HEX2DEC(_0811_173439[[#This Row],[58F0]])*E$4/E$5+E$6,0)</f>
        <v>71</v>
      </c>
      <c r="M515">
        <f>ROUND(HEX2DEC(_0811_173439[[#This Row],[5805]])*F$4/F$5+F$6,0)</f>
        <v>42</v>
      </c>
      <c r="N515">
        <f>ROUND(HEX2DEC(_0811_173439[[#This Row],[58DD]])*G$4/G$5+G$6,2)</f>
        <v>-0.03</v>
      </c>
      <c r="P515">
        <v>760</v>
      </c>
      <c r="Q515">
        <v>36</v>
      </c>
      <c r="R515">
        <v>30</v>
      </c>
      <c r="S515">
        <v>71</v>
      </c>
      <c r="T515">
        <v>42</v>
      </c>
      <c r="U515">
        <v>-0.03</v>
      </c>
      <c r="W515">
        <f>DataLog_T717420_Aug11_4_59_37pm[[#This Row],[RPM '[1/MIN']]]-Table3[[#This Row],[580C]]</f>
        <v>0</v>
      </c>
      <c r="X515">
        <f>DataLog_T717420_Aug11_4_59_37pm[[#This Row],[OIL TEMP '[Â°C']]]-Table3[[#This Row],[4402]]</f>
        <v>0</v>
      </c>
      <c r="Y515">
        <f>DataLog_T717420_Aug11_4_59_37pm[[#This Row],[INTAKE TEMP '[Â°C']]]-Table3[[#This Row],[580F]]</f>
        <v>0</v>
      </c>
      <c r="Z515">
        <f>DataLog_T717420_Aug11_4_59_37pm[[#This Row],[HPFP PRES. '[BAR']]]-Table3[[#This Row],[58F0]]</f>
        <v>0</v>
      </c>
      <c r="AA515">
        <f>DataLog_T717420_Aug11_4_59_37pm[[#This Row],[COOLANT TEMP '[Â°C']]]-Table3[[#This Row],[5805]]</f>
        <v>0</v>
      </c>
      <c r="AB515">
        <f>DataLog_T717420_Aug11_4_59_37pm[[#This Row],[BOOST '[BAR']]]-Table3[[#This Row],[58DD]]</f>
        <v>0</v>
      </c>
    </row>
    <row r="516" spans="2:28" x14ac:dyDescent="0.25">
      <c r="B516" s="2" t="s">
        <v>189</v>
      </c>
      <c r="C516" s="2" t="s">
        <v>30</v>
      </c>
      <c r="D516" s="2" t="s">
        <v>151</v>
      </c>
      <c r="E516" s="2" t="s">
        <v>166</v>
      </c>
      <c r="F516" s="2" t="s">
        <v>26</v>
      </c>
      <c r="G516" s="2" t="s">
        <v>187</v>
      </c>
      <c r="I516">
        <f>HEX2DEC(_0811_173439[[#This Row],[580C]])*B$4/B$5+B$6</f>
        <v>760</v>
      </c>
      <c r="J516">
        <f>HEX2DEC(_0811_173439[[#This Row],[4402]])*C$4/C$5+C$6</f>
        <v>36</v>
      </c>
      <c r="K516">
        <f>HEX2DEC(_0811_173439[[#This Row],[580F]])*D$4/D$5+D$6</f>
        <v>30</v>
      </c>
      <c r="L516">
        <f>ROUND(HEX2DEC(_0811_173439[[#This Row],[58F0]])*E$4/E$5+E$6,0)</f>
        <v>71</v>
      </c>
      <c r="M516">
        <f>ROUND(HEX2DEC(_0811_173439[[#This Row],[5805]])*F$4/F$5+F$6,0)</f>
        <v>42</v>
      </c>
      <c r="N516">
        <f>ROUND(HEX2DEC(_0811_173439[[#This Row],[58DD]])*G$4/G$5+G$6,2)</f>
        <v>-0.03</v>
      </c>
      <c r="P516">
        <v>760</v>
      </c>
      <c r="Q516">
        <v>36</v>
      </c>
      <c r="R516">
        <v>30</v>
      </c>
      <c r="S516">
        <v>71</v>
      </c>
      <c r="T516">
        <v>42</v>
      </c>
      <c r="U516">
        <v>-0.03</v>
      </c>
      <c r="W516">
        <f>DataLog_T717420_Aug11_4_59_37pm[[#This Row],[RPM '[1/MIN']]]-Table3[[#This Row],[580C]]</f>
        <v>0</v>
      </c>
      <c r="X516">
        <f>DataLog_T717420_Aug11_4_59_37pm[[#This Row],[OIL TEMP '[Â°C']]]-Table3[[#This Row],[4402]]</f>
        <v>0</v>
      </c>
      <c r="Y516">
        <f>DataLog_T717420_Aug11_4_59_37pm[[#This Row],[INTAKE TEMP '[Â°C']]]-Table3[[#This Row],[580F]]</f>
        <v>0</v>
      </c>
      <c r="Z516">
        <f>DataLog_T717420_Aug11_4_59_37pm[[#This Row],[HPFP PRES. '[BAR']]]-Table3[[#This Row],[58F0]]</f>
        <v>0</v>
      </c>
      <c r="AA516">
        <f>DataLog_T717420_Aug11_4_59_37pm[[#This Row],[COOLANT TEMP '[Â°C']]]-Table3[[#This Row],[5805]]</f>
        <v>0</v>
      </c>
      <c r="AB516">
        <f>DataLog_T717420_Aug11_4_59_37pm[[#This Row],[BOOST '[BAR']]]-Table3[[#This Row],[58DD]]</f>
        <v>0</v>
      </c>
    </row>
    <row r="517" spans="2:28" x14ac:dyDescent="0.25">
      <c r="B517" s="2" t="s">
        <v>189</v>
      </c>
      <c r="C517" s="2" t="s">
        <v>30</v>
      </c>
      <c r="D517" s="2" t="s">
        <v>151</v>
      </c>
      <c r="E517" s="2" t="s">
        <v>93</v>
      </c>
      <c r="F517" s="2" t="s">
        <v>26</v>
      </c>
      <c r="G517" s="2" t="s">
        <v>216</v>
      </c>
      <c r="I517">
        <f>HEX2DEC(_0811_173439[[#This Row],[580C]])*B$4/B$5+B$6</f>
        <v>760</v>
      </c>
      <c r="J517">
        <f>HEX2DEC(_0811_173439[[#This Row],[4402]])*C$4/C$5+C$6</f>
        <v>36</v>
      </c>
      <c r="K517">
        <f>HEX2DEC(_0811_173439[[#This Row],[580F]])*D$4/D$5+D$6</f>
        <v>30</v>
      </c>
      <c r="L517">
        <f>ROUND(HEX2DEC(_0811_173439[[#This Row],[58F0]])*E$4/E$5+E$6,0)</f>
        <v>70</v>
      </c>
      <c r="M517">
        <f>ROUND(HEX2DEC(_0811_173439[[#This Row],[5805]])*F$4/F$5+F$6,0)</f>
        <v>42</v>
      </c>
      <c r="N517">
        <f>ROUND(HEX2DEC(_0811_173439[[#This Row],[58DD]])*G$4/G$5+G$6,2)</f>
        <v>-0.03</v>
      </c>
      <c r="P517">
        <v>760</v>
      </c>
      <c r="Q517">
        <v>36</v>
      </c>
      <c r="R517">
        <v>30</v>
      </c>
      <c r="S517">
        <v>70</v>
      </c>
      <c r="T517">
        <v>42</v>
      </c>
      <c r="U517">
        <v>-0.03</v>
      </c>
      <c r="W517">
        <f>DataLog_T717420_Aug11_4_59_37pm[[#This Row],[RPM '[1/MIN']]]-Table3[[#This Row],[580C]]</f>
        <v>0</v>
      </c>
      <c r="X517">
        <f>DataLog_T717420_Aug11_4_59_37pm[[#This Row],[OIL TEMP '[Â°C']]]-Table3[[#This Row],[4402]]</f>
        <v>0</v>
      </c>
      <c r="Y517">
        <f>DataLog_T717420_Aug11_4_59_37pm[[#This Row],[INTAKE TEMP '[Â°C']]]-Table3[[#This Row],[580F]]</f>
        <v>0</v>
      </c>
      <c r="Z517">
        <f>DataLog_T717420_Aug11_4_59_37pm[[#This Row],[HPFP PRES. '[BAR']]]-Table3[[#This Row],[58F0]]</f>
        <v>0</v>
      </c>
      <c r="AA517">
        <f>DataLog_T717420_Aug11_4_59_37pm[[#This Row],[COOLANT TEMP '[Â°C']]]-Table3[[#This Row],[5805]]</f>
        <v>0</v>
      </c>
      <c r="AB517">
        <f>DataLog_T717420_Aug11_4_59_37pm[[#This Row],[BOOST '[BAR']]]-Table3[[#This Row],[58DD]]</f>
        <v>0</v>
      </c>
    </row>
    <row r="518" spans="2:28" x14ac:dyDescent="0.25">
      <c r="B518" s="2" t="s">
        <v>189</v>
      </c>
      <c r="C518" s="2" t="s">
        <v>30</v>
      </c>
      <c r="D518" s="2" t="s">
        <v>151</v>
      </c>
      <c r="E518" s="2" t="s">
        <v>217</v>
      </c>
      <c r="F518" s="2" t="s">
        <v>26</v>
      </c>
      <c r="G518" s="2" t="s">
        <v>190</v>
      </c>
      <c r="I518">
        <f>HEX2DEC(_0811_173439[[#This Row],[580C]])*B$4/B$5+B$6</f>
        <v>760</v>
      </c>
      <c r="J518">
        <f>HEX2DEC(_0811_173439[[#This Row],[4402]])*C$4/C$5+C$6</f>
        <v>36</v>
      </c>
      <c r="K518">
        <f>HEX2DEC(_0811_173439[[#This Row],[580F]])*D$4/D$5+D$6</f>
        <v>30</v>
      </c>
      <c r="L518">
        <f>ROUND(HEX2DEC(_0811_173439[[#This Row],[58F0]])*E$4/E$5+E$6,0)</f>
        <v>71</v>
      </c>
      <c r="M518">
        <f>ROUND(HEX2DEC(_0811_173439[[#This Row],[5805]])*F$4/F$5+F$6,0)</f>
        <v>42</v>
      </c>
      <c r="N518">
        <f>ROUND(HEX2DEC(_0811_173439[[#This Row],[58DD]])*G$4/G$5+G$6,2)</f>
        <v>-0.03</v>
      </c>
      <c r="P518">
        <v>760</v>
      </c>
      <c r="Q518">
        <v>36</v>
      </c>
      <c r="R518">
        <v>30</v>
      </c>
      <c r="S518">
        <v>71</v>
      </c>
      <c r="T518">
        <v>42</v>
      </c>
      <c r="U518">
        <v>-0.03</v>
      </c>
      <c r="W518">
        <f>DataLog_T717420_Aug11_4_59_37pm[[#This Row],[RPM '[1/MIN']]]-Table3[[#This Row],[580C]]</f>
        <v>0</v>
      </c>
      <c r="X518">
        <f>DataLog_T717420_Aug11_4_59_37pm[[#This Row],[OIL TEMP '[Â°C']]]-Table3[[#This Row],[4402]]</f>
        <v>0</v>
      </c>
      <c r="Y518">
        <f>DataLog_T717420_Aug11_4_59_37pm[[#This Row],[INTAKE TEMP '[Â°C']]]-Table3[[#This Row],[580F]]</f>
        <v>0</v>
      </c>
      <c r="Z518">
        <f>DataLog_T717420_Aug11_4_59_37pm[[#This Row],[HPFP PRES. '[BAR']]]-Table3[[#This Row],[58F0]]</f>
        <v>0</v>
      </c>
      <c r="AA518">
        <f>DataLog_T717420_Aug11_4_59_37pm[[#This Row],[COOLANT TEMP '[Â°C']]]-Table3[[#This Row],[5805]]</f>
        <v>0</v>
      </c>
      <c r="AB518">
        <f>DataLog_T717420_Aug11_4_59_37pm[[#This Row],[BOOST '[BAR']]]-Table3[[#This Row],[58DD]]</f>
        <v>0</v>
      </c>
    </row>
    <row r="519" spans="2:28" x14ac:dyDescent="0.25">
      <c r="B519" s="2" t="s">
        <v>189</v>
      </c>
      <c r="C519" s="2" t="s">
        <v>30</v>
      </c>
      <c r="D519" s="2" t="s">
        <v>151</v>
      </c>
      <c r="E519" s="2" t="s">
        <v>154</v>
      </c>
      <c r="F519" s="2" t="s">
        <v>26</v>
      </c>
      <c r="G519" s="2" t="s">
        <v>213</v>
      </c>
      <c r="I519">
        <f>HEX2DEC(_0811_173439[[#This Row],[580C]])*B$4/B$5+B$6</f>
        <v>760</v>
      </c>
      <c r="J519">
        <f>HEX2DEC(_0811_173439[[#This Row],[4402]])*C$4/C$5+C$6</f>
        <v>36</v>
      </c>
      <c r="K519">
        <f>HEX2DEC(_0811_173439[[#This Row],[580F]])*D$4/D$5+D$6</f>
        <v>30</v>
      </c>
      <c r="L519">
        <f>ROUND(HEX2DEC(_0811_173439[[#This Row],[58F0]])*E$4/E$5+E$6,0)</f>
        <v>71</v>
      </c>
      <c r="M519">
        <f>ROUND(HEX2DEC(_0811_173439[[#This Row],[5805]])*F$4/F$5+F$6,0)</f>
        <v>42</v>
      </c>
      <c r="N519">
        <f>ROUND(HEX2DEC(_0811_173439[[#This Row],[58DD]])*G$4/G$5+G$6,2)</f>
        <v>-0.03</v>
      </c>
      <c r="P519">
        <v>760</v>
      </c>
      <c r="Q519">
        <v>36</v>
      </c>
      <c r="R519">
        <v>30</v>
      </c>
      <c r="S519">
        <v>71</v>
      </c>
      <c r="T519">
        <v>42</v>
      </c>
      <c r="U519">
        <v>-0.03</v>
      </c>
      <c r="W519">
        <f>DataLog_T717420_Aug11_4_59_37pm[[#This Row],[RPM '[1/MIN']]]-Table3[[#This Row],[580C]]</f>
        <v>0</v>
      </c>
      <c r="X519">
        <f>DataLog_T717420_Aug11_4_59_37pm[[#This Row],[OIL TEMP '[Â°C']]]-Table3[[#This Row],[4402]]</f>
        <v>0</v>
      </c>
      <c r="Y519">
        <f>DataLog_T717420_Aug11_4_59_37pm[[#This Row],[INTAKE TEMP '[Â°C']]]-Table3[[#This Row],[580F]]</f>
        <v>0</v>
      </c>
      <c r="Z519">
        <f>DataLog_T717420_Aug11_4_59_37pm[[#This Row],[HPFP PRES. '[BAR']]]-Table3[[#This Row],[58F0]]</f>
        <v>0</v>
      </c>
      <c r="AA519">
        <f>DataLog_T717420_Aug11_4_59_37pm[[#This Row],[COOLANT TEMP '[Â°C']]]-Table3[[#This Row],[5805]]</f>
        <v>0</v>
      </c>
      <c r="AB519">
        <f>DataLog_T717420_Aug11_4_59_37pm[[#This Row],[BOOST '[BAR']]]-Table3[[#This Row],[58DD]]</f>
        <v>0</v>
      </c>
    </row>
    <row r="520" spans="2:28" x14ac:dyDescent="0.25">
      <c r="B520" s="2" t="s">
        <v>189</v>
      </c>
      <c r="C520" s="2" t="s">
        <v>30</v>
      </c>
      <c r="D520" s="2" t="s">
        <v>151</v>
      </c>
      <c r="E520" s="2" t="s">
        <v>93</v>
      </c>
      <c r="F520" s="2" t="s">
        <v>26</v>
      </c>
      <c r="G520" s="2" t="s">
        <v>213</v>
      </c>
      <c r="I520">
        <f>HEX2DEC(_0811_173439[[#This Row],[580C]])*B$4/B$5+B$6</f>
        <v>760</v>
      </c>
      <c r="J520">
        <f>HEX2DEC(_0811_173439[[#This Row],[4402]])*C$4/C$5+C$6</f>
        <v>36</v>
      </c>
      <c r="K520">
        <f>HEX2DEC(_0811_173439[[#This Row],[580F]])*D$4/D$5+D$6</f>
        <v>30</v>
      </c>
      <c r="L520">
        <f>ROUND(HEX2DEC(_0811_173439[[#This Row],[58F0]])*E$4/E$5+E$6,0)</f>
        <v>70</v>
      </c>
      <c r="M520">
        <f>ROUND(HEX2DEC(_0811_173439[[#This Row],[5805]])*F$4/F$5+F$6,0)</f>
        <v>42</v>
      </c>
      <c r="N520">
        <f>ROUND(HEX2DEC(_0811_173439[[#This Row],[58DD]])*G$4/G$5+G$6,2)</f>
        <v>-0.03</v>
      </c>
      <c r="P520">
        <v>760</v>
      </c>
      <c r="Q520">
        <v>36</v>
      </c>
      <c r="R520">
        <v>30</v>
      </c>
      <c r="S520">
        <v>70</v>
      </c>
      <c r="T520">
        <v>42</v>
      </c>
      <c r="U520">
        <v>-0.03</v>
      </c>
      <c r="W520">
        <f>DataLog_T717420_Aug11_4_59_37pm[[#This Row],[RPM '[1/MIN']]]-Table3[[#This Row],[580C]]</f>
        <v>0</v>
      </c>
      <c r="X520">
        <f>DataLog_T717420_Aug11_4_59_37pm[[#This Row],[OIL TEMP '[Â°C']]]-Table3[[#This Row],[4402]]</f>
        <v>0</v>
      </c>
      <c r="Y520">
        <f>DataLog_T717420_Aug11_4_59_37pm[[#This Row],[INTAKE TEMP '[Â°C']]]-Table3[[#This Row],[580F]]</f>
        <v>0</v>
      </c>
      <c r="Z520">
        <f>DataLog_T717420_Aug11_4_59_37pm[[#This Row],[HPFP PRES. '[BAR']]]-Table3[[#This Row],[58F0]]</f>
        <v>0</v>
      </c>
      <c r="AA520">
        <f>DataLog_T717420_Aug11_4_59_37pm[[#This Row],[COOLANT TEMP '[Â°C']]]-Table3[[#This Row],[5805]]</f>
        <v>0</v>
      </c>
      <c r="AB520">
        <f>DataLog_T717420_Aug11_4_59_37pm[[#This Row],[BOOST '[BAR']]]-Table3[[#This Row],[58DD]]</f>
        <v>0</v>
      </c>
    </row>
    <row r="521" spans="2:28" x14ac:dyDescent="0.25">
      <c r="B521" s="2" t="s">
        <v>189</v>
      </c>
      <c r="C521" s="2" t="s">
        <v>30</v>
      </c>
      <c r="D521" s="2" t="s">
        <v>151</v>
      </c>
      <c r="E521" s="2" t="s">
        <v>218</v>
      </c>
      <c r="F521" s="2" t="s">
        <v>26</v>
      </c>
      <c r="G521" s="2" t="s">
        <v>53</v>
      </c>
      <c r="I521">
        <f>HEX2DEC(_0811_173439[[#This Row],[580C]])*B$4/B$5+B$6</f>
        <v>760</v>
      </c>
      <c r="J521">
        <f>HEX2DEC(_0811_173439[[#This Row],[4402]])*C$4/C$5+C$6</f>
        <v>36</v>
      </c>
      <c r="K521">
        <f>HEX2DEC(_0811_173439[[#This Row],[580F]])*D$4/D$5+D$6</f>
        <v>30</v>
      </c>
      <c r="L521">
        <f>ROUND(HEX2DEC(_0811_173439[[#This Row],[58F0]])*E$4/E$5+E$6,0)</f>
        <v>71</v>
      </c>
      <c r="M521">
        <f>ROUND(HEX2DEC(_0811_173439[[#This Row],[5805]])*F$4/F$5+F$6,0)</f>
        <v>42</v>
      </c>
      <c r="N521">
        <f>ROUND(HEX2DEC(_0811_173439[[#This Row],[58DD]])*G$4/G$5+G$6,2)</f>
        <v>-0.03</v>
      </c>
      <c r="P521">
        <v>760</v>
      </c>
      <c r="Q521">
        <v>36</v>
      </c>
      <c r="R521">
        <v>30</v>
      </c>
      <c r="S521">
        <v>71</v>
      </c>
      <c r="T521">
        <v>42</v>
      </c>
      <c r="U521">
        <v>-0.03</v>
      </c>
      <c r="W521">
        <f>DataLog_T717420_Aug11_4_59_37pm[[#This Row],[RPM '[1/MIN']]]-Table3[[#This Row],[580C]]</f>
        <v>0</v>
      </c>
      <c r="X521">
        <f>DataLog_T717420_Aug11_4_59_37pm[[#This Row],[OIL TEMP '[Â°C']]]-Table3[[#This Row],[4402]]</f>
        <v>0</v>
      </c>
      <c r="Y521">
        <f>DataLog_T717420_Aug11_4_59_37pm[[#This Row],[INTAKE TEMP '[Â°C']]]-Table3[[#This Row],[580F]]</f>
        <v>0</v>
      </c>
      <c r="Z521">
        <f>DataLog_T717420_Aug11_4_59_37pm[[#This Row],[HPFP PRES. '[BAR']]]-Table3[[#This Row],[58F0]]</f>
        <v>0</v>
      </c>
      <c r="AA521">
        <f>DataLog_T717420_Aug11_4_59_37pm[[#This Row],[COOLANT TEMP '[Â°C']]]-Table3[[#This Row],[5805]]</f>
        <v>0</v>
      </c>
      <c r="AB521">
        <f>DataLog_T717420_Aug11_4_59_37pm[[#This Row],[BOOST '[BAR']]]-Table3[[#This Row],[58DD]]</f>
        <v>0</v>
      </c>
    </row>
    <row r="522" spans="2:28" x14ac:dyDescent="0.25">
      <c r="B522" s="2" t="s">
        <v>189</v>
      </c>
      <c r="C522" s="2" t="s">
        <v>30</v>
      </c>
      <c r="D522" s="2" t="s">
        <v>151</v>
      </c>
      <c r="E522" s="2" t="s">
        <v>161</v>
      </c>
      <c r="F522" s="2" t="s">
        <v>26</v>
      </c>
      <c r="G522" s="2" t="s">
        <v>190</v>
      </c>
      <c r="I522">
        <f>HEX2DEC(_0811_173439[[#This Row],[580C]])*B$4/B$5+B$6</f>
        <v>760</v>
      </c>
      <c r="J522">
        <f>HEX2DEC(_0811_173439[[#This Row],[4402]])*C$4/C$5+C$6</f>
        <v>36</v>
      </c>
      <c r="K522">
        <f>HEX2DEC(_0811_173439[[#This Row],[580F]])*D$4/D$5+D$6</f>
        <v>30</v>
      </c>
      <c r="L522">
        <f>ROUND(HEX2DEC(_0811_173439[[#This Row],[58F0]])*E$4/E$5+E$6,0)</f>
        <v>71</v>
      </c>
      <c r="M522">
        <f>ROUND(HEX2DEC(_0811_173439[[#This Row],[5805]])*F$4/F$5+F$6,0)</f>
        <v>42</v>
      </c>
      <c r="N522">
        <f>ROUND(HEX2DEC(_0811_173439[[#This Row],[58DD]])*G$4/G$5+G$6,2)</f>
        <v>-0.03</v>
      </c>
      <c r="P522">
        <v>760</v>
      </c>
      <c r="Q522">
        <v>36</v>
      </c>
      <c r="R522">
        <v>30</v>
      </c>
      <c r="S522">
        <v>71</v>
      </c>
      <c r="T522">
        <v>42</v>
      </c>
      <c r="U522">
        <v>-0.03</v>
      </c>
      <c r="W522">
        <f>DataLog_T717420_Aug11_4_59_37pm[[#This Row],[RPM '[1/MIN']]]-Table3[[#This Row],[580C]]</f>
        <v>0</v>
      </c>
      <c r="X522">
        <f>DataLog_T717420_Aug11_4_59_37pm[[#This Row],[OIL TEMP '[Â°C']]]-Table3[[#This Row],[4402]]</f>
        <v>0</v>
      </c>
      <c r="Y522">
        <f>DataLog_T717420_Aug11_4_59_37pm[[#This Row],[INTAKE TEMP '[Â°C']]]-Table3[[#This Row],[580F]]</f>
        <v>0</v>
      </c>
      <c r="Z522">
        <f>DataLog_T717420_Aug11_4_59_37pm[[#This Row],[HPFP PRES. '[BAR']]]-Table3[[#This Row],[58F0]]</f>
        <v>0</v>
      </c>
      <c r="AA522">
        <f>DataLog_T717420_Aug11_4_59_37pm[[#This Row],[COOLANT TEMP '[Â°C']]]-Table3[[#This Row],[5805]]</f>
        <v>0</v>
      </c>
      <c r="AB522">
        <f>DataLog_T717420_Aug11_4_59_37pm[[#This Row],[BOOST '[BAR']]]-Table3[[#This Row],[58DD]]</f>
        <v>0</v>
      </c>
    </row>
    <row r="523" spans="2:28" x14ac:dyDescent="0.25">
      <c r="B523" s="2" t="s">
        <v>189</v>
      </c>
      <c r="C523" s="2" t="s">
        <v>30</v>
      </c>
      <c r="D523" s="2" t="s">
        <v>151</v>
      </c>
      <c r="E523" s="2" t="s">
        <v>125</v>
      </c>
      <c r="F523" s="2" t="s">
        <v>26</v>
      </c>
      <c r="G523" s="2" t="s">
        <v>213</v>
      </c>
      <c r="I523">
        <f>HEX2DEC(_0811_173439[[#This Row],[580C]])*B$4/B$5+B$6</f>
        <v>760</v>
      </c>
      <c r="J523">
        <f>HEX2DEC(_0811_173439[[#This Row],[4402]])*C$4/C$5+C$6</f>
        <v>36</v>
      </c>
      <c r="K523">
        <f>HEX2DEC(_0811_173439[[#This Row],[580F]])*D$4/D$5+D$6</f>
        <v>30</v>
      </c>
      <c r="L523">
        <f>ROUND(HEX2DEC(_0811_173439[[#This Row],[58F0]])*E$4/E$5+E$6,0)</f>
        <v>70</v>
      </c>
      <c r="M523">
        <f>ROUND(HEX2DEC(_0811_173439[[#This Row],[5805]])*F$4/F$5+F$6,0)</f>
        <v>42</v>
      </c>
      <c r="N523">
        <f>ROUND(HEX2DEC(_0811_173439[[#This Row],[58DD]])*G$4/G$5+G$6,2)</f>
        <v>-0.03</v>
      </c>
      <c r="P523">
        <v>760</v>
      </c>
      <c r="Q523">
        <v>36</v>
      </c>
      <c r="R523">
        <v>30</v>
      </c>
      <c r="S523">
        <v>70</v>
      </c>
      <c r="T523">
        <v>42</v>
      </c>
      <c r="U523">
        <v>-0.03</v>
      </c>
      <c r="W523">
        <f>DataLog_T717420_Aug11_4_59_37pm[[#This Row],[RPM '[1/MIN']]]-Table3[[#This Row],[580C]]</f>
        <v>0</v>
      </c>
      <c r="X523">
        <f>DataLog_T717420_Aug11_4_59_37pm[[#This Row],[OIL TEMP '[Â°C']]]-Table3[[#This Row],[4402]]</f>
        <v>0</v>
      </c>
      <c r="Y523">
        <f>DataLog_T717420_Aug11_4_59_37pm[[#This Row],[INTAKE TEMP '[Â°C']]]-Table3[[#This Row],[580F]]</f>
        <v>0</v>
      </c>
      <c r="Z523">
        <f>DataLog_T717420_Aug11_4_59_37pm[[#This Row],[HPFP PRES. '[BAR']]]-Table3[[#This Row],[58F0]]</f>
        <v>0</v>
      </c>
      <c r="AA523">
        <f>DataLog_T717420_Aug11_4_59_37pm[[#This Row],[COOLANT TEMP '[Â°C']]]-Table3[[#This Row],[5805]]</f>
        <v>0</v>
      </c>
      <c r="AB523">
        <f>DataLog_T717420_Aug11_4_59_37pm[[#This Row],[BOOST '[BAR']]]-Table3[[#This Row],[58DD]]</f>
        <v>0</v>
      </c>
    </row>
    <row r="524" spans="2:28" x14ac:dyDescent="0.25">
      <c r="B524" s="2" t="s">
        <v>189</v>
      </c>
      <c r="C524" s="2" t="s">
        <v>30</v>
      </c>
      <c r="D524" s="2" t="s">
        <v>151</v>
      </c>
      <c r="E524" s="2" t="s">
        <v>188</v>
      </c>
      <c r="F524" s="2" t="s">
        <v>26</v>
      </c>
      <c r="G524" s="2" t="s">
        <v>53</v>
      </c>
      <c r="I524">
        <f>HEX2DEC(_0811_173439[[#This Row],[580C]])*B$4/B$5+B$6</f>
        <v>760</v>
      </c>
      <c r="J524">
        <f>HEX2DEC(_0811_173439[[#This Row],[4402]])*C$4/C$5+C$6</f>
        <v>36</v>
      </c>
      <c r="K524">
        <f>HEX2DEC(_0811_173439[[#This Row],[580F]])*D$4/D$5+D$6</f>
        <v>30</v>
      </c>
      <c r="L524">
        <f>ROUND(HEX2DEC(_0811_173439[[#This Row],[58F0]])*E$4/E$5+E$6,0)</f>
        <v>71</v>
      </c>
      <c r="M524">
        <f>ROUND(HEX2DEC(_0811_173439[[#This Row],[5805]])*F$4/F$5+F$6,0)</f>
        <v>42</v>
      </c>
      <c r="N524">
        <f>ROUND(HEX2DEC(_0811_173439[[#This Row],[58DD]])*G$4/G$5+G$6,2)</f>
        <v>-0.03</v>
      </c>
      <c r="P524">
        <v>760</v>
      </c>
      <c r="Q524">
        <v>36</v>
      </c>
      <c r="R524">
        <v>30</v>
      </c>
      <c r="S524">
        <v>71</v>
      </c>
      <c r="T524">
        <v>42</v>
      </c>
      <c r="U524">
        <v>-0.03</v>
      </c>
      <c r="W524">
        <f>DataLog_T717420_Aug11_4_59_37pm[[#This Row],[RPM '[1/MIN']]]-Table3[[#This Row],[580C]]</f>
        <v>0</v>
      </c>
      <c r="X524">
        <f>DataLog_T717420_Aug11_4_59_37pm[[#This Row],[OIL TEMP '[Â°C']]]-Table3[[#This Row],[4402]]</f>
        <v>0</v>
      </c>
      <c r="Y524">
        <f>DataLog_T717420_Aug11_4_59_37pm[[#This Row],[INTAKE TEMP '[Â°C']]]-Table3[[#This Row],[580F]]</f>
        <v>0</v>
      </c>
      <c r="Z524">
        <f>DataLog_T717420_Aug11_4_59_37pm[[#This Row],[HPFP PRES. '[BAR']]]-Table3[[#This Row],[58F0]]</f>
        <v>0</v>
      </c>
      <c r="AA524">
        <f>DataLog_T717420_Aug11_4_59_37pm[[#This Row],[COOLANT TEMP '[Â°C']]]-Table3[[#This Row],[5805]]</f>
        <v>0</v>
      </c>
      <c r="AB524">
        <f>DataLog_T717420_Aug11_4_59_37pm[[#This Row],[BOOST '[BAR']]]-Table3[[#This Row],[58DD]]</f>
        <v>0</v>
      </c>
    </row>
    <row r="525" spans="2:28" x14ac:dyDescent="0.25">
      <c r="B525" s="2" t="s">
        <v>189</v>
      </c>
      <c r="C525" s="2" t="s">
        <v>30</v>
      </c>
      <c r="D525" s="2" t="s">
        <v>151</v>
      </c>
      <c r="E525" s="2" t="s">
        <v>219</v>
      </c>
      <c r="F525" s="2" t="s">
        <v>26</v>
      </c>
      <c r="G525" s="2" t="s">
        <v>190</v>
      </c>
      <c r="I525">
        <f>HEX2DEC(_0811_173439[[#This Row],[580C]])*B$4/B$5+B$6</f>
        <v>760</v>
      </c>
      <c r="J525">
        <f>HEX2DEC(_0811_173439[[#This Row],[4402]])*C$4/C$5+C$6</f>
        <v>36</v>
      </c>
      <c r="K525">
        <f>HEX2DEC(_0811_173439[[#This Row],[580F]])*D$4/D$5+D$6</f>
        <v>30</v>
      </c>
      <c r="L525">
        <f>ROUND(HEX2DEC(_0811_173439[[#This Row],[58F0]])*E$4/E$5+E$6,0)</f>
        <v>72</v>
      </c>
      <c r="M525">
        <f>ROUND(HEX2DEC(_0811_173439[[#This Row],[5805]])*F$4/F$5+F$6,0)</f>
        <v>42</v>
      </c>
      <c r="N525">
        <f>ROUND(HEX2DEC(_0811_173439[[#This Row],[58DD]])*G$4/G$5+G$6,2)</f>
        <v>-0.03</v>
      </c>
      <c r="P525">
        <v>760</v>
      </c>
      <c r="Q525">
        <v>36</v>
      </c>
      <c r="R525">
        <v>30</v>
      </c>
      <c r="S525">
        <v>72</v>
      </c>
      <c r="T525">
        <v>42</v>
      </c>
      <c r="U525">
        <v>-0.03</v>
      </c>
      <c r="W525">
        <f>DataLog_T717420_Aug11_4_59_37pm[[#This Row],[RPM '[1/MIN']]]-Table3[[#This Row],[580C]]</f>
        <v>0</v>
      </c>
      <c r="X525">
        <f>DataLog_T717420_Aug11_4_59_37pm[[#This Row],[OIL TEMP '[Â°C']]]-Table3[[#This Row],[4402]]</f>
        <v>0</v>
      </c>
      <c r="Y525">
        <f>DataLog_T717420_Aug11_4_59_37pm[[#This Row],[INTAKE TEMP '[Â°C']]]-Table3[[#This Row],[580F]]</f>
        <v>0</v>
      </c>
      <c r="Z525">
        <f>DataLog_T717420_Aug11_4_59_37pm[[#This Row],[HPFP PRES. '[BAR']]]-Table3[[#This Row],[58F0]]</f>
        <v>0</v>
      </c>
      <c r="AA525">
        <f>DataLog_T717420_Aug11_4_59_37pm[[#This Row],[COOLANT TEMP '[Â°C']]]-Table3[[#This Row],[5805]]</f>
        <v>0</v>
      </c>
      <c r="AB525">
        <f>DataLog_T717420_Aug11_4_59_37pm[[#This Row],[BOOST '[BAR']]]-Table3[[#This Row],[58DD]]</f>
        <v>0</v>
      </c>
    </row>
    <row r="526" spans="2:28" x14ac:dyDescent="0.25">
      <c r="B526" s="2" t="s">
        <v>189</v>
      </c>
      <c r="C526" s="2" t="s">
        <v>30</v>
      </c>
      <c r="D526" s="2" t="s">
        <v>151</v>
      </c>
      <c r="E526" s="2" t="s">
        <v>119</v>
      </c>
      <c r="F526" s="2" t="s">
        <v>26</v>
      </c>
      <c r="G526" s="2" t="s">
        <v>190</v>
      </c>
      <c r="I526">
        <f>HEX2DEC(_0811_173439[[#This Row],[580C]])*B$4/B$5+B$6</f>
        <v>760</v>
      </c>
      <c r="J526">
        <f>HEX2DEC(_0811_173439[[#This Row],[4402]])*C$4/C$5+C$6</f>
        <v>36</v>
      </c>
      <c r="K526">
        <f>HEX2DEC(_0811_173439[[#This Row],[580F]])*D$4/D$5+D$6</f>
        <v>30</v>
      </c>
      <c r="L526">
        <f>ROUND(HEX2DEC(_0811_173439[[#This Row],[58F0]])*E$4/E$5+E$6,0)</f>
        <v>71</v>
      </c>
      <c r="M526">
        <f>ROUND(HEX2DEC(_0811_173439[[#This Row],[5805]])*F$4/F$5+F$6,0)</f>
        <v>42</v>
      </c>
      <c r="N526">
        <f>ROUND(HEX2DEC(_0811_173439[[#This Row],[58DD]])*G$4/G$5+G$6,2)</f>
        <v>-0.03</v>
      </c>
      <c r="P526">
        <v>760</v>
      </c>
      <c r="Q526">
        <v>36</v>
      </c>
      <c r="R526">
        <v>30</v>
      </c>
      <c r="S526">
        <v>71</v>
      </c>
      <c r="T526">
        <v>42</v>
      </c>
      <c r="U526">
        <v>-0.03</v>
      </c>
      <c r="W526">
        <f>DataLog_T717420_Aug11_4_59_37pm[[#This Row],[RPM '[1/MIN']]]-Table3[[#This Row],[580C]]</f>
        <v>0</v>
      </c>
      <c r="X526">
        <f>DataLog_T717420_Aug11_4_59_37pm[[#This Row],[OIL TEMP '[Â°C']]]-Table3[[#This Row],[4402]]</f>
        <v>0</v>
      </c>
      <c r="Y526">
        <f>DataLog_T717420_Aug11_4_59_37pm[[#This Row],[INTAKE TEMP '[Â°C']]]-Table3[[#This Row],[580F]]</f>
        <v>0</v>
      </c>
      <c r="Z526">
        <f>DataLog_T717420_Aug11_4_59_37pm[[#This Row],[HPFP PRES. '[BAR']]]-Table3[[#This Row],[58F0]]</f>
        <v>0</v>
      </c>
      <c r="AA526">
        <f>DataLog_T717420_Aug11_4_59_37pm[[#This Row],[COOLANT TEMP '[Â°C']]]-Table3[[#This Row],[5805]]</f>
        <v>0</v>
      </c>
      <c r="AB526">
        <f>DataLog_T717420_Aug11_4_59_37pm[[#This Row],[BOOST '[BAR']]]-Table3[[#This Row],[58DD]]</f>
        <v>0</v>
      </c>
    </row>
    <row r="527" spans="2:28" x14ac:dyDescent="0.25">
      <c r="B527" s="2" t="s">
        <v>189</v>
      </c>
      <c r="C527" s="2" t="s">
        <v>30</v>
      </c>
      <c r="D527" s="2" t="s">
        <v>151</v>
      </c>
      <c r="E527" s="2" t="s">
        <v>218</v>
      </c>
      <c r="F527" s="2" t="s">
        <v>26</v>
      </c>
      <c r="G527" s="2" t="s">
        <v>98</v>
      </c>
      <c r="I527">
        <f>HEX2DEC(_0811_173439[[#This Row],[580C]])*B$4/B$5+B$6</f>
        <v>760</v>
      </c>
      <c r="J527">
        <f>HEX2DEC(_0811_173439[[#This Row],[4402]])*C$4/C$5+C$6</f>
        <v>36</v>
      </c>
      <c r="K527">
        <f>HEX2DEC(_0811_173439[[#This Row],[580F]])*D$4/D$5+D$6</f>
        <v>30</v>
      </c>
      <c r="L527">
        <f>ROUND(HEX2DEC(_0811_173439[[#This Row],[58F0]])*E$4/E$5+E$6,0)</f>
        <v>71</v>
      </c>
      <c r="M527">
        <f>ROUND(HEX2DEC(_0811_173439[[#This Row],[5805]])*F$4/F$5+F$6,0)</f>
        <v>42</v>
      </c>
      <c r="N527">
        <f>ROUND(HEX2DEC(_0811_173439[[#This Row],[58DD]])*G$4/G$5+G$6,2)</f>
        <v>-0.03</v>
      </c>
      <c r="P527">
        <v>760</v>
      </c>
      <c r="Q527">
        <v>36</v>
      </c>
      <c r="R527">
        <v>30</v>
      </c>
      <c r="S527">
        <v>71</v>
      </c>
      <c r="T527">
        <v>42</v>
      </c>
      <c r="U527">
        <v>-0.03</v>
      </c>
      <c r="W527">
        <f>DataLog_T717420_Aug11_4_59_37pm[[#This Row],[RPM '[1/MIN']]]-Table3[[#This Row],[580C]]</f>
        <v>0</v>
      </c>
      <c r="X527">
        <f>DataLog_T717420_Aug11_4_59_37pm[[#This Row],[OIL TEMP '[Â°C']]]-Table3[[#This Row],[4402]]</f>
        <v>0</v>
      </c>
      <c r="Y527">
        <f>DataLog_T717420_Aug11_4_59_37pm[[#This Row],[INTAKE TEMP '[Â°C']]]-Table3[[#This Row],[580F]]</f>
        <v>0</v>
      </c>
      <c r="Z527">
        <f>DataLog_T717420_Aug11_4_59_37pm[[#This Row],[HPFP PRES. '[BAR']]]-Table3[[#This Row],[58F0]]</f>
        <v>0</v>
      </c>
      <c r="AA527">
        <f>DataLog_T717420_Aug11_4_59_37pm[[#This Row],[COOLANT TEMP '[Â°C']]]-Table3[[#This Row],[5805]]</f>
        <v>0</v>
      </c>
      <c r="AB527">
        <f>DataLog_T717420_Aug11_4_59_37pm[[#This Row],[BOOST '[BAR']]]-Table3[[#This Row],[58DD]]</f>
        <v>0</v>
      </c>
    </row>
    <row r="528" spans="2:28" x14ac:dyDescent="0.25">
      <c r="B528" s="2" t="s">
        <v>189</v>
      </c>
      <c r="C528" s="2" t="s">
        <v>30</v>
      </c>
      <c r="D528" s="2" t="s">
        <v>151</v>
      </c>
      <c r="E528" s="2" t="s">
        <v>220</v>
      </c>
      <c r="F528" s="2" t="s">
        <v>26</v>
      </c>
      <c r="G528" s="2" t="s">
        <v>186</v>
      </c>
      <c r="I528">
        <f>HEX2DEC(_0811_173439[[#This Row],[580C]])*B$4/B$5+B$6</f>
        <v>760</v>
      </c>
      <c r="J528">
        <f>HEX2DEC(_0811_173439[[#This Row],[4402]])*C$4/C$5+C$6</f>
        <v>36</v>
      </c>
      <c r="K528">
        <f>HEX2DEC(_0811_173439[[#This Row],[580F]])*D$4/D$5+D$6</f>
        <v>30</v>
      </c>
      <c r="L528">
        <f>ROUND(HEX2DEC(_0811_173439[[#This Row],[58F0]])*E$4/E$5+E$6,0)</f>
        <v>71</v>
      </c>
      <c r="M528">
        <f>ROUND(HEX2DEC(_0811_173439[[#This Row],[5805]])*F$4/F$5+F$6,0)</f>
        <v>42</v>
      </c>
      <c r="N528">
        <f>ROUND(HEX2DEC(_0811_173439[[#This Row],[58DD]])*G$4/G$5+G$6,2)</f>
        <v>-0.03</v>
      </c>
      <c r="P528">
        <v>760</v>
      </c>
      <c r="Q528">
        <v>36</v>
      </c>
      <c r="R528">
        <v>30</v>
      </c>
      <c r="S528">
        <v>71</v>
      </c>
      <c r="T528">
        <v>42</v>
      </c>
      <c r="U528">
        <v>-0.03</v>
      </c>
      <c r="W528">
        <f>DataLog_T717420_Aug11_4_59_37pm[[#This Row],[RPM '[1/MIN']]]-Table3[[#This Row],[580C]]</f>
        <v>0</v>
      </c>
      <c r="X528">
        <f>DataLog_T717420_Aug11_4_59_37pm[[#This Row],[OIL TEMP '[Â°C']]]-Table3[[#This Row],[4402]]</f>
        <v>0</v>
      </c>
      <c r="Y528">
        <f>DataLog_T717420_Aug11_4_59_37pm[[#This Row],[INTAKE TEMP '[Â°C']]]-Table3[[#This Row],[580F]]</f>
        <v>0</v>
      </c>
      <c r="Z528">
        <f>DataLog_T717420_Aug11_4_59_37pm[[#This Row],[HPFP PRES. '[BAR']]]-Table3[[#This Row],[58F0]]</f>
        <v>0</v>
      </c>
      <c r="AA528">
        <f>DataLog_T717420_Aug11_4_59_37pm[[#This Row],[COOLANT TEMP '[Â°C']]]-Table3[[#This Row],[5805]]</f>
        <v>0</v>
      </c>
      <c r="AB528">
        <f>DataLog_T717420_Aug11_4_59_37pm[[#This Row],[BOOST '[BAR']]]-Table3[[#This Row],[58DD]]</f>
        <v>0</v>
      </c>
    </row>
    <row r="529" spans="2:28" x14ac:dyDescent="0.25">
      <c r="B529" s="2" t="s">
        <v>189</v>
      </c>
      <c r="C529" s="2" t="s">
        <v>30</v>
      </c>
      <c r="D529" s="2" t="s">
        <v>151</v>
      </c>
      <c r="E529" s="2" t="s">
        <v>172</v>
      </c>
      <c r="F529" s="2" t="s">
        <v>26</v>
      </c>
      <c r="G529" s="2" t="s">
        <v>216</v>
      </c>
      <c r="I529">
        <f>HEX2DEC(_0811_173439[[#This Row],[580C]])*B$4/B$5+B$6</f>
        <v>760</v>
      </c>
      <c r="J529">
        <f>HEX2DEC(_0811_173439[[#This Row],[4402]])*C$4/C$5+C$6</f>
        <v>36</v>
      </c>
      <c r="K529">
        <f>HEX2DEC(_0811_173439[[#This Row],[580F]])*D$4/D$5+D$6</f>
        <v>30</v>
      </c>
      <c r="L529">
        <f>ROUND(HEX2DEC(_0811_173439[[#This Row],[58F0]])*E$4/E$5+E$6,0)</f>
        <v>70</v>
      </c>
      <c r="M529">
        <f>ROUND(HEX2DEC(_0811_173439[[#This Row],[5805]])*F$4/F$5+F$6,0)</f>
        <v>42</v>
      </c>
      <c r="N529">
        <f>ROUND(HEX2DEC(_0811_173439[[#This Row],[58DD]])*G$4/G$5+G$6,2)</f>
        <v>-0.03</v>
      </c>
      <c r="P529">
        <v>760</v>
      </c>
      <c r="Q529">
        <v>36</v>
      </c>
      <c r="R529">
        <v>30</v>
      </c>
      <c r="S529">
        <v>70</v>
      </c>
      <c r="T529">
        <v>42</v>
      </c>
      <c r="U529">
        <v>-0.03</v>
      </c>
      <c r="W529">
        <f>DataLog_T717420_Aug11_4_59_37pm[[#This Row],[RPM '[1/MIN']]]-Table3[[#This Row],[580C]]</f>
        <v>0</v>
      </c>
      <c r="X529">
        <f>DataLog_T717420_Aug11_4_59_37pm[[#This Row],[OIL TEMP '[Â°C']]]-Table3[[#This Row],[4402]]</f>
        <v>0</v>
      </c>
      <c r="Y529">
        <f>DataLog_T717420_Aug11_4_59_37pm[[#This Row],[INTAKE TEMP '[Â°C']]]-Table3[[#This Row],[580F]]</f>
        <v>0</v>
      </c>
      <c r="Z529">
        <f>DataLog_T717420_Aug11_4_59_37pm[[#This Row],[HPFP PRES. '[BAR']]]-Table3[[#This Row],[58F0]]</f>
        <v>0</v>
      </c>
      <c r="AA529">
        <f>DataLog_T717420_Aug11_4_59_37pm[[#This Row],[COOLANT TEMP '[Â°C']]]-Table3[[#This Row],[5805]]</f>
        <v>0</v>
      </c>
      <c r="AB529">
        <f>DataLog_T717420_Aug11_4_59_37pm[[#This Row],[BOOST '[BAR']]]-Table3[[#This Row],[58DD]]</f>
        <v>0</v>
      </c>
    </row>
    <row r="530" spans="2:28" x14ac:dyDescent="0.25">
      <c r="B530" s="2" t="s">
        <v>189</v>
      </c>
      <c r="C530" s="2" t="s">
        <v>30</v>
      </c>
      <c r="D530" s="2" t="s">
        <v>151</v>
      </c>
      <c r="E530" s="2" t="s">
        <v>150</v>
      </c>
      <c r="F530" s="2" t="s">
        <v>26</v>
      </c>
      <c r="G530" s="2" t="s">
        <v>191</v>
      </c>
      <c r="I530">
        <f>HEX2DEC(_0811_173439[[#This Row],[580C]])*B$4/B$5+B$6</f>
        <v>760</v>
      </c>
      <c r="J530">
        <f>HEX2DEC(_0811_173439[[#This Row],[4402]])*C$4/C$5+C$6</f>
        <v>36</v>
      </c>
      <c r="K530">
        <f>HEX2DEC(_0811_173439[[#This Row],[580F]])*D$4/D$5+D$6</f>
        <v>30</v>
      </c>
      <c r="L530">
        <f>ROUND(HEX2DEC(_0811_173439[[#This Row],[58F0]])*E$4/E$5+E$6,0)</f>
        <v>70</v>
      </c>
      <c r="M530">
        <f>ROUND(HEX2DEC(_0811_173439[[#This Row],[5805]])*F$4/F$5+F$6,0)</f>
        <v>42</v>
      </c>
      <c r="N530">
        <f>ROUND(HEX2DEC(_0811_173439[[#This Row],[58DD]])*G$4/G$5+G$6,2)</f>
        <v>-0.03</v>
      </c>
      <c r="P530">
        <v>760</v>
      </c>
      <c r="Q530">
        <v>36</v>
      </c>
      <c r="R530">
        <v>30</v>
      </c>
      <c r="S530">
        <v>70</v>
      </c>
      <c r="T530">
        <v>42</v>
      </c>
      <c r="U530">
        <v>-0.03</v>
      </c>
      <c r="W530">
        <f>DataLog_T717420_Aug11_4_59_37pm[[#This Row],[RPM '[1/MIN']]]-Table3[[#This Row],[580C]]</f>
        <v>0</v>
      </c>
      <c r="X530">
        <f>DataLog_T717420_Aug11_4_59_37pm[[#This Row],[OIL TEMP '[Â°C']]]-Table3[[#This Row],[4402]]</f>
        <v>0</v>
      </c>
      <c r="Y530">
        <f>DataLog_T717420_Aug11_4_59_37pm[[#This Row],[INTAKE TEMP '[Â°C']]]-Table3[[#This Row],[580F]]</f>
        <v>0</v>
      </c>
      <c r="Z530">
        <f>DataLog_T717420_Aug11_4_59_37pm[[#This Row],[HPFP PRES. '[BAR']]]-Table3[[#This Row],[58F0]]</f>
        <v>0</v>
      </c>
      <c r="AA530">
        <f>DataLog_T717420_Aug11_4_59_37pm[[#This Row],[COOLANT TEMP '[Â°C']]]-Table3[[#This Row],[5805]]</f>
        <v>0</v>
      </c>
      <c r="AB530">
        <f>DataLog_T717420_Aug11_4_59_37pm[[#This Row],[BOOST '[BAR']]]-Table3[[#This Row],[58DD]]</f>
        <v>0</v>
      </c>
    </row>
    <row r="531" spans="2:28" x14ac:dyDescent="0.25">
      <c r="B531" s="2" t="s">
        <v>189</v>
      </c>
      <c r="C531" s="2" t="s">
        <v>30</v>
      </c>
      <c r="D531" s="2" t="s">
        <v>151</v>
      </c>
      <c r="E531" s="2" t="s">
        <v>166</v>
      </c>
      <c r="F531" s="2" t="s">
        <v>26</v>
      </c>
      <c r="G531" s="2" t="s">
        <v>53</v>
      </c>
      <c r="I531">
        <f>HEX2DEC(_0811_173439[[#This Row],[580C]])*B$4/B$5+B$6</f>
        <v>760</v>
      </c>
      <c r="J531">
        <f>HEX2DEC(_0811_173439[[#This Row],[4402]])*C$4/C$5+C$6</f>
        <v>36</v>
      </c>
      <c r="K531">
        <f>HEX2DEC(_0811_173439[[#This Row],[580F]])*D$4/D$5+D$6</f>
        <v>30</v>
      </c>
      <c r="L531">
        <f>ROUND(HEX2DEC(_0811_173439[[#This Row],[58F0]])*E$4/E$5+E$6,0)</f>
        <v>71</v>
      </c>
      <c r="M531">
        <f>ROUND(HEX2DEC(_0811_173439[[#This Row],[5805]])*F$4/F$5+F$6,0)</f>
        <v>42</v>
      </c>
      <c r="N531">
        <f>ROUND(HEX2DEC(_0811_173439[[#This Row],[58DD]])*G$4/G$5+G$6,2)</f>
        <v>-0.03</v>
      </c>
      <c r="P531">
        <v>760</v>
      </c>
      <c r="Q531">
        <v>36</v>
      </c>
      <c r="R531">
        <v>30</v>
      </c>
      <c r="S531">
        <v>71</v>
      </c>
      <c r="T531">
        <v>42</v>
      </c>
      <c r="U531">
        <v>-0.03</v>
      </c>
      <c r="W531">
        <f>DataLog_T717420_Aug11_4_59_37pm[[#This Row],[RPM '[1/MIN']]]-Table3[[#This Row],[580C]]</f>
        <v>0</v>
      </c>
      <c r="X531">
        <f>DataLog_T717420_Aug11_4_59_37pm[[#This Row],[OIL TEMP '[Â°C']]]-Table3[[#This Row],[4402]]</f>
        <v>0</v>
      </c>
      <c r="Y531">
        <f>DataLog_T717420_Aug11_4_59_37pm[[#This Row],[INTAKE TEMP '[Â°C']]]-Table3[[#This Row],[580F]]</f>
        <v>0</v>
      </c>
      <c r="Z531">
        <f>DataLog_T717420_Aug11_4_59_37pm[[#This Row],[HPFP PRES. '[BAR']]]-Table3[[#This Row],[58F0]]</f>
        <v>0</v>
      </c>
      <c r="AA531">
        <f>DataLog_T717420_Aug11_4_59_37pm[[#This Row],[COOLANT TEMP '[Â°C']]]-Table3[[#This Row],[5805]]</f>
        <v>0</v>
      </c>
      <c r="AB531">
        <f>DataLog_T717420_Aug11_4_59_37pm[[#This Row],[BOOST '[BAR']]]-Table3[[#This Row],[58DD]]</f>
        <v>0</v>
      </c>
    </row>
    <row r="532" spans="2:28" x14ac:dyDescent="0.25">
      <c r="B532" s="2" t="s">
        <v>189</v>
      </c>
      <c r="C532" s="2" t="s">
        <v>30</v>
      </c>
      <c r="D532" s="2" t="s">
        <v>151</v>
      </c>
      <c r="E532" s="2" t="s">
        <v>165</v>
      </c>
      <c r="F532" s="2" t="s">
        <v>26</v>
      </c>
      <c r="G532" s="2" t="s">
        <v>191</v>
      </c>
      <c r="I532">
        <f>HEX2DEC(_0811_173439[[#This Row],[580C]])*B$4/B$5+B$6</f>
        <v>760</v>
      </c>
      <c r="J532">
        <f>HEX2DEC(_0811_173439[[#This Row],[4402]])*C$4/C$5+C$6</f>
        <v>36</v>
      </c>
      <c r="K532">
        <f>HEX2DEC(_0811_173439[[#This Row],[580F]])*D$4/D$5+D$6</f>
        <v>30</v>
      </c>
      <c r="L532">
        <f>ROUND(HEX2DEC(_0811_173439[[#This Row],[58F0]])*E$4/E$5+E$6,0)</f>
        <v>70</v>
      </c>
      <c r="M532">
        <f>ROUND(HEX2DEC(_0811_173439[[#This Row],[5805]])*F$4/F$5+F$6,0)</f>
        <v>42</v>
      </c>
      <c r="N532">
        <f>ROUND(HEX2DEC(_0811_173439[[#This Row],[58DD]])*G$4/G$5+G$6,2)</f>
        <v>-0.03</v>
      </c>
      <c r="P532">
        <v>760</v>
      </c>
      <c r="Q532">
        <v>36</v>
      </c>
      <c r="R532">
        <v>30</v>
      </c>
      <c r="S532">
        <v>70</v>
      </c>
      <c r="T532">
        <v>42</v>
      </c>
      <c r="U532">
        <v>-0.03</v>
      </c>
      <c r="W532">
        <f>DataLog_T717420_Aug11_4_59_37pm[[#This Row],[RPM '[1/MIN']]]-Table3[[#This Row],[580C]]</f>
        <v>0</v>
      </c>
      <c r="X532">
        <f>DataLog_T717420_Aug11_4_59_37pm[[#This Row],[OIL TEMP '[Â°C']]]-Table3[[#This Row],[4402]]</f>
        <v>0</v>
      </c>
      <c r="Y532">
        <f>DataLog_T717420_Aug11_4_59_37pm[[#This Row],[INTAKE TEMP '[Â°C']]]-Table3[[#This Row],[580F]]</f>
        <v>0</v>
      </c>
      <c r="Z532">
        <f>DataLog_T717420_Aug11_4_59_37pm[[#This Row],[HPFP PRES. '[BAR']]]-Table3[[#This Row],[58F0]]</f>
        <v>0</v>
      </c>
      <c r="AA532">
        <f>DataLog_T717420_Aug11_4_59_37pm[[#This Row],[COOLANT TEMP '[Â°C']]]-Table3[[#This Row],[5805]]</f>
        <v>0</v>
      </c>
      <c r="AB532">
        <f>DataLog_T717420_Aug11_4_59_37pm[[#This Row],[BOOST '[BAR']]]-Table3[[#This Row],[58DD]]</f>
        <v>0</v>
      </c>
    </row>
    <row r="533" spans="2:28" x14ac:dyDescent="0.25">
      <c r="B533" s="2" t="s">
        <v>189</v>
      </c>
      <c r="C533" s="2" t="s">
        <v>30</v>
      </c>
      <c r="D533" s="2" t="s">
        <v>151</v>
      </c>
      <c r="E533" s="2" t="s">
        <v>148</v>
      </c>
      <c r="F533" s="2" t="s">
        <v>26</v>
      </c>
      <c r="G533" s="2" t="s">
        <v>191</v>
      </c>
      <c r="I533">
        <f>HEX2DEC(_0811_173439[[#This Row],[580C]])*B$4/B$5+B$6</f>
        <v>760</v>
      </c>
      <c r="J533">
        <f>HEX2DEC(_0811_173439[[#This Row],[4402]])*C$4/C$5+C$6</f>
        <v>36</v>
      </c>
      <c r="K533">
        <f>HEX2DEC(_0811_173439[[#This Row],[580F]])*D$4/D$5+D$6</f>
        <v>30</v>
      </c>
      <c r="L533">
        <f>ROUND(HEX2DEC(_0811_173439[[#This Row],[58F0]])*E$4/E$5+E$6,0)</f>
        <v>70</v>
      </c>
      <c r="M533">
        <f>ROUND(HEX2DEC(_0811_173439[[#This Row],[5805]])*F$4/F$5+F$6,0)</f>
        <v>42</v>
      </c>
      <c r="N533">
        <f>ROUND(HEX2DEC(_0811_173439[[#This Row],[58DD]])*G$4/G$5+G$6,2)</f>
        <v>-0.03</v>
      </c>
      <c r="P533">
        <v>760</v>
      </c>
      <c r="Q533">
        <v>36</v>
      </c>
      <c r="R533">
        <v>30</v>
      </c>
      <c r="S533">
        <v>70</v>
      </c>
      <c r="T533">
        <v>42</v>
      </c>
      <c r="U533">
        <v>-0.03</v>
      </c>
      <c r="W533">
        <f>DataLog_T717420_Aug11_4_59_37pm[[#This Row],[RPM '[1/MIN']]]-Table3[[#This Row],[580C]]</f>
        <v>0</v>
      </c>
      <c r="X533">
        <f>DataLog_T717420_Aug11_4_59_37pm[[#This Row],[OIL TEMP '[Â°C']]]-Table3[[#This Row],[4402]]</f>
        <v>0</v>
      </c>
      <c r="Y533">
        <f>DataLog_T717420_Aug11_4_59_37pm[[#This Row],[INTAKE TEMP '[Â°C']]]-Table3[[#This Row],[580F]]</f>
        <v>0</v>
      </c>
      <c r="Z533">
        <f>DataLog_T717420_Aug11_4_59_37pm[[#This Row],[HPFP PRES. '[BAR']]]-Table3[[#This Row],[58F0]]</f>
        <v>0</v>
      </c>
      <c r="AA533">
        <f>DataLog_T717420_Aug11_4_59_37pm[[#This Row],[COOLANT TEMP '[Â°C']]]-Table3[[#This Row],[5805]]</f>
        <v>0</v>
      </c>
      <c r="AB533">
        <f>DataLog_T717420_Aug11_4_59_37pm[[#This Row],[BOOST '[BAR']]]-Table3[[#This Row],[58DD]]</f>
        <v>0</v>
      </c>
    </row>
    <row r="534" spans="2:28" x14ac:dyDescent="0.25">
      <c r="B534" s="2" t="s">
        <v>189</v>
      </c>
      <c r="C534" s="2" t="s">
        <v>30</v>
      </c>
      <c r="D534" s="2" t="s">
        <v>151</v>
      </c>
      <c r="E534" s="2" t="s">
        <v>165</v>
      </c>
      <c r="F534" s="2" t="s">
        <v>26</v>
      </c>
      <c r="G534" s="2" t="s">
        <v>191</v>
      </c>
      <c r="I534">
        <f>HEX2DEC(_0811_173439[[#This Row],[580C]])*B$4/B$5+B$6</f>
        <v>760</v>
      </c>
      <c r="J534">
        <f>HEX2DEC(_0811_173439[[#This Row],[4402]])*C$4/C$5+C$6</f>
        <v>36</v>
      </c>
      <c r="K534">
        <f>HEX2DEC(_0811_173439[[#This Row],[580F]])*D$4/D$5+D$6</f>
        <v>30</v>
      </c>
      <c r="L534">
        <f>ROUND(HEX2DEC(_0811_173439[[#This Row],[58F0]])*E$4/E$5+E$6,0)</f>
        <v>70</v>
      </c>
      <c r="M534">
        <f>ROUND(HEX2DEC(_0811_173439[[#This Row],[5805]])*F$4/F$5+F$6,0)</f>
        <v>42</v>
      </c>
      <c r="N534">
        <f>ROUND(HEX2DEC(_0811_173439[[#This Row],[58DD]])*G$4/G$5+G$6,2)</f>
        <v>-0.03</v>
      </c>
      <c r="P534">
        <v>760</v>
      </c>
      <c r="Q534">
        <v>36</v>
      </c>
      <c r="R534">
        <v>30</v>
      </c>
      <c r="S534">
        <v>70</v>
      </c>
      <c r="T534">
        <v>42</v>
      </c>
      <c r="U534">
        <v>-0.03</v>
      </c>
      <c r="W534">
        <f>DataLog_T717420_Aug11_4_59_37pm[[#This Row],[RPM '[1/MIN']]]-Table3[[#This Row],[580C]]</f>
        <v>0</v>
      </c>
      <c r="X534">
        <f>DataLog_T717420_Aug11_4_59_37pm[[#This Row],[OIL TEMP '[Â°C']]]-Table3[[#This Row],[4402]]</f>
        <v>0</v>
      </c>
      <c r="Y534">
        <f>DataLog_T717420_Aug11_4_59_37pm[[#This Row],[INTAKE TEMP '[Â°C']]]-Table3[[#This Row],[580F]]</f>
        <v>0</v>
      </c>
      <c r="Z534">
        <f>DataLog_T717420_Aug11_4_59_37pm[[#This Row],[HPFP PRES. '[BAR']]]-Table3[[#This Row],[58F0]]</f>
        <v>0</v>
      </c>
      <c r="AA534">
        <f>DataLog_T717420_Aug11_4_59_37pm[[#This Row],[COOLANT TEMP '[Â°C']]]-Table3[[#This Row],[5805]]</f>
        <v>0</v>
      </c>
      <c r="AB534">
        <f>DataLog_T717420_Aug11_4_59_37pm[[#This Row],[BOOST '[BAR']]]-Table3[[#This Row],[58DD]]</f>
        <v>0</v>
      </c>
    </row>
    <row r="535" spans="2:28" x14ac:dyDescent="0.25">
      <c r="B535" s="2" t="s">
        <v>189</v>
      </c>
      <c r="C535" s="2" t="s">
        <v>30</v>
      </c>
      <c r="D535" s="2" t="s">
        <v>151</v>
      </c>
      <c r="E535" s="2" t="s">
        <v>141</v>
      </c>
      <c r="F535" s="2" t="s">
        <v>26</v>
      </c>
      <c r="G535" s="2" t="s">
        <v>191</v>
      </c>
      <c r="I535">
        <f>HEX2DEC(_0811_173439[[#This Row],[580C]])*B$4/B$5+B$6</f>
        <v>760</v>
      </c>
      <c r="J535">
        <f>HEX2DEC(_0811_173439[[#This Row],[4402]])*C$4/C$5+C$6</f>
        <v>36</v>
      </c>
      <c r="K535">
        <f>HEX2DEC(_0811_173439[[#This Row],[580F]])*D$4/D$5+D$6</f>
        <v>30</v>
      </c>
      <c r="L535">
        <f>ROUND(HEX2DEC(_0811_173439[[#This Row],[58F0]])*E$4/E$5+E$6,0)</f>
        <v>70</v>
      </c>
      <c r="M535">
        <f>ROUND(HEX2DEC(_0811_173439[[#This Row],[5805]])*F$4/F$5+F$6,0)</f>
        <v>42</v>
      </c>
      <c r="N535">
        <f>ROUND(HEX2DEC(_0811_173439[[#This Row],[58DD]])*G$4/G$5+G$6,2)</f>
        <v>-0.03</v>
      </c>
      <c r="P535">
        <v>760</v>
      </c>
      <c r="Q535">
        <v>36</v>
      </c>
      <c r="R535">
        <v>30</v>
      </c>
      <c r="S535">
        <v>70</v>
      </c>
      <c r="T535">
        <v>42</v>
      </c>
      <c r="U535">
        <v>-0.03</v>
      </c>
      <c r="W535">
        <f>DataLog_T717420_Aug11_4_59_37pm[[#This Row],[RPM '[1/MIN']]]-Table3[[#This Row],[580C]]</f>
        <v>0</v>
      </c>
      <c r="X535">
        <f>DataLog_T717420_Aug11_4_59_37pm[[#This Row],[OIL TEMP '[Â°C']]]-Table3[[#This Row],[4402]]</f>
        <v>0</v>
      </c>
      <c r="Y535">
        <f>DataLog_T717420_Aug11_4_59_37pm[[#This Row],[INTAKE TEMP '[Â°C']]]-Table3[[#This Row],[580F]]</f>
        <v>0</v>
      </c>
      <c r="Z535">
        <f>DataLog_T717420_Aug11_4_59_37pm[[#This Row],[HPFP PRES. '[BAR']]]-Table3[[#This Row],[58F0]]</f>
        <v>0</v>
      </c>
      <c r="AA535">
        <f>DataLog_T717420_Aug11_4_59_37pm[[#This Row],[COOLANT TEMP '[Â°C']]]-Table3[[#This Row],[5805]]</f>
        <v>0</v>
      </c>
      <c r="AB535">
        <f>DataLog_T717420_Aug11_4_59_37pm[[#This Row],[BOOST '[BAR']]]-Table3[[#This Row],[58DD]]</f>
        <v>0</v>
      </c>
    </row>
    <row r="536" spans="2:28" x14ac:dyDescent="0.25">
      <c r="B536" s="2" t="s">
        <v>189</v>
      </c>
      <c r="C536" s="2" t="s">
        <v>30</v>
      </c>
      <c r="D536" s="2" t="s">
        <v>151</v>
      </c>
      <c r="E536" s="2" t="s">
        <v>137</v>
      </c>
      <c r="F536" s="2" t="s">
        <v>26</v>
      </c>
      <c r="G536" s="2" t="s">
        <v>190</v>
      </c>
      <c r="I536">
        <f>HEX2DEC(_0811_173439[[#This Row],[580C]])*B$4/B$5+B$6</f>
        <v>760</v>
      </c>
      <c r="J536">
        <f>HEX2DEC(_0811_173439[[#This Row],[4402]])*C$4/C$5+C$6</f>
        <v>36</v>
      </c>
      <c r="K536">
        <f>HEX2DEC(_0811_173439[[#This Row],[580F]])*D$4/D$5+D$6</f>
        <v>30</v>
      </c>
      <c r="L536">
        <f>ROUND(HEX2DEC(_0811_173439[[#This Row],[58F0]])*E$4/E$5+E$6,0)</f>
        <v>70</v>
      </c>
      <c r="M536">
        <f>ROUND(HEX2DEC(_0811_173439[[#This Row],[5805]])*F$4/F$5+F$6,0)</f>
        <v>42</v>
      </c>
      <c r="N536">
        <f>ROUND(HEX2DEC(_0811_173439[[#This Row],[58DD]])*G$4/G$5+G$6,2)</f>
        <v>-0.03</v>
      </c>
      <c r="P536">
        <v>760</v>
      </c>
      <c r="Q536">
        <v>36</v>
      </c>
      <c r="R536">
        <v>30</v>
      </c>
      <c r="S536">
        <v>70</v>
      </c>
      <c r="T536">
        <v>42</v>
      </c>
      <c r="U536">
        <v>-0.03</v>
      </c>
      <c r="W536">
        <f>DataLog_T717420_Aug11_4_59_37pm[[#This Row],[RPM '[1/MIN']]]-Table3[[#This Row],[580C]]</f>
        <v>0</v>
      </c>
      <c r="X536">
        <f>DataLog_T717420_Aug11_4_59_37pm[[#This Row],[OIL TEMP '[Â°C']]]-Table3[[#This Row],[4402]]</f>
        <v>0</v>
      </c>
      <c r="Y536">
        <f>DataLog_T717420_Aug11_4_59_37pm[[#This Row],[INTAKE TEMP '[Â°C']]]-Table3[[#This Row],[580F]]</f>
        <v>0</v>
      </c>
      <c r="Z536">
        <f>DataLog_T717420_Aug11_4_59_37pm[[#This Row],[HPFP PRES. '[BAR']]]-Table3[[#This Row],[58F0]]</f>
        <v>0</v>
      </c>
      <c r="AA536">
        <f>DataLog_T717420_Aug11_4_59_37pm[[#This Row],[COOLANT TEMP '[Â°C']]]-Table3[[#This Row],[5805]]</f>
        <v>0</v>
      </c>
      <c r="AB536">
        <f>DataLog_T717420_Aug11_4_59_37pm[[#This Row],[BOOST '[BAR']]]-Table3[[#This Row],[58DD]]</f>
        <v>0</v>
      </c>
    </row>
    <row r="537" spans="2:28" x14ac:dyDescent="0.25">
      <c r="B537" s="2" t="s">
        <v>189</v>
      </c>
      <c r="C537" s="2" t="s">
        <v>30</v>
      </c>
      <c r="D537" s="2" t="s">
        <v>151</v>
      </c>
      <c r="E537" s="2" t="s">
        <v>195</v>
      </c>
      <c r="F537" s="2" t="s">
        <v>26</v>
      </c>
      <c r="G537" s="2" t="s">
        <v>190</v>
      </c>
      <c r="I537">
        <f>HEX2DEC(_0811_173439[[#This Row],[580C]])*B$4/B$5+B$6</f>
        <v>760</v>
      </c>
      <c r="J537">
        <f>HEX2DEC(_0811_173439[[#This Row],[4402]])*C$4/C$5+C$6</f>
        <v>36</v>
      </c>
      <c r="K537">
        <f>HEX2DEC(_0811_173439[[#This Row],[580F]])*D$4/D$5+D$6</f>
        <v>30</v>
      </c>
      <c r="L537">
        <f>ROUND(HEX2DEC(_0811_173439[[#This Row],[58F0]])*E$4/E$5+E$6,0)</f>
        <v>70</v>
      </c>
      <c r="M537">
        <f>ROUND(HEX2DEC(_0811_173439[[#This Row],[5805]])*F$4/F$5+F$6,0)</f>
        <v>42</v>
      </c>
      <c r="N537">
        <f>ROUND(HEX2DEC(_0811_173439[[#This Row],[58DD]])*G$4/G$5+G$6,2)</f>
        <v>-0.03</v>
      </c>
      <c r="P537">
        <v>760</v>
      </c>
      <c r="Q537">
        <v>36</v>
      </c>
      <c r="R537">
        <v>30</v>
      </c>
      <c r="S537">
        <v>70</v>
      </c>
      <c r="T537">
        <v>42</v>
      </c>
      <c r="U537">
        <v>-0.03</v>
      </c>
      <c r="W537">
        <f>DataLog_T717420_Aug11_4_59_37pm[[#This Row],[RPM '[1/MIN']]]-Table3[[#This Row],[580C]]</f>
        <v>0</v>
      </c>
      <c r="X537">
        <f>DataLog_T717420_Aug11_4_59_37pm[[#This Row],[OIL TEMP '[Â°C']]]-Table3[[#This Row],[4402]]</f>
        <v>0</v>
      </c>
      <c r="Y537">
        <f>DataLog_T717420_Aug11_4_59_37pm[[#This Row],[INTAKE TEMP '[Â°C']]]-Table3[[#This Row],[580F]]</f>
        <v>0</v>
      </c>
      <c r="Z537">
        <f>DataLog_T717420_Aug11_4_59_37pm[[#This Row],[HPFP PRES. '[BAR']]]-Table3[[#This Row],[58F0]]</f>
        <v>0</v>
      </c>
      <c r="AA537">
        <f>DataLog_T717420_Aug11_4_59_37pm[[#This Row],[COOLANT TEMP '[Â°C']]]-Table3[[#This Row],[5805]]</f>
        <v>0</v>
      </c>
      <c r="AB537">
        <f>DataLog_T717420_Aug11_4_59_37pm[[#This Row],[BOOST '[BAR']]]-Table3[[#This Row],[58DD]]</f>
        <v>0</v>
      </c>
    </row>
    <row r="538" spans="2:28" x14ac:dyDescent="0.25">
      <c r="B538" s="2" t="s">
        <v>189</v>
      </c>
      <c r="C538" s="2" t="s">
        <v>30</v>
      </c>
      <c r="D538" s="2" t="s">
        <v>151</v>
      </c>
      <c r="E538" s="2" t="s">
        <v>221</v>
      </c>
      <c r="F538" s="2" t="s">
        <v>26</v>
      </c>
      <c r="G538" s="2" t="s">
        <v>98</v>
      </c>
      <c r="I538">
        <f>HEX2DEC(_0811_173439[[#This Row],[580C]])*B$4/B$5+B$6</f>
        <v>760</v>
      </c>
      <c r="J538">
        <f>HEX2DEC(_0811_173439[[#This Row],[4402]])*C$4/C$5+C$6</f>
        <v>36</v>
      </c>
      <c r="K538">
        <f>HEX2DEC(_0811_173439[[#This Row],[580F]])*D$4/D$5+D$6</f>
        <v>30</v>
      </c>
      <c r="L538">
        <f>ROUND(HEX2DEC(_0811_173439[[#This Row],[58F0]])*E$4/E$5+E$6,0)</f>
        <v>70</v>
      </c>
      <c r="M538">
        <f>ROUND(HEX2DEC(_0811_173439[[#This Row],[5805]])*F$4/F$5+F$6,0)</f>
        <v>42</v>
      </c>
      <c r="N538">
        <f>ROUND(HEX2DEC(_0811_173439[[#This Row],[58DD]])*G$4/G$5+G$6,2)</f>
        <v>-0.03</v>
      </c>
      <c r="P538">
        <v>760</v>
      </c>
      <c r="Q538">
        <v>36</v>
      </c>
      <c r="R538">
        <v>30</v>
      </c>
      <c r="S538">
        <v>70</v>
      </c>
      <c r="T538">
        <v>42</v>
      </c>
      <c r="U538">
        <v>-0.03</v>
      </c>
      <c r="W538">
        <f>DataLog_T717420_Aug11_4_59_37pm[[#This Row],[RPM '[1/MIN']]]-Table3[[#This Row],[580C]]</f>
        <v>0</v>
      </c>
      <c r="X538">
        <f>DataLog_T717420_Aug11_4_59_37pm[[#This Row],[OIL TEMP '[Â°C']]]-Table3[[#This Row],[4402]]</f>
        <v>0</v>
      </c>
      <c r="Y538">
        <f>DataLog_T717420_Aug11_4_59_37pm[[#This Row],[INTAKE TEMP '[Â°C']]]-Table3[[#This Row],[580F]]</f>
        <v>0</v>
      </c>
      <c r="Z538">
        <f>DataLog_T717420_Aug11_4_59_37pm[[#This Row],[HPFP PRES. '[BAR']]]-Table3[[#This Row],[58F0]]</f>
        <v>0</v>
      </c>
      <c r="AA538">
        <f>DataLog_T717420_Aug11_4_59_37pm[[#This Row],[COOLANT TEMP '[Â°C']]]-Table3[[#This Row],[5805]]</f>
        <v>0</v>
      </c>
      <c r="AB538">
        <f>DataLog_T717420_Aug11_4_59_37pm[[#This Row],[BOOST '[BAR']]]-Table3[[#This Row],[58DD]]</f>
        <v>0</v>
      </c>
    </row>
    <row r="539" spans="2:28" x14ac:dyDescent="0.25">
      <c r="B539" s="2" t="s">
        <v>189</v>
      </c>
      <c r="C539" s="2" t="s">
        <v>30</v>
      </c>
      <c r="D539" s="2" t="s">
        <v>151</v>
      </c>
      <c r="E539" s="2" t="s">
        <v>142</v>
      </c>
      <c r="F539" s="2" t="s">
        <v>26</v>
      </c>
      <c r="G539" s="2" t="s">
        <v>213</v>
      </c>
      <c r="I539">
        <f>HEX2DEC(_0811_173439[[#This Row],[580C]])*B$4/B$5+B$6</f>
        <v>760</v>
      </c>
      <c r="J539">
        <f>HEX2DEC(_0811_173439[[#This Row],[4402]])*C$4/C$5+C$6</f>
        <v>36</v>
      </c>
      <c r="K539">
        <f>HEX2DEC(_0811_173439[[#This Row],[580F]])*D$4/D$5+D$6</f>
        <v>30</v>
      </c>
      <c r="L539">
        <f>ROUND(HEX2DEC(_0811_173439[[#This Row],[58F0]])*E$4/E$5+E$6,0)</f>
        <v>69</v>
      </c>
      <c r="M539">
        <f>ROUND(HEX2DEC(_0811_173439[[#This Row],[5805]])*F$4/F$5+F$6,0)</f>
        <v>42</v>
      </c>
      <c r="N539">
        <f>ROUND(HEX2DEC(_0811_173439[[#This Row],[58DD]])*G$4/G$5+G$6,2)</f>
        <v>-0.03</v>
      </c>
      <c r="P539">
        <v>760</v>
      </c>
      <c r="Q539">
        <v>36</v>
      </c>
      <c r="R539">
        <v>30</v>
      </c>
      <c r="S539">
        <v>69</v>
      </c>
      <c r="T539">
        <v>42</v>
      </c>
      <c r="U539">
        <v>-0.03</v>
      </c>
      <c r="W539">
        <f>DataLog_T717420_Aug11_4_59_37pm[[#This Row],[RPM '[1/MIN']]]-Table3[[#This Row],[580C]]</f>
        <v>0</v>
      </c>
      <c r="X539">
        <f>DataLog_T717420_Aug11_4_59_37pm[[#This Row],[OIL TEMP '[Â°C']]]-Table3[[#This Row],[4402]]</f>
        <v>0</v>
      </c>
      <c r="Y539">
        <f>DataLog_T717420_Aug11_4_59_37pm[[#This Row],[INTAKE TEMP '[Â°C']]]-Table3[[#This Row],[580F]]</f>
        <v>0</v>
      </c>
      <c r="Z539">
        <f>DataLog_T717420_Aug11_4_59_37pm[[#This Row],[HPFP PRES. '[BAR']]]-Table3[[#This Row],[58F0]]</f>
        <v>0</v>
      </c>
      <c r="AA539">
        <f>DataLog_T717420_Aug11_4_59_37pm[[#This Row],[COOLANT TEMP '[Â°C']]]-Table3[[#This Row],[5805]]</f>
        <v>0</v>
      </c>
      <c r="AB539">
        <f>DataLog_T717420_Aug11_4_59_37pm[[#This Row],[BOOST '[BAR']]]-Table3[[#This Row],[58DD]]</f>
        <v>0</v>
      </c>
    </row>
    <row r="540" spans="2:28" x14ac:dyDescent="0.25">
      <c r="B540" s="2" t="s">
        <v>189</v>
      </c>
      <c r="C540" s="2" t="s">
        <v>30</v>
      </c>
      <c r="D540" s="2" t="s">
        <v>151</v>
      </c>
      <c r="E540" s="2" t="s">
        <v>222</v>
      </c>
      <c r="F540" s="2" t="s">
        <v>26</v>
      </c>
      <c r="G540" s="2" t="s">
        <v>53</v>
      </c>
      <c r="I540">
        <f>HEX2DEC(_0811_173439[[#This Row],[580C]])*B$4/B$5+B$6</f>
        <v>760</v>
      </c>
      <c r="J540">
        <f>HEX2DEC(_0811_173439[[#This Row],[4402]])*C$4/C$5+C$6</f>
        <v>36</v>
      </c>
      <c r="K540">
        <f>HEX2DEC(_0811_173439[[#This Row],[580F]])*D$4/D$5+D$6</f>
        <v>30</v>
      </c>
      <c r="L540">
        <f>ROUND(HEX2DEC(_0811_173439[[#This Row],[58F0]])*E$4/E$5+E$6,0)</f>
        <v>70</v>
      </c>
      <c r="M540">
        <f>ROUND(HEX2DEC(_0811_173439[[#This Row],[5805]])*F$4/F$5+F$6,0)</f>
        <v>42</v>
      </c>
      <c r="N540">
        <f>ROUND(HEX2DEC(_0811_173439[[#This Row],[58DD]])*G$4/G$5+G$6,2)</f>
        <v>-0.03</v>
      </c>
      <c r="P540">
        <v>760</v>
      </c>
      <c r="Q540">
        <v>36</v>
      </c>
      <c r="R540">
        <v>30</v>
      </c>
      <c r="S540">
        <v>70</v>
      </c>
      <c r="T540">
        <v>42</v>
      </c>
      <c r="U540">
        <v>-0.03</v>
      </c>
      <c r="W540">
        <f>DataLog_T717420_Aug11_4_59_37pm[[#This Row],[RPM '[1/MIN']]]-Table3[[#This Row],[580C]]</f>
        <v>0</v>
      </c>
      <c r="X540">
        <f>DataLog_T717420_Aug11_4_59_37pm[[#This Row],[OIL TEMP '[Â°C']]]-Table3[[#This Row],[4402]]</f>
        <v>0</v>
      </c>
      <c r="Y540">
        <f>DataLog_T717420_Aug11_4_59_37pm[[#This Row],[INTAKE TEMP '[Â°C']]]-Table3[[#This Row],[580F]]</f>
        <v>0</v>
      </c>
      <c r="Z540">
        <f>DataLog_T717420_Aug11_4_59_37pm[[#This Row],[HPFP PRES. '[BAR']]]-Table3[[#This Row],[58F0]]</f>
        <v>0</v>
      </c>
      <c r="AA540">
        <f>DataLog_T717420_Aug11_4_59_37pm[[#This Row],[COOLANT TEMP '[Â°C']]]-Table3[[#This Row],[5805]]</f>
        <v>0</v>
      </c>
      <c r="AB540">
        <f>DataLog_T717420_Aug11_4_59_37pm[[#This Row],[BOOST '[BAR']]]-Table3[[#This Row],[58DD]]</f>
        <v>0</v>
      </c>
    </row>
    <row r="541" spans="2:28" x14ac:dyDescent="0.25">
      <c r="B541" s="2" t="s">
        <v>189</v>
      </c>
      <c r="C541" s="2" t="s">
        <v>30</v>
      </c>
      <c r="D541" s="2" t="s">
        <v>151</v>
      </c>
      <c r="E541" s="2" t="s">
        <v>163</v>
      </c>
      <c r="F541" s="2" t="s">
        <v>26</v>
      </c>
      <c r="G541" s="2" t="s">
        <v>190</v>
      </c>
      <c r="I541">
        <f>HEX2DEC(_0811_173439[[#This Row],[580C]])*B$4/B$5+B$6</f>
        <v>760</v>
      </c>
      <c r="J541">
        <f>HEX2DEC(_0811_173439[[#This Row],[4402]])*C$4/C$5+C$6</f>
        <v>36</v>
      </c>
      <c r="K541">
        <f>HEX2DEC(_0811_173439[[#This Row],[580F]])*D$4/D$5+D$6</f>
        <v>30</v>
      </c>
      <c r="L541">
        <f>ROUND(HEX2DEC(_0811_173439[[#This Row],[58F0]])*E$4/E$5+E$6,0)</f>
        <v>70</v>
      </c>
      <c r="M541">
        <f>ROUND(HEX2DEC(_0811_173439[[#This Row],[5805]])*F$4/F$5+F$6,0)</f>
        <v>42</v>
      </c>
      <c r="N541">
        <f>ROUND(HEX2DEC(_0811_173439[[#This Row],[58DD]])*G$4/G$5+G$6,2)</f>
        <v>-0.03</v>
      </c>
      <c r="P541">
        <v>760</v>
      </c>
      <c r="Q541">
        <v>36</v>
      </c>
      <c r="R541">
        <v>30</v>
      </c>
      <c r="S541">
        <v>70</v>
      </c>
      <c r="T541">
        <v>42</v>
      </c>
      <c r="U541">
        <v>-0.03</v>
      </c>
      <c r="W541">
        <f>DataLog_T717420_Aug11_4_59_37pm[[#This Row],[RPM '[1/MIN']]]-Table3[[#This Row],[580C]]</f>
        <v>0</v>
      </c>
      <c r="X541">
        <f>DataLog_T717420_Aug11_4_59_37pm[[#This Row],[OIL TEMP '[Â°C']]]-Table3[[#This Row],[4402]]</f>
        <v>0</v>
      </c>
      <c r="Y541">
        <f>DataLog_T717420_Aug11_4_59_37pm[[#This Row],[INTAKE TEMP '[Â°C']]]-Table3[[#This Row],[580F]]</f>
        <v>0</v>
      </c>
      <c r="Z541">
        <f>DataLog_T717420_Aug11_4_59_37pm[[#This Row],[HPFP PRES. '[BAR']]]-Table3[[#This Row],[58F0]]</f>
        <v>0</v>
      </c>
      <c r="AA541">
        <f>DataLog_T717420_Aug11_4_59_37pm[[#This Row],[COOLANT TEMP '[Â°C']]]-Table3[[#This Row],[5805]]</f>
        <v>0</v>
      </c>
      <c r="AB541">
        <f>DataLog_T717420_Aug11_4_59_37pm[[#This Row],[BOOST '[BAR']]]-Table3[[#This Row],[58DD]]</f>
        <v>0</v>
      </c>
    </row>
    <row r="542" spans="2:28" x14ac:dyDescent="0.25">
      <c r="B542" s="2" t="s">
        <v>189</v>
      </c>
      <c r="C542" s="2" t="s">
        <v>30</v>
      </c>
      <c r="D542" s="2" t="s">
        <v>151</v>
      </c>
      <c r="E542" s="2" t="s">
        <v>223</v>
      </c>
      <c r="F542" s="2" t="s">
        <v>26</v>
      </c>
      <c r="G542" s="2" t="s">
        <v>191</v>
      </c>
      <c r="I542">
        <f>HEX2DEC(_0811_173439[[#This Row],[580C]])*B$4/B$5+B$6</f>
        <v>760</v>
      </c>
      <c r="J542">
        <f>HEX2DEC(_0811_173439[[#This Row],[4402]])*C$4/C$5+C$6</f>
        <v>36</v>
      </c>
      <c r="K542">
        <f>HEX2DEC(_0811_173439[[#This Row],[580F]])*D$4/D$5+D$6</f>
        <v>30</v>
      </c>
      <c r="L542">
        <f>ROUND(HEX2DEC(_0811_173439[[#This Row],[58F0]])*E$4/E$5+E$6,0)</f>
        <v>69</v>
      </c>
      <c r="M542">
        <f>ROUND(HEX2DEC(_0811_173439[[#This Row],[5805]])*F$4/F$5+F$6,0)</f>
        <v>42</v>
      </c>
      <c r="N542">
        <f>ROUND(HEX2DEC(_0811_173439[[#This Row],[58DD]])*G$4/G$5+G$6,2)</f>
        <v>-0.03</v>
      </c>
      <c r="P542">
        <v>760</v>
      </c>
      <c r="Q542">
        <v>36</v>
      </c>
      <c r="R542">
        <v>30</v>
      </c>
      <c r="S542">
        <v>69</v>
      </c>
      <c r="T542">
        <v>42</v>
      </c>
      <c r="U542">
        <v>-0.03</v>
      </c>
      <c r="W542">
        <f>DataLog_T717420_Aug11_4_59_37pm[[#This Row],[RPM '[1/MIN']]]-Table3[[#This Row],[580C]]</f>
        <v>0</v>
      </c>
      <c r="X542">
        <f>DataLog_T717420_Aug11_4_59_37pm[[#This Row],[OIL TEMP '[Â°C']]]-Table3[[#This Row],[4402]]</f>
        <v>0</v>
      </c>
      <c r="Y542">
        <f>DataLog_T717420_Aug11_4_59_37pm[[#This Row],[INTAKE TEMP '[Â°C']]]-Table3[[#This Row],[580F]]</f>
        <v>0</v>
      </c>
      <c r="Z542">
        <f>DataLog_T717420_Aug11_4_59_37pm[[#This Row],[HPFP PRES. '[BAR']]]-Table3[[#This Row],[58F0]]</f>
        <v>0</v>
      </c>
      <c r="AA542">
        <f>DataLog_T717420_Aug11_4_59_37pm[[#This Row],[COOLANT TEMP '[Â°C']]]-Table3[[#This Row],[5805]]</f>
        <v>0</v>
      </c>
      <c r="AB542">
        <f>DataLog_T717420_Aug11_4_59_37pm[[#This Row],[BOOST '[BAR']]]-Table3[[#This Row],[58DD]]</f>
        <v>0</v>
      </c>
    </row>
    <row r="543" spans="2:28" x14ac:dyDescent="0.25">
      <c r="B543" s="2" t="s">
        <v>189</v>
      </c>
      <c r="C543" s="2" t="s">
        <v>30</v>
      </c>
      <c r="D543" s="2" t="s">
        <v>151</v>
      </c>
      <c r="E543" s="2" t="s">
        <v>224</v>
      </c>
      <c r="F543" s="2" t="s">
        <v>26</v>
      </c>
      <c r="G543" s="2" t="s">
        <v>190</v>
      </c>
      <c r="I543">
        <f>HEX2DEC(_0811_173439[[#This Row],[580C]])*B$4/B$5+B$6</f>
        <v>760</v>
      </c>
      <c r="J543">
        <f>HEX2DEC(_0811_173439[[#This Row],[4402]])*C$4/C$5+C$6</f>
        <v>36</v>
      </c>
      <c r="K543">
        <f>HEX2DEC(_0811_173439[[#This Row],[580F]])*D$4/D$5+D$6</f>
        <v>30</v>
      </c>
      <c r="L543">
        <f>ROUND(HEX2DEC(_0811_173439[[#This Row],[58F0]])*E$4/E$5+E$6,0)</f>
        <v>69</v>
      </c>
      <c r="M543">
        <f>ROUND(HEX2DEC(_0811_173439[[#This Row],[5805]])*F$4/F$5+F$6,0)</f>
        <v>42</v>
      </c>
      <c r="N543">
        <f>ROUND(HEX2DEC(_0811_173439[[#This Row],[58DD]])*G$4/G$5+G$6,2)</f>
        <v>-0.03</v>
      </c>
      <c r="P543">
        <v>760</v>
      </c>
      <c r="Q543">
        <v>36</v>
      </c>
      <c r="R543">
        <v>30</v>
      </c>
      <c r="S543">
        <v>69</v>
      </c>
      <c r="T543">
        <v>42</v>
      </c>
      <c r="U543">
        <v>-0.03</v>
      </c>
      <c r="W543">
        <f>DataLog_T717420_Aug11_4_59_37pm[[#This Row],[RPM '[1/MIN']]]-Table3[[#This Row],[580C]]</f>
        <v>0</v>
      </c>
      <c r="X543">
        <f>DataLog_T717420_Aug11_4_59_37pm[[#This Row],[OIL TEMP '[Â°C']]]-Table3[[#This Row],[4402]]</f>
        <v>0</v>
      </c>
      <c r="Y543">
        <f>DataLog_T717420_Aug11_4_59_37pm[[#This Row],[INTAKE TEMP '[Â°C']]]-Table3[[#This Row],[580F]]</f>
        <v>0</v>
      </c>
      <c r="Z543">
        <f>DataLog_T717420_Aug11_4_59_37pm[[#This Row],[HPFP PRES. '[BAR']]]-Table3[[#This Row],[58F0]]</f>
        <v>0</v>
      </c>
      <c r="AA543">
        <f>DataLog_T717420_Aug11_4_59_37pm[[#This Row],[COOLANT TEMP '[Â°C']]]-Table3[[#This Row],[5805]]</f>
        <v>0</v>
      </c>
      <c r="AB543">
        <f>DataLog_T717420_Aug11_4_59_37pm[[#This Row],[BOOST '[BAR']]]-Table3[[#This Row],[58DD]]</f>
        <v>0</v>
      </c>
    </row>
    <row r="544" spans="2:28" x14ac:dyDescent="0.25">
      <c r="B544" s="2" t="s">
        <v>189</v>
      </c>
      <c r="C544" s="2" t="s">
        <v>30</v>
      </c>
      <c r="D544" s="2" t="s">
        <v>151</v>
      </c>
      <c r="E544" s="2" t="s">
        <v>127</v>
      </c>
      <c r="F544" s="2" t="s">
        <v>26</v>
      </c>
      <c r="G544" s="2" t="s">
        <v>216</v>
      </c>
      <c r="I544">
        <f>HEX2DEC(_0811_173439[[#This Row],[580C]])*B$4/B$5+B$6</f>
        <v>760</v>
      </c>
      <c r="J544">
        <f>HEX2DEC(_0811_173439[[#This Row],[4402]])*C$4/C$5+C$6</f>
        <v>36</v>
      </c>
      <c r="K544">
        <f>HEX2DEC(_0811_173439[[#This Row],[580F]])*D$4/D$5+D$6</f>
        <v>30</v>
      </c>
      <c r="L544">
        <f>ROUND(HEX2DEC(_0811_173439[[#This Row],[58F0]])*E$4/E$5+E$6,0)</f>
        <v>70</v>
      </c>
      <c r="M544">
        <f>ROUND(HEX2DEC(_0811_173439[[#This Row],[5805]])*F$4/F$5+F$6,0)</f>
        <v>42</v>
      </c>
      <c r="N544">
        <f>ROUND(HEX2DEC(_0811_173439[[#This Row],[58DD]])*G$4/G$5+G$6,2)</f>
        <v>-0.03</v>
      </c>
      <c r="P544">
        <v>760</v>
      </c>
      <c r="Q544">
        <v>36</v>
      </c>
      <c r="R544">
        <v>30</v>
      </c>
      <c r="S544">
        <v>70</v>
      </c>
      <c r="T544">
        <v>42</v>
      </c>
      <c r="U544">
        <v>-0.03</v>
      </c>
      <c r="W544">
        <f>DataLog_T717420_Aug11_4_59_37pm[[#This Row],[RPM '[1/MIN']]]-Table3[[#This Row],[580C]]</f>
        <v>0</v>
      </c>
      <c r="X544">
        <f>DataLog_T717420_Aug11_4_59_37pm[[#This Row],[OIL TEMP '[Â°C']]]-Table3[[#This Row],[4402]]</f>
        <v>0</v>
      </c>
      <c r="Y544">
        <f>DataLog_T717420_Aug11_4_59_37pm[[#This Row],[INTAKE TEMP '[Â°C']]]-Table3[[#This Row],[580F]]</f>
        <v>0</v>
      </c>
      <c r="Z544">
        <f>DataLog_T717420_Aug11_4_59_37pm[[#This Row],[HPFP PRES. '[BAR']]]-Table3[[#This Row],[58F0]]</f>
        <v>0</v>
      </c>
      <c r="AA544">
        <f>DataLog_T717420_Aug11_4_59_37pm[[#This Row],[COOLANT TEMP '[Â°C']]]-Table3[[#This Row],[5805]]</f>
        <v>0</v>
      </c>
      <c r="AB544">
        <f>DataLog_T717420_Aug11_4_59_37pm[[#This Row],[BOOST '[BAR']]]-Table3[[#This Row],[58DD]]</f>
        <v>0</v>
      </c>
    </row>
    <row r="545" spans="2:28" x14ac:dyDescent="0.25">
      <c r="B545" s="2" t="s">
        <v>189</v>
      </c>
      <c r="C545" s="2" t="s">
        <v>30</v>
      </c>
      <c r="D545" s="2" t="s">
        <v>151</v>
      </c>
      <c r="E545" s="2" t="s">
        <v>144</v>
      </c>
      <c r="F545" s="2" t="s">
        <v>26</v>
      </c>
      <c r="G545" s="2" t="s">
        <v>96</v>
      </c>
      <c r="I545">
        <f>HEX2DEC(_0811_173439[[#This Row],[580C]])*B$4/B$5+B$6</f>
        <v>760</v>
      </c>
      <c r="J545">
        <f>HEX2DEC(_0811_173439[[#This Row],[4402]])*C$4/C$5+C$6</f>
        <v>36</v>
      </c>
      <c r="K545">
        <f>HEX2DEC(_0811_173439[[#This Row],[580F]])*D$4/D$5+D$6</f>
        <v>30</v>
      </c>
      <c r="L545">
        <f>ROUND(HEX2DEC(_0811_173439[[#This Row],[58F0]])*E$4/E$5+E$6,0)</f>
        <v>69</v>
      </c>
      <c r="M545">
        <f>ROUND(HEX2DEC(_0811_173439[[#This Row],[5805]])*F$4/F$5+F$6,0)</f>
        <v>42</v>
      </c>
      <c r="N545">
        <f>ROUND(HEX2DEC(_0811_173439[[#This Row],[58DD]])*G$4/G$5+G$6,2)</f>
        <v>-0.03</v>
      </c>
      <c r="P545">
        <v>760</v>
      </c>
      <c r="Q545">
        <v>36</v>
      </c>
      <c r="R545">
        <v>30</v>
      </c>
      <c r="S545">
        <v>69</v>
      </c>
      <c r="T545">
        <v>42</v>
      </c>
      <c r="U545">
        <v>-0.03</v>
      </c>
      <c r="W545">
        <f>DataLog_T717420_Aug11_4_59_37pm[[#This Row],[RPM '[1/MIN']]]-Table3[[#This Row],[580C]]</f>
        <v>0</v>
      </c>
      <c r="X545">
        <f>DataLog_T717420_Aug11_4_59_37pm[[#This Row],[OIL TEMP '[Â°C']]]-Table3[[#This Row],[4402]]</f>
        <v>0</v>
      </c>
      <c r="Y545">
        <f>DataLog_T717420_Aug11_4_59_37pm[[#This Row],[INTAKE TEMP '[Â°C']]]-Table3[[#This Row],[580F]]</f>
        <v>0</v>
      </c>
      <c r="Z545">
        <f>DataLog_T717420_Aug11_4_59_37pm[[#This Row],[HPFP PRES. '[BAR']]]-Table3[[#This Row],[58F0]]</f>
        <v>0</v>
      </c>
      <c r="AA545">
        <f>DataLog_T717420_Aug11_4_59_37pm[[#This Row],[COOLANT TEMP '[Â°C']]]-Table3[[#This Row],[5805]]</f>
        <v>0</v>
      </c>
      <c r="AB545">
        <f>DataLog_T717420_Aug11_4_59_37pm[[#This Row],[BOOST '[BAR']]]-Table3[[#This Row],[58DD]]</f>
        <v>0</v>
      </c>
    </row>
    <row r="546" spans="2:28" x14ac:dyDescent="0.25">
      <c r="B546" s="2" t="s">
        <v>189</v>
      </c>
      <c r="C546" s="2" t="s">
        <v>30</v>
      </c>
      <c r="D546" s="2" t="s">
        <v>151</v>
      </c>
      <c r="E546" s="2" t="s">
        <v>194</v>
      </c>
      <c r="F546" s="2" t="s">
        <v>26</v>
      </c>
      <c r="G546" s="2" t="s">
        <v>190</v>
      </c>
      <c r="I546">
        <f>HEX2DEC(_0811_173439[[#This Row],[580C]])*B$4/B$5+B$6</f>
        <v>760</v>
      </c>
      <c r="J546">
        <f>HEX2DEC(_0811_173439[[#This Row],[4402]])*C$4/C$5+C$6</f>
        <v>36</v>
      </c>
      <c r="K546">
        <f>HEX2DEC(_0811_173439[[#This Row],[580F]])*D$4/D$5+D$6</f>
        <v>30</v>
      </c>
      <c r="L546">
        <f>ROUND(HEX2DEC(_0811_173439[[#This Row],[58F0]])*E$4/E$5+E$6,0)</f>
        <v>70</v>
      </c>
      <c r="M546">
        <f>ROUND(HEX2DEC(_0811_173439[[#This Row],[5805]])*F$4/F$5+F$6,0)</f>
        <v>42</v>
      </c>
      <c r="N546">
        <f>ROUND(HEX2DEC(_0811_173439[[#This Row],[58DD]])*G$4/G$5+G$6,2)</f>
        <v>-0.03</v>
      </c>
      <c r="P546">
        <v>760</v>
      </c>
      <c r="Q546">
        <v>36</v>
      </c>
      <c r="R546">
        <v>30</v>
      </c>
      <c r="S546">
        <v>70</v>
      </c>
      <c r="T546">
        <v>42</v>
      </c>
      <c r="U546">
        <v>-0.03</v>
      </c>
      <c r="W546">
        <f>DataLog_T717420_Aug11_4_59_37pm[[#This Row],[RPM '[1/MIN']]]-Table3[[#This Row],[580C]]</f>
        <v>0</v>
      </c>
      <c r="X546">
        <f>DataLog_T717420_Aug11_4_59_37pm[[#This Row],[OIL TEMP '[Â°C']]]-Table3[[#This Row],[4402]]</f>
        <v>0</v>
      </c>
      <c r="Y546">
        <f>DataLog_T717420_Aug11_4_59_37pm[[#This Row],[INTAKE TEMP '[Â°C']]]-Table3[[#This Row],[580F]]</f>
        <v>0</v>
      </c>
      <c r="Z546">
        <f>DataLog_T717420_Aug11_4_59_37pm[[#This Row],[HPFP PRES. '[BAR']]]-Table3[[#This Row],[58F0]]</f>
        <v>0</v>
      </c>
      <c r="AA546">
        <f>DataLog_T717420_Aug11_4_59_37pm[[#This Row],[COOLANT TEMP '[Â°C']]]-Table3[[#This Row],[5805]]</f>
        <v>0</v>
      </c>
      <c r="AB546">
        <f>DataLog_T717420_Aug11_4_59_37pm[[#This Row],[BOOST '[BAR']]]-Table3[[#This Row],[58DD]]</f>
        <v>0</v>
      </c>
    </row>
    <row r="547" spans="2:28" x14ac:dyDescent="0.25">
      <c r="B547" s="2" t="s">
        <v>189</v>
      </c>
      <c r="C547" s="2" t="s">
        <v>30</v>
      </c>
      <c r="D547" s="2" t="s">
        <v>151</v>
      </c>
      <c r="E547" s="2" t="s">
        <v>225</v>
      </c>
      <c r="F547" s="2" t="s">
        <v>26</v>
      </c>
      <c r="G547" s="2" t="s">
        <v>190</v>
      </c>
      <c r="I547">
        <f>HEX2DEC(_0811_173439[[#This Row],[580C]])*B$4/B$5+B$6</f>
        <v>760</v>
      </c>
      <c r="J547">
        <f>HEX2DEC(_0811_173439[[#This Row],[4402]])*C$4/C$5+C$6</f>
        <v>36</v>
      </c>
      <c r="K547">
        <f>HEX2DEC(_0811_173439[[#This Row],[580F]])*D$4/D$5+D$6</f>
        <v>30</v>
      </c>
      <c r="L547">
        <f>ROUND(HEX2DEC(_0811_173439[[#This Row],[58F0]])*E$4/E$5+E$6,0)</f>
        <v>71</v>
      </c>
      <c r="M547">
        <f>ROUND(HEX2DEC(_0811_173439[[#This Row],[5805]])*F$4/F$5+F$6,0)</f>
        <v>42</v>
      </c>
      <c r="N547">
        <f>ROUND(HEX2DEC(_0811_173439[[#This Row],[58DD]])*G$4/G$5+G$6,2)</f>
        <v>-0.03</v>
      </c>
      <c r="P547">
        <v>760</v>
      </c>
      <c r="Q547">
        <v>36</v>
      </c>
      <c r="R547">
        <v>30</v>
      </c>
      <c r="S547">
        <v>71</v>
      </c>
      <c r="T547">
        <v>42</v>
      </c>
      <c r="U547">
        <v>-0.03</v>
      </c>
      <c r="W547">
        <f>DataLog_T717420_Aug11_4_59_37pm[[#This Row],[RPM '[1/MIN']]]-Table3[[#This Row],[580C]]</f>
        <v>0</v>
      </c>
      <c r="X547">
        <f>DataLog_T717420_Aug11_4_59_37pm[[#This Row],[OIL TEMP '[Â°C']]]-Table3[[#This Row],[4402]]</f>
        <v>0</v>
      </c>
      <c r="Y547">
        <f>DataLog_T717420_Aug11_4_59_37pm[[#This Row],[INTAKE TEMP '[Â°C']]]-Table3[[#This Row],[580F]]</f>
        <v>0</v>
      </c>
      <c r="Z547">
        <f>DataLog_T717420_Aug11_4_59_37pm[[#This Row],[HPFP PRES. '[BAR']]]-Table3[[#This Row],[58F0]]</f>
        <v>0</v>
      </c>
      <c r="AA547">
        <f>DataLog_T717420_Aug11_4_59_37pm[[#This Row],[COOLANT TEMP '[Â°C']]]-Table3[[#This Row],[5805]]</f>
        <v>0</v>
      </c>
      <c r="AB547">
        <f>DataLog_T717420_Aug11_4_59_37pm[[#This Row],[BOOST '[BAR']]]-Table3[[#This Row],[58DD]]</f>
        <v>0</v>
      </c>
    </row>
    <row r="548" spans="2:28" x14ac:dyDescent="0.25">
      <c r="B548" s="2" t="s">
        <v>189</v>
      </c>
      <c r="C548" s="2" t="s">
        <v>30</v>
      </c>
      <c r="D548" s="2" t="s">
        <v>151</v>
      </c>
      <c r="E548" s="2" t="s">
        <v>156</v>
      </c>
      <c r="F548" s="2" t="s">
        <v>26</v>
      </c>
      <c r="G548" s="2" t="s">
        <v>53</v>
      </c>
      <c r="I548">
        <f>HEX2DEC(_0811_173439[[#This Row],[580C]])*B$4/B$5+B$6</f>
        <v>760</v>
      </c>
      <c r="J548">
        <f>HEX2DEC(_0811_173439[[#This Row],[4402]])*C$4/C$5+C$6</f>
        <v>36</v>
      </c>
      <c r="K548">
        <f>HEX2DEC(_0811_173439[[#This Row],[580F]])*D$4/D$5+D$6</f>
        <v>30</v>
      </c>
      <c r="L548">
        <f>ROUND(HEX2DEC(_0811_173439[[#This Row],[58F0]])*E$4/E$5+E$6,0)</f>
        <v>70</v>
      </c>
      <c r="M548">
        <f>ROUND(HEX2DEC(_0811_173439[[#This Row],[5805]])*F$4/F$5+F$6,0)</f>
        <v>42</v>
      </c>
      <c r="N548">
        <f>ROUND(HEX2DEC(_0811_173439[[#This Row],[58DD]])*G$4/G$5+G$6,2)</f>
        <v>-0.03</v>
      </c>
      <c r="P548">
        <v>760</v>
      </c>
      <c r="Q548">
        <v>36</v>
      </c>
      <c r="R548">
        <v>30</v>
      </c>
      <c r="S548">
        <v>70</v>
      </c>
      <c r="T548">
        <v>42</v>
      </c>
      <c r="U548">
        <v>-0.03</v>
      </c>
      <c r="W548">
        <f>DataLog_T717420_Aug11_4_59_37pm[[#This Row],[RPM '[1/MIN']]]-Table3[[#This Row],[580C]]</f>
        <v>0</v>
      </c>
      <c r="X548">
        <f>DataLog_T717420_Aug11_4_59_37pm[[#This Row],[OIL TEMP '[Â°C']]]-Table3[[#This Row],[4402]]</f>
        <v>0</v>
      </c>
      <c r="Y548">
        <f>DataLog_T717420_Aug11_4_59_37pm[[#This Row],[INTAKE TEMP '[Â°C']]]-Table3[[#This Row],[580F]]</f>
        <v>0</v>
      </c>
      <c r="Z548">
        <f>DataLog_T717420_Aug11_4_59_37pm[[#This Row],[HPFP PRES. '[BAR']]]-Table3[[#This Row],[58F0]]</f>
        <v>0</v>
      </c>
      <c r="AA548">
        <f>DataLog_T717420_Aug11_4_59_37pm[[#This Row],[COOLANT TEMP '[Â°C']]]-Table3[[#This Row],[5805]]</f>
        <v>0</v>
      </c>
      <c r="AB548">
        <f>DataLog_T717420_Aug11_4_59_37pm[[#This Row],[BOOST '[BAR']]]-Table3[[#This Row],[58DD]]</f>
        <v>0</v>
      </c>
    </row>
    <row r="549" spans="2:28" x14ac:dyDescent="0.25">
      <c r="B549" s="2" t="s">
        <v>189</v>
      </c>
      <c r="C549" s="2" t="s">
        <v>30</v>
      </c>
      <c r="D549" s="2" t="s">
        <v>151</v>
      </c>
      <c r="E549" s="2" t="s">
        <v>127</v>
      </c>
      <c r="F549" s="2" t="s">
        <v>26</v>
      </c>
      <c r="G549" s="2" t="s">
        <v>216</v>
      </c>
      <c r="I549">
        <f>HEX2DEC(_0811_173439[[#This Row],[580C]])*B$4/B$5+B$6</f>
        <v>760</v>
      </c>
      <c r="J549">
        <f>HEX2DEC(_0811_173439[[#This Row],[4402]])*C$4/C$5+C$6</f>
        <v>36</v>
      </c>
      <c r="K549">
        <f>HEX2DEC(_0811_173439[[#This Row],[580F]])*D$4/D$5+D$6</f>
        <v>30</v>
      </c>
      <c r="L549">
        <f>ROUND(HEX2DEC(_0811_173439[[#This Row],[58F0]])*E$4/E$5+E$6,0)</f>
        <v>70</v>
      </c>
      <c r="M549">
        <f>ROUND(HEX2DEC(_0811_173439[[#This Row],[5805]])*F$4/F$5+F$6,0)</f>
        <v>42</v>
      </c>
      <c r="N549">
        <f>ROUND(HEX2DEC(_0811_173439[[#This Row],[58DD]])*G$4/G$5+G$6,2)</f>
        <v>-0.03</v>
      </c>
      <c r="P549">
        <v>760</v>
      </c>
      <c r="Q549">
        <v>36</v>
      </c>
      <c r="R549">
        <v>30</v>
      </c>
      <c r="S549">
        <v>70</v>
      </c>
      <c r="T549">
        <v>42</v>
      </c>
      <c r="U549">
        <v>-0.03</v>
      </c>
      <c r="W549">
        <f>DataLog_T717420_Aug11_4_59_37pm[[#This Row],[RPM '[1/MIN']]]-Table3[[#This Row],[580C]]</f>
        <v>0</v>
      </c>
      <c r="X549">
        <f>DataLog_T717420_Aug11_4_59_37pm[[#This Row],[OIL TEMP '[Â°C']]]-Table3[[#This Row],[4402]]</f>
        <v>0</v>
      </c>
      <c r="Y549">
        <f>DataLog_T717420_Aug11_4_59_37pm[[#This Row],[INTAKE TEMP '[Â°C']]]-Table3[[#This Row],[580F]]</f>
        <v>0</v>
      </c>
      <c r="Z549">
        <f>DataLog_T717420_Aug11_4_59_37pm[[#This Row],[HPFP PRES. '[BAR']]]-Table3[[#This Row],[58F0]]</f>
        <v>0</v>
      </c>
      <c r="AA549">
        <f>DataLog_T717420_Aug11_4_59_37pm[[#This Row],[COOLANT TEMP '[Â°C']]]-Table3[[#This Row],[5805]]</f>
        <v>0</v>
      </c>
      <c r="AB549">
        <f>DataLog_T717420_Aug11_4_59_37pm[[#This Row],[BOOST '[BAR']]]-Table3[[#This Row],[58DD]]</f>
        <v>0</v>
      </c>
    </row>
    <row r="550" spans="2:28" x14ac:dyDescent="0.25">
      <c r="B550" s="2" t="s">
        <v>189</v>
      </c>
      <c r="C550" s="2" t="s">
        <v>30</v>
      </c>
      <c r="D550" s="2" t="s">
        <v>151</v>
      </c>
      <c r="E550" s="2" t="s">
        <v>122</v>
      </c>
      <c r="F550" s="2" t="s">
        <v>26</v>
      </c>
      <c r="G550" s="2" t="s">
        <v>53</v>
      </c>
      <c r="I550">
        <f>HEX2DEC(_0811_173439[[#This Row],[580C]])*B$4/B$5+B$6</f>
        <v>760</v>
      </c>
      <c r="J550">
        <f>HEX2DEC(_0811_173439[[#This Row],[4402]])*C$4/C$5+C$6</f>
        <v>36</v>
      </c>
      <c r="K550">
        <f>HEX2DEC(_0811_173439[[#This Row],[580F]])*D$4/D$5+D$6</f>
        <v>30</v>
      </c>
      <c r="L550">
        <f>ROUND(HEX2DEC(_0811_173439[[#This Row],[58F0]])*E$4/E$5+E$6,0)</f>
        <v>71</v>
      </c>
      <c r="M550">
        <f>ROUND(HEX2DEC(_0811_173439[[#This Row],[5805]])*F$4/F$5+F$6,0)</f>
        <v>42</v>
      </c>
      <c r="N550">
        <f>ROUND(HEX2DEC(_0811_173439[[#This Row],[58DD]])*G$4/G$5+G$6,2)</f>
        <v>-0.03</v>
      </c>
      <c r="P550">
        <v>760</v>
      </c>
      <c r="Q550">
        <v>36</v>
      </c>
      <c r="R550">
        <v>30</v>
      </c>
      <c r="S550">
        <v>71</v>
      </c>
      <c r="T550">
        <v>42</v>
      </c>
      <c r="U550">
        <v>-0.03</v>
      </c>
      <c r="W550">
        <f>DataLog_T717420_Aug11_4_59_37pm[[#This Row],[RPM '[1/MIN']]]-Table3[[#This Row],[580C]]</f>
        <v>0</v>
      </c>
      <c r="X550">
        <f>DataLog_T717420_Aug11_4_59_37pm[[#This Row],[OIL TEMP '[Â°C']]]-Table3[[#This Row],[4402]]</f>
        <v>0</v>
      </c>
      <c r="Y550">
        <f>DataLog_T717420_Aug11_4_59_37pm[[#This Row],[INTAKE TEMP '[Â°C']]]-Table3[[#This Row],[580F]]</f>
        <v>0</v>
      </c>
      <c r="Z550">
        <f>DataLog_T717420_Aug11_4_59_37pm[[#This Row],[HPFP PRES. '[BAR']]]-Table3[[#This Row],[58F0]]</f>
        <v>0</v>
      </c>
      <c r="AA550">
        <f>DataLog_T717420_Aug11_4_59_37pm[[#This Row],[COOLANT TEMP '[Â°C']]]-Table3[[#This Row],[5805]]</f>
        <v>0</v>
      </c>
      <c r="AB550">
        <f>DataLog_T717420_Aug11_4_59_37pm[[#This Row],[BOOST '[BAR']]]-Table3[[#This Row],[58DD]]</f>
        <v>0</v>
      </c>
    </row>
    <row r="551" spans="2:28" x14ac:dyDescent="0.25">
      <c r="B551" s="2" t="s">
        <v>189</v>
      </c>
      <c r="C551" s="2" t="s">
        <v>30</v>
      </c>
      <c r="D551" s="2" t="s">
        <v>151</v>
      </c>
      <c r="E551" s="2" t="s">
        <v>226</v>
      </c>
      <c r="F551" s="2" t="s">
        <v>26</v>
      </c>
      <c r="G551" s="2" t="s">
        <v>71</v>
      </c>
      <c r="I551">
        <f>HEX2DEC(_0811_173439[[#This Row],[580C]])*B$4/B$5+B$6</f>
        <v>760</v>
      </c>
      <c r="J551">
        <f>HEX2DEC(_0811_173439[[#This Row],[4402]])*C$4/C$5+C$6</f>
        <v>36</v>
      </c>
      <c r="K551">
        <f>HEX2DEC(_0811_173439[[#This Row],[580F]])*D$4/D$5+D$6</f>
        <v>30</v>
      </c>
      <c r="L551">
        <f>ROUND(HEX2DEC(_0811_173439[[#This Row],[58F0]])*E$4/E$5+E$6,0)</f>
        <v>71</v>
      </c>
      <c r="M551">
        <f>ROUND(HEX2DEC(_0811_173439[[#This Row],[5805]])*F$4/F$5+F$6,0)</f>
        <v>42</v>
      </c>
      <c r="N551">
        <f>ROUND(HEX2DEC(_0811_173439[[#This Row],[58DD]])*G$4/G$5+G$6,2)</f>
        <v>-0.03</v>
      </c>
      <c r="P551">
        <v>760</v>
      </c>
      <c r="Q551">
        <v>36</v>
      </c>
      <c r="R551">
        <v>30</v>
      </c>
      <c r="S551">
        <v>71</v>
      </c>
      <c r="T551">
        <v>42</v>
      </c>
      <c r="U551">
        <v>-0.03</v>
      </c>
      <c r="W551">
        <f>DataLog_T717420_Aug11_4_59_37pm[[#This Row],[RPM '[1/MIN']]]-Table3[[#This Row],[580C]]</f>
        <v>0</v>
      </c>
      <c r="X551">
        <f>DataLog_T717420_Aug11_4_59_37pm[[#This Row],[OIL TEMP '[Â°C']]]-Table3[[#This Row],[4402]]</f>
        <v>0</v>
      </c>
      <c r="Y551">
        <f>DataLog_T717420_Aug11_4_59_37pm[[#This Row],[INTAKE TEMP '[Â°C']]]-Table3[[#This Row],[580F]]</f>
        <v>0</v>
      </c>
      <c r="Z551">
        <f>DataLog_T717420_Aug11_4_59_37pm[[#This Row],[HPFP PRES. '[BAR']]]-Table3[[#This Row],[58F0]]</f>
        <v>0</v>
      </c>
      <c r="AA551">
        <f>DataLog_T717420_Aug11_4_59_37pm[[#This Row],[COOLANT TEMP '[Â°C']]]-Table3[[#This Row],[5805]]</f>
        <v>0</v>
      </c>
      <c r="AB551">
        <f>DataLog_T717420_Aug11_4_59_37pm[[#This Row],[BOOST '[BAR']]]-Table3[[#This Row],[58DD]]</f>
        <v>0</v>
      </c>
    </row>
    <row r="552" spans="2:28" x14ac:dyDescent="0.25">
      <c r="B552" s="2" t="s">
        <v>189</v>
      </c>
      <c r="C552" s="2" t="s">
        <v>30</v>
      </c>
      <c r="D552" s="2" t="s">
        <v>151</v>
      </c>
      <c r="E552" s="2" t="s">
        <v>125</v>
      </c>
      <c r="F552" s="2" t="s">
        <v>26</v>
      </c>
      <c r="G552" s="2" t="s">
        <v>216</v>
      </c>
      <c r="I552">
        <f>HEX2DEC(_0811_173439[[#This Row],[580C]])*B$4/B$5+B$6</f>
        <v>760</v>
      </c>
      <c r="J552">
        <f>HEX2DEC(_0811_173439[[#This Row],[4402]])*C$4/C$5+C$6</f>
        <v>36</v>
      </c>
      <c r="K552">
        <f>HEX2DEC(_0811_173439[[#This Row],[580F]])*D$4/D$5+D$6</f>
        <v>30</v>
      </c>
      <c r="L552">
        <f>ROUND(HEX2DEC(_0811_173439[[#This Row],[58F0]])*E$4/E$5+E$6,0)</f>
        <v>70</v>
      </c>
      <c r="M552">
        <f>ROUND(HEX2DEC(_0811_173439[[#This Row],[5805]])*F$4/F$5+F$6,0)</f>
        <v>42</v>
      </c>
      <c r="N552">
        <f>ROUND(HEX2DEC(_0811_173439[[#This Row],[58DD]])*G$4/G$5+G$6,2)</f>
        <v>-0.03</v>
      </c>
      <c r="P552">
        <v>760</v>
      </c>
      <c r="Q552">
        <v>36</v>
      </c>
      <c r="R552">
        <v>30</v>
      </c>
      <c r="S552">
        <v>70</v>
      </c>
      <c r="T552">
        <v>42</v>
      </c>
      <c r="U552">
        <v>-0.03</v>
      </c>
      <c r="W552">
        <f>DataLog_T717420_Aug11_4_59_37pm[[#This Row],[RPM '[1/MIN']]]-Table3[[#This Row],[580C]]</f>
        <v>0</v>
      </c>
      <c r="X552">
        <f>DataLog_T717420_Aug11_4_59_37pm[[#This Row],[OIL TEMP '[Â°C']]]-Table3[[#This Row],[4402]]</f>
        <v>0</v>
      </c>
      <c r="Y552">
        <f>DataLog_T717420_Aug11_4_59_37pm[[#This Row],[INTAKE TEMP '[Â°C']]]-Table3[[#This Row],[580F]]</f>
        <v>0</v>
      </c>
      <c r="Z552">
        <f>DataLog_T717420_Aug11_4_59_37pm[[#This Row],[HPFP PRES. '[BAR']]]-Table3[[#This Row],[58F0]]</f>
        <v>0</v>
      </c>
      <c r="AA552">
        <f>DataLog_T717420_Aug11_4_59_37pm[[#This Row],[COOLANT TEMP '[Â°C']]]-Table3[[#This Row],[5805]]</f>
        <v>0</v>
      </c>
      <c r="AB552">
        <f>DataLog_T717420_Aug11_4_59_37pm[[#This Row],[BOOST '[BAR']]]-Table3[[#This Row],[58DD]]</f>
        <v>0</v>
      </c>
    </row>
    <row r="553" spans="2:28" x14ac:dyDescent="0.25">
      <c r="B553" s="2" t="s">
        <v>189</v>
      </c>
      <c r="C553" s="2" t="s">
        <v>30</v>
      </c>
      <c r="D553" s="2" t="s">
        <v>151</v>
      </c>
      <c r="E553" s="2" t="s">
        <v>122</v>
      </c>
      <c r="F553" s="2" t="s">
        <v>26</v>
      </c>
      <c r="G553" s="2" t="s">
        <v>53</v>
      </c>
      <c r="I553">
        <f>HEX2DEC(_0811_173439[[#This Row],[580C]])*B$4/B$5+B$6</f>
        <v>760</v>
      </c>
      <c r="J553">
        <f>HEX2DEC(_0811_173439[[#This Row],[4402]])*C$4/C$5+C$6</f>
        <v>36</v>
      </c>
      <c r="K553">
        <f>HEX2DEC(_0811_173439[[#This Row],[580F]])*D$4/D$5+D$6</f>
        <v>30</v>
      </c>
      <c r="L553">
        <f>ROUND(HEX2DEC(_0811_173439[[#This Row],[58F0]])*E$4/E$5+E$6,0)</f>
        <v>71</v>
      </c>
      <c r="M553">
        <f>ROUND(HEX2DEC(_0811_173439[[#This Row],[5805]])*F$4/F$5+F$6,0)</f>
        <v>42</v>
      </c>
      <c r="N553">
        <f>ROUND(HEX2DEC(_0811_173439[[#This Row],[58DD]])*G$4/G$5+G$6,2)</f>
        <v>-0.03</v>
      </c>
      <c r="P553">
        <v>760</v>
      </c>
      <c r="Q553">
        <v>36</v>
      </c>
      <c r="R553">
        <v>30</v>
      </c>
      <c r="S553">
        <v>71</v>
      </c>
      <c r="T553">
        <v>42</v>
      </c>
      <c r="U553">
        <v>-0.03</v>
      </c>
      <c r="W553">
        <f>DataLog_T717420_Aug11_4_59_37pm[[#This Row],[RPM '[1/MIN']]]-Table3[[#This Row],[580C]]</f>
        <v>0</v>
      </c>
      <c r="X553">
        <f>DataLog_T717420_Aug11_4_59_37pm[[#This Row],[OIL TEMP '[Â°C']]]-Table3[[#This Row],[4402]]</f>
        <v>0</v>
      </c>
      <c r="Y553">
        <f>DataLog_T717420_Aug11_4_59_37pm[[#This Row],[INTAKE TEMP '[Â°C']]]-Table3[[#This Row],[580F]]</f>
        <v>0</v>
      </c>
      <c r="Z553">
        <f>DataLog_T717420_Aug11_4_59_37pm[[#This Row],[HPFP PRES. '[BAR']]]-Table3[[#This Row],[58F0]]</f>
        <v>0</v>
      </c>
      <c r="AA553">
        <f>DataLog_T717420_Aug11_4_59_37pm[[#This Row],[COOLANT TEMP '[Â°C']]]-Table3[[#This Row],[5805]]</f>
        <v>0</v>
      </c>
      <c r="AB553">
        <f>DataLog_T717420_Aug11_4_59_37pm[[#This Row],[BOOST '[BAR']]]-Table3[[#This Row],[58DD]]</f>
        <v>0</v>
      </c>
    </row>
    <row r="554" spans="2:28" x14ac:dyDescent="0.25">
      <c r="B554" s="2" t="s">
        <v>189</v>
      </c>
      <c r="C554" s="2" t="s">
        <v>30</v>
      </c>
      <c r="D554" s="2" t="s">
        <v>151</v>
      </c>
      <c r="E554" s="2" t="s">
        <v>122</v>
      </c>
      <c r="F554" s="2" t="s">
        <v>26</v>
      </c>
      <c r="G554" s="2" t="s">
        <v>191</v>
      </c>
      <c r="I554">
        <f>HEX2DEC(_0811_173439[[#This Row],[580C]])*B$4/B$5+B$6</f>
        <v>760</v>
      </c>
      <c r="J554">
        <f>HEX2DEC(_0811_173439[[#This Row],[4402]])*C$4/C$5+C$6</f>
        <v>36</v>
      </c>
      <c r="K554">
        <f>HEX2DEC(_0811_173439[[#This Row],[580F]])*D$4/D$5+D$6</f>
        <v>30</v>
      </c>
      <c r="L554">
        <f>ROUND(HEX2DEC(_0811_173439[[#This Row],[58F0]])*E$4/E$5+E$6,0)</f>
        <v>71</v>
      </c>
      <c r="M554">
        <f>ROUND(HEX2DEC(_0811_173439[[#This Row],[5805]])*F$4/F$5+F$6,0)</f>
        <v>42</v>
      </c>
      <c r="N554">
        <f>ROUND(HEX2DEC(_0811_173439[[#This Row],[58DD]])*G$4/G$5+G$6,2)</f>
        <v>-0.03</v>
      </c>
      <c r="P554">
        <v>760</v>
      </c>
      <c r="Q554">
        <v>36</v>
      </c>
      <c r="R554">
        <v>30</v>
      </c>
      <c r="S554">
        <v>71</v>
      </c>
      <c r="T554">
        <v>42</v>
      </c>
      <c r="U554">
        <v>-0.03</v>
      </c>
      <c r="W554">
        <f>DataLog_T717420_Aug11_4_59_37pm[[#This Row],[RPM '[1/MIN']]]-Table3[[#This Row],[580C]]</f>
        <v>0</v>
      </c>
      <c r="X554">
        <f>DataLog_T717420_Aug11_4_59_37pm[[#This Row],[OIL TEMP '[Â°C']]]-Table3[[#This Row],[4402]]</f>
        <v>0</v>
      </c>
      <c r="Y554">
        <f>DataLog_T717420_Aug11_4_59_37pm[[#This Row],[INTAKE TEMP '[Â°C']]]-Table3[[#This Row],[580F]]</f>
        <v>0</v>
      </c>
      <c r="Z554">
        <f>DataLog_T717420_Aug11_4_59_37pm[[#This Row],[HPFP PRES. '[BAR']]]-Table3[[#This Row],[58F0]]</f>
        <v>0</v>
      </c>
      <c r="AA554">
        <f>DataLog_T717420_Aug11_4_59_37pm[[#This Row],[COOLANT TEMP '[Â°C']]]-Table3[[#This Row],[5805]]</f>
        <v>0</v>
      </c>
      <c r="AB554">
        <f>DataLog_T717420_Aug11_4_59_37pm[[#This Row],[BOOST '[BAR']]]-Table3[[#This Row],[58DD]]</f>
        <v>0</v>
      </c>
    </row>
    <row r="555" spans="2:28" x14ac:dyDescent="0.25">
      <c r="B555" s="2" t="s">
        <v>189</v>
      </c>
      <c r="C555" s="2" t="s">
        <v>30</v>
      </c>
      <c r="D555" s="2" t="s">
        <v>151</v>
      </c>
      <c r="E555" s="2" t="s">
        <v>225</v>
      </c>
      <c r="F555" s="2" t="s">
        <v>26</v>
      </c>
      <c r="G555" s="2" t="s">
        <v>53</v>
      </c>
      <c r="I555">
        <f>HEX2DEC(_0811_173439[[#This Row],[580C]])*B$4/B$5+B$6</f>
        <v>760</v>
      </c>
      <c r="J555">
        <f>HEX2DEC(_0811_173439[[#This Row],[4402]])*C$4/C$5+C$6</f>
        <v>36</v>
      </c>
      <c r="K555">
        <f>HEX2DEC(_0811_173439[[#This Row],[580F]])*D$4/D$5+D$6</f>
        <v>30</v>
      </c>
      <c r="L555">
        <f>ROUND(HEX2DEC(_0811_173439[[#This Row],[58F0]])*E$4/E$5+E$6,0)</f>
        <v>71</v>
      </c>
      <c r="M555">
        <f>ROUND(HEX2DEC(_0811_173439[[#This Row],[5805]])*F$4/F$5+F$6,0)</f>
        <v>42</v>
      </c>
      <c r="N555">
        <f>ROUND(HEX2DEC(_0811_173439[[#This Row],[58DD]])*G$4/G$5+G$6,2)</f>
        <v>-0.03</v>
      </c>
      <c r="P555">
        <v>760</v>
      </c>
      <c r="Q555">
        <v>36</v>
      </c>
      <c r="R555">
        <v>30</v>
      </c>
      <c r="S555">
        <v>71</v>
      </c>
      <c r="T555">
        <v>42</v>
      </c>
      <c r="U555">
        <v>-0.03</v>
      </c>
      <c r="W555">
        <f>DataLog_T717420_Aug11_4_59_37pm[[#This Row],[RPM '[1/MIN']]]-Table3[[#This Row],[580C]]</f>
        <v>0</v>
      </c>
      <c r="X555">
        <f>DataLog_T717420_Aug11_4_59_37pm[[#This Row],[OIL TEMP '[Â°C']]]-Table3[[#This Row],[4402]]</f>
        <v>0</v>
      </c>
      <c r="Y555">
        <f>DataLog_T717420_Aug11_4_59_37pm[[#This Row],[INTAKE TEMP '[Â°C']]]-Table3[[#This Row],[580F]]</f>
        <v>0</v>
      </c>
      <c r="Z555">
        <f>DataLog_T717420_Aug11_4_59_37pm[[#This Row],[HPFP PRES. '[BAR']]]-Table3[[#This Row],[58F0]]</f>
        <v>0</v>
      </c>
      <c r="AA555">
        <f>DataLog_T717420_Aug11_4_59_37pm[[#This Row],[COOLANT TEMP '[Â°C']]]-Table3[[#This Row],[5805]]</f>
        <v>0</v>
      </c>
      <c r="AB555">
        <f>DataLog_T717420_Aug11_4_59_37pm[[#This Row],[BOOST '[BAR']]]-Table3[[#This Row],[58DD]]</f>
        <v>0</v>
      </c>
    </row>
    <row r="556" spans="2:28" x14ac:dyDescent="0.25">
      <c r="B556" s="2" t="s">
        <v>189</v>
      </c>
      <c r="C556" s="2" t="s">
        <v>30</v>
      </c>
      <c r="D556" s="2" t="s">
        <v>151</v>
      </c>
      <c r="E556" s="2" t="s">
        <v>122</v>
      </c>
      <c r="F556" s="2" t="s">
        <v>26</v>
      </c>
      <c r="G556" s="2" t="s">
        <v>213</v>
      </c>
      <c r="I556">
        <f>HEX2DEC(_0811_173439[[#This Row],[580C]])*B$4/B$5+B$6</f>
        <v>760</v>
      </c>
      <c r="J556">
        <f>HEX2DEC(_0811_173439[[#This Row],[4402]])*C$4/C$5+C$6</f>
        <v>36</v>
      </c>
      <c r="K556">
        <f>HEX2DEC(_0811_173439[[#This Row],[580F]])*D$4/D$5+D$6</f>
        <v>30</v>
      </c>
      <c r="L556">
        <f>ROUND(HEX2DEC(_0811_173439[[#This Row],[58F0]])*E$4/E$5+E$6,0)</f>
        <v>71</v>
      </c>
      <c r="M556">
        <f>ROUND(HEX2DEC(_0811_173439[[#This Row],[5805]])*F$4/F$5+F$6,0)</f>
        <v>42</v>
      </c>
      <c r="N556">
        <f>ROUND(HEX2DEC(_0811_173439[[#This Row],[58DD]])*G$4/G$5+G$6,2)</f>
        <v>-0.03</v>
      </c>
      <c r="P556">
        <v>760</v>
      </c>
      <c r="Q556">
        <v>36</v>
      </c>
      <c r="R556">
        <v>30</v>
      </c>
      <c r="S556">
        <v>71</v>
      </c>
      <c r="T556">
        <v>42</v>
      </c>
      <c r="U556">
        <v>-0.03</v>
      </c>
      <c r="W556">
        <f>DataLog_T717420_Aug11_4_59_37pm[[#This Row],[RPM '[1/MIN']]]-Table3[[#This Row],[580C]]</f>
        <v>0</v>
      </c>
      <c r="X556">
        <f>DataLog_T717420_Aug11_4_59_37pm[[#This Row],[OIL TEMP '[Â°C']]]-Table3[[#This Row],[4402]]</f>
        <v>0</v>
      </c>
      <c r="Y556">
        <f>DataLog_T717420_Aug11_4_59_37pm[[#This Row],[INTAKE TEMP '[Â°C']]]-Table3[[#This Row],[580F]]</f>
        <v>0</v>
      </c>
      <c r="Z556">
        <f>DataLog_T717420_Aug11_4_59_37pm[[#This Row],[HPFP PRES. '[BAR']]]-Table3[[#This Row],[58F0]]</f>
        <v>0</v>
      </c>
      <c r="AA556">
        <f>DataLog_T717420_Aug11_4_59_37pm[[#This Row],[COOLANT TEMP '[Â°C']]]-Table3[[#This Row],[5805]]</f>
        <v>0</v>
      </c>
      <c r="AB556">
        <f>DataLog_T717420_Aug11_4_59_37pm[[#This Row],[BOOST '[BAR']]]-Table3[[#This Row],[58DD]]</f>
        <v>0</v>
      </c>
    </row>
    <row r="557" spans="2:28" x14ac:dyDescent="0.25">
      <c r="B557" s="2" t="s">
        <v>189</v>
      </c>
      <c r="C557" s="2" t="s">
        <v>30</v>
      </c>
      <c r="D557" s="2" t="s">
        <v>151</v>
      </c>
      <c r="E557" s="2" t="s">
        <v>122</v>
      </c>
      <c r="F557" s="2" t="s">
        <v>26</v>
      </c>
      <c r="G557" s="2" t="s">
        <v>190</v>
      </c>
      <c r="I557">
        <f>HEX2DEC(_0811_173439[[#This Row],[580C]])*B$4/B$5+B$6</f>
        <v>760</v>
      </c>
      <c r="J557">
        <f>HEX2DEC(_0811_173439[[#This Row],[4402]])*C$4/C$5+C$6</f>
        <v>36</v>
      </c>
      <c r="K557">
        <f>HEX2DEC(_0811_173439[[#This Row],[580F]])*D$4/D$5+D$6</f>
        <v>30</v>
      </c>
      <c r="L557">
        <f>ROUND(HEX2DEC(_0811_173439[[#This Row],[58F0]])*E$4/E$5+E$6,0)</f>
        <v>71</v>
      </c>
      <c r="M557">
        <f>ROUND(HEX2DEC(_0811_173439[[#This Row],[5805]])*F$4/F$5+F$6,0)</f>
        <v>42</v>
      </c>
      <c r="N557">
        <f>ROUND(HEX2DEC(_0811_173439[[#This Row],[58DD]])*G$4/G$5+G$6,2)</f>
        <v>-0.03</v>
      </c>
      <c r="P557">
        <v>760</v>
      </c>
      <c r="Q557">
        <v>36</v>
      </c>
      <c r="R557">
        <v>30</v>
      </c>
      <c r="S557">
        <v>71</v>
      </c>
      <c r="T557">
        <v>42</v>
      </c>
      <c r="U557">
        <v>-0.03</v>
      </c>
      <c r="W557">
        <f>DataLog_T717420_Aug11_4_59_37pm[[#This Row],[RPM '[1/MIN']]]-Table3[[#This Row],[580C]]</f>
        <v>0</v>
      </c>
      <c r="X557">
        <f>DataLog_T717420_Aug11_4_59_37pm[[#This Row],[OIL TEMP '[Â°C']]]-Table3[[#This Row],[4402]]</f>
        <v>0</v>
      </c>
      <c r="Y557">
        <f>DataLog_T717420_Aug11_4_59_37pm[[#This Row],[INTAKE TEMP '[Â°C']]]-Table3[[#This Row],[580F]]</f>
        <v>0</v>
      </c>
      <c r="Z557">
        <f>DataLog_T717420_Aug11_4_59_37pm[[#This Row],[HPFP PRES. '[BAR']]]-Table3[[#This Row],[58F0]]</f>
        <v>0</v>
      </c>
      <c r="AA557">
        <f>DataLog_T717420_Aug11_4_59_37pm[[#This Row],[COOLANT TEMP '[Â°C']]]-Table3[[#This Row],[5805]]</f>
        <v>0</v>
      </c>
      <c r="AB557">
        <f>DataLog_T717420_Aug11_4_59_37pm[[#This Row],[BOOST '[BAR']]]-Table3[[#This Row],[58DD]]</f>
        <v>0</v>
      </c>
    </row>
    <row r="558" spans="2:28" x14ac:dyDescent="0.25">
      <c r="B558" s="2" t="s">
        <v>189</v>
      </c>
      <c r="C558" s="2" t="s">
        <v>30</v>
      </c>
      <c r="D558" s="2" t="s">
        <v>151</v>
      </c>
      <c r="E558" s="2" t="s">
        <v>123</v>
      </c>
      <c r="F558" s="2" t="s">
        <v>26</v>
      </c>
      <c r="G558" s="2" t="s">
        <v>216</v>
      </c>
      <c r="I558">
        <f>HEX2DEC(_0811_173439[[#This Row],[580C]])*B$4/B$5+B$6</f>
        <v>760</v>
      </c>
      <c r="J558">
        <f>HEX2DEC(_0811_173439[[#This Row],[4402]])*C$4/C$5+C$6</f>
        <v>36</v>
      </c>
      <c r="K558">
        <f>HEX2DEC(_0811_173439[[#This Row],[580F]])*D$4/D$5+D$6</f>
        <v>30</v>
      </c>
      <c r="L558">
        <f>ROUND(HEX2DEC(_0811_173439[[#This Row],[58F0]])*E$4/E$5+E$6,0)</f>
        <v>71</v>
      </c>
      <c r="M558">
        <f>ROUND(HEX2DEC(_0811_173439[[#This Row],[5805]])*F$4/F$5+F$6,0)</f>
        <v>42</v>
      </c>
      <c r="N558">
        <f>ROUND(HEX2DEC(_0811_173439[[#This Row],[58DD]])*G$4/G$5+G$6,2)</f>
        <v>-0.03</v>
      </c>
      <c r="P558">
        <v>760</v>
      </c>
      <c r="Q558">
        <v>36</v>
      </c>
      <c r="R558">
        <v>30</v>
      </c>
      <c r="S558">
        <v>71</v>
      </c>
      <c r="T558">
        <v>42</v>
      </c>
      <c r="U558">
        <v>-0.03</v>
      </c>
      <c r="W558">
        <f>DataLog_T717420_Aug11_4_59_37pm[[#This Row],[RPM '[1/MIN']]]-Table3[[#This Row],[580C]]</f>
        <v>0</v>
      </c>
      <c r="X558">
        <f>DataLog_T717420_Aug11_4_59_37pm[[#This Row],[OIL TEMP '[Â°C']]]-Table3[[#This Row],[4402]]</f>
        <v>0</v>
      </c>
      <c r="Y558">
        <f>DataLog_T717420_Aug11_4_59_37pm[[#This Row],[INTAKE TEMP '[Â°C']]]-Table3[[#This Row],[580F]]</f>
        <v>0</v>
      </c>
      <c r="Z558">
        <f>DataLog_T717420_Aug11_4_59_37pm[[#This Row],[HPFP PRES. '[BAR']]]-Table3[[#This Row],[58F0]]</f>
        <v>0</v>
      </c>
      <c r="AA558">
        <f>DataLog_T717420_Aug11_4_59_37pm[[#This Row],[COOLANT TEMP '[Â°C']]]-Table3[[#This Row],[5805]]</f>
        <v>0</v>
      </c>
      <c r="AB558">
        <f>DataLog_T717420_Aug11_4_59_37pm[[#This Row],[BOOST '[BAR']]]-Table3[[#This Row],[58DD]]</f>
        <v>0</v>
      </c>
    </row>
    <row r="559" spans="2:28" x14ac:dyDescent="0.25">
      <c r="B559" s="2" t="s">
        <v>189</v>
      </c>
      <c r="C559" s="2" t="s">
        <v>30</v>
      </c>
      <c r="D559" s="2" t="s">
        <v>151</v>
      </c>
      <c r="E559" s="2" t="s">
        <v>122</v>
      </c>
      <c r="F559" s="2" t="s">
        <v>26</v>
      </c>
      <c r="G559" s="2" t="s">
        <v>186</v>
      </c>
      <c r="I559">
        <f>HEX2DEC(_0811_173439[[#This Row],[580C]])*B$4/B$5+B$6</f>
        <v>760</v>
      </c>
      <c r="J559">
        <f>HEX2DEC(_0811_173439[[#This Row],[4402]])*C$4/C$5+C$6</f>
        <v>36</v>
      </c>
      <c r="K559">
        <f>HEX2DEC(_0811_173439[[#This Row],[580F]])*D$4/D$5+D$6</f>
        <v>30</v>
      </c>
      <c r="L559">
        <f>ROUND(HEX2DEC(_0811_173439[[#This Row],[58F0]])*E$4/E$5+E$6,0)</f>
        <v>71</v>
      </c>
      <c r="M559">
        <f>ROUND(HEX2DEC(_0811_173439[[#This Row],[5805]])*F$4/F$5+F$6,0)</f>
        <v>42</v>
      </c>
      <c r="N559">
        <f>ROUND(HEX2DEC(_0811_173439[[#This Row],[58DD]])*G$4/G$5+G$6,2)</f>
        <v>-0.03</v>
      </c>
      <c r="P559">
        <v>760</v>
      </c>
      <c r="Q559">
        <v>36</v>
      </c>
      <c r="R559">
        <v>30</v>
      </c>
      <c r="S559">
        <v>71</v>
      </c>
      <c r="T559">
        <v>42</v>
      </c>
      <c r="U559">
        <v>-0.03</v>
      </c>
      <c r="W559">
        <f>DataLog_T717420_Aug11_4_59_37pm[[#This Row],[RPM '[1/MIN']]]-Table3[[#This Row],[580C]]</f>
        <v>0</v>
      </c>
      <c r="X559">
        <f>DataLog_T717420_Aug11_4_59_37pm[[#This Row],[OIL TEMP '[Â°C']]]-Table3[[#This Row],[4402]]</f>
        <v>0</v>
      </c>
      <c r="Y559">
        <f>DataLog_T717420_Aug11_4_59_37pm[[#This Row],[INTAKE TEMP '[Â°C']]]-Table3[[#This Row],[580F]]</f>
        <v>0</v>
      </c>
      <c r="Z559">
        <f>DataLog_T717420_Aug11_4_59_37pm[[#This Row],[HPFP PRES. '[BAR']]]-Table3[[#This Row],[58F0]]</f>
        <v>0</v>
      </c>
      <c r="AA559">
        <f>DataLog_T717420_Aug11_4_59_37pm[[#This Row],[COOLANT TEMP '[Â°C']]]-Table3[[#This Row],[5805]]</f>
        <v>0</v>
      </c>
      <c r="AB559">
        <f>DataLog_T717420_Aug11_4_59_37pm[[#This Row],[BOOST '[BAR']]]-Table3[[#This Row],[58DD]]</f>
        <v>0</v>
      </c>
    </row>
    <row r="560" spans="2:28" x14ac:dyDescent="0.25">
      <c r="B560" s="2" t="s">
        <v>189</v>
      </c>
      <c r="C560" s="2" t="s">
        <v>30</v>
      </c>
      <c r="D560" s="2" t="s">
        <v>151</v>
      </c>
      <c r="E560" s="2" t="s">
        <v>130</v>
      </c>
      <c r="F560" s="2" t="s">
        <v>26</v>
      </c>
      <c r="G560" s="2" t="s">
        <v>190</v>
      </c>
      <c r="I560">
        <f>HEX2DEC(_0811_173439[[#This Row],[580C]])*B$4/B$5+B$6</f>
        <v>760</v>
      </c>
      <c r="J560">
        <f>HEX2DEC(_0811_173439[[#This Row],[4402]])*C$4/C$5+C$6</f>
        <v>36</v>
      </c>
      <c r="K560">
        <f>HEX2DEC(_0811_173439[[#This Row],[580F]])*D$4/D$5+D$6</f>
        <v>30</v>
      </c>
      <c r="L560">
        <f>ROUND(HEX2DEC(_0811_173439[[#This Row],[58F0]])*E$4/E$5+E$6,0)</f>
        <v>71</v>
      </c>
      <c r="M560">
        <f>ROUND(HEX2DEC(_0811_173439[[#This Row],[5805]])*F$4/F$5+F$6,0)</f>
        <v>42</v>
      </c>
      <c r="N560">
        <f>ROUND(HEX2DEC(_0811_173439[[#This Row],[58DD]])*G$4/G$5+G$6,2)</f>
        <v>-0.03</v>
      </c>
      <c r="P560">
        <v>760</v>
      </c>
      <c r="Q560">
        <v>36</v>
      </c>
      <c r="R560">
        <v>30</v>
      </c>
      <c r="S560">
        <v>71</v>
      </c>
      <c r="T560">
        <v>42</v>
      </c>
      <c r="U560">
        <v>-0.03</v>
      </c>
      <c r="W560">
        <f>DataLog_T717420_Aug11_4_59_37pm[[#This Row],[RPM '[1/MIN']]]-Table3[[#This Row],[580C]]</f>
        <v>0</v>
      </c>
      <c r="X560">
        <f>DataLog_T717420_Aug11_4_59_37pm[[#This Row],[OIL TEMP '[Â°C']]]-Table3[[#This Row],[4402]]</f>
        <v>0</v>
      </c>
      <c r="Y560">
        <f>DataLog_T717420_Aug11_4_59_37pm[[#This Row],[INTAKE TEMP '[Â°C']]]-Table3[[#This Row],[580F]]</f>
        <v>0</v>
      </c>
      <c r="Z560">
        <f>DataLog_T717420_Aug11_4_59_37pm[[#This Row],[HPFP PRES. '[BAR']]]-Table3[[#This Row],[58F0]]</f>
        <v>0</v>
      </c>
      <c r="AA560">
        <f>DataLog_T717420_Aug11_4_59_37pm[[#This Row],[COOLANT TEMP '[Â°C']]]-Table3[[#This Row],[5805]]</f>
        <v>0</v>
      </c>
      <c r="AB560">
        <f>DataLog_T717420_Aug11_4_59_37pm[[#This Row],[BOOST '[BAR']]]-Table3[[#This Row],[58DD]]</f>
        <v>0</v>
      </c>
    </row>
    <row r="561" spans="2:28" x14ac:dyDescent="0.25">
      <c r="B561" s="2" t="s">
        <v>189</v>
      </c>
      <c r="C561" s="2" t="s">
        <v>30</v>
      </c>
      <c r="D561" s="2" t="s">
        <v>151</v>
      </c>
      <c r="E561" s="2" t="s">
        <v>218</v>
      </c>
      <c r="F561" s="2" t="s">
        <v>26</v>
      </c>
      <c r="G561" s="2" t="s">
        <v>53</v>
      </c>
      <c r="I561">
        <f>HEX2DEC(_0811_173439[[#This Row],[580C]])*B$4/B$5+B$6</f>
        <v>760</v>
      </c>
      <c r="J561">
        <f>HEX2DEC(_0811_173439[[#This Row],[4402]])*C$4/C$5+C$6</f>
        <v>36</v>
      </c>
      <c r="K561">
        <f>HEX2DEC(_0811_173439[[#This Row],[580F]])*D$4/D$5+D$6</f>
        <v>30</v>
      </c>
      <c r="L561">
        <f>ROUND(HEX2DEC(_0811_173439[[#This Row],[58F0]])*E$4/E$5+E$6,0)</f>
        <v>71</v>
      </c>
      <c r="M561">
        <f>ROUND(HEX2DEC(_0811_173439[[#This Row],[5805]])*F$4/F$5+F$6,0)</f>
        <v>42</v>
      </c>
      <c r="N561">
        <f>ROUND(HEX2DEC(_0811_173439[[#This Row],[58DD]])*G$4/G$5+G$6,2)</f>
        <v>-0.03</v>
      </c>
      <c r="P561">
        <v>760</v>
      </c>
      <c r="Q561">
        <v>36</v>
      </c>
      <c r="R561">
        <v>30</v>
      </c>
      <c r="S561">
        <v>71</v>
      </c>
      <c r="T561">
        <v>42</v>
      </c>
      <c r="U561">
        <v>-0.03</v>
      </c>
      <c r="W561">
        <f>DataLog_T717420_Aug11_4_59_37pm[[#This Row],[RPM '[1/MIN']]]-Table3[[#This Row],[580C]]</f>
        <v>0</v>
      </c>
      <c r="X561">
        <f>DataLog_T717420_Aug11_4_59_37pm[[#This Row],[OIL TEMP '[Â°C']]]-Table3[[#This Row],[4402]]</f>
        <v>0</v>
      </c>
      <c r="Y561">
        <f>DataLog_T717420_Aug11_4_59_37pm[[#This Row],[INTAKE TEMP '[Â°C']]]-Table3[[#This Row],[580F]]</f>
        <v>0</v>
      </c>
      <c r="Z561">
        <f>DataLog_T717420_Aug11_4_59_37pm[[#This Row],[HPFP PRES. '[BAR']]]-Table3[[#This Row],[58F0]]</f>
        <v>0</v>
      </c>
      <c r="AA561">
        <f>DataLog_T717420_Aug11_4_59_37pm[[#This Row],[COOLANT TEMP '[Â°C']]]-Table3[[#This Row],[5805]]</f>
        <v>0</v>
      </c>
      <c r="AB561">
        <f>DataLog_T717420_Aug11_4_59_37pm[[#This Row],[BOOST '[BAR']]]-Table3[[#This Row],[58DD]]</f>
        <v>0</v>
      </c>
    </row>
    <row r="562" spans="2:28" x14ac:dyDescent="0.25">
      <c r="B562" s="2" t="s">
        <v>189</v>
      </c>
      <c r="C562" s="2" t="s">
        <v>30</v>
      </c>
      <c r="D562" s="2" t="s">
        <v>151</v>
      </c>
      <c r="E562" s="2" t="s">
        <v>139</v>
      </c>
      <c r="F562" s="2" t="s">
        <v>26</v>
      </c>
      <c r="G562" s="2" t="s">
        <v>190</v>
      </c>
      <c r="I562">
        <f>HEX2DEC(_0811_173439[[#This Row],[580C]])*B$4/B$5+B$6</f>
        <v>760</v>
      </c>
      <c r="J562">
        <f>HEX2DEC(_0811_173439[[#This Row],[4402]])*C$4/C$5+C$6</f>
        <v>36</v>
      </c>
      <c r="K562">
        <f>HEX2DEC(_0811_173439[[#This Row],[580F]])*D$4/D$5+D$6</f>
        <v>30</v>
      </c>
      <c r="L562">
        <f>ROUND(HEX2DEC(_0811_173439[[#This Row],[58F0]])*E$4/E$5+E$6,0)</f>
        <v>71</v>
      </c>
      <c r="M562">
        <f>ROUND(HEX2DEC(_0811_173439[[#This Row],[5805]])*F$4/F$5+F$6,0)</f>
        <v>42</v>
      </c>
      <c r="N562">
        <f>ROUND(HEX2DEC(_0811_173439[[#This Row],[58DD]])*G$4/G$5+G$6,2)</f>
        <v>-0.03</v>
      </c>
      <c r="P562">
        <v>760</v>
      </c>
      <c r="Q562">
        <v>36</v>
      </c>
      <c r="R562">
        <v>30</v>
      </c>
      <c r="S562">
        <v>71</v>
      </c>
      <c r="T562">
        <v>42</v>
      </c>
      <c r="U562">
        <v>-0.03</v>
      </c>
      <c r="W562">
        <f>DataLog_T717420_Aug11_4_59_37pm[[#This Row],[RPM '[1/MIN']]]-Table3[[#This Row],[580C]]</f>
        <v>0</v>
      </c>
      <c r="X562">
        <f>DataLog_T717420_Aug11_4_59_37pm[[#This Row],[OIL TEMP '[Â°C']]]-Table3[[#This Row],[4402]]</f>
        <v>0</v>
      </c>
      <c r="Y562">
        <f>DataLog_T717420_Aug11_4_59_37pm[[#This Row],[INTAKE TEMP '[Â°C']]]-Table3[[#This Row],[580F]]</f>
        <v>0</v>
      </c>
      <c r="Z562">
        <f>DataLog_T717420_Aug11_4_59_37pm[[#This Row],[HPFP PRES. '[BAR']]]-Table3[[#This Row],[58F0]]</f>
        <v>0</v>
      </c>
      <c r="AA562">
        <f>DataLog_T717420_Aug11_4_59_37pm[[#This Row],[COOLANT TEMP '[Â°C']]]-Table3[[#This Row],[5805]]</f>
        <v>0</v>
      </c>
      <c r="AB562">
        <f>DataLog_T717420_Aug11_4_59_37pm[[#This Row],[BOOST '[BAR']]]-Table3[[#This Row],[58DD]]</f>
        <v>0</v>
      </c>
    </row>
    <row r="563" spans="2:28" x14ac:dyDescent="0.25">
      <c r="B563" s="2" t="s">
        <v>189</v>
      </c>
      <c r="C563" s="2" t="s">
        <v>30</v>
      </c>
      <c r="D563" s="2" t="s">
        <v>151</v>
      </c>
      <c r="E563" s="2" t="s">
        <v>122</v>
      </c>
      <c r="F563" s="2" t="s">
        <v>26</v>
      </c>
      <c r="G563" s="2" t="s">
        <v>53</v>
      </c>
      <c r="I563">
        <f>HEX2DEC(_0811_173439[[#This Row],[580C]])*B$4/B$5+B$6</f>
        <v>760</v>
      </c>
      <c r="J563">
        <f>HEX2DEC(_0811_173439[[#This Row],[4402]])*C$4/C$5+C$6</f>
        <v>36</v>
      </c>
      <c r="K563">
        <f>HEX2DEC(_0811_173439[[#This Row],[580F]])*D$4/D$5+D$6</f>
        <v>30</v>
      </c>
      <c r="L563">
        <f>ROUND(HEX2DEC(_0811_173439[[#This Row],[58F0]])*E$4/E$5+E$6,0)</f>
        <v>71</v>
      </c>
      <c r="M563">
        <f>ROUND(HEX2DEC(_0811_173439[[#This Row],[5805]])*F$4/F$5+F$6,0)</f>
        <v>42</v>
      </c>
      <c r="N563">
        <f>ROUND(HEX2DEC(_0811_173439[[#This Row],[58DD]])*G$4/G$5+G$6,2)</f>
        <v>-0.03</v>
      </c>
      <c r="P563">
        <v>760</v>
      </c>
      <c r="Q563">
        <v>36</v>
      </c>
      <c r="R563">
        <v>30</v>
      </c>
      <c r="S563">
        <v>71</v>
      </c>
      <c r="T563">
        <v>42</v>
      </c>
      <c r="U563">
        <v>-0.03</v>
      </c>
      <c r="W563">
        <f>DataLog_T717420_Aug11_4_59_37pm[[#This Row],[RPM '[1/MIN']]]-Table3[[#This Row],[580C]]</f>
        <v>0</v>
      </c>
      <c r="X563">
        <f>DataLog_T717420_Aug11_4_59_37pm[[#This Row],[OIL TEMP '[Â°C']]]-Table3[[#This Row],[4402]]</f>
        <v>0</v>
      </c>
      <c r="Y563">
        <f>DataLog_T717420_Aug11_4_59_37pm[[#This Row],[INTAKE TEMP '[Â°C']]]-Table3[[#This Row],[580F]]</f>
        <v>0</v>
      </c>
      <c r="Z563">
        <f>DataLog_T717420_Aug11_4_59_37pm[[#This Row],[HPFP PRES. '[BAR']]]-Table3[[#This Row],[58F0]]</f>
        <v>0</v>
      </c>
      <c r="AA563">
        <f>DataLog_T717420_Aug11_4_59_37pm[[#This Row],[COOLANT TEMP '[Â°C']]]-Table3[[#This Row],[5805]]</f>
        <v>0</v>
      </c>
      <c r="AB563">
        <f>DataLog_T717420_Aug11_4_59_37pm[[#This Row],[BOOST '[BAR']]]-Table3[[#This Row],[58DD]]</f>
        <v>0</v>
      </c>
    </row>
    <row r="564" spans="2:28" x14ac:dyDescent="0.25">
      <c r="B564" s="2" t="s">
        <v>189</v>
      </c>
      <c r="C564" s="2" t="s">
        <v>30</v>
      </c>
      <c r="D564" s="2" t="s">
        <v>151</v>
      </c>
      <c r="E564" s="2" t="s">
        <v>166</v>
      </c>
      <c r="F564" s="2" t="s">
        <v>26</v>
      </c>
      <c r="G564" s="2" t="s">
        <v>53</v>
      </c>
      <c r="I564">
        <f>HEX2DEC(_0811_173439[[#This Row],[580C]])*B$4/B$5+B$6</f>
        <v>760</v>
      </c>
      <c r="J564">
        <f>HEX2DEC(_0811_173439[[#This Row],[4402]])*C$4/C$5+C$6</f>
        <v>36</v>
      </c>
      <c r="K564">
        <f>HEX2DEC(_0811_173439[[#This Row],[580F]])*D$4/D$5+D$6</f>
        <v>30</v>
      </c>
      <c r="L564">
        <f>ROUND(HEX2DEC(_0811_173439[[#This Row],[58F0]])*E$4/E$5+E$6,0)</f>
        <v>71</v>
      </c>
      <c r="M564">
        <f>ROUND(HEX2DEC(_0811_173439[[#This Row],[5805]])*F$4/F$5+F$6,0)</f>
        <v>42</v>
      </c>
      <c r="N564">
        <f>ROUND(HEX2DEC(_0811_173439[[#This Row],[58DD]])*G$4/G$5+G$6,2)</f>
        <v>-0.03</v>
      </c>
      <c r="P564">
        <v>760</v>
      </c>
      <c r="Q564">
        <v>36</v>
      </c>
      <c r="R564">
        <v>30</v>
      </c>
      <c r="S564">
        <v>71</v>
      </c>
      <c r="T564">
        <v>42</v>
      </c>
      <c r="U564">
        <v>-0.03</v>
      </c>
      <c r="W564">
        <f>DataLog_T717420_Aug11_4_59_37pm[[#This Row],[RPM '[1/MIN']]]-Table3[[#This Row],[580C]]</f>
        <v>0</v>
      </c>
      <c r="X564">
        <f>DataLog_T717420_Aug11_4_59_37pm[[#This Row],[OIL TEMP '[Â°C']]]-Table3[[#This Row],[4402]]</f>
        <v>0</v>
      </c>
      <c r="Y564">
        <f>DataLog_T717420_Aug11_4_59_37pm[[#This Row],[INTAKE TEMP '[Â°C']]]-Table3[[#This Row],[580F]]</f>
        <v>0</v>
      </c>
      <c r="Z564">
        <f>DataLog_T717420_Aug11_4_59_37pm[[#This Row],[HPFP PRES. '[BAR']]]-Table3[[#This Row],[58F0]]</f>
        <v>0</v>
      </c>
      <c r="AA564">
        <f>DataLog_T717420_Aug11_4_59_37pm[[#This Row],[COOLANT TEMP '[Â°C']]]-Table3[[#This Row],[5805]]</f>
        <v>0</v>
      </c>
      <c r="AB564">
        <f>DataLog_T717420_Aug11_4_59_37pm[[#This Row],[BOOST '[BAR']]]-Table3[[#This Row],[58DD]]</f>
        <v>0</v>
      </c>
    </row>
    <row r="565" spans="2:28" x14ac:dyDescent="0.25">
      <c r="B565" s="2" t="s">
        <v>189</v>
      </c>
      <c r="C565" s="2" t="s">
        <v>30</v>
      </c>
      <c r="D565" s="2" t="s">
        <v>151</v>
      </c>
      <c r="E565" s="2" t="s">
        <v>93</v>
      </c>
      <c r="F565" s="2" t="s">
        <v>26</v>
      </c>
      <c r="G565" s="2" t="s">
        <v>191</v>
      </c>
      <c r="I565">
        <f>HEX2DEC(_0811_173439[[#This Row],[580C]])*B$4/B$5+B$6</f>
        <v>760</v>
      </c>
      <c r="J565">
        <f>HEX2DEC(_0811_173439[[#This Row],[4402]])*C$4/C$5+C$6</f>
        <v>36</v>
      </c>
      <c r="K565">
        <f>HEX2DEC(_0811_173439[[#This Row],[580F]])*D$4/D$5+D$6</f>
        <v>30</v>
      </c>
      <c r="L565">
        <f>ROUND(HEX2DEC(_0811_173439[[#This Row],[58F0]])*E$4/E$5+E$6,0)</f>
        <v>70</v>
      </c>
      <c r="M565">
        <f>ROUND(HEX2DEC(_0811_173439[[#This Row],[5805]])*F$4/F$5+F$6,0)</f>
        <v>42</v>
      </c>
      <c r="N565">
        <f>ROUND(HEX2DEC(_0811_173439[[#This Row],[58DD]])*G$4/G$5+G$6,2)</f>
        <v>-0.03</v>
      </c>
      <c r="P565">
        <v>760</v>
      </c>
      <c r="Q565">
        <v>36</v>
      </c>
      <c r="R565">
        <v>30</v>
      </c>
      <c r="S565">
        <v>70</v>
      </c>
      <c r="T565">
        <v>42</v>
      </c>
      <c r="U565">
        <v>-0.03</v>
      </c>
      <c r="W565">
        <f>DataLog_T717420_Aug11_4_59_37pm[[#This Row],[RPM '[1/MIN']]]-Table3[[#This Row],[580C]]</f>
        <v>0</v>
      </c>
      <c r="X565">
        <f>DataLog_T717420_Aug11_4_59_37pm[[#This Row],[OIL TEMP '[Â°C']]]-Table3[[#This Row],[4402]]</f>
        <v>0</v>
      </c>
      <c r="Y565">
        <f>DataLog_T717420_Aug11_4_59_37pm[[#This Row],[INTAKE TEMP '[Â°C']]]-Table3[[#This Row],[580F]]</f>
        <v>0</v>
      </c>
      <c r="Z565">
        <f>DataLog_T717420_Aug11_4_59_37pm[[#This Row],[HPFP PRES. '[BAR']]]-Table3[[#This Row],[58F0]]</f>
        <v>0</v>
      </c>
      <c r="AA565">
        <f>DataLog_T717420_Aug11_4_59_37pm[[#This Row],[COOLANT TEMP '[Â°C']]]-Table3[[#This Row],[5805]]</f>
        <v>0</v>
      </c>
      <c r="AB565">
        <f>DataLog_T717420_Aug11_4_59_37pm[[#This Row],[BOOST '[BAR']]]-Table3[[#This Row],[58DD]]</f>
        <v>0</v>
      </c>
    </row>
    <row r="566" spans="2:28" x14ac:dyDescent="0.25">
      <c r="B566" s="2" t="s">
        <v>189</v>
      </c>
      <c r="C566" s="2" t="s">
        <v>30</v>
      </c>
      <c r="D566" s="2" t="s">
        <v>151</v>
      </c>
      <c r="E566" s="2" t="s">
        <v>93</v>
      </c>
      <c r="F566" s="2" t="s">
        <v>26</v>
      </c>
      <c r="G566" s="2" t="s">
        <v>190</v>
      </c>
      <c r="I566">
        <f>HEX2DEC(_0811_173439[[#This Row],[580C]])*B$4/B$5+B$6</f>
        <v>760</v>
      </c>
      <c r="J566">
        <f>HEX2DEC(_0811_173439[[#This Row],[4402]])*C$4/C$5+C$6</f>
        <v>36</v>
      </c>
      <c r="K566">
        <f>HEX2DEC(_0811_173439[[#This Row],[580F]])*D$4/D$5+D$6</f>
        <v>30</v>
      </c>
      <c r="L566">
        <f>ROUND(HEX2DEC(_0811_173439[[#This Row],[58F0]])*E$4/E$5+E$6,0)</f>
        <v>70</v>
      </c>
      <c r="M566">
        <f>ROUND(HEX2DEC(_0811_173439[[#This Row],[5805]])*F$4/F$5+F$6,0)</f>
        <v>42</v>
      </c>
      <c r="N566">
        <f>ROUND(HEX2DEC(_0811_173439[[#This Row],[58DD]])*G$4/G$5+G$6,2)</f>
        <v>-0.03</v>
      </c>
      <c r="P566">
        <v>760</v>
      </c>
      <c r="Q566">
        <v>36</v>
      </c>
      <c r="R566">
        <v>30</v>
      </c>
      <c r="S566">
        <v>70</v>
      </c>
      <c r="T566">
        <v>42</v>
      </c>
      <c r="U566">
        <v>-0.03</v>
      </c>
      <c r="W566">
        <f>DataLog_T717420_Aug11_4_59_37pm[[#This Row],[RPM '[1/MIN']]]-Table3[[#This Row],[580C]]</f>
        <v>0</v>
      </c>
      <c r="X566">
        <f>DataLog_T717420_Aug11_4_59_37pm[[#This Row],[OIL TEMP '[Â°C']]]-Table3[[#This Row],[4402]]</f>
        <v>0</v>
      </c>
      <c r="Y566">
        <f>DataLog_T717420_Aug11_4_59_37pm[[#This Row],[INTAKE TEMP '[Â°C']]]-Table3[[#This Row],[580F]]</f>
        <v>0</v>
      </c>
      <c r="Z566">
        <f>DataLog_T717420_Aug11_4_59_37pm[[#This Row],[HPFP PRES. '[BAR']]]-Table3[[#This Row],[58F0]]</f>
        <v>0</v>
      </c>
      <c r="AA566">
        <f>DataLog_T717420_Aug11_4_59_37pm[[#This Row],[COOLANT TEMP '[Â°C']]]-Table3[[#This Row],[5805]]</f>
        <v>0</v>
      </c>
      <c r="AB566">
        <f>DataLog_T717420_Aug11_4_59_37pm[[#This Row],[BOOST '[BAR']]]-Table3[[#This Row],[58DD]]</f>
        <v>0</v>
      </c>
    </row>
    <row r="567" spans="2:28" x14ac:dyDescent="0.25">
      <c r="B567" s="2" t="s">
        <v>189</v>
      </c>
      <c r="C567" s="2" t="s">
        <v>30</v>
      </c>
      <c r="D567" s="2" t="s">
        <v>151</v>
      </c>
      <c r="E567" s="2" t="s">
        <v>205</v>
      </c>
      <c r="F567" s="2" t="s">
        <v>26</v>
      </c>
      <c r="G567" s="2" t="s">
        <v>53</v>
      </c>
      <c r="I567">
        <f>HEX2DEC(_0811_173439[[#This Row],[580C]])*B$4/B$5+B$6</f>
        <v>760</v>
      </c>
      <c r="J567">
        <f>HEX2DEC(_0811_173439[[#This Row],[4402]])*C$4/C$5+C$6</f>
        <v>36</v>
      </c>
      <c r="K567">
        <f>HEX2DEC(_0811_173439[[#This Row],[580F]])*D$4/D$5+D$6</f>
        <v>30</v>
      </c>
      <c r="L567">
        <f>ROUND(HEX2DEC(_0811_173439[[#This Row],[58F0]])*E$4/E$5+E$6,0)</f>
        <v>71</v>
      </c>
      <c r="M567">
        <f>ROUND(HEX2DEC(_0811_173439[[#This Row],[5805]])*F$4/F$5+F$6,0)</f>
        <v>42</v>
      </c>
      <c r="N567">
        <f>ROUND(HEX2DEC(_0811_173439[[#This Row],[58DD]])*G$4/G$5+G$6,2)</f>
        <v>-0.03</v>
      </c>
      <c r="P567">
        <v>760</v>
      </c>
      <c r="Q567">
        <v>36</v>
      </c>
      <c r="R567">
        <v>30</v>
      </c>
      <c r="S567">
        <v>71</v>
      </c>
      <c r="T567">
        <v>42</v>
      </c>
      <c r="U567">
        <v>-0.03</v>
      </c>
      <c r="W567">
        <f>DataLog_T717420_Aug11_4_59_37pm[[#This Row],[RPM '[1/MIN']]]-Table3[[#This Row],[580C]]</f>
        <v>0</v>
      </c>
      <c r="X567">
        <f>DataLog_T717420_Aug11_4_59_37pm[[#This Row],[OIL TEMP '[Â°C']]]-Table3[[#This Row],[4402]]</f>
        <v>0</v>
      </c>
      <c r="Y567">
        <f>DataLog_T717420_Aug11_4_59_37pm[[#This Row],[INTAKE TEMP '[Â°C']]]-Table3[[#This Row],[580F]]</f>
        <v>0</v>
      </c>
      <c r="Z567">
        <f>DataLog_T717420_Aug11_4_59_37pm[[#This Row],[HPFP PRES. '[BAR']]]-Table3[[#This Row],[58F0]]</f>
        <v>0</v>
      </c>
      <c r="AA567">
        <f>DataLog_T717420_Aug11_4_59_37pm[[#This Row],[COOLANT TEMP '[Â°C']]]-Table3[[#This Row],[5805]]</f>
        <v>0</v>
      </c>
      <c r="AB567">
        <f>DataLog_T717420_Aug11_4_59_37pm[[#This Row],[BOOST '[BAR']]]-Table3[[#This Row],[58DD]]</f>
        <v>0</v>
      </c>
    </row>
    <row r="568" spans="2:28" x14ac:dyDescent="0.25">
      <c r="B568" s="2" t="s">
        <v>189</v>
      </c>
      <c r="C568" s="2" t="s">
        <v>30</v>
      </c>
      <c r="D568" s="2" t="s">
        <v>151</v>
      </c>
      <c r="E568" s="2" t="s">
        <v>194</v>
      </c>
      <c r="F568" s="2" t="s">
        <v>26</v>
      </c>
      <c r="G568" s="2" t="s">
        <v>186</v>
      </c>
      <c r="I568">
        <f>HEX2DEC(_0811_173439[[#This Row],[580C]])*B$4/B$5+B$6</f>
        <v>760</v>
      </c>
      <c r="J568">
        <f>HEX2DEC(_0811_173439[[#This Row],[4402]])*C$4/C$5+C$6</f>
        <v>36</v>
      </c>
      <c r="K568">
        <f>HEX2DEC(_0811_173439[[#This Row],[580F]])*D$4/D$5+D$6</f>
        <v>30</v>
      </c>
      <c r="L568">
        <f>ROUND(HEX2DEC(_0811_173439[[#This Row],[58F0]])*E$4/E$5+E$6,0)</f>
        <v>70</v>
      </c>
      <c r="M568">
        <f>ROUND(HEX2DEC(_0811_173439[[#This Row],[5805]])*F$4/F$5+F$6,0)</f>
        <v>42</v>
      </c>
      <c r="N568">
        <f>ROUND(HEX2DEC(_0811_173439[[#This Row],[58DD]])*G$4/G$5+G$6,2)</f>
        <v>-0.03</v>
      </c>
      <c r="P568">
        <v>760</v>
      </c>
      <c r="Q568">
        <v>36</v>
      </c>
      <c r="R568">
        <v>30</v>
      </c>
      <c r="S568">
        <v>70</v>
      </c>
      <c r="T568">
        <v>42</v>
      </c>
      <c r="U568">
        <v>-0.03</v>
      </c>
      <c r="W568">
        <f>DataLog_T717420_Aug11_4_59_37pm[[#This Row],[RPM '[1/MIN']]]-Table3[[#This Row],[580C]]</f>
        <v>0</v>
      </c>
      <c r="X568">
        <f>DataLog_T717420_Aug11_4_59_37pm[[#This Row],[OIL TEMP '[Â°C']]]-Table3[[#This Row],[4402]]</f>
        <v>0</v>
      </c>
      <c r="Y568">
        <f>DataLog_T717420_Aug11_4_59_37pm[[#This Row],[INTAKE TEMP '[Â°C']]]-Table3[[#This Row],[580F]]</f>
        <v>0</v>
      </c>
      <c r="Z568">
        <f>DataLog_T717420_Aug11_4_59_37pm[[#This Row],[HPFP PRES. '[BAR']]]-Table3[[#This Row],[58F0]]</f>
        <v>0</v>
      </c>
      <c r="AA568">
        <f>DataLog_T717420_Aug11_4_59_37pm[[#This Row],[COOLANT TEMP '[Â°C']]]-Table3[[#This Row],[5805]]</f>
        <v>0</v>
      </c>
      <c r="AB568">
        <f>DataLog_T717420_Aug11_4_59_37pm[[#This Row],[BOOST '[BAR']]]-Table3[[#This Row],[58DD]]</f>
        <v>0</v>
      </c>
    </row>
    <row r="569" spans="2:28" x14ac:dyDescent="0.25">
      <c r="B569" s="2" t="s">
        <v>189</v>
      </c>
      <c r="C569" s="2" t="s">
        <v>30</v>
      </c>
      <c r="D569" s="2" t="s">
        <v>151</v>
      </c>
      <c r="E569" s="2" t="s">
        <v>227</v>
      </c>
      <c r="F569" s="2" t="s">
        <v>26</v>
      </c>
      <c r="G569" s="2" t="s">
        <v>191</v>
      </c>
      <c r="I569">
        <f>HEX2DEC(_0811_173439[[#This Row],[580C]])*B$4/B$5+B$6</f>
        <v>760</v>
      </c>
      <c r="J569">
        <f>HEX2DEC(_0811_173439[[#This Row],[4402]])*C$4/C$5+C$6</f>
        <v>36</v>
      </c>
      <c r="K569">
        <f>HEX2DEC(_0811_173439[[#This Row],[580F]])*D$4/D$5+D$6</f>
        <v>30</v>
      </c>
      <c r="L569">
        <f>ROUND(HEX2DEC(_0811_173439[[#This Row],[58F0]])*E$4/E$5+E$6,0)</f>
        <v>67</v>
      </c>
      <c r="M569">
        <f>ROUND(HEX2DEC(_0811_173439[[#This Row],[5805]])*F$4/F$5+F$6,0)</f>
        <v>42</v>
      </c>
      <c r="N569">
        <f>ROUND(HEX2DEC(_0811_173439[[#This Row],[58DD]])*G$4/G$5+G$6,2)</f>
        <v>-0.03</v>
      </c>
      <c r="P569">
        <v>760</v>
      </c>
      <c r="Q569">
        <v>36</v>
      </c>
      <c r="R569">
        <v>30</v>
      </c>
      <c r="S569">
        <v>67</v>
      </c>
      <c r="T569">
        <v>42</v>
      </c>
      <c r="U569">
        <v>-0.03</v>
      </c>
      <c r="W569">
        <f>DataLog_T717420_Aug11_4_59_37pm[[#This Row],[RPM '[1/MIN']]]-Table3[[#This Row],[580C]]</f>
        <v>0</v>
      </c>
      <c r="X569">
        <f>DataLog_T717420_Aug11_4_59_37pm[[#This Row],[OIL TEMP '[Â°C']]]-Table3[[#This Row],[4402]]</f>
        <v>0</v>
      </c>
      <c r="Y569">
        <f>DataLog_T717420_Aug11_4_59_37pm[[#This Row],[INTAKE TEMP '[Â°C']]]-Table3[[#This Row],[580F]]</f>
        <v>0</v>
      </c>
      <c r="Z569">
        <f>DataLog_T717420_Aug11_4_59_37pm[[#This Row],[HPFP PRES. '[BAR']]]-Table3[[#This Row],[58F0]]</f>
        <v>0</v>
      </c>
      <c r="AA569">
        <f>DataLog_T717420_Aug11_4_59_37pm[[#This Row],[COOLANT TEMP '[Â°C']]]-Table3[[#This Row],[5805]]</f>
        <v>0</v>
      </c>
      <c r="AB569">
        <f>DataLog_T717420_Aug11_4_59_37pm[[#This Row],[BOOST '[BAR']]]-Table3[[#This Row],[58DD]]</f>
        <v>0</v>
      </c>
    </row>
    <row r="570" spans="2:28" x14ac:dyDescent="0.25">
      <c r="B570" s="2" t="s">
        <v>189</v>
      </c>
      <c r="C570" s="2" t="s">
        <v>30</v>
      </c>
      <c r="D570" s="2" t="s">
        <v>151</v>
      </c>
      <c r="E570" s="2" t="s">
        <v>212</v>
      </c>
      <c r="F570" s="2" t="s">
        <v>26</v>
      </c>
      <c r="G570" s="2" t="s">
        <v>216</v>
      </c>
      <c r="I570">
        <f>HEX2DEC(_0811_173439[[#This Row],[580C]])*B$4/B$5+B$6</f>
        <v>760</v>
      </c>
      <c r="J570">
        <f>HEX2DEC(_0811_173439[[#This Row],[4402]])*C$4/C$5+C$6</f>
        <v>36</v>
      </c>
      <c r="K570">
        <f>HEX2DEC(_0811_173439[[#This Row],[580F]])*D$4/D$5+D$6</f>
        <v>30</v>
      </c>
      <c r="L570">
        <f>ROUND(HEX2DEC(_0811_173439[[#This Row],[58F0]])*E$4/E$5+E$6,0)</f>
        <v>69</v>
      </c>
      <c r="M570">
        <f>ROUND(HEX2DEC(_0811_173439[[#This Row],[5805]])*F$4/F$5+F$6,0)</f>
        <v>42</v>
      </c>
      <c r="N570">
        <f>ROUND(HEX2DEC(_0811_173439[[#This Row],[58DD]])*G$4/G$5+G$6,2)</f>
        <v>-0.03</v>
      </c>
      <c r="P570">
        <v>760</v>
      </c>
      <c r="Q570">
        <v>36</v>
      </c>
      <c r="R570">
        <v>30</v>
      </c>
      <c r="S570">
        <v>69</v>
      </c>
      <c r="T570">
        <v>42</v>
      </c>
      <c r="U570">
        <v>-0.03</v>
      </c>
      <c r="W570">
        <f>DataLog_T717420_Aug11_4_59_37pm[[#This Row],[RPM '[1/MIN']]]-Table3[[#This Row],[580C]]</f>
        <v>0</v>
      </c>
      <c r="X570">
        <f>DataLog_T717420_Aug11_4_59_37pm[[#This Row],[OIL TEMP '[Â°C']]]-Table3[[#This Row],[4402]]</f>
        <v>0</v>
      </c>
      <c r="Y570">
        <f>DataLog_T717420_Aug11_4_59_37pm[[#This Row],[INTAKE TEMP '[Â°C']]]-Table3[[#This Row],[580F]]</f>
        <v>0</v>
      </c>
      <c r="Z570">
        <f>DataLog_T717420_Aug11_4_59_37pm[[#This Row],[HPFP PRES. '[BAR']]]-Table3[[#This Row],[58F0]]</f>
        <v>0</v>
      </c>
      <c r="AA570">
        <f>DataLog_T717420_Aug11_4_59_37pm[[#This Row],[COOLANT TEMP '[Â°C']]]-Table3[[#This Row],[5805]]</f>
        <v>0</v>
      </c>
      <c r="AB570">
        <f>DataLog_T717420_Aug11_4_59_37pm[[#This Row],[BOOST '[BAR']]]-Table3[[#This Row],[58DD]]</f>
        <v>0</v>
      </c>
    </row>
    <row r="571" spans="2:28" x14ac:dyDescent="0.25">
      <c r="B571" s="2" t="s">
        <v>189</v>
      </c>
      <c r="C571" s="2" t="s">
        <v>30</v>
      </c>
      <c r="D571" s="2" t="s">
        <v>151</v>
      </c>
      <c r="E571" s="2" t="s">
        <v>93</v>
      </c>
      <c r="F571" s="2" t="s">
        <v>26</v>
      </c>
      <c r="G571" s="2" t="s">
        <v>186</v>
      </c>
      <c r="I571">
        <f>HEX2DEC(_0811_173439[[#This Row],[580C]])*B$4/B$5+B$6</f>
        <v>760</v>
      </c>
      <c r="J571">
        <f>HEX2DEC(_0811_173439[[#This Row],[4402]])*C$4/C$5+C$6</f>
        <v>36</v>
      </c>
      <c r="K571">
        <f>HEX2DEC(_0811_173439[[#This Row],[580F]])*D$4/D$5+D$6</f>
        <v>30</v>
      </c>
      <c r="L571">
        <f>ROUND(HEX2DEC(_0811_173439[[#This Row],[58F0]])*E$4/E$5+E$6,0)</f>
        <v>70</v>
      </c>
      <c r="M571">
        <f>ROUND(HEX2DEC(_0811_173439[[#This Row],[5805]])*F$4/F$5+F$6,0)</f>
        <v>42</v>
      </c>
      <c r="N571">
        <f>ROUND(HEX2DEC(_0811_173439[[#This Row],[58DD]])*G$4/G$5+G$6,2)</f>
        <v>-0.03</v>
      </c>
      <c r="P571">
        <v>760</v>
      </c>
      <c r="Q571">
        <v>36</v>
      </c>
      <c r="R571">
        <v>30</v>
      </c>
      <c r="S571">
        <v>70</v>
      </c>
      <c r="T571">
        <v>42</v>
      </c>
      <c r="U571">
        <v>-0.03</v>
      </c>
      <c r="W571">
        <f>DataLog_T717420_Aug11_4_59_37pm[[#This Row],[RPM '[1/MIN']]]-Table3[[#This Row],[580C]]</f>
        <v>0</v>
      </c>
      <c r="X571">
        <f>DataLog_T717420_Aug11_4_59_37pm[[#This Row],[OIL TEMP '[Â°C']]]-Table3[[#This Row],[4402]]</f>
        <v>0</v>
      </c>
      <c r="Y571">
        <f>DataLog_T717420_Aug11_4_59_37pm[[#This Row],[INTAKE TEMP '[Â°C']]]-Table3[[#This Row],[580F]]</f>
        <v>0</v>
      </c>
      <c r="Z571">
        <f>DataLog_T717420_Aug11_4_59_37pm[[#This Row],[HPFP PRES. '[BAR']]]-Table3[[#This Row],[58F0]]</f>
        <v>0</v>
      </c>
      <c r="AA571">
        <f>DataLog_T717420_Aug11_4_59_37pm[[#This Row],[COOLANT TEMP '[Â°C']]]-Table3[[#This Row],[5805]]</f>
        <v>0</v>
      </c>
      <c r="AB571">
        <f>DataLog_T717420_Aug11_4_59_37pm[[#This Row],[BOOST '[BAR']]]-Table3[[#This Row],[58DD]]</f>
        <v>0</v>
      </c>
    </row>
    <row r="572" spans="2:28" x14ac:dyDescent="0.25">
      <c r="B572" s="2" t="s">
        <v>189</v>
      </c>
      <c r="C572" s="2" t="s">
        <v>30</v>
      </c>
      <c r="D572" s="2" t="s">
        <v>151</v>
      </c>
      <c r="E572" s="2" t="s">
        <v>123</v>
      </c>
      <c r="F572" s="2" t="s">
        <v>26</v>
      </c>
      <c r="G572" s="2" t="s">
        <v>190</v>
      </c>
      <c r="I572">
        <f>HEX2DEC(_0811_173439[[#This Row],[580C]])*B$4/B$5+B$6</f>
        <v>760</v>
      </c>
      <c r="J572">
        <f>HEX2DEC(_0811_173439[[#This Row],[4402]])*C$4/C$5+C$6</f>
        <v>36</v>
      </c>
      <c r="K572">
        <f>HEX2DEC(_0811_173439[[#This Row],[580F]])*D$4/D$5+D$6</f>
        <v>30</v>
      </c>
      <c r="L572">
        <f>ROUND(HEX2DEC(_0811_173439[[#This Row],[58F0]])*E$4/E$5+E$6,0)</f>
        <v>71</v>
      </c>
      <c r="M572">
        <f>ROUND(HEX2DEC(_0811_173439[[#This Row],[5805]])*F$4/F$5+F$6,0)</f>
        <v>42</v>
      </c>
      <c r="N572">
        <f>ROUND(HEX2DEC(_0811_173439[[#This Row],[58DD]])*G$4/G$5+G$6,2)</f>
        <v>-0.03</v>
      </c>
      <c r="P572">
        <v>760</v>
      </c>
      <c r="Q572">
        <v>36</v>
      </c>
      <c r="R572">
        <v>30</v>
      </c>
      <c r="S572">
        <v>71</v>
      </c>
      <c r="T572">
        <v>42</v>
      </c>
      <c r="U572">
        <v>-0.03</v>
      </c>
      <c r="W572">
        <f>DataLog_T717420_Aug11_4_59_37pm[[#This Row],[RPM '[1/MIN']]]-Table3[[#This Row],[580C]]</f>
        <v>0</v>
      </c>
      <c r="X572">
        <f>DataLog_T717420_Aug11_4_59_37pm[[#This Row],[OIL TEMP '[Â°C']]]-Table3[[#This Row],[4402]]</f>
        <v>0</v>
      </c>
      <c r="Y572">
        <f>DataLog_T717420_Aug11_4_59_37pm[[#This Row],[INTAKE TEMP '[Â°C']]]-Table3[[#This Row],[580F]]</f>
        <v>0</v>
      </c>
      <c r="Z572">
        <f>DataLog_T717420_Aug11_4_59_37pm[[#This Row],[HPFP PRES. '[BAR']]]-Table3[[#This Row],[58F0]]</f>
        <v>0</v>
      </c>
      <c r="AA572">
        <f>DataLog_T717420_Aug11_4_59_37pm[[#This Row],[COOLANT TEMP '[Â°C']]]-Table3[[#This Row],[5805]]</f>
        <v>0</v>
      </c>
      <c r="AB572">
        <f>DataLog_T717420_Aug11_4_59_37pm[[#This Row],[BOOST '[BAR']]]-Table3[[#This Row],[58DD]]</f>
        <v>0</v>
      </c>
    </row>
    <row r="573" spans="2:28" x14ac:dyDescent="0.25">
      <c r="B573" s="2" t="s">
        <v>189</v>
      </c>
      <c r="C573" s="2" t="s">
        <v>30</v>
      </c>
      <c r="D573" s="2" t="s">
        <v>151</v>
      </c>
      <c r="E573" s="2" t="s">
        <v>228</v>
      </c>
      <c r="F573" s="2" t="s">
        <v>26</v>
      </c>
      <c r="G573" s="2" t="s">
        <v>216</v>
      </c>
      <c r="I573">
        <f>HEX2DEC(_0811_173439[[#This Row],[580C]])*B$4/B$5+B$6</f>
        <v>760</v>
      </c>
      <c r="J573">
        <f>HEX2DEC(_0811_173439[[#This Row],[4402]])*C$4/C$5+C$6</f>
        <v>36</v>
      </c>
      <c r="K573">
        <f>HEX2DEC(_0811_173439[[#This Row],[580F]])*D$4/D$5+D$6</f>
        <v>30</v>
      </c>
      <c r="L573">
        <f>ROUND(HEX2DEC(_0811_173439[[#This Row],[58F0]])*E$4/E$5+E$6,0)</f>
        <v>72</v>
      </c>
      <c r="M573">
        <f>ROUND(HEX2DEC(_0811_173439[[#This Row],[5805]])*F$4/F$5+F$6,0)</f>
        <v>42</v>
      </c>
      <c r="N573">
        <f>ROUND(HEX2DEC(_0811_173439[[#This Row],[58DD]])*G$4/G$5+G$6,2)</f>
        <v>-0.03</v>
      </c>
      <c r="P573">
        <v>760</v>
      </c>
      <c r="Q573">
        <v>36</v>
      </c>
      <c r="R573">
        <v>30</v>
      </c>
      <c r="S573">
        <v>72</v>
      </c>
      <c r="T573">
        <v>42</v>
      </c>
      <c r="U573">
        <v>-0.03</v>
      </c>
      <c r="W573">
        <f>DataLog_T717420_Aug11_4_59_37pm[[#This Row],[RPM '[1/MIN']]]-Table3[[#This Row],[580C]]</f>
        <v>0</v>
      </c>
      <c r="X573">
        <f>DataLog_T717420_Aug11_4_59_37pm[[#This Row],[OIL TEMP '[Â°C']]]-Table3[[#This Row],[4402]]</f>
        <v>0</v>
      </c>
      <c r="Y573">
        <f>DataLog_T717420_Aug11_4_59_37pm[[#This Row],[INTAKE TEMP '[Â°C']]]-Table3[[#This Row],[580F]]</f>
        <v>0</v>
      </c>
      <c r="Z573">
        <f>DataLog_T717420_Aug11_4_59_37pm[[#This Row],[HPFP PRES. '[BAR']]]-Table3[[#This Row],[58F0]]</f>
        <v>0</v>
      </c>
      <c r="AA573">
        <f>DataLog_T717420_Aug11_4_59_37pm[[#This Row],[COOLANT TEMP '[Â°C']]]-Table3[[#This Row],[5805]]</f>
        <v>0</v>
      </c>
      <c r="AB573">
        <f>DataLog_T717420_Aug11_4_59_37pm[[#This Row],[BOOST '[BAR']]]-Table3[[#This Row],[58DD]]</f>
        <v>0</v>
      </c>
    </row>
    <row r="574" spans="2:28" x14ac:dyDescent="0.25">
      <c r="B574" s="2" t="s">
        <v>189</v>
      </c>
      <c r="C574" s="2" t="s">
        <v>30</v>
      </c>
      <c r="D574" s="2" t="s">
        <v>151</v>
      </c>
      <c r="E574" s="2" t="s">
        <v>229</v>
      </c>
      <c r="F574" s="2" t="s">
        <v>26</v>
      </c>
      <c r="G574" s="2" t="s">
        <v>213</v>
      </c>
      <c r="I574">
        <f>HEX2DEC(_0811_173439[[#This Row],[580C]])*B$4/B$5+B$6</f>
        <v>760</v>
      </c>
      <c r="J574">
        <f>HEX2DEC(_0811_173439[[#This Row],[4402]])*C$4/C$5+C$6</f>
        <v>36</v>
      </c>
      <c r="K574">
        <f>HEX2DEC(_0811_173439[[#This Row],[580F]])*D$4/D$5+D$6</f>
        <v>30</v>
      </c>
      <c r="L574">
        <f>ROUND(HEX2DEC(_0811_173439[[#This Row],[58F0]])*E$4/E$5+E$6,0)</f>
        <v>72</v>
      </c>
      <c r="M574">
        <f>ROUND(HEX2DEC(_0811_173439[[#This Row],[5805]])*F$4/F$5+F$6,0)</f>
        <v>42</v>
      </c>
      <c r="N574">
        <f>ROUND(HEX2DEC(_0811_173439[[#This Row],[58DD]])*G$4/G$5+G$6,2)</f>
        <v>-0.03</v>
      </c>
      <c r="P574">
        <v>760</v>
      </c>
      <c r="Q574">
        <v>36</v>
      </c>
      <c r="R574">
        <v>30</v>
      </c>
      <c r="S574">
        <v>72</v>
      </c>
      <c r="T574">
        <v>42</v>
      </c>
      <c r="U574">
        <v>-0.03</v>
      </c>
      <c r="W574">
        <f>DataLog_T717420_Aug11_4_59_37pm[[#This Row],[RPM '[1/MIN']]]-Table3[[#This Row],[580C]]</f>
        <v>0</v>
      </c>
      <c r="X574">
        <f>DataLog_T717420_Aug11_4_59_37pm[[#This Row],[OIL TEMP '[Â°C']]]-Table3[[#This Row],[4402]]</f>
        <v>0</v>
      </c>
      <c r="Y574">
        <f>DataLog_T717420_Aug11_4_59_37pm[[#This Row],[INTAKE TEMP '[Â°C']]]-Table3[[#This Row],[580F]]</f>
        <v>0</v>
      </c>
      <c r="Z574">
        <f>DataLog_T717420_Aug11_4_59_37pm[[#This Row],[HPFP PRES. '[BAR']]]-Table3[[#This Row],[58F0]]</f>
        <v>0</v>
      </c>
      <c r="AA574">
        <f>DataLog_T717420_Aug11_4_59_37pm[[#This Row],[COOLANT TEMP '[Â°C']]]-Table3[[#This Row],[5805]]</f>
        <v>0</v>
      </c>
      <c r="AB574">
        <f>DataLog_T717420_Aug11_4_59_37pm[[#This Row],[BOOST '[BAR']]]-Table3[[#This Row],[58DD]]</f>
        <v>0</v>
      </c>
    </row>
    <row r="575" spans="2:28" x14ac:dyDescent="0.25">
      <c r="B575" s="2" t="s">
        <v>189</v>
      </c>
      <c r="C575" s="2" t="s">
        <v>30</v>
      </c>
      <c r="D575" s="2" t="s">
        <v>151</v>
      </c>
      <c r="E575" s="2" t="s">
        <v>229</v>
      </c>
      <c r="F575" s="2" t="s">
        <v>26</v>
      </c>
      <c r="G575" s="2" t="s">
        <v>213</v>
      </c>
      <c r="I575">
        <f>HEX2DEC(_0811_173439[[#This Row],[580C]])*B$4/B$5+B$6</f>
        <v>760</v>
      </c>
      <c r="J575">
        <f>HEX2DEC(_0811_173439[[#This Row],[4402]])*C$4/C$5+C$6</f>
        <v>36</v>
      </c>
      <c r="K575">
        <f>HEX2DEC(_0811_173439[[#This Row],[580F]])*D$4/D$5+D$6</f>
        <v>30</v>
      </c>
      <c r="L575">
        <f>ROUND(HEX2DEC(_0811_173439[[#This Row],[58F0]])*E$4/E$5+E$6,0)</f>
        <v>72</v>
      </c>
      <c r="M575">
        <f>ROUND(HEX2DEC(_0811_173439[[#This Row],[5805]])*F$4/F$5+F$6,0)</f>
        <v>42</v>
      </c>
      <c r="N575">
        <f>ROUND(HEX2DEC(_0811_173439[[#This Row],[58DD]])*G$4/G$5+G$6,2)</f>
        <v>-0.03</v>
      </c>
      <c r="P575">
        <v>760</v>
      </c>
      <c r="Q575">
        <v>36</v>
      </c>
      <c r="R575">
        <v>30</v>
      </c>
      <c r="S575">
        <v>72</v>
      </c>
      <c r="T575">
        <v>42</v>
      </c>
      <c r="U575">
        <v>-0.03</v>
      </c>
      <c r="W575">
        <f>DataLog_T717420_Aug11_4_59_37pm[[#This Row],[RPM '[1/MIN']]]-Table3[[#This Row],[580C]]</f>
        <v>0</v>
      </c>
      <c r="X575">
        <f>DataLog_T717420_Aug11_4_59_37pm[[#This Row],[OIL TEMP '[Â°C']]]-Table3[[#This Row],[4402]]</f>
        <v>0</v>
      </c>
      <c r="Y575">
        <f>DataLog_T717420_Aug11_4_59_37pm[[#This Row],[INTAKE TEMP '[Â°C']]]-Table3[[#This Row],[580F]]</f>
        <v>0</v>
      </c>
      <c r="Z575">
        <f>DataLog_T717420_Aug11_4_59_37pm[[#This Row],[HPFP PRES. '[BAR']]]-Table3[[#This Row],[58F0]]</f>
        <v>0</v>
      </c>
      <c r="AA575">
        <f>DataLog_T717420_Aug11_4_59_37pm[[#This Row],[COOLANT TEMP '[Â°C']]]-Table3[[#This Row],[5805]]</f>
        <v>0</v>
      </c>
      <c r="AB575">
        <f>DataLog_T717420_Aug11_4_59_37pm[[#This Row],[BOOST '[BAR']]]-Table3[[#This Row],[58DD]]</f>
        <v>0</v>
      </c>
    </row>
    <row r="576" spans="2:28" x14ac:dyDescent="0.25">
      <c r="B576" s="2" t="s">
        <v>189</v>
      </c>
      <c r="C576" s="2" t="s">
        <v>30</v>
      </c>
      <c r="D576" s="2" t="s">
        <v>151</v>
      </c>
      <c r="E576" s="2" t="s">
        <v>230</v>
      </c>
      <c r="F576" s="2" t="s">
        <v>26</v>
      </c>
      <c r="G576" s="2" t="s">
        <v>190</v>
      </c>
      <c r="I576">
        <f>HEX2DEC(_0811_173439[[#This Row],[580C]])*B$4/B$5+B$6</f>
        <v>760</v>
      </c>
      <c r="J576">
        <f>HEX2DEC(_0811_173439[[#This Row],[4402]])*C$4/C$5+C$6</f>
        <v>36</v>
      </c>
      <c r="K576">
        <f>HEX2DEC(_0811_173439[[#This Row],[580F]])*D$4/D$5+D$6</f>
        <v>30</v>
      </c>
      <c r="L576">
        <f>ROUND(HEX2DEC(_0811_173439[[#This Row],[58F0]])*E$4/E$5+E$6,0)</f>
        <v>71</v>
      </c>
      <c r="M576">
        <f>ROUND(HEX2DEC(_0811_173439[[#This Row],[5805]])*F$4/F$5+F$6,0)</f>
        <v>42</v>
      </c>
      <c r="N576">
        <f>ROUND(HEX2DEC(_0811_173439[[#This Row],[58DD]])*G$4/G$5+G$6,2)</f>
        <v>-0.03</v>
      </c>
      <c r="P576">
        <v>760</v>
      </c>
      <c r="Q576">
        <v>36</v>
      </c>
      <c r="R576">
        <v>30</v>
      </c>
      <c r="S576">
        <v>71</v>
      </c>
      <c r="T576">
        <v>42</v>
      </c>
      <c r="U576">
        <v>-0.03</v>
      </c>
      <c r="W576">
        <f>DataLog_T717420_Aug11_4_59_37pm[[#This Row],[RPM '[1/MIN']]]-Table3[[#This Row],[580C]]</f>
        <v>0</v>
      </c>
      <c r="X576">
        <f>DataLog_T717420_Aug11_4_59_37pm[[#This Row],[OIL TEMP '[Â°C']]]-Table3[[#This Row],[4402]]</f>
        <v>0</v>
      </c>
      <c r="Y576">
        <f>DataLog_T717420_Aug11_4_59_37pm[[#This Row],[INTAKE TEMP '[Â°C']]]-Table3[[#This Row],[580F]]</f>
        <v>0</v>
      </c>
      <c r="Z576">
        <f>DataLog_T717420_Aug11_4_59_37pm[[#This Row],[HPFP PRES. '[BAR']]]-Table3[[#This Row],[58F0]]</f>
        <v>0</v>
      </c>
      <c r="AA576">
        <f>DataLog_T717420_Aug11_4_59_37pm[[#This Row],[COOLANT TEMP '[Â°C']]]-Table3[[#This Row],[5805]]</f>
        <v>0</v>
      </c>
      <c r="AB576">
        <f>DataLog_T717420_Aug11_4_59_37pm[[#This Row],[BOOST '[BAR']]]-Table3[[#This Row],[58DD]]</f>
        <v>0</v>
      </c>
    </row>
    <row r="577" spans="2:28" x14ac:dyDescent="0.25">
      <c r="B577" s="2" t="s">
        <v>189</v>
      </c>
      <c r="C577" s="2" t="s">
        <v>30</v>
      </c>
      <c r="D577" s="2" t="s">
        <v>151</v>
      </c>
      <c r="E577" s="2" t="s">
        <v>231</v>
      </c>
      <c r="F577" s="2" t="s">
        <v>26</v>
      </c>
      <c r="G577" s="2" t="s">
        <v>191</v>
      </c>
      <c r="I577">
        <f>HEX2DEC(_0811_173439[[#This Row],[580C]])*B$4/B$5+B$6</f>
        <v>760</v>
      </c>
      <c r="J577">
        <f>HEX2DEC(_0811_173439[[#This Row],[4402]])*C$4/C$5+C$6</f>
        <v>36</v>
      </c>
      <c r="K577">
        <f>HEX2DEC(_0811_173439[[#This Row],[580F]])*D$4/D$5+D$6</f>
        <v>30</v>
      </c>
      <c r="L577">
        <f>ROUND(HEX2DEC(_0811_173439[[#This Row],[58F0]])*E$4/E$5+E$6,0)</f>
        <v>72</v>
      </c>
      <c r="M577">
        <f>ROUND(HEX2DEC(_0811_173439[[#This Row],[5805]])*F$4/F$5+F$6,0)</f>
        <v>42</v>
      </c>
      <c r="N577">
        <f>ROUND(HEX2DEC(_0811_173439[[#This Row],[58DD]])*G$4/G$5+G$6,2)</f>
        <v>-0.03</v>
      </c>
      <c r="P577">
        <v>760</v>
      </c>
      <c r="Q577">
        <v>36</v>
      </c>
      <c r="R577">
        <v>30</v>
      </c>
      <c r="S577">
        <v>72</v>
      </c>
      <c r="T577">
        <v>42</v>
      </c>
      <c r="U577">
        <v>-0.03</v>
      </c>
      <c r="W577">
        <f>DataLog_T717420_Aug11_4_59_37pm[[#This Row],[RPM '[1/MIN']]]-Table3[[#This Row],[580C]]</f>
        <v>0</v>
      </c>
      <c r="X577">
        <f>DataLog_T717420_Aug11_4_59_37pm[[#This Row],[OIL TEMP '[Â°C']]]-Table3[[#This Row],[4402]]</f>
        <v>0</v>
      </c>
      <c r="Y577">
        <f>DataLog_T717420_Aug11_4_59_37pm[[#This Row],[INTAKE TEMP '[Â°C']]]-Table3[[#This Row],[580F]]</f>
        <v>0</v>
      </c>
      <c r="Z577">
        <f>DataLog_T717420_Aug11_4_59_37pm[[#This Row],[HPFP PRES. '[BAR']]]-Table3[[#This Row],[58F0]]</f>
        <v>0</v>
      </c>
      <c r="AA577">
        <f>DataLog_T717420_Aug11_4_59_37pm[[#This Row],[COOLANT TEMP '[Â°C']]]-Table3[[#This Row],[5805]]</f>
        <v>0</v>
      </c>
      <c r="AB577">
        <f>DataLog_T717420_Aug11_4_59_37pm[[#This Row],[BOOST '[BAR']]]-Table3[[#This Row],[58DD]]</f>
        <v>0</v>
      </c>
    </row>
    <row r="578" spans="2:28" x14ac:dyDescent="0.25">
      <c r="B578" s="2" t="s">
        <v>189</v>
      </c>
      <c r="C578" s="2" t="s">
        <v>30</v>
      </c>
      <c r="D578" s="2" t="s">
        <v>151</v>
      </c>
      <c r="E578" s="2" t="s">
        <v>131</v>
      </c>
      <c r="F578" s="2" t="s">
        <v>26</v>
      </c>
      <c r="G578" s="2" t="s">
        <v>53</v>
      </c>
      <c r="I578">
        <f>HEX2DEC(_0811_173439[[#This Row],[580C]])*B$4/B$5+B$6</f>
        <v>760</v>
      </c>
      <c r="J578">
        <f>HEX2DEC(_0811_173439[[#This Row],[4402]])*C$4/C$5+C$6</f>
        <v>36</v>
      </c>
      <c r="K578">
        <f>HEX2DEC(_0811_173439[[#This Row],[580F]])*D$4/D$5+D$6</f>
        <v>30</v>
      </c>
      <c r="L578">
        <f>ROUND(HEX2DEC(_0811_173439[[#This Row],[58F0]])*E$4/E$5+E$6,0)</f>
        <v>72</v>
      </c>
      <c r="M578">
        <f>ROUND(HEX2DEC(_0811_173439[[#This Row],[5805]])*F$4/F$5+F$6,0)</f>
        <v>42</v>
      </c>
      <c r="N578">
        <f>ROUND(HEX2DEC(_0811_173439[[#This Row],[58DD]])*G$4/G$5+G$6,2)</f>
        <v>-0.03</v>
      </c>
      <c r="P578">
        <v>760</v>
      </c>
      <c r="Q578">
        <v>36</v>
      </c>
      <c r="R578">
        <v>30</v>
      </c>
      <c r="S578">
        <v>72</v>
      </c>
      <c r="T578">
        <v>42</v>
      </c>
      <c r="U578">
        <v>-0.03</v>
      </c>
      <c r="W578">
        <f>DataLog_T717420_Aug11_4_59_37pm[[#This Row],[RPM '[1/MIN']]]-Table3[[#This Row],[580C]]</f>
        <v>0</v>
      </c>
      <c r="X578">
        <f>DataLog_T717420_Aug11_4_59_37pm[[#This Row],[OIL TEMP '[Â°C']]]-Table3[[#This Row],[4402]]</f>
        <v>0</v>
      </c>
      <c r="Y578">
        <f>DataLog_T717420_Aug11_4_59_37pm[[#This Row],[INTAKE TEMP '[Â°C']]]-Table3[[#This Row],[580F]]</f>
        <v>0</v>
      </c>
      <c r="Z578">
        <f>DataLog_T717420_Aug11_4_59_37pm[[#This Row],[HPFP PRES. '[BAR']]]-Table3[[#This Row],[58F0]]</f>
        <v>0</v>
      </c>
      <c r="AA578">
        <f>DataLog_T717420_Aug11_4_59_37pm[[#This Row],[COOLANT TEMP '[Â°C']]]-Table3[[#This Row],[5805]]</f>
        <v>0</v>
      </c>
      <c r="AB578">
        <f>DataLog_T717420_Aug11_4_59_37pm[[#This Row],[BOOST '[BAR']]]-Table3[[#This Row],[58DD]]</f>
        <v>0</v>
      </c>
    </row>
    <row r="579" spans="2:28" x14ac:dyDescent="0.25">
      <c r="B579" s="2" t="s">
        <v>183</v>
      </c>
      <c r="C579" s="2" t="s">
        <v>30</v>
      </c>
      <c r="D579" s="2" t="s">
        <v>151</v>
      </c>
      <c r="E579" s="2" t="s">
        <v>232</v>
      </c>
      <c r="F579" s="2" t="s">
        <v>26</v>
      </c>
      <c r="G579" s="2" t="s">
        <v>191</v>
      </c>
      <c r="I579">
        <f>HEX2DEC(_0811_173439[[#This Row],[580C]])*B$4/B$5+B$6</f>
        <v>800</v>
      </c>
      <c r="J579">
        <f>HEX2DEC(_0811_173439[[#This Row],[4402]])*C$4/C$5+C$6</f>
        <v>36</v>
      </c>
      <c r="K579">
        <f>HEX2DEC(_0811_173439[[#This Row],[580F]])*D$4/D$5+D$6</f>
        <v>30</v>
      </c>
      <c r="L579">
        <f>ROUND(HEX2DEC(_0811_173439[[#This Row],[58F0]])*E$4/E$5+E$6,0)</f>
        <v>72</v>
      </c>
      <c r="M579">
        <f>ROUND(HEX2DEC(_0811_173439[[#This Row],[5805]])*F$4/F$5+F$6,0)</f>
        <v>42</v>
      </c>
      <c r="N579">
        <f>ROUND(HEX2DEC(_0811_173439[[#This Row],[58DD]])*G$4/G$5+G$6,2)</f>
        <v>-0.03</v>
      </c>
      <c r="P579">
        <v>800</v>
      </c>
      <c r="Q579">
        <v>36</v>
      </c>
      <c r="R579">
        <v>30</v>
      </c>
      <c r="S579">
        <v>72</v>
      </c>
      <c r="T579">
        <v>42</v>
      </c>
      <c r="U579">
        <v>-0.03</v>
      </c>
      <c r="W579">
        <f>DataLog_T717420_Aug11_4_59_37pm[[#This Row],[RPM '[1/MIN']]]-Table3[[#This Row],[580C]]</f>
        <v>0</v>
      </c>
      <c r="X579">
        <f>DataLog_T717420_Aug11_4_59_37pm[[#This Row],[OIL TEMP '[Â°C']]]-Table3[[#This Row],[4402]]</f>
        <v>0</v>
      </c>
      <c r="Y579">
        <f>DataLog_T717420_Aug11_4_59_37pm[[#This Row],[INTAKE TEMP '[Â°C']]]-Table3[[#This Row],[580F]]</f>
        <v>0</v>
      </c>
      <c r="Z579">
        <f>DataLog_T717420_Aug11_4_59_37pm[[#This Row],[HPFP PRES. '[BAR']]]-Table3[[#This Row],[58F0]]</f>
        <v>0</v>
      </c>
      <c r="AA579">
        <f>DataLog_T717420_Aug11_4_59_37pm[[#This Row],[COOLANT TEMP '[Â°C']]]-Table3[[#This Row],[5805]]</f>
        <v>0</v>
      </c>
      <c r="AB579">
        <f>DataLog_T717420_Aug11_4_59_37pm[[#This Row],[BOOST '[BAR']]]-Table3[[#This Row],[58DD]]</f>
        <v>0</v>
      </c>
    </row>
    <row r="580" spans="2:28" x14ac:dyDescent="0.25">
      <c r="B580" s="2" t="s">
        <v>183</v>
      </c>
      <c r="C580" s="2" t="s">
        <v>30</v>
      </c>
      <c r="D580" s="2" t="s">
        <v>151</v>
      </c>
      <c r="E580" s="2" t="s">
        <v>177</v>
      </c>
      <c r="F580" s="2" t="s">
        <v>26</v>
      </c>
      <c r="G580" s="2" t="s">
        <v>98</v>
      </c>
      <c r="I580">
        <f>HEX2DEC(_0811_173439[[#This Row],[580C]])*B$4/B$5+B$6</f>
        <v>800</v>
      </c>
      <c r="J580">
        <f>HEX2DEC(_0811_173439[[#This Row],[4402]])*C$4/C$5+C$6</f>
        <v>36</v>
      </c>
      <c r="K580">
        <f>HEX2DEC(_0811_173439[[#This Row],[580F]])*D$4/D$5+D$6</f>
        <v>30</v>
      </c>
      <c r="L580">
        <f>ROUND(HEX2DEC(_0811_173439[[#This Row],[58F0]])*E$4/E$5+E$6,0)</f>
        <v>71</v>
      </c>
      <c r="M580">
        <f>ROUND(HEX2DEC(_0811_173439[[#This Row],[5805]])*F$4/F$5+F$6,0)</f>
        <v>42</v>
      </c>
      <c r="N580">
        <f>ROUND(HEX2DEC(_0811_173439[[#This Row],[58DD]])*G$4/G$5+G$6,2)</f>
        <v>-0.03</v>
      </c>
      <c r="P580">
        <v>800</v>
      </c>
      <c r="Q580">
        <v>36</v>
      </c>
      <c r="R580">
        <v>30</v>
      </c>
      <c r="S580">
        <v>71</v>
      </c>
      <c r="T580">
        <v>42</v>
      </c>
      <c r="U580">
        <v>-0.03</v>
      </c>
      <c r="W580">
        <f>DataLog_T717420_Aug11_4_59_37pm[[#This Row],[RPM '[1/MIN']]]-Table3[[#This Row],[580C]]</f>
        <v>0</v>
      </c>
      <c r="X580">
        <f>DataLog_T717420_Aug11_4_59_37pm[[#This Row],[OIL TEMP '[Â°C']]]-Table3[[#This Row],[4402]]</f>
        <v>0</v>
      </c>
      <c r="Y580">
        <f>DataLog_T717420_Aug11_4_59_37pm[[#This Row],[INTAKE TEMP '[Â°C']]]-Table3[[#This Row],[580F]]</f>
        <v>0</v>
      </c>
      <c r="Z580">
        <f>DataLog_T717420_Aug11_4_59_37pm[[#This Row],[HPFP PRES. '[BAR']]]-Table3[[#This Row],[58F0]]</f>
        <v>0</v>
      </c>
      <c r="AA580">
        <f>DataLog_T717420_Aug11_4_59_37pm[[#This Row],[COOLANT TEMP '[Â°C']]]-Table3[[#This Row],[5805]]</f>
        <v>0</v>
      </c>
      <c r="AB580">
        <f>DataLog_T717420_Aug11_4_59_37pm[[#This Row],[BOOST '[BAR']]]-Table3[[#This Row],[58DD]]</f>
        <v>0</v>
      </c>
    </row>
    <row r="581" spans="2:28" x14ac:dyDescent="0.25">
      <c r="B581" s="2" t="s">
        <v>183</v>
      </c>
      <c r="C581" s="2" t="s">
        <v>30</v>
      </c>
      <c r="D581" s="2" t="s">
        <v>151</v>
      </c>
      <c r="E581" s="2" t="s">
        <v>123</v>
      </c>
      <c r="F581" s="2" t="s">
        <v>26</v>
      </c>
      <c r="G581" s="2" t="s">
        <v>190</v>
      </c>
      <c r="I581">
        <f>HEX2DEC(_0811_173439[[#This Row],[580C]])*B$4/B$5+B$6</f>
        <v>800</v>
      </c>
      <c r="J581">
        <f>HEX2DEC(_0811_173439[[#This Row],[4402]])*C$4/C$5+C$6</f>
        <v>36</v>
      </c>
      <c r="K581">
        <f>HEX2DEC(_0811_173439[[#This Row],[580F]])*D$4/D$5+D$6</f>
        <v>30</v>
      </c>
      <c r="L581">
        <f>ROUND(HEX2DEC(_0811_173439[[#This Row],[58F0]])*E$4/E$5+E$6,0)</f>
        <v>71</v>
      </c>
      <c r="M581">
        <f>ROUND(HEX2DEC(_0811_173439[[#This Row],[5805]])*F$4/F$5+F$6,0)</f>
        <v>42</v>
      </c>
      <c r="N581">
        <f>ROUND(HEX2DEC(_0811_173439[[#This Row],[58DD]])*G$4/G$5+G$6,2)</f>
        <v>-0.03</v>
      </c>
      <c r="P581">
        <v>800</v>
      </c>
      <c r="Q581">
        <v>36</v>
      </c>
      <c r="R581">
        <v>30</v>
      </c>
      <c r="S581">
        <v>71</v>
      </c>
      <c r="T581">
        <v>42</v>
      </c>
      <c r="U581">
        <v>-0.03</v>
      </c>
      <c r="W581">
        <f>DataLog_T717420_Aug11_4_59_37pm[[#This Row],[RPM '[1/MIN']]]-Table3[[#This Row],[580C]]</f>
        <v>0</v>
      </c>
      <c r="X581">
        <f>DataLog_T717420_Aug11_4_59_37pm[[#This Row],[OIL TEMP '[Â°C']]]-Table3[[#This Row],[4402]]</f>
        <v>0</v>
      </c>
      <c r="Y581">
        <f>DataLog_T717420_Aug11_4_59_37pm[[#This Row],[INTAKE TEMP '[Â°C']]]-Table3[[#This Row],[580F]]</f>
        <v>0</v>
      </c>
      <c r="Z581">
        <f>DataLog_T717420_Aug11_4_59_37pm[[#This Row],[HPFP PRES. '[BAR']]]-Table3[[#This Row],[58F0]]</f>
        <v>0</v>
      </c>
      <c r="AA581">
        <f>DataLog_T717420_Aug11_4_59_37pm[[#This Row],[COOLANT TEMP '[Â°C']]]-Table3[[#This Row],[5805]]</f>
        <v>0</v>
      </c>
      <c r="AB581">
        <f>DataLog_T717420_Aug11_4_59_37pm[[#This Row],[BOOST '[BAR']]]-Table3[[#This Row],[58DD]]</f>
        <v>0</v>
      </c>
    </row>
    <row r="582" spans="2:28" x14ac:dyDescent="0.25">
      <c r="B582" s="2" t="s">
        <v>183</v>
      </c>
      <c r="C582" s="2" t="s">
        <v>30</v>
      </c>
      <c r="D582" s="2" t="s">
        <v>151</v>
      </c>
      <c r="E582" s="2" t="s">
        <v>221</v>
      </c>
      <c r="F582" s="2" t="s">
        <v>26</v>
      </c>
      <c r="G582" s="2" t="s">
        <v>96</v>
      </c>
      <c r="I582">
        <f>HEX2DEC(_0811_173439[[#This Row],[580C]])*B$4/B$5+B$6</f>
        <v>800</v>
      </c>
      <c r="J582">
        <f>HEX2DEC(_0811_173439[[#This Row],[4402]])*C$4/C$5+C$6</f>
        <v>36</v>
      </c>
      <c r="K582">
        <f>HEX2DEC(_0811_173439[[#This Row],[580F]])*D$4/D$5+D$6</f>
        <v>30</v>
      </c>
      <c r="L582">
        <f>ROUND(HEX2DEC(_0811_173439[[#This Row],[58F0]])*E$4/E$5+E$6,0)</f>
        <v>70</v>
      </c>
      <c r="M582">
        <f>ROUND(HEX2DEC(_0811_173439[[#This Row],[5805]])*F$4/F$5+F$6,0)</f>
        <v>42</v>
      </c>
      <c r="N582">
        <f>ROUND(HEX2DEC(_0811_173439[[#This Row],[58DD]])*G$4/G$5+G$6,2)</f>
        <v>-0.03</v>
      </c>
      <c r="P582">
        <v>800</v>
      </c>
      <c r="Q582">
        <v>36</v>
      </c>
      <c r="R582">
        <v>30</v>
      </c>
      <c r="S582">
        <v>70</v>
      </c>
      <c r="T582">
        <v>42</v>
      </c>
      <c r="U582">
        <v>-0.03</v>
      </c>
      <c r="W582">
        <f>DataLog_T717420_Aug11_4_59_37pm[[#This Row],[RPM '[1/MIN']]]-Table3[[#This Row],[580C]]</f>
        <v>0</v>
      </c>
      <c r="X582">
        <f>DataLog_T717420_Aug11_4_59_37pm[[#This Row],[OIL TEMP '[Â°C']]]-Table3[[#This Row],[4402]]</f>
        <v>0</v>
      </c>
      <c r="Y582">
        <f>DataLog_T717420_Aug11_4_59_37pm[[#This Row],[INTAKE TEMP '[Â°C']]]-Table3[[#This Row],[580F]]</f>
        <v>0</v>
      </c>
      <c r="Z582">
        <f>DataLog_T717420_Aug11_4_59_37pm[[#This Row],[HPFP PRES. '[BAR']]]-Table3[[#This Row],[58F0]]</f>
        <v>0</v>
      </c>
      <c r="AA582">
        <f>DataLog_T717420_Aug11_4_59_37pm[[#This Row],[COOLANT TEMP '[Â°C']]]-Table3[[#This Row],[5805]]</f>
        <v>0</v>
      </c>
      <c r="AB582">
        <f>DataLog_T717420_Aug11_4_59_37pm[[#This Row],[BOOST '[BAR']]]-Table3[[#This Row],[58DD]]</f>
        <v>0</v>
      </c>
    </row>
    <row r="583" spans="2:28" x14ac:dyDescent="0.25">
      <c r="B583" s="2" t="s">
        <v>183</v>
      </c>
      <c r="C583" s="2" t="s">
        <v>30</v>
      </c>
      <c r="D583" s="2" t="s">
        <v>151</v>
      </c>
      <c r="E583" s="2" t="s">
        <v>176</v>
      </c>
      <c r="F583" s="2" t="s">
        <v>26</v>
      </c>
      <c r="G583" s="2" t="s">
        <v>190</v>
      </c>
      <c r="I583">
        <f>HEX2DEC(_0811_173439[[#This Row],[580C]])*B$4/B$5+B$6</f>
        <v>800</v>
      </c>
      <c r="J583">
        <f>HEX2DEC(_0811_173439[[#This Row],[4402]])*C$4/C$5+C$6</f>
        <v>36</v>
      </c>
      <c r="K583">
        <f>HEX2DEC(_0811_173439[[#This Row],[580F]])*D$4/D$5+D$6</f>
        <v>30</v>
      </c>
      <c r="L583">
        <f>ROUND(HEX2DEC(_0811_173439[[#This Row],[58F0]])*E$4/E$5+E$6,0)</f>
        <v>70</v>
      </c>
      <c r="M583">
        <f>ROUND(HEX2DEC(_0811_173439[[#This Row],[5805]])*F$4/F$5+F$6,0)</f>
        <v>42</v>
      </c>
      <c r="N583">
        <f>ROUND(HEX2DEC(_0811_173439[[#This Row],[58DD]])*G$4/G$5+G$6,2)</f>
        <v>-0.03</v>
      </c>
      <c r="P583">
        <v>800</v>
      </c>
      <c r="Q583">
        <v>36</v>
      </c>
      <c r="R583">
        <v>30</v>
      </c>
      <c r="S583">
        <v>70</v>
      </c>
      <c r="T583">
        <v>42</v>
      </c>
      <c r="U583">
        <v>-0.03</v>
      </c>
      <c r="W583">
        <f>DataLog_T717420_Aug11_4_59_37pm[[#This Row],[RPM '[1/MIN']]]-Table3[[#This Row],[580C]]</f>
        <v>0</v>
      </c>
      <c r="X583">
        <f>DataLog_T717420_Aug11_4_59_37pm[[#This Row],[OIL TEMP '[Â°C']]]-Table3[[#This Row],[4402]]</f>
        <v>0</v>
      </c>
      <c r="Y583">
        <f>DataLog_T717420_Aug11_4_59_37pm[[#This Row],[INTAKE TEMP '[Â°C']]]-Table3[[#This Row],[580F]]</f>
        <v>0</v>
      </c>
      <c r="Z583">
        <f>DataLog_T717420_Aug11_4_59_37pm[[#This Row],[HPFP PRES. '[BAR']]]-Table3[[#This Row],[58F0]]</f>
        <v>0</v>
      </c>
      <c r="AA583">
        <f>DataLog_T717420_Aug11_4_59_37pm[[#This Row],[COOLANT TEMP '[Â°C']]]-Table3[[#This Row],[5805]]</f>
        <v>0</v>
      </c>
      <c r="AB583">
        <f>DataLog_T717420_Aug11_4_59_37pm[[#This Row],[BOOST '[BAR']]]-Table3[[#This Row],[58DD]]</f>
        <v>0</v>
      </c>
    </row>
    <row r="584" spans="2:28" x14ac:dyDescent="0.25">
      <c r="B584" s="2" t="s">
        <v>183</v>
      </c>
      <c r="C584" s="2" t="s">
        <v>30</v>
      </c>
      <c r="D584" s="2" t="s">
        <v>151</v>
      </c>
      <c r="E584" s="2" t="s">
        <v>199</v>
      </c>
      <c r="F584" s="2" t="s">
        <v>26</v>
      </c>
      <c r="G584" s="2" t="s">
        <v>216</v>
      </c>
      <c r="I584">
        <f>HEX2DEC(_0811_173439[[#This Row],[580C]])*B$4/B$5+B$6</f>
        <v>800</v>
      </c>
      <c r="J584">
        <f>HEX2DEC(_0811_173439[[#This Row],[4402]])*C$4/C$5+C$6</f>
        <v>36</v>
      </c>
      <c r="K584">
        <f>HEX2DEC(_0811_173439[[#This Row],[580F]])*D$4/D$5+D$6</f>
        <v>30</v>
      </c>
      <c r="L584">
        <f>ROUND(HEX2DEC(_0811_173439[[#This Row],[58F0]])*E$4/E$5+E$6,0)</f>
        <v>70</v>
      </c>
      <c r="M584">
        <f>ROUND(HEX2DEC(_0811_173439[[#This Row],[5805]])*F$4/F$5+F$6,0)</f>
        <v>42</v>
      </c>
      <c r="N584">
        <f>ROUND(HEX2DEC(_0811_173439[[#This Row],[58DD]])*G$4/G$5+G$6,2)</f>
        <v>-0.03</v>
      </c>
      <c r="P584">
        <v>800</v>
      </c>
      <c r="Q584">
        <v>36</v>
      </c>
      <c r="R584">
        <v>30</v>
      </c>
      <c r="S584">
        <v>70</v>
      </c>
      <c r="T584">
        <v>42</v>
      </c>
      <c r="U584">
        <v>-0.03</v>
      </c>
      <c r="W584">
        <f>DataLog_T717420_Aug11_4_59_37pm[[#This Row],[RPM '[1/MIN']]]-Table3[[#This Row],[580C]]</f>
        <v>0</v>
      </c>
      <c r="X584">
        <f>DataLog_T717420_Aug11_4_59_37pm[[#This Row],[OIL TEMP '[Â°C']]]-Table3[[#This Row],[4402]]</f>
        <v>0</v>
      </c>
      <c r="Y584">
        <f>DataLog_T717420_Aug11_4_59_37pm[[#This Row],[INTAKE TEMP '[Â°C']]]-Table3[[#This Row],[580F]]</f>
        <v>0</v>
      </c>
      <c r="Z584">
        <f>DataLog_T717420_Aug11_4_59_37pm[[#This Row],[HPFP PRES. '[BAR']]]-Table3[[#This Row],[58F0]]</f>
        <v>0</v>
      </c>
      <c r="AA584">
        <f>DataLog_T717420_Aug11_4_59_37pm[[#This Row],[COOLANT TEMP '[Â°C']]]-Table3[[#This Row],[5805]]</f>
        <v>0</v>
      </c>
      <c r="AB584">
        <f>DataLog_T717420_Aug11_4_59_37pm[[#This Row],[BOOST '[BAR']]]-Table3[[#This Row],[58DD]]</f>
        <v>0</v>
      </c>
    </row>
    <row r="585" spans="2:28" x14ac:dyDescent="0.25">
      <c r="B585" s="2" t="s">
        <v>183</v>
      </c>
      <c r="C585" s="2" t="s">
        <v>30</v>
      </c>
      <c r="D585" s="2" t="s">
        <v>151</v>
      </c>
      <c r="E585" s="2" t="s">
        <v>148</v>
      </c>
      <c r="F585" s="2" t="s">
        <v>26</v>
      </c>
      <c r="G585" s="2" t="s">
        <v>98</v>
      </c>
      <c r="I585">
        <f>HEX2DEC(_0811_173439[[#This Row],[580C]])*B$4/B$5+B$6</f>
        <v>800</v>
      </c>
      <c r="J585">
        <f>HEX2DEC(_0811_173439[[#This Row],[4402]])*C$4/C$5+C$6</f>
        <v>36</v>
      </c>
      <c r="K585">
        <f>HEX2DEC(_0811_173439[[#This Row],[580F]])*D$4/D$5+D$6</f>
        <v>30</v>
      </c>
      <c r="L585">
        <f>ROUND(HEX2DEC(_0811_173439[[#This Row],[58F0]])*E$4/E$5+E$6,0)</f>
        <v>70</v>
      </c>
      <c r="M585">
        <f>ROUND(HEX2DEC(_0811_173439[[#This Row],[5805]])*F$4/F$5+F$6,0)</f>
        <v>42</v>
      </c>
      <c r="N585">
        <f>ROUND(HEX2DEC(_0811_173439[[#This Row],[58DD]])*G$4/G$5+G$6,2)</f>
        <v>-0.03</v>
      </c>
      <c r="P585">
        <v>800</v>
      </c>
      <c r="Q585">
        <v>36</v>
      </c>
      <c r="R585">
        <v>30</v>
      </c>
      <c r="S585">
        <v>70</v>
      </c>
      <c r="T585">
        <v>42</v>
      </c>
      <c r="U585">
        <v>-0.03</v>
      </c>
      <c r="W585">
        <f>DataLog_T717420_Aug11_4_59_37pm[[#This Row],[RPM '[1/MIN']]]-Table3[[#This Row],[580C]]</f>
        <v>0</v>
      </c>
      <c r="X585">
        <f>DataLog_T717420_Aug11_4_59_37pm[[#This Row],[OIL TEMP '[Â°C']]]-Table3[[#This Row],[4402]]</f>
        <v>0</v>
      </c>
      <c r="Y585">
        <f>DataLog_T717420_Aug11_4_59_37pm[[#This Row],[INTAKE TEMP '[Â°C']]]-Table3[[#This Row],[580F]]</f>
        <v>0</v>
      </c>
      <c r="Z585">
        <f>DataLog_T717420_Aug11_4_59_37pm[[#This Row],[HPFP PRES. '[BAR']]]-Table3[[#This Row],[58F0]]</f>
        <v>0</v>
      </c>
      <c r="AA585">
        <f>DataLog_T717420_Aug11_4_59_37pm[[#This Row],[COOLANT TEMP '[Â°C']]]-Table3[[#This Row],[5805]]</f>
        <v>0</v>
      </c>
      <c r="AB585">
        <f>DataLog_T717420_Aug11_4_59_37pm[[#This Row],[BOOST '[BAR']]]-Table3[[#This Row],[58DD]]</f>
        <v>0</v>
      </c>
    </row>
    <row r="586" spans="2:28" x14ac:dyDescent="0.25">
      <c r="B586" s="2" t="s">
        <v>183</v>
      </c>
      <c r="C586" s="2" t="s">
        <v>30</v>
      </c>
      <c r="D586" s="2" t="s">
        <v>151</v>
      </c>
      <c r="E586" s="2" t="s">
        <v>194</v>
      </c>
      <c r="F586" s="2" t="s">
        <v>26</v>
      </c>
      <c r="G586" s="2" t="s">
        <v>98</v>
      </c>
      <c r="I586">
        <f>HEX2DEC(_0811_173439[[#This Row],[580C]])*B$4/B$5+B$6</f>
        <v>800</v>
      </c>
      <c r="J586">
        <f>HEX2DEC(_0811_173439[[#This Row],[4402]])*C$4/C$5+C$6</f>
        <v>36</v>
      </c>
      <c r="K586">
        <f>HEX2DEC(_0811_173439[[#This Row],[580F]])*D$4/D$5+D$6</f>
        <v>30</v>
      </c>
      <c r="L586">
        <f>ROUND(HEX2DEC(_0811_173439[[#This Row],[58F0]])*E$4/E$5+E$6,0)</f>
        <v>70</v>
      </c>
      <c r="M586">
        <f>ROUND(HEX2DEC(_0811_173439[[#This Row],[5805]])*F$4/F$5+F$6,0)</f>
        <v>42</v>
      </c>
      <c r="N586">
        <f>ROUND(HEX2DEC(_0811_173439[[#This Row],[58DD]])*G$4/G$5+G$6,2)</f>
        <v>-0.03</v>
      </c>
      <c r="P586">
        <v>800</v>
      </c>
      <c r="Q586">
        <v>36</v>
      </c>
      <c r="R586">
        <v>30</v>
      </c>
      <c r="S586">
        <v>70</v>
      </c>
      <c r="T586">
        <v>42</v>
      </c>
      <c r="U586">
        <v>-0.03</v>
      </c>
      <c r="W586">
        <f>DataLog_T717420_Aug11_4_59_37pm[[#This Row],[RPM '[1/MIN']]]-Table3[[#This Row],[580C]]</f>
        <v>0</v>
      </c>
      <c r="X586">
        <f>DataLog_T717420_Aug11_4_59_37pm[[#This Row],[OIL TEMP '[Â°C']]]-Table3[[#This Row],[4402]]</f>
        <v>0</v>
      </c>
      <c r="Y586">
        <f>DataLog_T717420_Aug11_4_59_37pm[[#This Row],[INTAKE TEMP '[Â°C']]]-Table3[[#This Row],[580F]]</f>
        <v>0</v>
      </c>
      <c r="Z586">
        <f>DataLog_T717420_Aug11_4_59_37pm[[#This Row],[HPFP PRES. '[BAR']]]-Table3[[#This Row],[58F0]]</f>
        <v>0</v>
      </c>
      <c r="AA586">
        <f>DataLog_T717420_Aug11_4_59_37pm[[#This Row],[COOLANT TEMP '[Â°C']]]-Table3[[#This Row],[5805]]</f>
        <v>0</v>
      </c>
      <c r="AB586">
        <f>DataLog_T717420_Aug11_4_59_37pm[[#This Row],[BOOST '[BAR']]]-Table3[[#This Row],[58DD]]</f>
        <v>0</v>
      </c>
    </row>
    <row r="587" spans="2:28" x14ac:dyDescent="0.25">
      <c r="B587" s="2" t="s">
        <v>183</v>
      </c>
      <c r="C587" s="2" t="s">
        <v>30</v>
      </c>
      <c r="D587" s="2" t="s">
        <v>151</v>
      </c>
      <c r="E587" s="2" t="s">
        <v>159</v>
      </c>
      <c r="F587" s="2" t="s">
        <v>26</v>
      </c>
      <c r="G587" s="2" t="s">
        <v>187</v>
      </c>
      <c r="I587">
        <f>HEX2DEC(_0811_173439[[#This Row],[580C]])*B$4/B$5+B$6</f>
        <v>800</v>
      </c>
      <c r="J587">
        <f>HEX2DEC(_0811_173439[[#This Row],[4402]])*C$4/C$5+C$6</f>
        <v>36</v>
      </c>
      <c r="K587">
        <f>HEX2DEC(_0811_173439[[#This Row],[580F]])*D$4/D$5+D$6</f>
        <v>30</v>
      </c>
      <c r="L587">
        <f>ROUND(HEX2DEC(_0811_173439[[#This Row],[58F0]])*E$4/E$5+E$6,0)</f>
        <v>70</v>
      </c>
      <c r="M587">
        <f>ROUND(HEX2DEC(_0811_173439[[#This Row],[5805]])*F$4/F$5+F$6,0)</f>
        <v>42</v>
      </c>
      <c r="N587">
        <f>ROUND(HEX2DEC(_0811_173439[[#This Row],[58DD]])*G$4/G$5+G$6,2)</f>
        <v>-0.03</v>
      </c>
      <c r="P587">
        <v>800</v>
      </c>
      <c r="Q587">
        <v>36</v>
      </c>
      <c r="R587">
        <v>30</v>
      </c>
      <c r="S587">
        <v>70</v>
      </c>
      <c r="T587">
        <v>42</v>
      </c>
      <c r="U587">
        <v>-0.03</v>
      </c>
      <c r="W587">
        <f>DataLog_T717420_Aug11_4_59_37pm[[#This Row],[RPM '[1/MIN']]]-Table3[[#This Row],[580C]]</f>
        <v>0</v>
      </c>
      <c r="X587">
        <f>DataLog_T717420_Aug11_4_59_37pm[[#This Row],[OIL TEMP '[Â°C']]]-Table3[[#This Row],[4402]]</f>
        <v>0</v>
      </c>
      <c r="Y587">
        <f>DataLog_T717420_Aug11_4_59_37pm[[#This Row],[INTAKE TEMP '[Â°C']]]-Table3[[#This Row],[580F]]</f>
        <v>0</v>
      </c>
      <c r="Z587">
        <f>DataLog_T717420_Aug11_4_59_37pm[[#This Row],[HPFP PRES. '[BAR']]]-Table3[[#This Row],[58F0]]</f>
        <v>0</v>
      </c>
      <c r="AA587">
        <f>DataLog_T717420_Aug11_4_59_37pm[[#This Row],[COOLANT TEMP '[Â°C']]]-Table3[[#This Row],[5805]]</f>
        <v>0</v>
      </c>
      <c r="AB587">
        <f>DataLog_T717420_Aug11_4_59_37pm[[#This Row],[BOOST '[BAR']]]-Table3[[#This Row],[58DD]]</f>
        <v>0</v>
      </c>
    </row>
    <row r="588" spans="2:28" x14ac:dyDescent="0.25">
      <c r="B588" s="2" t="s">
        <v>183</v>
      </c>
      <c r="C588" s="2" t="s">
        <v>30</v>
      </c>
      <c r="D588" s="2" t="s">
        <v>151</v>
      </c>
      <c r="E588" s="2" t="s">
        <v>127</v>
      </c>
      <c r="F588" s="2" t="s">
        <v>26</v>
      </c>
      <c r="G588" s="2" t="s">
        <v>98</v>
      </c>
      <c r="I588">
        <f>HEX2DEC(_0811_173439[[#This Row],[580C]])*B$4/B$5+B$6</f>
        <v>800</v>
      </c>
      <c r="J588">
        <f>HEX2DEC(_0811_173439[[#This Row],[4402]])*C$4/C$5+C$6</f>
        <v>36</v>
      </c>
      <c r="K588">
        <f>HEX2DEC(_0811_173439[[#This Row],[580F]])*D$4/D$5+D$6</f>
        <v>30</v>
      </c>
      <c r="L588">
        <f>ROUND(HEX2DEC(_0811_173439[[#This Row],[58F0]])*E$4/E$5+E$6,0)</f>
        <v>70</v>
      </c>
      <c r="M588">
        <f>ROUND(HEX2DEC(_0811_173439[[#This Row],[5805]])*F$4/F$5+F$6,0)</f>
        <v>42</v>
      </c>
      <c r="N588">
        <f>ROUND(HEX2DEC(_0811_173439[[#This Row],[58DD]])*G$4/G$5+G$6,2)</f>
        <v>-0.03</v>
      </c>
      <c r="P588">
        <v>800</v>
      </c>
      <c r="Q588">
        <v>36</v>
      </c>
      <c r="R588">
        <v>30</v>
      </c>
      <c r="S588">
        <v>70</v>
      </c>
      <c r="T588">
        <v>42</v>
      </c>
      <c r="U588">
        <v>-0.03</v>
      </c>
      <c r="W588">
        <f>DataLog_T717420_Aug11_4_59_37pm[[#This Row],[RPM '[1/MIN']]]-Table3[[#This Row],[580C]]</f>
        <v>0</v>
      </c>
      <c r="X588">
        <f>DataLog_T717420_Aug11_4_59_37pm[[#This Row],[OIL TEMP '[Â°C']]]-Table3[[#This Row],[4402]]</f>
        <v>0</v>
      </c>
      <c r="Y588">
        <f>DataLog_T717420_Aug11_4_59_37pm[[#This Row],[INTAKE TEMP '[Â°C']]]-Table3[[#This Row],[580F]]</f>
        <v>0</v>
      </c>
      <c r="Z588">
        <f>DataLog_T717420_Aug11_4_59_37pm[[#This Row],[HPFP PRES. '[BAR']]]-Table3[[#This Row],[58F0]]</f>
        <v>0</v>
      </c>
      <c r="AA588">
        <f>DataLog_T717420_Aug11_4_59_37pm[[#This Row],[COOLANT TEMP '[Â°C']]]-Table3[[#This Row],[5805]]</f>
        <v>0</v>
      </c>
      <c r="AB588">
        <f>DataLog_T717420_Aug11_4_59_37pm[[#This Row],[BOOST '[BAR']]]-Table3[[#This Row],[58DD]]</f>
        <v>0</v>
      </c>
    </row>
    <row r="589" spans="2:28" x14ac:dyDescent="0.25">
      <c r="B589" s="2" t="s">
        <v>189</v>
      </c>
      <c r="C589" s="2" t="s">
        <v>30</v>
      </c>
      <c r="D589" s="2" t="s">
        <v>151</v>
      </c>
      <c r="E589" s="2" t="s">
        <v>153</v>
      </c>
      <c r="F589" s="2" t="s">
        <v>26</v>
      </c>
      <c r="G589" s="2" t="s">
        <v>186</v>
      </c>
      <c r="I589">
        <f>HEX2DEC(_0811_173439[[#This Row],[580C]])*B$4/B$5+B$6</f>
        <v>760</v>
      </c>
      <c r="J589">
        <f>HEX2DEC(_0811_173439[[#This Row],[4402]])*C$4/C$5+C$6</f>
        <v>36</v>
      </c>
      <c r="K589">
        <f>HEX2DEC(_0811_173439[[#This Row],[580F]])*D$4/D$5+D$6</f>
        <v>30</v>
      </c>
      <c r="L589">
        <f>ROUND(HEX2DEC(_0811_173439[[#This Row],[58F0]])*E$4/E$5+E$6,0)</f>
        <v>70</v>
      </c>
      <c r="M589">
        <f>ROUND(HEX2DEC(_0811_173439[[#This Row],[5805]])*F$4/F$5+F$6,0)</f>
        <v>42</v>
      </c>
      <c r="N589">
        <f>ROUND(HEX2DEC(_0811_173439[[#This Row],[58DD]])*G$4/G$5+G$6,2)</f>
        <v>-0.03</v>
      </c>
      <c r="P589">
        <v>760</v>
      </c>
      <c r="Q589">
        <v>36</v>
      </c>
      <c r="R589">
        <v>30</v>
      </c>
      <c r="S589">
        <v>70</v>
      </c>
      <c r="T589">
        <v>42</v>
      </c>
      <c r="U589">
        <v>-0.03</v>
      </c>
      <c r="W589">
        <f>DataLog_T717420_Aug11_4_59_37pm[[#This Row],[RPM '[1/MIN']]]-Table3[[#This Row],[580C]]</f>
        <v>0</v>
      </c>
      <c r="X589">
        <f>DataLog_T717420_Aug11_4_59_37pm[[#This Row],[OIL TEMP '[Â°C']]]-Table3[[#This Row],[4402]]</f>
        <v>0</v>
      </c>
      <c r="Y589">
        <f>DataLog_T717420_Aug11_4_59_37pm[[#This Row],[INTAKE TEMP '[Â°C']]]-Table3[[#This Row],[580F]]</f>
        <v>0</v>
      </c>
      <c r="Z589">
        <f>DataLog_T717420_Aug11_4_59_37pm[[#This Row],[HPFP PRES. '[BAR']]]-Table3[[#This Row],[58F0]]</f>
        <v>0</v>
      </c>
      <c r="AA589">
        <f>DataLog_T717420_Aug11_4_59_37pm[[#This Row],[COOLANT TEMP '[Â°C']]]-Table3[[#This Row],[5805]]</f>
        <v>0</v>
      </c>
      <c r="AB589">
        <f>DataLog_T717420_Aug11_4_59_37pm[[#This Row],[BOOST '[BAR']]]-Table3[[#This Row],[58DD]]</f>
        <v>0</v>
      </c>
    </row>
    <row r="590" spans="2:28" x14ac:dyDescent="0.25">
      <c r="B590" s="2" t="s">
        <v>183</v>
      </c>
      <c r="C590" s="2" t="s">
        <v>30</v>
      </c>
      <c r="D590" s="2" t="s">
        <v>151</v>
      </c>
      <c r="E590" s="2" t="s">
        <v>127</v>
      </c>
      <c r="F590" s="2" t="s">
        <v>26</v>
      </c>
      <c r="G590" s="2" t="s">
        <v>98</v>
      </c>
      <c r="I590">
        <f>HEX2DEC(_0811_173439[[#This Row],[580C]])*B$4/B$5+B$6</f>
        <v>800</v>
      </c>
      <c r="J590">
        <f>HEX2DEC(_0811_173439[[#This Row],[4402]])*C$4/C$5+C$6</f>
        <v>36</v>
      </c>
      <c r="K590">
        <f>HEX2DEC(_0811_173439[[#This Row],[580F]])*D$4/D$5+D$6</f>
        <v>30</v>
      </c>
      <c r="L590">
        <f>ROUND(HEX2DEC(_0811_173439[[#This Row],[58F0]])*E$4/E$5+E$6,0)</f>
        <v>70</v>
      </c>
      <c r="M590">
        <f>ROUND(HEX2DEC(_0811_173439[[#This Row],[5805]])*F$4/F$5+F$6,0)</f>
        <v>42</v>
      </c>
      <c r="N590">
        <f>ROUND(HEX2DEC(_0811_173439[[#This Row],[58DD]])*G$4/G$5+G$6,2)</f>
        <v>-0.03</v>
      </c>
      <c r="P590">
        <v>800</v>
      </c>
      <c r="Q590">
        <v>36</v>
      </c>
      <c r="R590">
        <v>30</v>
      </c>
      <c r="S590">
        <v>70</v>
      </c>
      <c r="T590">
        <v>42</v>
      </c>
      <c r="U590">
        <v>-0.03</v>
      </c>
      <c r="W590">
        <f>DataLog_T717420_Aug11_4_59_37pm[[#This Row],[RPM '[1/MIN']]]-Table3[[#This Row],[580C]]</f>
        <v>0</v>
      </c>
      <c r="X590">
        <f>DataLog_T717420_Aug11_4_59_37pm[[#This Row],[OIL TEMP '[Â°C']]]-Table3[[#This Row],[4402]]</f>
        <v>0</v>
      </c>
      <c r="Y590">
        <f>DataLog_T717420_Aug11_4_59_37pm[[#This Row],[INTAKE TEMP '[Â°C']]]-Table3[[#This Row],[580F]]</f>
        <v>0</v>
      </c>
      <c r="Z590">
        <f>DataLog_T717420_Aug11_4_59_37pm[[#This Row],[HPFP PRES. '[BAR']]]-Table3[[#This Row],[58F0]]</f>
        <v>0</v>
      </c>
      <c r="AA590">
        <f>DataLog_T717420_Aug11_4_59_37pm[[#This Row],[COOLANT TEMP '[Â°C']]]-Table3[[#This Row],[5805]]</f>
        <v>0</v>
      </c>
      <c r="AB590">
        <f>DataLog_T717420_Aug11_4_59_37pm[[#This Row],[BOOST '[BAR']]]-Table3[[#This Row],[58DD]]</f>
        <v>0</v>
      </c>
    </row>
    <row r="591" spans="2:28" x14ac:dyDescent="0.25">
      <c r="B591" s="2" t="s">
        <v>183</v>
      </c>
      <c r="C591" s="2" t="s">
        <v>30</v>
      </c>
      <c r="D591" s="2" t="s">
        <v>151</v>
      </c>
      <c r="E591" s="2" t="s">
        <v>93</v>
      </c>
      <c r="F591" s="2" t="s">
        <v>26</v>
      </c>
      <c r="G591" s="2" t="s">
        <v>96</v>
      </c>
      <c r="I591">
        <f>HEX2DEC(_0811_173439[[#This Row],[580C]])*B$4/B$5+B$6</f>
        <v>800</v>
      </c>
      <c r="J591">
        <f>HEX2DEC(_0811_173439[[#This Row],[4402]])*C$4/C$5+C$6</f>
        <v>36</v>
      </c>
      <c r="K591">
        <f>HEX2DEC(_0811_173439[[#This Row],[580F]])*D$4/D$5+D$6</f>
        <v>30</v>
      </c>
      <c r="L591">
        <f>ROUND(HEX2DEC(_0811_173439[[#This Row],[58F0]])*E$4/E$5+E$6,0)</f>
        <v>70</v>
      </c>
      <c r="M591">
        <f>ROUND(HEX2DEC(_0811_173439[[#This Row],[5805]])*F$4/F$5+F$6,0)</f>
        <v>42</v>
      </c>
      <c r="N591">
        <f>ROUND(HEX2DEC(_0811_173439[[#This Row],[58DD]])*G$4/G$5+G$6,2)</f>
        <v>-0.03</v>
      </c>
      <c r="P591">
        <v>800</v>
      </c>
      <c r="Q591">
        <v>36</v>
      </c>
      <c r="R591">
        <v>30</v>
      </c>
      <c r="S591">
        <v>70</v>
      </c>
      <c r="T591">
        <v>42</v>
      </c>
      <c r="U591">
        <v>-0.03</v>
      </c>
      <c r="W591">
        <f>DataLog_T717420_Aug11_4_59_37pm[[#This Row],[RPM '[1/MIN']]]-Table3[[#This Row],[580C]]</f>
        <v>0</v>
      </c>
      <c r="X591">
        <f>DataLog_T717420_Aug11_4_59_37pm[[#This Row],[OIL TEMP '[Â°C']]]-Table3[[#This Row],[4402]]</f>
        <v>0</v>
      </c>
      <c r="Y591">
        <f>DataLog_T717420_Aug11_4_59_37pm[[#This Row],[INTAKE TEMP '[Â°C']]]-Table3[[#This Row],[580F]]</f>
        <v>0</v>
      </c>
      <c r="Z591">
        <f>DataLog_T717420_Aug11_4_59_37pm[[#This Row],[HPFP PRES. '[BAR']]]-Table3[[#This Row],[58F0]]</f>
        <v>0</v>
      </c>
      <c r="AA591">
        <f>DataLog_T717420_Aug11_4_59_37pm[[#This Row],[COOLANT TEMP '[Â°C']]]-Table3[[#This Row],[5805]]</f>
        <v>0</v>
      </c>
      <c r="AB591">
        <f>DataLog_T717420_Aug11_4_59_37pm[[#This Row],[BOOST '[BAR']]]-Table3[[#This Row],[58DD]]</f>
        <v>0</v>
      </c>
    </row>
    <row r="592" spans="2:28" x14ac:dyDescent="0.25">
      <c r="B592" s="2" t="s">
        <v>189</v>
      </c>
      <c r="C592" s="2" t="s">
        <v>30</v>
      </c>
      <c r="D592" s="2" t="s">
        <v>151</v>
      </c>
      <c r="E592" s="2" t="s">
        <v>165</v>
      </c>
      <c r="F592" s="2" t="s">
        <v>26</v>
      </c>
      <c r="G592" s="2" t="s">
        <v>96</v>
      </c>
      <c r="I592">
        <f>HEX2DEC(_0811_173439[[#This Row],[580C]])*B$4/B$5+B$6</f>
        <v>760</v>
      </c>
      <c r="J592">
        <f>HEX2DEC(_0811_173439[[#This Row],[4402]])*C$4/C$5+C$6</f>
        <v>36</v>
      </c>
      <c r="K592">
        <f>HEX2DEC(_0811_173439[[#This Row],[580F]])*D$4/D$5+D$6</f>
        <v>30</v>
      </c>
      <c r="L592">
        <f>ROUND(HEX2DEC(_0811_173439[[#This Row],[58F0]])*E$4/E$5+E$6,0)</f>
        <v>70</v>
      </c>
      <c r="M592">
        <f>ROUND(HEX2DEC(_0811_173439[[#This Row],[5805]])*F$4/F$5+F$6,0)</f>
        <v>42</v>
      </c>
      <c r="N592">
        <f>ROUND(HEX2DEC(_0811_173439[[#This Row],[58DD]])*G$4/G$5+G$6,2)</f>
        <v>-0.03</v>
      </c>
      <c r="P592">
        <v>760</v>
      </c>
      <c r="Q592">
        <v>36</v>
      </c>
      <c r="R592">
        <v>30</v>
      </c>
      <c r="S592">
        <v>70</v>
      </c>
      <c r="T592">
        <v>42</v>
      </c>
      <c r="U592">
        <v>-0.03</v>
      </c>
      <c r="W592">
        <f>DataLog_T717420_Aug11_4_59_37pm[[#This Row],[RPM '[1/MIN']]]-Table3[[#This Row],[580C]]</f>
        <v>0</v>
      </c>
      <c r="X592">
        <f>DataLog_T717420_Aug11_4_59_37pm[[#This Row],[OIL TEMP '[Â°C']]]-Table3[[#This Row],[4402]]</f>
        <v>0</v>
      </c>
      <c r="Y592">
        <f>DataLog_T717420_Aug11_4_59_37pm[[#This Row],[INTAKE TEMP '[Â°C']]]-Table3[[#This Row],[580F]]</f>
        <v>0</v>
      </c>
      <c r="Z592">
        <f>DataLog_T717420_Aug11_4_59_37pm[[#This Row],[HPFP PRES. '[BAR']]]-Table3[[#This Row],[58F0]]</f>
        <v>0</v>
      </c>
      <c r="AA592">
        <f>DataLog_T717420_Aug11_4_59_37pm[[#This Row],[COOLANT TEMP '[Â°C']]]-Table3[[#This Row],[5805]]</f>
        <v>0</v>
      </c>
      <c r="AB592">
        <f>DataLog_T717420_Aug11_4_59_37pm[[#This Row],[BOOST '[BAR']]]-Table3[[#This Row],[58DD]]</f>
        <v>0</v>
      </c>
    </row>
    <row r="593" spans="2:28" x14ac:dyDescent="0.25">
      <c r="B593" s="2" t="s">
        <v>183</v>
      </c>
      <c r="C593" s="2" t="s">
        <v>30</v>
      </c>
      <c r="D593" s="2" t="s">
        <v>151</v>
      </c>
      <c r="E593" s="2" t="s">
        <v>127</v>
      </c>
      <c r="F593" s="2" t="s">
        <v>26</v>
      </c>
      <c r="G593" s="2" t="s">
        <v>216</v>
      </c>
      <c r="I593">
        <f>HEX2DEC(_0811_173439[[#This Row],[580C]])*B$4/B$5+B$6</f>
        <v>800</v>
      </c>
      <c r="J593">
        <f>HEX2DEC(_0811_173439[[#This Row],[4402]])*C$4/C$5+C$6</f>
        <v>36</v>
      </c>
      <c r="K593">
        <f>HEX2DEC(_0811_173439[[#This Row],[580F]])*D$4/D$5+D$6</f>
        <v>30</v>
      </c>
      <c r="L593">
        <f>ROUND(HEX2DEC(_0811_173439[[#This Row],[58F0]])*E$4/E$5+E$6,0)</f>
        <v>70</v>
      </c>
      <c r="M593">
        <f>ROUND(HEX2DEC(_0811_173439[[#This Row],[5805]])*F$4/F$5+F$6,0)</f>
        <v>42</v>
      </c>
      <c r="N593">
        <f>ROUND(HEX2DEC(_0811_173439[[#This Row],[58DD]])*G$4/G$5+G$6,2)</f>
        <v>-0.03</v>
      </c>
      <c r="P593">
        <v>800</v>
      </c>
      <c r="Q593">
        <v>36</v>
      </c>
      <c r="R593">
        <v>30</v>
      </c>
      <c r="S593">
        <v>70</v>
      </c>
      <c r="T593">
        <v>42</v>
      </c>
      <c r="U593">
        <v>-0.03</v>
      </c>
      <c r="W593">
        <f>DataLog_T717420_Aug11_4_59_37pm[[#This Row],[RPM '[1/MIN']]]-Table3[[#This Row],[580C]]</f>
        <v>0</v>
      </c>
      <c r="X593">
        <f>DataLog_T717420_Aug11_4_59_37pm[[#This Row],[OIL TEMP '[Â°C']]]-Table3[[#This Row],[4402]]</f>
        <v>0</v>
      </c>
      <c r="Y593">
        <f>DataLog_T717420_Aug11_4_59_37pm[[#This Row],[INTAKE TEMP '[Â°C']]]-Table3[[#This Row],[580F]]</f>
        <v>0</v>
      </c>
      <c r="Z593">
        <f>DataLog_T717420_Aug11_4_59_37pm[[#This Row],[HPFP PRES. '[BAR']]]-Table3[[#This Row],[58F0]]</f>
        <v>0</v>
      </c>
      <c r="AA593">
        <f>DataLog_T717420_Aug11_4_59_37pm[[#This Row],[COOLANT TEMP '[Â°C']]]-Table3[[#This Row],[5805]]</f>
        <v>0</v>
      </c>
      <c r="AB593">
        <f>DataLog_T717420_Aug11_4_59_37pm[[#This Row],[BOOST '[BAR']]]-Table3[[#This Row],[58DD]]</f>
        <v>0</v>
      </c>
    </row>
    <row r="594" spans="2:28" x14ac:dyDescent="0.25">
      <c r="B594" s="2" t="s">
        <v>189</v>
      </c>
      <c r="C594" s="2" t="s">
        <v>30</v>
      </c>
      <c r="D594" s="2" t="s">
        <v>151</v>
      </c>
      <c r="E594" s="2" t="s">
        <v>93</v>
      </c>
      <c r="F594" s="2" t="s">
        <v>26</v>
      </c>
      <c r="G594" s="2" t="s">
        <v>96</v>
      </c>
      <c r="I594">
        <f>HEX2DEC(_0811_173439[[#This Row],[580C]])*B$4/B$5+B$6</f>
        <v>760</v>
      </c>
      <c r="J594">
        <f>HEX2DEC(_0811_173439[[#This Row],[4402]])*C$4/C$5+C$6</f>
        <v>36</v>
      </c>
      <c r="K594">
        <f>HEX2DEC(_0811_173439[[#This Row],[580F]])*D$4/D$5+D$6</f>
        <v>30</v>
      </c>
      <c r="L594">
        <f>ROUND(HEX2DEC(_0811_173439[[#This Row],[58F0]])*E$4/E$5+E$6,0)</f>
        <v>70</v>
      </c>
      <c r="M594">
        <f>ROUND(HEX2DEC(_0811_173439[[#This Row],[5805]])*F$4/F$5+F$6,0)</f>
        <v>42</v>
      </c>
      <c r="N594">
        <f>ROUND(HEX2DEC(_0811_173439[[#This Row],[58DD]])*G$4/G$5+G$6,2)</f>
        <v>-0.03</v>
      </c>
      <c r="P594">
        <v>760</v>
      </c>
      <c r="Q594">
        <v>36</v>
      </c>
      <c r="R594">
        <v>30</v>
      </c>
      <c r="S594">
        <v>70</v>
      </c>
      <c r="T594">
        <v>42</v>
      </c>
      <c r="U594">
        <v>-0.03</v>
      </c>
      <c r="W594">
        <f>DataLog_T717420_Aug11_4_59_37pm[[#This Row],[RPM '[1/MIN']]]-Table3[[#This Row],[580C]]</f>
        <v>0</v>
      </c>
      <c r="X594">
        <f>DataLog_T717420_Aug11_4_59_37pm[[#This Row],[OIL TEMP '[Â°C']]]-Table3[[#This Row],[4402]]</f>
        <v>0</v>
      </c>
      <c r="Y594">
        <f>DataLog_T717420_Aug11_4_59_37pm[[#This Row],[INTAKE TEMP '[Â°C']]]-Table3[[#This Row],[580F]]</f>
        <v>0</v>
      </c>
      <c r="Z594">
        <f>DataLog_T717420_Aug11_4_59_37pm[[#This Row],[HPFP PRES. '[BAR']]]-Table3[[#This Row],[58F0]]</f>
        <v>0</v>
      </c>
      <c r="AA594">
        <f>DataLog_T717420_Aug11_4_59_37pm[[#This Row],[COOLANT TEMP '[Â°C']]]-Table3[[#This Row],[5805]]</f>
        <v>0</v>
      </c>
      <c r="AB594">
        <f>DataLog_T717420_Aug11_4_59_37pm[[#This Row],[BOOST '[BAR']]]-Table3[[#This Row],[58DD]]</f>
        <v>0</v>
      </c>
    </row>
    <row r="595" spans="2:28" x14ac:dyDescent="0.25">
      <c r="B595" s="2" t="s">
        <v>189</v>
      </c>
      <c r="C595" s="2" t="s">
        <v>30</v>
      </c>
      <c r="D595" s="2" t="s">
        <v>151</v>
      </c>
      <c r="E595" s="2" t="s">
        <v>121</v>
      </c>
      <c r="F595" s="2" t="s">
        <v>26</v>
      </c>
      <c r="G595" s="2" t="s">
        <v>98</v>
      </c>
      <c r="I595">
        <f>HEX2DEC(_0811_173439[[#This Row],[580C]])*B$4/B$5+B$6</f>
        <v>760</v>
      </c>
      <c r="J595">
        <f>HEX2DEC(_0811_173439[[#This Row],[4402]])*C$4/C$5+C$6</f>
        <v>36</v>
      </c>
      <c r="K595">
        <f>HEX2DEC(_0811_173439[[#This Row],[580F]])*D$4/D$5+D$6</f>
        <v>30</v>
      </c>
      <c r="L595">
        <f>ROUND(HEX2DEC(_0811_173439[[#This Row],[58F0]])*E$4/E$5+E$6,0)</f>
        <v>71</v>
      </c>
      <c r="M595">
        <f>ROUND(HEX2DEC(_0811_173439[[#This Row],[5805]])*F$4/F$5+F$6,0)</f>
        <v>42</v>
      </c>
      <c r="N595">
        <f>ROUND(HEX2DEC(_0811_173439[[#This Row],[58DD]])*G$4/G$5+G$6,2)</f>
        <v>-0.03</v>
      </c>
      <c r="P595">
        <v>760</v>
      </c>
      <c r="Q595">
        <v>36</v>
      </c>
      <c r="R595">
        <v>30</v>
      </c>
      <c r="S595">
        <v>71</v>
      </c>
      <c r="T595">
        <v>42</v>
      </c>
      <c r="U595">
        <v>-0.03</v>
      </c>
      <c r="W595">
        <f>DataLog_T717420_Aug11_4_59_37pm[[#This Row],[RPM '[1/MIN']]]-Table3[[#This Row],[580C]]</f>
        <v>0</v>
      </c>
      <c r="X595">
        <f>DataLog_T717420_Aug11_4_59_37pm[[#This Row],[OIL TEMP '[Â°C']]]-Table3[[#This Row],[4402]]</f>
        <v>0</v>
      </c>
      <c r="Y595">
        <f>DataLog_T717420_Aug11_4_59_37pm[[#This Row],[INTAKE TEMP '[Â°C']]]-Table3[[#This Row],[580F]]</f>
        <v>0</v>
      </c>
      <c r="Z595">
        <f>DataLog_T717420_Aug11_4_59_37pm[[#This Row],[HPFP PRES. '[BAR']]]-Table3[[#This Row],[58F0]]</f>
        <v>0</v>
      </c>
      <c r="AA595">
        <f>DataLog_T717420_Aug11_4_59_37pm[[#This Row],[COOLANT TEMP '[Â°C']]]-Table3[[#This Row],[5805]]</f>
        <v>0</v>
      </c>
      <c r="AB595">
        <f>DataLog_T717420_Aug11_4_59_37pm[[#This Row],[BOOST '[BAR']]]-Table3[[#This Row],[58DD]]</f>
        <v>0</v>
      </c>
    </row>
    <row r="596" spans="2:28" x14ac:dyDescent="0.25">
      <c r="B596" s="2" t="s">
        <v>183</v>
      </c>
      <c r="C596" s="2" t="s">
        <v>30</v>
      </c>
      <c r="D596" s="2" t="s">
        <v>151</v>
      </c>
      <c r="E596" s="2" t="s">
        <v>141</v>
      </c>
      <c r="F596" s="2" t="s">
        <v>26</v>
      </c>
      <c r="G596" s="2" t="s">
        <v>96</v>
      </c>
      <c r="I596">
        <f>HEX2DEC(_0811_173439[[#This Row],[580C]])*B$4/B$5+B$6</f>
        <v>800</v>
      </c>
      <c r="J596">
        <f>HEX2DEC(_0811_173439[[#This Row],[4402]])*C$4/C$5+C$6</f>
        <v>36</v>
      </c>
      <c r="K596">
        <f>HEX2DEC(_0811_173439[[#This Row],[580F]])*D$4/D$5+D$6</f>
        <v>30</v>
      </c>
      <c r="L596">
        <f>ROUND(HEX2DEC(_0811_173439[[#This Row],[58F0]])*E$4/E$5+E$6,0)</f>
        <v>70</v>
      </c>
      <c r="M596">
        <f>ROUND(HEX2DEC(_0811_173439[[#This Row],[5805]])*F$4/F$5+F$6,0)</f>
        <v>42</v>
      </c>
      <c r="N596">
        <f>ROUND(HEX2DEC(_0811_173439[[#This Row],[58DD]])*G$4/G$5+G$6,2)</f>
        <v>-0.03</v>
      </c>
      <c r="P596">
        <v>800</v>
      </c>
      <c r="Q596">
        <v>36</v>
      </c>
      <c r="R596">
        <v>30</v>
      </c>
      <c r="S596">
        <v>70</v>
      </c>
      <c r="T596">
        <v>42</v>
      </c>
      <c r="U596">
        <v>-0.03</v>
      </c>
      <c r="W596">
        <f>DataLog_T717420_Aug11_4_59_37pm[[#This Row],[RPM '[1/MIN']]]-Table3[[#This Row],[580C]]</f>
        <v>0</v>
      </c>
      <c r="X596">
        <f>DataLog_T717420_Aug11_4_59_37pm[[#This Row],[OIL TEMP '[Â°C']]]-Table3[[#This Row],[4402]]</f>
        <v>0</v>
      </c>
      <c r="Y596">
        <f>DataLog_T717420_Aug11_4_59_37pm[[#This Row],[INTAKE TEMP '[Â°C']]]-Table3[[#This Row],[580F]]</f>
        <v>0</v>
      </c>
      <c r="Z596">
        <f>DataLog_T717420_Aug11_4_59_37pm[[#This Row],[HPFP PRES. '[BAR']]]-Table3[[#This Row],[58F0]]</f>
        <v>0</v>
      </c>
      <c r="AA596">
        <f>DataLog_T717420_Aug11_4_59_37pm[[#This Row],[COOLANT TEMP '[Â°C']]]-Table3[[#This Row],[5805]]</f>
        <v>0</v>
      </c>
      <c r="AB596">
        <f>DataLog_T717420_Aug11_4_59_37pm[[#This Row],[BOOST '[BAR']]]-Table3[[#This Row],[58DD]]</f>
        <v>0</v>
      </c>
    </row>
    <row r="597" spans="2:28" x14ac:dyDescent="0.25">
      <c r="B597" s="2" t="s">
        <v>183</v>
      </c>
      <c r="C597" s="2" t="s">
        <v>30</v>
      </c>
      <c r="D597" s="2" t="s">
        <v>151</v>
      </c>
      <c r="E597" s="2" t="s">
        <v>122</v>
      </c>
      <c r="F597" s="2" t="s">
        <v>26</v>
      </c>
      <c r="G597" s="2" t="s">
        <v>96</v>
      </c>
      <c r="I597">
        <f>HEX2DEC(_0811_173439[[#This Row],[580C]])*B$4/B$5+B$6</f>
        <v>800</v>
      </c>
      <c r="J597">
        <f>HEX2DEC(_0811_173439[[#This Row],[4402]])*C$4/C$5+C$6</f>
        <v>36</v>
      </c>
      <c r="K597">
        <f>HEX2DEC(_0811_173439[[#This Row],[580F]])*D$4/D$5+D$6</f>
        <v>30</v>
      </c>
      <c r="L597">
        <f>ROUND(HEX2DEC(_0811_173439[[#This Row],[58F0]])*E$4/E$5+E$6,0)</f>
        <v>71</v>
      </c>
      <c r="M597">
        <f>ROUND(HEX2DEC(_0811_173439[[#This Row],[5805]])*F$4/F$5+F$6,0)</f>
        <v>42</v>
      </c>
      <c r="N597">
        <f>ROUND(HEX2DEC(_0811_173439[[#This Row],[58DD]])*G$4/G$5+G$6,2)</f>
        <v>-0.03</v>
      </c>
      <c r="P597">
        <v>800</v>
      </c>
      <c r="Q597">
        <v>36</v>
      </c>
      <c r="R597">
        <v>30</v>
      </c>
      <c r="S597">
        <v>71</v>
      </c>
      <c r="T597">
        <v>42</v>
      </c>
      <c r="U597">
        <v>-0.03</v>
      </c>
      <c r="W597">
        <f>DataLog_T717420_Aug11_4_59_37pm[[#This Row],[RPM '[1/MIN']]]-Table3[[#This Row],[580C]]</f>
        <v>0</v>
      </c>
      <c r="X597">
        <f>DataLog_T717420_Aug11_4_59_37pm[[#This Row],[OIL TEMP '[Â°C']]]-Table3[[#This Row],[4402]]</f>
        <v>0</v>
      </c>
      <c r="Y597">
        <f>DataLog_T717420_Aug11_4_59_37pm[[#This Row],[INTAKE TEMP '[Â°C']]]-Table3[[#This Row],[580F]]</f>
        <v>0</v>
      </c>
      <c r="Z597">
        <f>DataLog_T717420_Aug11_4_59_37pm[[#This Row],[HPFP PRES. '[BAR']]]-Table3[[#This Row],[58F0]]</f>
        <v>0</v>
      </c>
      <c r="AA597">
        <f>DataLog_T717420_Aug11_4_59_37pm[[#This Row],[COOLANT TEMP '[Â°C']]]-Table3[[#This Row],[5805]]</f>
        <v>0</v>
      </c>
      <c r="AB597">
        <f>DataLog_T717420_Aug11_4_59_37pm[[#This Row],[BOOST '[BAR']]]-Table3[[#This Row],[58DD]]</f>
        <v>0</v>
      </c>
    </row>
    <row r="598" spans="2:28" x14ac:dyDescent="0.25">
      <c r="B598" s="2" t="s">
        <v>189</v>
      </c>
      <c r="C598" s="2" t="s">
        <v>30</v>
      </c>
      <c r="D598" s="2" t="s">
        <v>151</v>
      </c>
      <c r="E598" s="2" t="s">
        <v>118</v>
      </c>
      <c r="F598" s="2" t="s">
        <v>26</v>
      </c>
      <c r="G598" s="2" t="s">
        <v>53</v>
      </c>
      <c r="I598">
        <f>HEX2DEC(_0811_173439[[#This Row],[580C]])*B$4/B$5+B$6</f>
        <v>760</v>
      </c>
      <c r="J598">
        <f>HEX2DEC(_0811_173439[[#This Row],[4402]])*C$4/C$5+C$6</f>
        <v>36</v>
      </c>
      <c r="K598">
        <f>HEX2DEC(_0811_173439[[#This Row],[580F]])*D$4/D$5+D$6</f>
        <v>30</v>
      </c>
      <c r="L598">
        <f>ROUND(HEX2DEC(_0811_173439[[#This Row],[58F0]])*E$4/E$5+E$6,0)</f>
        <v>70</v>
      </c>
      <c r="M598">
        <f>ROUND(HEX2DEC(_0811_173439[[#This Row],[5805]])*F$4/F$5+F$6,0)</f>
        <v>42</v>
      </c>
      <c r="N598">
        <f>ROUND(HEX2DEC(_0811_173439[[#This Row],[58DD]])*G$4/G$5+G$6,2)</f>
        <v>-0.03</v>
      </c>
      <c r="P598">
        <v>760</v>
      </c>
      <c r="Q598">
        <v>36</v>
      </c>
      <c r="R598">
        <v>30</v>
      </c>
      <c r="S598">
        <v>70</v>
      </c>
      <c r="T598">
        <v>42</v>
      </c>
      <c r="U598">
        <v>-0.03</v>
      </c>
      <c r="W598">
        <f>DataLog_T717420_Aug11_4_59_37pm[[#This Row],[RPM '[1/MIN']]]-Table3[[#This Row],[580C]]</f>
        <v>0</v>
      </c>
      <c r="X598">
        <f>DataLog_T717420_Aug11_4_59_37pm[[#This Row],[OIL TEMP '[Â°C']]]-Table3[[#This Row],[4402]]</f>
        <v>0</v>
      </c>
      <c r="Y598">
        <f>DataLog_T717420_Aug11_4_59_37pm[[#This Row],[INTAKE TEMP '[Â°C']]]-Table3[[#This Row],[580F]]</f>
        <v>0</v>
      </c>
      <c r="Z598">
        <f>DataLog_T717420_Aug11_4_59_37pm[[#This Row],[HPFP PRES. '[BAR']]]-Table3[[#This Row],[58F0]]</f>
        <v>0</v>
      </c>
      <c r="AA598">
        <f>DataLog_T717420_Aug11_4_59_37pm[[#This Row],[COOLANT TEMP '[Â°C']]]-Table3[[#This Row],[5805]]</f>
        <v>0</v>
      </c>
      <c r="AB598">
        <f>DataLog_T717420_Aug11_4_59_37pm[[#This Row],[BOOST '[BAR']]]-Table3[[#This Row],[58DD]]</f>
        <v>0</v>
      </c>
    </row>
    <row r="599" spans="2:28" x14ac:dyDescent="0.25">
      <c r="B599" s="2" t="s">
        <v>189</v>
      </c>
      <c r="C599" s="2" t="s">
        <v>30</v>
      </c>
      <c r="D599" s="2" t="s">
        <v>151</v>
      </c>
      <c r="E599" s="2" t="s">
        <v>93</v>
      </c>
      <c r="F599" s="2" t="s">
        <v>26</v>
      </c>
      <c r="G599" s="2" t="s">
        <v>53</v>
      </c>
      <c r="I599">
        <f>HEX2DEC(_0811_173439[[#This Row],[580C]])*B$4/B$5+B$6</f>
        <v>760</v>
      </c>
      <c r="J599">
        <f>HEX2DEC(_0811_173439[[#This Row],[4402]])*C$4/C$5+C$6</f>
        <v>36</v>
      </c>
      <c r="K599">
        <f>HEX2DEC(_0811_173439[[#This Row],[580F]])*D$4/D$5+D$6</f>
        <v>30</v>
      </c>
      <c r="L599">
        <f>ROUND(HEX2DEC(_0811_173439[[#This Row],[58F0]])*E$4/E$5+E$6,0)</f>
        <v>70</v>
      </c>
      <c r="M599">
        <f>ROUND(HEX2DEC(_0811_173439[[#This Row],[5805]])*F$4/F$5+F$6,0)</f>
        <v>42</v>
      </c>
      <c r="N599">
        <f>ROUND(HEX2DEC(_0811_173439[[#This Row],[58DD]])*G$4/G$5+G$6,2)</f>
        <v>-0.03</v>
      </c>
      <c r="P599">
        <v>760</v>
      </c>
      <c r="Q599">
        <v>36</v>
      </c>
      <c r="R599">
        <v>30</v>
      </c>
      <c r="S599">
        <v>70</v>
      </c>
      <c r="T599">
        <v>42</v>
      </c>
      <c r="U599">
        <v>-0.03</v>
      </c>
      <c r="W599">
        <f>DataLog_T717420_Aug11_4_59_37pm[[#This Row],[RPM '[1/MIN']]]-Table3[[#This Row],[580C]]</f>
        <v>0</v>
      </c>
      <c r="X599">
        <f>DataLog_T717420_Aug11_4_59_37pm[[#This Row],[OIL TEMP '[Â°C']]]-Table3[[#This Row],[4402]]</f>
        <v>0</v>
      </c>
      <c r="Y599">
        <f>DataLog_T717420_Aug11_4_59_37pm[[#This Row],[INTAKE TEMP '[Â°C']]]-Table3[[#This Row],[580F]]</f>
        <v>0</v>
      </c>
      <c r="Z599">
        <f>DataLog_T717420_Aug11_4_59_37pm[[#This Row],[HPFP PRES. '[BAR']]]-Table3[[#This Row],[58F0]]</f>
        <v>0</v>
      </c>
      <c r="AA599">
        <f>DataLog_T717420_Aug11_4_59_37pm[[#This Row],[COOLANT TEMP '[Â°C']]]-Table3[[#This Row],[5805]]</f>
        <v>0</v>
      </c>
      <c r="AB599">
        <f>DataLog_T717420_Aug11_4_59_37pm[[#This Row],[BOOST '[BAR']]]-Table3[[#This Row],[58DD]]</f>
        <v>0</v>
      </c>
    </row>
    <row r="600" spans="2:28" x14ac:dyDescent="0.25">
      <c r="B600" s="2" t="s">
        <v>189</v>
      </c>
      <c r="C600" s="2" t="s">
        <v>30</v>
      </c>
      <c r="D600" s="2" t="s">
        <v>151</v>
      </c>
      <c r="E600" s="2" t="s">
        <v>140</v>
      </c>
      <c r="F600" s="2" t="s">
        <v>26</v>
      </c>
      <c r="G600" s="2" t="s">
        <v>191</v>
      </c>
      <c r="I600">
        <f>HEX2DEC(_0811_173439[[#This Row],[580C]])*B$4/B$5+B$6</f>
        <v>760</v>
      </c>
      <c r="J600">
        <f>HEX2DEC(_0811_173439[[#This Row],[4402]])*C$4/C$5+C$6</f>
        <v>36</v>
      </c>
      <c r="K600">
        <f>HEX2DEC(_0811_173439[[#This Row],[580F]])*D$4/D$5+D$6</f>
        <v>30</v>
      </c>
      <c r="L600">
        <f>ROUND(HEX2DEC(_0811_173439[[#This Row],[58F0]])*E$4/E$5+E$6,0)</f>
        <v>71</v>
      </c>
      <c r="M600">
        <f>ROUND(HEX2DEC(_0811_173439[[#This Row],[5805]])*F$4/F$5+F$6,0)</f>
        <v>42</v>
      </c>
      <c r="N600">
        <f>ROUND(HEX2DEC(_0811_173439[[#This Row],[58DD]])*G$4/G$5+G$6,2)</f>
        <v>-0.03</v>
      </c>
      <c r="P600">
        <v>760</v>
      </c>
      <c r="Q600">
        <v>36</v>
      </c>
      <c r="R600">
        <v>30</v>
      </c>
      <c r="S600">
        <v>71</v>
      </c>
      <c r="T600">
        <v>42</v>
      </c>
      <c r="U600">
        <v>-0.03</v>
      </c>
      <c r="W600">
        <f>DataLog_T717420_Aug11_4_59_37pm[[#This Row],[RPM '[1/MIN']]]-Table3[[#This Row],[580C]]</f>
        <v>0</v>
      </c>
      <c r="X600">
        <f>DataLog_T717420_Aug11_4_59_37pm[[#This Row],[OIL TEMP '[Â°C']]]-Table3[[#This Row],[4402]]</f>
        <v>0</v>
      </c>
      <c r="Y600">
        <f>DataLog_T717420_Aug11_4_59_37pm[[#This Row],[INTAKE TEMP '[Â°C']]]-Table3[[#This Row],[580F]]</f>
        <v>0</v>
      </c>
      <c r="Z600">
        <f>DataLog_T717420_Aug11_4_59_37pm[[#This Row],[HPFP PRES. '[BAR']]]-Table3[[#This Row],[58F0]]</f>
        <v>0</v>
      </c>
      <c r="AA600">
        <f>DataLog_T717420_Aug11_4_59_37pm[[#This Row],[COOLANT TEMP '[Â°C']]]-Table3[[#This Row],[5805]]</f>
        <v>0</v>
      </c>
      <c r="AB600">
        <f>DataLog_T717420_Aug11_4_59_37pm[[#This Row],[BOOST '[BAR']]]-Table3[[#This Row],[58DD]]</f>
        <v>0</v>
      </c>
    </row>
    <row r="601" spans="2:28" x14ac:dyDescent="0.25">
      <c r="B601" s="2" t="s">
        <v>189</v>
      </c>
      <c r="C601" s="2" t="s">
        <v>30</v>
      </c>
      <c r="D601" s="2" t="s">
        <v>151</v>
      </c>
      <c r="E601" s="2" t="s">
        <v>206</v>
      </c>
      <c r="F601" s="2" t="s">
        <v>26</v>
      </c>
      <c r="G601" s="2" t="s">
        <v>213</v>
      </c>
      <c r="I601">
        <f>HEX2DEC(_0811_173439[[#This Row],[580C]])*B$4/B$5+B$6</f>
        <v>760</v>
      </c>
      <c r="J601">
        <f>HEX2DEC(_0811_173439[[#This Row],[4402]])*C$4/C$5+C$6</f>
        <v>36</v>
      </c>
      <c r="K601">
        <f>HEX2DEC(_0811_173439[[#This Row],[580F]])*D$4/D$5+D$6</f>
        <v>30</v>
      </c>
      <c r="L601">
        <f>ROUND(HEX2DEC(_0811_173439[[#This Row],[58F0]])*E$4/E$5+E$6,0)</f>
        <v>71</v>
      </c>
      <c r="M601">
        <f>ROUND(HEX2DEC(_0811_173439[[#This Row],[5805]])*F$4/F$5+F$6,0)</f>
        <v>42</v>
      </c>
      <c r="N601">
        <f>ROUND(HEX2DEC(_0811_173439[[#This Row],[58DD]])*G$4/G$5+G$6,2)</f>
        <v>-0.03</v>
      </c>
      <c r="P601">
        <v>760</v>
      </c>
      <c r="Q601">
        <v>36</v>
      </c>
      <c r="R601">
        <v>30</v>
      </c>
      <c r="S601">
        <v>71</v>
      </c>
      <c r="T601">
        <v>42</v>
      </c>
      <c r="U601">
        <v>-0.03</v>
      </c>
      <c r="W601">
        <f>DataLog_T717420_Aug11_4_59_37pm[[#This Row],[RPM '[1/MIN']]]-Table3[[#This Row],[580C]]</f>
        <v>0</v>
      </c>
      <c r="X601">
        <f>DataLog_T717420_Aug11_4_59_37pm[[#This Row],[OIL TEMP '[Â°C']]]-Table3[[#This Row],[4402]]</f>
        <v>0</v>
      </c>
      <c r="Y601">
        <f>DataLog_T717420_Aug11_4_59_37pm[[#This Row],[INTAKE TEMP '[Â°C']]]-Table3[[#This Row],[580F]]</f>
        <v>0</v>
      </c>
      <c r="Z601">
        <f>DataLog_T717420_Aug11_4_59_37pm[[#This Row],[HPFP PRES. '[BAR']]]-Table3[[#This Row],[58F0]]</f>
        <v>0</v>
      </c>
      <c r="AA601">
        <f>DataLog_T717420_Aug11_4_59_37pm[[#This Row],[COOLANT TEMP '[Â°C']]]-Table3[[#This Row],[5805]]</f>
        <v>0</v>
      </c>
      <c r="AB601">
        <f>DataLog_T717420_Aug11_4_59_37pm[[#This Row],[BOOST '[BAR']]]-Table3[[#This Row],[58DD]]</f>
        <v>0</v>
      </c>
    </row>
    <row r="602" spans="2:28" x14ac:dyDescent="0.25">
      <c r="B602" s="2" t="s">
        <v>189</v>
      </c>
      <c r="C602" s="2" t="s">
        <v>30</v>
      </c>
      <c r="D602" s="2" t="s">
        <v>151</v>
      </c>
      <c r="E602" s="2" t="s">
        <v>122</v>
      </c>
      <c r="F602" s="2" t="s">
        <v>26</v>
      </c>
      <c r="G602" s="2" t="s">
        <v>191</v>
      </c>
      <c r="I602">
        <f>HEX2DEC(_0811_173439[[#This Row],[580C]])*B$4/B$5+B$6</f>
        <v>760</v>
      </c>
      <c r="J602">
        <f>HEX2DEC(_0811_173439[[#This Row],[4402]])*C$4/C$5+C$6</f>
        <v>36</v>
      </c>
      <c r="K602">
        <f>HEX2DEC(_0811_173439[[#This Row],[580F]])*D$4/D$5+D$6</f>
        <v>30</v>
      </c>
      <c r="L602">
        <f>ROUND(HEX2DEC(_0811_173439[[#This Row],[58F0]])*E$4/E$5+E$6,0)</f>
        <v>71</v>
      </c>
      <c r="M602">
        <f>ROUND(HEX2DEC(_0811_173439[[#This Row],[5805]])*F$4/F$5+F$6,0)</f>
        <v>42</v>
      </c>
      <c r="N602">
        <f>ROUND(HEX2DEC(_0811_173439[[#This Row],[58DD]])*G$4/G$5+G$6,2)</f>
        <v>-0.03</v>
      </c>
      <c r="P602">
        <v>760</v>
      </c>
      <c r="Q602">
        <v>36</v>
      </c>
      <c r="R602">
        <v>30</v>
      </c>
      <c r="S602">
        <v>71</v>
      </c>
      <c r="T602">
        <v>42</v>
      </c>
      <c r="U602">
        <v>-0.03</v>
      </c>
      <c r="W602">
        <f>DataLog_T717420_Aug11_4_59_37pm[[#This Row],[RPM '[1/MIN']]]-Table3[[#This Row],[580C]]</f>
        <v>0</v>
      </c>
      <c r="X602">
        <f>DataLog_T717420_Aug11_4_59_37pm[[#This Row],[OIL TEMP '[Â°C']]]-Table3[[#This Row],[4402]]</f>
        <v>0</v>
      </c>
      <c r="Y602">
        <f>DataLog_T717420_Aug11_4_59_37pm[[#This Row],[INTAKE TEMP '[Â°C']]]-Table3[[#This Row],[580F]]</f>
        <v>0</v>
      </c>
      <c r="Z602">
        <f>DataLog_T717420_Aug11_4_59_37pm[[#This Row],[HPFP PRES. '[BAR']]]-Table3[[#This Row],[58F0]]</f>
        <v>0</v>
      </c>
      <c r="AA602">
        <f>DataLog_T717420_Aug11_4_59_37pm[[#This Row],[COOLANT TEMP '[Â°C']]]-Table3[[#This Row],[5805]]</f>
        <v>0</v>
      </c>
      <c r="AB602">
        <f>DataLog_T717420_Aug11_4_59_37pm[[#This Row],[BOOST '[BAR']]]-Table3[[#This Row],[58DD]]</f>
        <v>0</v>
      </c>
    </row>
    <row r="603" spans="2:28" x14ac:dyDescent="0.25">
      <c r="B603" s="2" t="s">
        <v>189</v>
      </c>
      <c r="C603" s="2" t="s">
        <v>30</v>
      </c>
      <c r="D603" s="2" t="s">
        <v>151</v>
      </c>
      <c r="E603" s="2" t="s">
        <v>124</v>
      </c>
      <c r="F603" s="2" t="s">
        <v>26</v>
      </c>
      <c r="G603" s="2" t="s">
        <v>213</v>
      </c>
      <c r="I603">
        <f>HEX2DEC(_0811_173439[[#This Row],[580C]])*B$4/B$5+B$6</f>
        <v>760</v>
      </c>
      <c r="J603">
        <f>HEX2DEC(_0811_173439[[#This Row],[4402]])*C$4/C$5+C$6</f>
        <v>36</v>
      </c>
      <c r="K603">
        <f>HEX2DEC(_0811_173439[[#This Row],[580F]])*D$4/D$5+D$6</f>
        <v>30</v>
      </c>
      <c r="L603">
        <f>ROUND(HEX2DEC(_0811_173439[[#This Row],[58F0]])*E$4/E$5+E$6,0)</f>
        <v>71</v>
      </c>
      <c r="M603">
        <f>ROUND(HEX2DEC(_0811_173439[[#This Row],[5805]])*F$4/F$5+F$6,0)</f>
        <v>42</v>
      </c>
      <c r="N603">
        <f>ROUND(HEX2DEC(_0811_173439[[#This Row],[58DD]])*G$4/G$5+G$6,2)</f>
        <v>-0.03</v>
      </c>
      <c r="P603">
        <v>760</v>
      </c>
      <c r="Q603">
        <v>36</v>
      </c>
      <c r="R603">
        <v>30</v>
      </c>
      <c r="S603">
        <v>71</v>
      </c>
      <c r="T603">
        <v>42</v>
      </c>
      <c r="U603">
        <v>-0.03</v>
      </c>
      <c r="W603">
        <f>DataLog_T717420_Aug11_4_59_37pm[[#This Row],[RPM '[1/MIN']]]-Table3[[#This Row],[580C]]</f>
        <v>0</v>
      </c>
      <c r="X603">
        <f>DataLog_T717420_Aug11_4_59_37pm[[#This Row],[OIL TEMP '[Â°C']]]-Table3[[#This Row],[4402]]</f>
        <v>0</v>
      </c>
      <c r="Y603">
        <f>DataLog_T717420_Aug11_4_59_37pm[[#This Row],[INTAKE TEMP '[Â°C']]]-Table3[[#This Row],[580F]]</f>
        <v>0</v>
      </c>
      <c r="Z603">
        <f>DataLog_T717420_Aug11_4_59_37pm[[#This Row],[HPFP PRES. '[BAR']]]-Table3[[#This Row],[58F0]]</f>
        <v>0</v>
      </c>
      <c r="AA603">
        <f>DataLog_T717420_Aug11_4_59_37pm[[#This Row],[COOLANT TEMP '[Â°C']]]-Table3[[#This Row],[5805]]</f>
        <v>0</v>
      </c>
      <c r="AB603">
        <f>DataLog_T717420_Aug11_4_59_37pm[[#This Row],[BOOST '[BAR']]]-Table3[[#This Row],[58DD]]</f>
        <v>0</v>
      </c>
    </row>
    <row r="604" spans="2:28" x14ac:dyDescent="0.25">
      <c r="B604" s="2" t="s">
        <v>189</v>
      </c>
      <c r="C604" s="2" t="s">
        <v>30</v>
      </c>
      <c r="D604" s="2" t="s">
        <v>151</v>
      </c>
      <c r="E604" s="2" t="s">
        <v>218</v>
      </c>
      <c r="F604" s="2" t="s">
        <v>26</v>
      </c>
      <c r="G604" s="2" t="s">
        <v>190</v>
      </c>
      <c r="I604">
        <f>HEX2DEC(_0811_173439[[#This Row],[580C]])*B$4/B$5+B$6</f>
        <v>760</v>
      </c>
      <c r="J604">
        <f>HEX2DEC(_0811_173439[[#This Row],[4402]])*C$4/C$5+C$6</f>
        <v>36</v>
      </c>
      <c r="K604">
        <f>HEX2DEC(_0811_173439[[#This Row],[580F]])*D$4/D$5+D$6</f>
        <v>30</v>
      </c>
      <c r="L604">
        <f>ROUND(HEX2DEC(_0811_173439[[#This Row],[58F0]])*E$4/E$5+E$6,0)</f>
        <v>71</v>
      </c>
      <c r="M604">
        <f>ROUND(HEX2DEC(_0811_173439[[#This Row],[5805]])*F$4/F$5+F$6,0)</f>
        <v>42</v>
      </c>
      <c r="N604">
        <f>ROUND(HEX2DEC(_0811_173439[[#This Row],[58DD]])*G$4/G$5+G$6,2)</f>
        <v>-0.03</v>
      </c>
      <c r="P604">
        <v>760</v>
      </c>
      <c r="Q604">
        <v>36</v>
      </c>
      <c r="R604">
        <v>30</v>
      </c>
      <c r="S604">
        <v>71</v>
      </c>
      <c r="T604">
        <v>42</v>
      </c>
      <c r="U604">
        <v>-0.03</v>
      </c>
      <c r="W604">
        <f>DataLog_T717420_Aug11_4_59_37pm[[#This Row],[RPM '[1/MIN']]]-Table3[[#This Row],[580C]]</f>
        <v>0</v>
      </c>
      <c r="X604">
        <f>DataLog_T717420_Aug11_4_59_37pm[[#This Row],[OIL TEMP '[Â°C']]]-Table3[[#This Row],[4402]]</f>
        <v>0</v>
      </c>
      <c r="Y604">
        <f>DataLog_T717420_Aug11_4_59_37pm[[#This Row],[INTAKE TEMP '[Â°C']]]-Table3[[#This Row],[580F]]</f>
        <v>0</v>
      </c>
      <c r="Z604">
        <f>DataLog_T717420_Aug11_4_59_37pm[[#This Row],[HPFP PRES. '[BAR']]]-Table3[[#This Row],[58F0]]</f>
        <v>0</v>
      </c>
      <c r="AA604">
        <f>DataLog_T717420_Aug11_4_59_37pm[[#This Row],[COOLANT TEMP '[Â°C']]]-Table3[[#This Row],[5805]]</f>
        <v>0</v>
      </c>
      <c r="AB604">
        <f>DataLog_T717420_Aug11_4_59_37pm[[#This Row],[BOOST '[BAR']]]-Table3[[#This Row],[58DD]]</f>
        <v>0</v>
      </c>
    </row>
    <row r="605" spans="2:28" x14ac:dyDescent="0.25">
      <c r="B605" s="2" t="s">
        <v>189</v>
      </c>
      <c r="C605" s="2" t="s">
        <v>30</v>
      </c>
      <c r="D605" s="2" t="s">
        <v>151</v>
      </c>
      <c r="E605" s="2" t="s">
        <v>122</v>
      </c>
      <c r="F605" s="2" t="s">
        <v>26</v>
      </c>
      <c r="G605" s="2" t="s">
        <v>96</v>
      </c>
      <c r="I605">
        <f>HEX2DEC(_0811_173439[[#This Row],[580C]])*B$4/B$5+B$6</f>
        <v>760</v>
      </c>
      <c r="J605">
        <f>HEX2DEC(_0811_173439[[#This Row],[4402]])*C$4/C$5+C$6</f>
        <v>36</v>
      </c>
      <c r="K605">
        <f>HEX2DEC(_0811_173439[[#This Row],[580F]])*D$4/D$5+D$6</f>
        <v>30</v>
      </c>
      <c r="L605">
        <f>ROUND(HEX2DEC(_0811_173439[[#This Row],[58F0]])*E$4/E$5+E$6,0)</f>
        <v>71</v>
      </c>
      <c r="M605">
        <f>ROUND(HEX2DEC(_0811_173439[[#This Row],[5805]])*F$4/F$5+F$6,0)</f>
        <v>42</v>
      </c>
      <c r="N605">
        <f>ROUND(HEX2DEC(_0811_173439[[#This Row],[58DD]])*G$4/G$5+G$6,2)</f>
        <v>-0.03</v>
      </c>
      <c r="P605">
        <v>760</v>
      </c>
      <c r="Q605">
        <v>36</v>
      </c>
      <c r="R605">
        <v>30</v>
      </c>
      <c r="S605">
        <v>71</v>
      </c>
      <c r="T605">
        <v>42</v>
      </c>
      <c r="U605">
        <v>-0.03</v>
      </c>
      <c r="W605">
        <f>DataLog_T717420_Aug11_4_59_37pm[[#This Row],[RPM '[1/MIN']]]-Table3[[#This Row],[580C]]</f>
        <v>0</v>
      </c>
      <c r="X605">
        <f>DataLog_T717420_Aug11_4_59_37pm[[#This Row],[OIL TEMP '[Â°C']]]-Table3[[#This Row],[4402]]</f>
        <v>0</v>
      </c>
      <c r="Y605">
        <f>DataLog_T717420_Aug11_4_59_37pm[[#This Row],[INTAKE TEMP '[Â°C']]]-Table3[[#This Row],[580F]]</f>
        <v>0</v>
      </c>
      <c r="Z605">
        <f>DataLog_T717420_Aug11_4_59_37pm[[#This Row],[HPFP PRES. '[BAR']]]-Table3[[#This Row],[58F0]]</f>
        <v>0</v>
      </c>
      <c r="AA605">
        <f>DataLog_T717420_Aug11_4_59_37pm[[#This Row],[COOLANT TEMP '[Â°C']]]-Table3[[#This Row],[5805]]</f>
        <v>0</v>
      </c>
      <c r="AB605">
        <f>DataLog_T717420_Aug11_4_59_37pm[[#This Row],[BOOST '[BAR']]]-Table3[[#This Row],[58DD]]</f>
        <v>0</v>
      </c>
    </row>
    <row r="606" spans="2:28" x14ac:dyDescent="0.25">
      <c r="B606" s="2" t="s">
        <v>183</v>
      </c>
      <c r="C606" s="2" t="s">
        <v>30</v>
      </c>
      <c r="D606" s="2" t="s">
        <v>151</v>
      </c>
      <c r="E606" s="2" t="s">
        <v>124</v>
      </c>
      <c r="F606" s="2" t="s">
        <v>26</v>
      </c>
      <c r="G606" s="2" t="s">
        <v>190</v>
      </c>
      <c r="I606">
        <f>HEX2DEC(_0811_173439[[#This Row],[580C]])*B$4/B$5+B$6</f>
        <v>800</v>
      </c>
      <c r="J606">
        <f>HEX2DEC(_0811_173439[[#This Row],[4402]])*C$4/C$5+C$6</f>
        <v>36</v>
      </c>
      <c r="K606">
        <f>HEX2DEC(_0811_173439[[#This Row],[580F]])*D$4/D$5+D$6</f>
        <v>30</v>
      </c>
      <c r="L606">
        <f>ROUND(HEX2DEC(_0811_173439[[#This Row],[58F0]])*E$4/E$5+E$6,0)</f>
        <v>71</v>
      </c>
      <c r="M606">
        <f>ROUND(HEX2DEC(_0811_173439[[#This Row],[5805]])*F$4/F$5+F$6,0)</f>
        <v>42</v>
      </c>
      <c r="N606">
        <f>ROUND(HEX2DEC(_0811_173439[[#This Row],[58DD]])*G$4/G$5+G$6,2)</f>
        <v>-0.03</v>
      </c>
      <c r="P606">
        <v>800</v>
      </c>
      <c r="Q606">
        <v>36</v>
      </c>
      <c r="R606">
        <v>30</v>
      </c>
      <c r="S606">
        <v>71</v>
      </c>
      <c r="T606">
        <v>42</v>
      </c>
      <c r="U606">
        <v>-0.03</v>
      </c>
      <c r="W606">
        <f>DataLog_T717420_Aug11_4_59_37pm[[#This Row],[RPM '[1/MIN']]]-Table3[[#This Row],[580C]]</f>
        <v>0</v>
      </c>
      <c r="X606">
        <f>DataLog_T717420_Aug11_4_59_37pm[[#This Row],[OIL TEMP '[Â°C']]]-Table3[[#This Row],[4402]]</f>
        <v>0</v>
      </c>
      <c r="Y606">
        <f>DataLog_T717420_Aug11_4_59_37pm[[#This Row],[INTAKE TEMP '[Â°C']]]-Table3[[#This Row],[580F]]</f>
        <v>0</v>
      </c>
      <c r="Z606">
        <f>DataLog_T717420_Aug11_4_59_37pm[[#This Row],[HPFP PRES. '[BAR']]]-Table3[[#This Row],[58F0]]</f>
        <v>0</v>
      </c>
      <c r="AA606">
        <f>DataLog_T717420_Aug11_4_59_37pm[[#This Row],[COOLANT TEMP '[Â°C']]]-Table3[[#This Row],[5805]]</f>
        <v>0</v>
      </c>
      <c r="AB606">
        <f>DataLog_T717420_Aug11_4_59_37pm[[#This Row],[BOOST '[BAR']]]-Table3[[#This Row],[58DD]]</f>
        <v>0</v>
      </c>
    </row>
    <row r="607" spans="2:28" x14ac:dyDescent="0.25">
      <c r="B607" s="2" t="s">
        <v>189</v>
      </c>
      <c r="C607" s="2" t="s">
        <v>30</v>
      </c>
      <c r="D607" s="2" t="s">
        <v>151</v>
      </c>
      <c r="E607" s="2" t="s">
        <v>167</v>
      </c>
      <c r="F607" s="2" t="s">
        <v>26</v>
      </c>
      <c r="G607" s="2" t="s">
        <v>190</v>
      </c>
      <c r="I607">
        <f>HEX2DEC(_0811_173439[[#This Row],[580C]])*B$4/B$5+B$6</f>
        <v>760</v>
      </c>
      <c r="J607">
        <f>HEX2DEC(_0811_173439[[#This Row],[4402]])*C$4/C$5+C$6</f>
        <v>36</v>
      </c>
      <c r="K607">
        <f>HEX2DEC(_0811_173439[[#This Row],[580F]])*D$4/D$5+D$6</f>
        <v>30</v>
      </c>
      <c r="L607">
        <f>ROUND(HEX2DEC(_0811_173439[[#This Row],[58F0]])*E$4/E$5+E$6,0)</f>
        <v>71</v>
      </c>
      <c r="M607">
        <f>ROUND(HEX2DEC(_0811_173439[[#This Row],[5805]])*F$4/F$5+F$6,0)</f>
        <v>42</v>
      </c>
      <c r="N607">
        <f>ROUND(HEX2DEC(_0811_173439[[#This Row],[58DD]])*G$4/G$5+G$6,2)</f>
        <v>-0.03</v>
      </c>
      <c r="P607">
        <v>760</v>
      </c>
      <c r="Q607">
        <v>36</v>
      </c>
      <c r="R607">
        <v>30</v>
      </c>
      <c r="S607">
        <v>71</v>
      </c>
      <c r="T607">
        <v>42</v>
      </c>
      <c r="U607">
        <v>-0.03</v>
      </c>
      <c r="W607">
        <f>DataLog_T717420_Aug11_4_59_37pm[[#This Row],[RPM '[1/MIN']]]-Table3[[#This Row],[580C]]</f>
        <v>0</v>
      </c>
      <c r="X607">
        <f>DataLog_T717420_Aug11_4_59_37pm[[#This Row],[OIL TEMP '[Â°C']]]-Table3[[#This Row],[4402]]</f>
        <v>0</v>
      </c>
      <c r="Y607">
        <f>DataLog_T717420_Aug11_4_59_37pm[[#This Row],[INTAKE TEMP '[Â°C']]]-Table3[[#This Row],[580F]]</f>
        <v>0</v>
      </c>
      <c r="Z607">
        <f>DataLog_T717420_Aug11_4_59_37pm[[#This Row],[HPFP PRES. '[BAR']]]-Table3[[#This Row],[58F0]]</f>
        <v>0</v>
      </c>
      <c r="AA607">
        <f>DataLog_T717420_Aug11_4_59_37pm[[#This Row],[COOLANT TEMP '[Â°C']]]-Table3[[#This Row],[5805]]</f>
        <v>0</v>
      </c>
      <c r="AB607">
        <f>DataLog_T717420_Aug11_4_59_37pm[[#This Row],[BOOST '[BAR']]]-Table3[[#This Row],[58DD]]</f>
        <v>0</v>
      </c>
    </row>
    <row r="608" spans="2:28" x14ac:dyDescent="0.25">
      <c r="B608" s="2" t="s">
        <v>183</v>
      </c>
      <c r="C608" s="2" t="s">
        <v>30</v>
      </c>
      <c r="D608" s="2" t="s">
        <v>151</v>
      </c>
      <c r="E608" s="2" t="s">
        <v>93</v>
      </c>
      <c r="F608" s="2" t="s">
        <v>26</v>
      </c>
      <c r="G608" s="2" t="s">
        <v>71</v>
      </c>
      <c r="I608">
        <f>HEX2DEC(_0811_173439[[#This Row],[580C]])*B$4/B$5+B$6</f>
        <v>800</v>
      </c>
      <c r="J608">
        <f>HEX2DEC(_0811_173439[[#This Row],[4402]])*C$4/C$5+C$6</f>
        <v>36</v>
      </c>
      <c r="K608">
        <f>HEX2DEC(_0811_173439[[#This Row],[580F]])*D$4/D$5+D$6</f>
        <v>30</v>
      </c>
      <c r="L608">
        <f>ROUND(HEX2DEC(_0811_173439[[#This Row],[58F0]])*E$4/E$5+E$6,0)</f>
        <v>70</v>
      </c>
      <c r="M608">
        <f>ROUND(HEX2DEC(_0811_173439[[#This Row],[5805]])*F$4/F$5+F$6,0)</f>
        <v>42</v>
      </c>
      <c r="N608">
        <f>ROUND(HEX2DEC(_0811_173439[[#This Row],[58DD]])*G$4/G$5+G$6,2)</f>
        <v>-0.03</v>
      </c>
      <c r="P608">
        <v>800</v>
      </c>
      <c r="Q608">
        <v>36</v>
      </c>
      <c r="R608">
        <v>30</v>
      </c>
      <c r="S608">
        <v>70</v>
      </c>
      <c r="T608">
        <v>42</v>
      </c>
      <c r="U608">
        <v>-0.03</v>
      </c>
      <c r="W608">
        <f>DataLog_T717420_Aug11_4_59_37pm[[#This Row],[RPM '[1/MIN']]]-Table3[[#This Row],[580C]]</f>
        <v>0</v>
      </c>
      <c r="X608">
        <f>DataLog_T717420_Aug11_4_59_37pm[[#This Row],[OIL TEMP '[Â°C']]]-Table3[[#This Row],[4402]]</f>
        <v>0</v>
      </c>
      <c r="Y608">
        <f>DataLog_T717420_Aug11_4_59_37pm[[#This Row],[INTAKE TEMP '[Â°C']]]-Table3[[#This Row],[580F]]</f>
        <v>0</v>
      </c>
      <c r="Z608">
        <f>DataLog_T717420_Aug11_4_59_37pm[[#This Row],[HPFP PRES. '[BAR']]]-Table3[[#This Row],[58F0]]</f>
        <v>0</v>
      </c>
      <c r="AA608">
        <f>DataLog_T717420_Aug11_4_59_37pm[[#This Row],[COOLANT TEMP '[Â°C']]]-Table3[[#This Row],[5805]]</f>
        <v>0</v>
      </c>
      <c r="AB608">
        <f>DataLog_T717420_Aug11_4_59_37pm[[#This Row],[BOOST '[BAR']]]-Table3[[#This Row],[58DD]]</f>
        <v>0</v>
      </c>
    </row>
    <row r="609" spans="2:28" x14ac:dyDescent="0.25">
      <c r="B609" s="2" t="s">
        <v>183</v>
      </c>
      <c r="C609" s="2" t="s">
        <v>30</v>
      </c>
      <c r="D609" s="2" t="s">
        <v>151</v>
      </c>
      <c r="E609" s="2" t="s">
        <v>123</v>
      </c>
      <c r="F609" s="2" t="s">
        <v>26</v>
      </c>
      <c r="G609" s="2" t="s">
        <v>96</v>
      </c>
      <c r="I609">
        <f>HEX2DEC(_0811_173439[[#This Row],[580C]])*B$4/B$5+B$6</f>
        <v>800</v>
      </c>
      <c r="J609">
        <f>HEX2DEC(_0811_173439[[#This Row],[4402]])*C$4/C$5+C$6</f>
        <v>36</v>
      </c>
      <c r="K609">
        <f>HEX2DEC(_0811_173439[[#This Row],[580F]])*D$4/D$5+D$6</f>
        <v>30</v>
      </c>
      <c r="L609">
        <f>ROUND(HEX2DEC(_0811_173439[[#This Row],[58F0]])*E$4/E$5+E$6,0)</f>
        <v>71</v>
      </c>
      <c r="M609">
        <f>ROUND(HEX2DEC(_0811_173439[[#This Row],[5805]])*F$4/F$5+F$6,0)</f>
        <v>42</v>
      </c>
      <c r="N609">
        <f>ROUND(HEX2DEC(_0811_173439[[#This Row],[58DD]])*G$4/G$5+G$6,2)</f>
        <v>-0.03</v>
      </c>
      <c r="P609">
        <v>800</v>
      </c>
      <c r="Q609">
        <v>36</v>
      </c>
      <c r="R609">
        <v>30</v>
      </c>
      <c r="S609">
        <v>71</v>
      </c>
      <c r="T609">
        <v>42</v>
      </c>
      <c r="U609">
        <v>-0.03</v>
      </c>
      <c r="W609">
        <f>DataLog_T717420_Aug11_4_59_37pm[[#This Row],[RPM '[1/MIN']]]-Table3[[#This Row],[580C]]</f>
        <v>0</v>
      </c>
      <c r="X609">
        <f>DataLog_T717420_Aug11_4_59_37pm[[#This Row],[OIL TEMP '[Â°C']]]-Table3[[#This Row],[4402]]</f>
        <v>0</v>
      </c>
      <c r="Y609">
        <f>DataLog_T717420_Aug11_4_59_37pm[[#This Row],[INTAKE TEMP '[Â°C']]]-Table3[[#This Row],[580F]]</f>
        <v>0</v>
      </c>
      <c r="Z609">
        <f>DataLog_T717420_Aug11_4_59_37pm[[#This Row],[HPFP PRES. '[BAR']]]-Table3[[#This Row],[58F0]]</f>
        <v>0</v>
      </c>
      <c r="AA609">
        <f>DataLog_T717420_Aug11_4_59_37pm[[#This Row],[COOLANT TEMP '[Â°C']]]-Table3[[#This Row],[5805]]</f>
        <v>0</v>
      </c>
      <c r="AB609">
        <f>DataLog_T717420_Aug11_4_59_37pm[[#This Row],[BOOST '[BAR']]]-Table3[[#This Row],[58DD]]</f>
        <v>0</v>
      </c>
    </row>
    <row r="610" spans="2:28" x14ac:dyDescent="0.25">
      <c r="B610" s="2" t="s">
        <v>183</v>
      </c>
      <c r="C610" s="2" t="s">
        <v>30</v>
      </c>
      <c r="D610" s="2" t="s">
        <v>151</v>
      </c>
      <c r="E610" s="2" t="s">
        <v>93</v>
      </c>
      <c r="F610" s="2" t="s">
        <v>26</v>
      </c>
      <c r="G610" s="2" t="s">
        <v>71</v>
      </c>
      <c r="I610">
        <f>HEX2DEC(_0811_173439[[#This Row],[580C]])*B$4/B$5+B$6</f>
        <v>800</v>
      </c>
      <c r="J610">
        <f>HEX2DEC(_0811_173439[[#This Row],[4402]])*C$4/C$5+C$6</f>
        <v>36</v>
      </c>
      <c r="K610">
        <f>HEX2DEC(_0811_173439[[#This Row],[580F]])*D$4/D$5+D$6</f>
        <v>30</v>
      </c>
      <c r="L610">
        <f>ROUND(HEX2DEC(_0811_173439[[#This Row],[58F0]])*E$4/E$5+E$6,0)</f>
        <v>70</v>
      </c>
      <c r="M610">
        <f>ROUND(HEX2DEC(_0811_173439[[#This Row],[5805]])*F$4/F$5+F$6,0)</f>
        <v>42</v>
      </c>
      <c r="N610">
        <f>ROUND(HEX2DEC(_0811_173439[[#This Row],[58DD]])*G$4/G$5+G$6,2)</f>
        <v>-0.03</v>
      </c>
      <c r="P610">
        <v>800</v>
      </c>
      <c r="Q610">
        <v>36</v>
      </c>
      <c r="R610">
        <v>30</v>
      </c>
      <c r="S610">
        <v>70</v>
      </c>
      <c r="T610">
        <v>42</v>
      </c>
      <c r="U610">
        <v>-0.03</v>
      </c>
      <c r="W610">
        <f>DataLog_T717420_Aug11_4_59_37pm[[#This Row],[RPM '[1/MIN']]]-Table3[[#This Row],[580C]]</f>
        <v>0</v>
      </c>
      <c r="X610">
        <f>DataLog_T717420_Aug11_4_59_37pm[[#This Row],[OIL TEMP '[Â°C']]]-Table3[[#This Row],[4402]]</f>
        <v>0</v>
      </c>
      <c r="Y610">
        <f>DataLog_T717420_Aug11_4_59_37pm[[#This Row],[INTAKE TEMP '[Â°C']]]-Table3[[#This Row],[580F]]</f>
        <v>0</v>
      </c>
      <c r="Z610">
        <f>DataLog_T717420_Aug11_4_59_37pm[[#This Row],[HPFP PRES. '[BAR']]]-Table3[[#This Row],[58F0]]</f>
        <v>0</v>
      </c>
      <c r="AA610">
        <f>DataLog_T717420_Aug11_4_59_37pm[[#This Row],[COOLANT TEMP '[Â°C']]]-Table3[[#This Row],[5805]]</f>
        <v>0</v>
      </c>
      <c r="AB610">
        <f>DataLog_T717420_Aug11_4_59_37pm[[#This Row],[BOOST '[BAR']]]-Table3[[#This Row],[58DD]]</f>
        <v>0</v>
      </c>
    </row>
    <row r="611" spans="2:28" x14ac:dyDescent="0.25">
      <c r="B611" s="2" t="s">
        <v>189</v>
      </c>
      <c r="C611" s="2" t="s">
        <v>30</v>
      </c>
      <c r="D611" s="2" t="s">
        <v>151</v>
      </c>
      <c r="E611" s="2" t="s">
        <v>122</v>
      </c>
      <c r="F611" s="2" t="s">
        <v>26</v>
      </c>
      <c r="G611" s="2" t="s">
        <v>53</v>
      </c>
      <c r="I611">
        <f>HEX2DEC(_0811_173439[[#This Row],[580C]])*B$4/B$5+B$6</f>
        <v>760</v>
      </c>
      <c r="J611">
        <f>HEX2DEC(_0811_173439[[#This Row],[4402]])*C$4/C$5+C$6</f>
        <v>36</v>
      </c>
      <c r="K611">
        <f>HEX2DEC(_0811_173439[[#This Row],[580F]])*D$4/D$5+D$6</f>
        <v>30</v>
      </c>
      <c r="L611">
        <f>ROUND(HEX2DEC(_0811_173439[[#This Row],[58F0]])*E$4/E$5+E$6,0)</f>
        <v>71</v>
      </c>
      <c r="M611">
        <f>ROUND(HEX2DEC(_0811_173439[[#This Row],[5805]])*F$4/F$5+F$6,0)</f>
        <v>42</v>
      </c>
      <c r="N611">
        <f>ROUND(HEX2DEC(_0811_173439[[#This Row],[58DD]])*G$4/G$5+G$6,2)</f>
        <v>-0.03</v>
      </c>
      <c r="P611">
        <v>760</v>
      </c>
      <c r="Q611">
        <v>36</v>
      </c>
      <c r="R611">
        <v>30</v>
      </c>
      <c r="S611">
        <v>71</v>
      </c>
      <c r="T611">
        <v>42</v>
      </c>
      <c r="U611">
        <v>-0.03</v>
      </c>
      <c r="W611">
        <f>DataLog_T717420_Aug11_4_59_37pm[[#This Row],[RPM '[1/MIN']]]-Table3[[#This Row],[580C]]</f>
        <v>0</v>
      </c>
      <c r="X611">
        <f>DataLog_T717420_Aug11_4_59_37pm[[#This Row],[OIL TEMP '[Â°C']]]-Table3[[#This Row],[4402]]</f>
        <v>0</v>
      </c>
      <c r="Y611">
        <f>DataLog_T717420_Aug11_4_59_37pm[[#This Row],[INTAKE TEMP '[Â°C']]]-Table3[[#This Row],[580F]]</f>
        <v>0</v>
      </c>
      <c r="Z611">
        <f>DataLog_T717420_Aug11_4_59_37pm[[#This Row],[HPFP PRES. '[BAR']]]-Table3[[#This Row],[58F0]]</f>
        <v>0</v>
      </c>
      <c r="AA611">
        <f>DataLog_T717420_Aug11_4_59_37pm[[#This Row],[COOLANT TEMP '[Â°C']]]-Table3[[#This Row],[5805]]</f>
        <v>0</v>
      </c>
      <c r="AB611">
        <f>DataLog_T717420_Aug11_4_59_37pm[[#This Row],[BOOST '[BAR']]]-Table3[[#This Row],[58DD]]</f>
        <v>0</v>
      </c>
    </row>
    <row r="612" spans="2:28" x14ac:dyDescent="0.25">
      <c r="B612" s="2" t="s">
        <v>189</v>
      </c>
      <c r="C612" s="2" t="s">
        <v>30</v>
      </c>
      <c r="D612" s="2" t="s">
        <v>151</v>
      </c>
      <c r="E612" s="2" t="s">
        <v>166</v>
      </c>
      <c r="F612" s="2" t="s">
        <v>26</v>
      </c>
      <c r="G612" s="2" t="s">
        <v>216</v>
      </c>
      <c r="I612">
        <f>HEX2DEC(_0811_173439[[#This Row],[580C]])*B$4/B$5+B$6</f>
        <v>760</v>
      </c>
      <c r="J612">
        <f>HEX2DEC(_0811_173439[[#This Row],[4402]])*C$4/C$5+C$6</f>
        <v>36</v>
      </c>
      <c r="K612">
        <f>HEX2DEC(_0811_173439[[#This Row],[580F]])*D$4/D$5+D$6</f>
        <v>30</v>
      </c>
      <c r="L612">
        <f>ROUND(HEX2DEC(_0811_173439[[#This Row],[58F0]])*E$4/E$5+E$6,0)</f>
        <v>71</v>
      </c>
      <c r="M612">
        <f>ROUND(HEX2DEC(_0811_173439[[#This Row],[5805]])*F$4/F$5+F$6,0)</f>
        <v>42</v>
      </c>
      <c r="N612">
        <f>ROUND(HEX2DEC(_0811_173439[[#This Row],[58DD]])*G$4/G$5+G$6,2)</f>
        <v>-0.03</v>
      </c>
      <c r="P612">
        <v>760</v>
      </c>
      <c r="Q612">
        <v>36</v>
      </c>
      <c r="R612">
        <v>30</v>
      </c>
      <c r="S612">
        <v>71</v>
      </c>
      <c r="T612">
        <v>42</v>
      </c>
      <c r="U612">
        <v>-0.03</v>
      </c>
      <c r="W612">
        <f>DataLog_T717420_Aug11_4_59_37pm[[#This Row],[RPM '[1/MIN']]]-Table3[[#This Row],[580C]]</f>
        <v>0</v>
      </c>
      <c r="X612">
        <f>DataLog_T717420_Aug11_4_59_37pm[[#This Row],[OIL TEMP '[Â°C']]]-Table3[[#This Row],[4402]]</f>
        <v>0</v>
      </c>
      <c r="Y612">
        <f>DataLog_T717420_Aug11_4_59_37pm[[#This Row],[INTAKE TEMP '[Â°C']]]-Table3[[#This Row],[580F]]</f>
        <v>0</v>
      </c>
      <c r="Z612">
        <f>DataLog_T717420_Aug11_4_59_37pm[[#This Row],[HPFP PRES. '[BAR']]]-Table3[[#This Row],[58F0]]</f>
        <v>0</v>
      </c>
      <c r="AA612">
        <f>DataLog_T717420_Aug11_4_59_37pm[[#This Row],[COOLANT TEMP '[Â°C']]]-Table3[[#This Row],[5805]]</f>
        <v>0</v>
      </c>
      <c r="AB612">
        <f>DataLog_T717420_Aug11_4_59_37pm[[#This Row],[BOOST '[BAR']]]-Table3[[#This Row],[58DD]]</f>
        <v>0</v>
      </c>
    </row>
    <row r="613" spans="2:28" x14ac:dyDescent="0.25">
      <c r="B613" s="2" t="s">
        <v>189</v>
      </c>
      <c r="C613" s="2" t="s">
        <v>30</v>
      </c>
      <c r="D613" s="2" t="s">
        <v>151</v>
      </c>
      <c r="E613" s="2" t="s">
        <v>122</v>
      </c>
      <c r="F613" s="2" t="s">
        <v>26</v>
      </c>
      <c r="G613" s="2" t="s">
        <v>216</v>
      </c>
      <c r="I613">
        <f>HEX2DEC(_0811_173439[[#This Row],[580C]])*B$4/B$5+B$6</f>
        <v>760</v>
      </c>
      <c r="J613">
        <f>HEX2DEC(_0811_173439[[#This Row],[4402]])*C$4/C$5+C$6</f>
        <v>36</v>
      </c>
      <c r="K613">
        <f>HEX2DEC(_0811_173439[[#This Row],[580F]])*D$4/D$5+D$6</f>
        <v>30</v>
      </c>
      <c r="L613">
        <f>ROUND(HEX2DEC(_0811_173439[[#This Row],[58F0]])*E$4/E$5+E$6,0)</f>
        <v>71</v>
      </c>
      <c r="M613">
        <f>ROUND(HEX2DEC(_0811_173439[[#This Row],[5805]])*F$4/F$5+F$6,0)</f>
        <v>42</v>
      </c>
      <c r="N613">
        <f>ROUND(HEX2DEC(_0811_173439[[#This Row],[58DD]])*G$4/G$5+G$6,2)</f>
        <v>-0.03</v>
      </c>
      <c r="P613">
        <v>760</v>
      </c>
      <c r="Q613">
        <v>36</v>
      </c>
      <c r="R613">
        <v>30</v>
      </c>
      <c r="S613">
        <v>71</v>
      </c>
      <c r="T613">
        <v>42</v>
      </c>
      <c r="U613">
        <v>-0.03</v>
      </c>
      <c r="W613">
        <f>DataLog_T717420_Aug11_4_59_37pm[[#This Row],[RPM '[1/MIN']]]-Table3[[#This Row],[580C]]</f>
        <v>0</v>
      </c>
      <c r="X613">
        <f>DataLog_T717420_Aug11_4_59_37pm[[#This Row],[OIL TEMP '[Â°C']]]-Table3[[#This Row],[4402]]</f>
        <v>0</v>
      </c>
      <c r="Y613">
        <f>DataLog_T717420_Aug11_4_59_37pm[[#This Row],[INTAKE TEMP '[Â°C']]]-Table3[[#This Row],[580F]]</f>
        <v>0</v>
      </c>
      <c r="Z613">
        <f>DataLog_T717420_Aug11_4_59_37pm[[#This Row],[HPFP PRES. '[BAR']]]-Table3[[#This Row],[58F0]]</f>
        <v>0</v>
      </c>
      <c r="AA613">
        <f>DataLog_T717420_Aug11_4_59_37pm[[#This Row],[COOLANT TEMP '[Â°C']]]-Table3[[#This Row],[5805]]</f>
        <v>0</v>
      </c>
      <c r="AB613">
        <f>DataLog_T717420_Aug11_4_59_37pm[[#This Row],[BOOST '[BAR']]]-Table3[[#This Row],[58DD]]</f>
        <v>0</v>
      </c>
    </row>
    <row r="614" spans="2:28" x14ac:dyDescent="0.25">
      <c r="B614" s="2" t="s">
        <v>183</v>
      </c>
      <c r="C614" s="2" t="s">
        <v>30</v>
      </c>
      <c r="D614" s="2" t="s">
        <v>151</v>
      </c>
      <c r="E614" s="2" t="s">
        <v>124</v>
      </c>
      <c r="F614" s="2" t="s">
        <v>26</v>
      </c>
      <c r="G614" s="2" t="s">
        <v>96</v>
      </c>
      <c r="I614">
        <f>HEX2DEC(_0811_173439[[#This Row],[580C]])*B$4/B$5+B$6</f>
        <v>800</v>
      </c>
      <c r="J614">
        <f>HEX2DEC(_0811_173439[[#This Row],[4402]])*C$4/C$5+C$6</f>
        <v>36</v>
      </c>
      <c r="K614">
        <f>HEX2DEC(_0811_173439[[#This Row],[580F]])*D$4/D$5+D$6</f>
        <v>30</v>
      </c>
      <c r="L614">
        <f>ROUND(HEX2DEC(_0811_173439[[#This Row],[58F0]])*E$4/E$5+E$6,0)</f>
        <v>71</v>
      </c>
      <c r="M614">
        <f>ROUND(HEX2DEC(_0811_173439[[#This Row],[5805]])*F$4/F$5+F$6,0)</f>
        <v>42</v>
      </c>
      <c r="N614">
        <f>ROUND(HEX2DEC(_0811_173439[[#This Row],[58DD]])*G$4/G$5+G$6,2)</f>
        <v>-0.03</v>
      </c>
      <c r="P614">
        <v>800</v>
      </c>
      <c r="Q614">
        <v>36</v>
      </c>
      <c r="R614">
        <v>30</v>
      </c>
      <c r="S614">
        <v>71</v>
      </c>
      <c r="T614">
        <v>42</v>
      </c>
      <c r="U614">
        <v>-0.03</v>
      </c>
      <c r="W614">
        <f>DataLog_T717420_Aug11_4_59_37pm[[#This Row],[RPM '[1/MIN']]]-Table3[[#This Row],[580C]]</f>
        <v>0</v>
      </c>
      <c r="X614">
        <f>DataLog_T717420_Aug11_4_59_37pm[[#This Row],[OIL TEMP '[Â°C']]]-Table3[[#This Row],[4402]]</f>
        <v>0</v>
      </c>
      <c r="Y614">
        <f>DataLog_T717420_Aug11_4_59_37pm[[#This Row],[INTAKE TEMP '[Â°C']]]-Table3[[#This Row],[580F]]</f>
        <v>0</v>
      </c>
      <c r="Z614">
        <f>DataLog_T717420_Aug11_4_59_37pm[[#This Row],[HPFP PRES. '[BAR']]]-Table3[[#This Row],[58F0]]</f>
        <v>0</v>
      </c>
      <c r="AA614">
        <f>DataLog_T717420_Aug11_4_59_37pm[[#This Row],[COOLANT TEMP '[Â°C']]]-Table3[[#This Row],[5805]]</f>
        <v>0</v>
      </c>
      <c r="AB614">
        <f>DataLog_T717420_Aug11_4_59_37pm[[#This Row],[BOOST '[BAR']]]-Table3[[#This Row],[58DD]]</f>
        <v>0</v>
      </c>
    </row>
    <row r="615" spans="2:28" x14ac:dyDescent="0.25">
      <c r="B615" s="2" t="s">
        <v>189</v>
      </c>
      <c r="C615" s="2" t="s">
        <v>30</v>
      </c>
      <c r="D615" s="2" t="s">
        <v>151</v>
      </c>
      <c r="E615" s="2" t="s">
        <v>233</v>
      </c>
      <c r="F615" s="2" t="s">
        <v>26</v>
      </c>
      <c r="G615" s="2" t="s">
        <v>96</v>
      </c>
      <c r="I615">
        <f>HEX2DEC(_0811_173439[[#This Row],[580C]])*B$4/B$5+B$6</f>
        <v>760</v>
      </c>
      <c r="J615">
        <f>HEX2DEC(_0811_173439[[#This Row],[4402]])*C$4/C$5+C$6</f>
        <v>36</v>
      </c>
      <c r="K615">
        <f>HEX2DEC(_0811_173439[[#This Row],[580F]])*D$4/D$5+D$6</f>
        <v>30</v>
      </c>
      <c r="L615">
        <f>ROUND(HEX2DEC(_0811_173439[[#This Row],[58F0]])*E$4/E$5+E$6,0)</f>
        <v>71</v>
      </c>
      <c r="M615">
        <f>ROUND(HEX2DEC(_0811_173439[[#This Row],[5805]])*F$4/F$5+F$6,0)</f>
        <v>42</v>
      </c>
      <c r="N615">
        <f>ROUND(HEX2DEC(_0811_173439[[#This Row],[58DD]])*G$4/G$5+G$6,2)</f>
        <v>-0.03</v>
      </c>
      <c r="P615">
        <v>760</v>
      </c>
      <c r="Q615">
        <v>36</v>
      </c>
      <c r="R615">
        <v>30</v>
      </c>
      <c r="S615">
        <v>71</v>
      </c>
      <c r="T615">
        <v>42</v>
      </c>
      <c r="U615">
        <v>-0.03</v>
      </c>
      <c r="W615">
        <f>DataLog_T717420_Aug11_4_59_37pm[[#This Row],[RPM '[1/MIN']]]-Table3[[#This Row],[580C]]</f>
        <v>0</v>
      </c>
      <c r="X615">
        <f>DataLog_T717420_Aug11_4_59_37pm[[#This Row],[OIL TEMP '[Â°C']]]-Table3[[#This Row],[4402]]</f>
        <v>0</v>
      </c>
      <c r="Y615">
        <f>DataLog_T717420_Aug11_4_59_37pm[[#This Row],[INTAKE TEMP '[Â°C']]]-Table3[[#This Row],[580F]]</f>
        <v>0</v>
      </c>
      <c r="Z615">
        <f>DataLog_T717420_Aug11_4_59_37pm[[#This Row],[HPFP PRES. '[BAR']]]-Table3[[#This Row],[58F0]]</f>
        <v>0</v>
      </c>
      <c r="AA615">
        <f>DataLog_T717420_Aug11_4_59_37pm[[#This Row],[COOLANT TEMP '[Â°C']]]-Table3[[#This Row],[5805]]</f>
        <v>0</v>
      </c>
      <c r="AB615">
        <f>DataLog_T717420_Aug11_4_59_37pm[[#This Row],[BOOST '[BAR']]]-Table3[[#This Row],[58DD]]</f>
        <v>0</v>
      </c>
    </row>
    <row r="616" spans="2:28" x14ac:dyDescent="0.25">
      <c r="B616" s="2" t="s">
        <v>189</v>
      </c>
      <c r="C616" s="2" t="s">
        <v>30</v>
      </c>
      <c r="D616" s="2" t="s">
        <v>151</v>
      </c>
      <c r="E616" s="2" t="s">
        <v>123</v>
      </c>
      <c r="F616" s="2" t="s">
        <v>26</v>
      </c>
      <c r="G616" s="2" t="s">
        <v>96</v>
      </c>
      <c r="I616">
        <f>HEX2DEC(_0811_173439[[#This Row],[580C]])*B$4/B$5+B$6</f>
        <v>760</v>
      </c>
      <c r="J616">
        <f>HEX2DEC(_0811_173439[[#This Row],[4402]])*C$4/C$5+C$6</f>
        <v>36</v>
      </c>
      <c r="K616">
        <f>HEX2DEC(_0811_173439[[#This Row],[580F]])*D$4/D$5+D$6</f>
        <v>30</v>
      </c>
      <c r="L616">
        <f>ROUND(HEX2DEC(_0811_173439[[#This Row],[58F0]])*E$4/E$5+E$6,0)</f>
        <v>71</v>
      </c>
      <c r="M616">
        <f>ROUND(HEX2DEC(_0811_173439[[#This Row],[5805]])*F$4/F$5+F$6,0)</f>
        <v>42</v>
      </c>
      <c r="N616">
        <f>ROUND(HEX2DEC(_0811_173439[[#This Row],[58DD]])*G$4/G$5+G$6,2)</f>
        <v>-0.03</v>
      </c>
      <c r="P616">
        <v>760</v>
      </c>
      <c r="Q616">
        <v>36</v>
      </c>
      <c r="R616">
        <v>30</v>
      </c>
      <c r="S616">
        <v>71</v>
      </c>
      <c r="T616">
        <v>42</v>
      </c>
      <c r="U616">
        <v>-0.03</v>
      </c>
      <c r="W616">
        <f>DataLog_T717420_Aug11_4_59_37pm[[#This Row],[RPM '[1/MIN']]]-Table3[[#This Row],[580C]]</f>
        <v>0</v>
      </c>
      <c r="X616">
        <f>DataLog_T717420_Aug11_4_59_37pm[[#This Row],[OIL TEMP '[Â°C']]]-Table3[[#This Row],[4402]]</f>
        <v>0</v>
      </c>
      <c r="Y616">
        <f>DataLog_T717420_Aug11_4_59_37pm[[#This Row],[INTAKE TEMP '[Â°C']]]-Table3[[#This Row],[580F]]</f>
        <v>0</v>
      </c>
      <c r="Z616">
        <f>DataLog_T717420_Aug11_4_59_37pm[[#This Row],[HPFP PRES. '[BAR']]]-Table3[[#This Row],[58F0]]</f>
        <v>0</v>
      </c>
      <c r="AA616">
        <f>DataLog_T717420_Aug11_4_59_37pm[[#This Row],[COOLANT TEMP '[Â°C']]]-Table3[[#This Row],[5805]]</f>
        <v>0</v>
      </c>
      <c r="AB616">
        <f>DataLog_T717420_Aug11_4_59_37pm[[#This Row],[BOOST '[BAR']]]-Table3[[#This Row],[58DD]]</f>
        <v>0</v>
      </c>
    </row>
    <row r="617" spans="2:28" x14ac:dyDescent="0.25">
      <c r="B617" s="2" t="s">
        <v>189</v>
      </c>
      <c r="C617" s="2" t="s">
        <v>30</v>
      </c>
      <c r="D617" s="2" t="s">
        <v>151</v>
      </c>
      <c r="E617" s="2" t="s">
        <v>177</v>
      </c>
      <c r="F617" s="2" t="s">
        <v>26</v>
      </c>
      <c r="G617" s="2" t="s">
        <v>71</v>
      </c>
      <c r="I617">
        <f>HEX2DEC(_0811_173439[[#This Row],[580C]])*B$4/B$5+B$6</f>
        <v>760</v>
      </c>
      <c r="J617">
        <f>HEX2DEC(_0811_173439[[#This Row],[4402]])*C$4/C$5+C$6</f>
        <v>36</v>
      </c>
      <c r="K617">
        <f>HEX2DEC(_0811_173439[[#This Row],[580F]])*D$4/D$5+D$6</f>
        <v>30</v>
      </c>
      <c r="L617">
        <f>ROUND(HEX2DEC(_0811_173439[[#This Row],[58F0]])*E$4/E$5+E$6,0)</f>
        <v>71</v>
      </c>
      <c r="M617">
        <f>ROUND(HEX2DEC(_0811_173439[[#This Row],[5805]])*F$4/F$5+F$6,0)</f>
        <v>42</v>
      </c>
      <c r="N617">
        <f>ROUND(HEX2DEC(_0811_173439[[#This Row],[58DD]])*G$4/G$5+G$6,2)</f>
        <v>-0.03</v>
      </c>
      <c r="P617">
        <v>760</v>
      </c>
      <c r="Q617">
        <v>36</v>
      </c>
      <c r="R617">
        <v>30</v>
      </c>
      <c r="S617">
        <v>71</v>
      </c>
      <c r="T617">
        <v>42</v>
      </c>
      <c r="U617">
        <v>-0.03</v>
      </c>
      <c r="W617">
        <f>DataLog_T717420_Aug11_4_59_37pm[[#This Row],[RPM '[1/MIN']]]-Table3[[#This Row],[580C]]</f>
        <v>0</v>
      </c>
      <c r="X617">
        <f>DataLog_T717420_Aug11_4_59_37pm[[#This Row],[OIL TEMP '[Â°C']]]-Table3[[#This Row],[4402]]</f>
        <v>0</v>
      </c>
      <c r="Y617">
        <f>DataLog_T717420_Aug11_4_59_37pm[[#This Row],[INTAKE TEMP '[Â°C']]]-Table3[[#This Row],[580F]]</f>
        <v>0</v>
      </c>
      <c r="Z617">
        <f>DataLog_T717420_Aug11_4_59_37pm[[#This Row],[HPFP PRES. '[BAR']]]-Table3[[#This Row],[58F0]]</f>
        <v>0</v>
      </c>
      <c r="AA617">
        <f>DataLog_T717420_Aug11_4_59_37pm[[#This Row],[COOLANT TEMP '[Â°C']]]-Table3[[#This Row],[5805]]</f>
        <v>0</v>
      </c>
      <c r="AB617">
        <f>DataLog_T717420_Aug11_4_59_37pm[[#This Row],[BOOST '[BAR']]]-Table3[[#This Row],[58DD]]</f>
        <v>0</v>
      </c>
    </row>
    <row r="618" spans="2:28" x14ac:dyDescent="0.25">
      <c r="B618" s="2" t="s">
        <v>189</v>
      </c>
      <c r="C618" s="2" t="s">
        <v>30</v>
      </c>
      <c r="D618" s="2" t="s">
        <v>151</v>
      </c>
      <c r="E618" s="2" t="s">
        <v>234</v>
      </c>
      <c r="F618" s="2" t="s">
        <v>26</v>
      </c>
      <c r="G618" s="2" t="s">
        <v>53</v>
      </c>
      <c r="I618">
        <f>HEX2DEC(_0811_173439[[#This Row],[580C]])*B$4/B$5+B$6</f>
        <v>760</v>
      </c>
      <c r="J618">
        <f>HEX2DEC(_0811_173439[[#This Row],[4402]])*C$4/C$5+C$6</f>
        <v>36</v>
      </c>
      <c r="K618">
        <f>HEX2DEC(_0811_173439[[#This Row],[580F]])*D$4/D$5+D$6</f>
        <v>30</v>
      </c>
      <c r="L618">
        <f>ROUND(HEX2DEC(_0811_173439[[#This Row],[58F0]])*E$4/E$5+E$6,0)</f>
        <v>71</v>
      </c>
      <c r="M618">
        <f>ROUND(HEX2DEC(_0811_173439[[#This Row],[5805]])*F$4/F$5+F$6,0)</f>
        <v>42</v>
      </c>
      <c r="N618">
        <f>ROUND(HEX2DEC(_0811_173439[[#This Row],[58DD]])*G$4/G$5+G$6,2)</f>
        <v>-0.03</v>
      </c>
      <c r="P618">
        <v>760</v>
      </c>
      <c r="Q618">
        <v>36</v>
      </c>
      <c r="R618">
        <v>30</v>
      </c>
      <c r="S618">
        <v>71</v>
      </c>
      <c r="T618">
        <v>42</v>
      </c>
      <c r="U618">
        <v>-0.03</v>
      </c>
      <c r="W618">
        <f>DataLog_T717420_Aug11_4_59_37pm[[#This Row],[RPM '[1/MIN']]]-Table3[[#This Row],[580C]]</f>
        <v>0</v>
      </c>
      <c r="X618">
        <f>DataLog_T717420_Aug11_4_59_37pm[[#This Row],[OIL TEMP '[Â°C']]]-Table3[[#This Row],[4402]]</f>
        <v>0</v>
      </c>
      <c r="Y618">
        <f>DataLog_T717420_Aug11_4_59_37pm[[#This Row],[INTAKE TEMP '[Â°C']]]-Table3[[#This Row],[580F]]</f>
        <v>0</v>
      </c>
      <c r="Z618">
        <f>DataLog_T717420_Aug11_4_59_37pm[[#This Row],[HPFP PRES. '[BAR']]]-Table3[[#This Row],[58F0]]</f>
        <v>0</v>
      </c>
      <c r="AA618">
        <f>DataLog_T717420_Aug11_4_59_37pm[[#This Row],[COOLANT TEMP '[Â°C']]]-Table3[[#This Row],[5805]]</f>
        <v>0</v>
      </c>
      <c r="AB618">
        <f>DataLog_T717420_Aug11_4_59_37pm[[#This Row],[BOOST '[BAR']]]-Table3[[#This Row],[58DD]]</f>
        <v>0</v>
      </c>
    </row>
    <row r="619" spans="2:28" x14ac:dyDescent="0.25">
      <c r="B619" s="2" t="s">
        <v>189</v>
      </c>
      <c r="C619" s="2" t="s">
        <v>30</v>
      </c>
      <c r="D619" s="2" t="s">
        <v>151</v>
      </c>
      <c r="E619" s="2" t="s">
        <v>122</v>
      </c>
      <c r="F619" s="2" t="s">
        <v>26</v>
      </c>
      <c r="G619" s="2" t="s">
        <v>235</v>
      </c>
      <c r="I619">
        <f>HEX2DEC(_0811_173439[[#This Row],[580C]])*B$4/B$5+B$6</f>
        <v>760</v>
      </c>
      <c r="J619">
        <f>HEX2DEC(_0811_173439[[#This Row],[4402]])*C$4/C$5+C$6</f>
        <v>36</v>
      </c>
      <c r="K619">
        <f>HEX2DEC(_0811_173439[[#This Row],[580F]])*D$4/D$5+D$6</f>
        <v>30</v>
      </c>
      <c r="L619">
        <f>ROUND(HEX2DEC(_0811_173439[[#This Row],[58F0]])*E$4/E$5+E$6,0)</f>
        <v>71</v>
      </c>
      <c r="M619">
        <f>ROUND(HEX2DEC(_0811_173439[[#This Row],[5805]])*F$4/F$5+F$6,0)</f>
        <v>42</v>
      </c>
      <c r="N619">
        <f>ROUND(HEX2DEC(_0811_173439[[#This Row],[58DD]])*G$4/G$5+G$6,2)</f>
        <v>-0.03</v>
      </c>
      <c r="P619">
        <v>760</v>
      </c>
      <c r="Q619">
        <v>36</v>
      </c>
      <c r="R619">
        <v>30</v>
      </c>
      <c r="S619">
        <v>71</v>
      </c>
      <c r="T619">
        <v>42</v>
      </c>
      <c r="U619">
        <v>-0.03</v>
      </c>
      <c r="W619">
        <f>DataLog_T717420_Aug11_4_59_37pm[[#This Row],[RPM '[1/MIN']]]-Table3[[#This Row],[580C]]</f>
        <v>0</v>
      </c>
      <c r="X619">
        <f>DataLog_T717420_Aug11_4_59_37pm[[#This Row],[OIL TEMP '[Â°C']]]-Table3[[#This Row],[4402]]</f>
        <v>0</v>
      </c>
      <c r="Y619">
        <f>DataLog_T717420_Aug11_4_59_37pm[[#This Row],[INTAKE TEMP '[Â°C']]]-Table3[[#This Row],[580F]]</f>
        <v>0</v>
      </c>
      <c r="Z619">
        <f>DataLog_T717420_Aug11_4_59_37pm[[#This Row],[HPFP PRES. '[BAR']]]-Table3[[#This Row],[58F0]]</f>
        <v>0</v>
      </c>
      <c r="AA619">
        <f>DataLog_T717420_Aug11_4_59_37pm[[#This Row],[COOLANT TEMP '[Â°C']]]-Table3[[#This Row],[5805]]</f>
        <v>0</v>
      </c>
      <c r="AB619">
        <f>DataLog_T717420_Aug11_4_59_37pm[[#This Row],[BOOST '[BAR']]]-Table3[[#This Row],[58DD]]</f>
        <v>0</v>
      </c>
    </row>
    <row r="620" spans="2:28" x14ac:dyDescent="0.25">
      <c r="B620" s="2" t="s">
        <v>189</v>
      </c>
      <c r="C620" s="2" t="s">
        <v>30</v>
      </c>
      <c r="D620" s="2" t="s">
        <v>151</v>
      </c>
      <c r="E620" s="2" t="s">
        <v>124</v>
      </c>
      <c r="F620" s="2" t="s">
        <v>26</v>
      </c>
      <c r="G620" s="2" t="s">
        <v>191</v>
      </c>
      <c r="I620">
        <f>HEX2DEC(_0811_173439[[#This Row],[580C]])*B$4/B$5+B$6</f>
        <v>760</v>
      </c>
      <c r="J620">
        <f>HEX2DEC(_0811_173439[[#This Row],[4402]])*C$4/C$5+C$6</f>
        <v>36</v>
      </c>
      <c r="K620">
        <f>HEX2DEC(_0811_173439[[#This Row],[580F]])*D$4/D$5+D$6</f>
        <v>30</v>
      </c>
      <c r="L620">
        <f>ROUND(HEX2DEC(_0811_173439[[#This Row],[58F0]])*E$4/E$5+E$6,0)</f>
        <v>71</v>
      </c>
      <c r="M620">
        <f>ROUND(HEX2DEC(_0811_173439[[#This Row],[5805]])*F$4/F$5+F$6,0)</f>
        <v>42</v>
      </c>
      <c r="N620">
        <f>ROUND(HEX2DEC(_0811_173439[[#This Row],[58DD]])*G$4/G$5+G$6,2)</f>
        <v>-0.03</v>
      </c>
      <c r="P620">
        <v>760</v>
      </c>
      <c r="Q620">
        <v>36</v>
      </c>
      <c r="R620">
        <v>30</v>
      </c>
      <c r="S620">
        <v>71</v>
      </c>
      <c r="T620">
        <v>42</v>
      </c>
      <c r="U620">
        <v>-0.03</v>
      </c>
      <c r="W620">
        <f>DataLog_T717420_Aug11_4_59_37pm[[#This Row],[RPM '[1/MIN']]]-Table3[[#This Row],[580C]]</f>
        <v>0</v>
      </c>
      <c r="X620">
        <f>DataLog_T717420_Aug11_4_59_37pm[[#This Row],[OIL TEMP '[Â°C']]]-Table3[[#This Row],[4402]]</f>
        <v>0</v>
      </c>
      <c r="Y620">
        <f>DataLog_T717420_Aug11_4_59_37pm[[#This Row],[INTAKE TEMP '[Â°C']]]-Table3[[#This Row],[580F]]</f>
        <v>0</v>
      </c>
      <c r="Z620">
        <f>DataLog_T717420_Aug11_4_59_37pm[[#This Row],[HPFP PRES. '[BAR']]]-Table3[[#This Row],[58F0]]</f>
        <v>0</v>
      </c>
      <c r="AA620">
        <f>DataLog_T717420_Aug11_4_59_37pm[[#This Row],[COOLANT TEMP '[Â°C']]]-Table3[[#This Row],[5805]]</f>
        <v>0</v>
      </c>
      <c r="AB620">
        <f>DataLog_T717420_Aug11_4_59_37pm[[#This Row],[BOOST '[BAR']]]-Table3[[#This Row],[58DD]]</f>
        <v>0</v>
      </c>
    </row>
    <row r="621" spans="2:28" x14ac:dyDescent="0.25">
      <c r="B621" s="2" t="s">
        <v>189</v>
      </c>
      <c r="C621" s="2" t="s">
        <v>30</v>
      </c>
      <c r="D621" s="2" t="s">
        <v>151</v>
      </c>
      <c r="E621" s="2" t="s">
        <v>217</v>
      </c>
      <c r="F621" s="2" t="s">
        <v>26</v>
      </c>
      <c r="G621" s="2" t="s">
        <v>53</v>
      </c>
      <c r="I621">
        <f>HEX2DEC(_0811_173439[[#This Row],[580C]])*B$4/B$5+B$6</f>
        <v>760</v>
      </c>
      <c r="J621">
        <f>HEX2DEC(_0811_173439[[#This Row],[4402]])*C$4/C$5+C$6</f>
        <v>36</v>
      </c>
      <c r="K621">
        <f>HEX2DEC(_0811_173439[[#This Row],[580F]])*D$4/D$5+D$6</f>
        <v>30</v>
      </c>
      <c r="L621">
        <f>ROUND(HEX2DEC(_0811_173439[[#This Row],[58F0]])*E$4/E$5+E$6,0)</f>
        <v>71</v>
      </c>
      <c r="M621">
        <f>ROUND(HEX2DEC(_0811_173439[[#This Row],[5805]])*F$4/F$5+F$6,0)</f>
        <v>42</v>
      </c>
      <c r="N621">
        <f>ROUND(HEX2DEC(_0811_173439[[#This Row],[58DD]])*G$4/G$5+G$6,2)</f>
        <v>-0.03</v>
      </c>
      <c r="P621">
        <v>760</v>
      </c>
      <c r="Q621">
        <v>36</v>
      </c>
      <c r="R621">
        <v>30</v>
      </c>
      <c r="S621">
        <v>71</v>
      </c>
      <c r="T621">
        <v>42</v>
      </c>
      <c r="U621">
        <v>-0.03</v>
      </c>
      <c r="W621">
        <f>DataLog_T717420_Aug11_4_59_37pm[[#This Row],[RPM '[1/MIN']]]-Table3[[#This Row],[580C]]</f>
        <v>0</v>
      </c>
      <c r="X621">
        <f>DataLog_T717420_Aug11_4_59_37pm[[#This Row],[OIL TEMP '[Â°C']]]-Table3[[#This Row],[4402]]</f>
        <v>0</v>
      </c>
      <c r="Y621">
        <f>DataLog_T717420_Aug11_4_59_37pm[[#This Row],[INTAKE TEMP '[Â°C']]]-Table3[[#This Row],[580F]]</f>
        <v>0</v>
      </c>
      <c r="Z621">
        <f>DataLog_T717420_Aug11_4_59_37pm[[#This Row],[HPFP PRES. '[BAR']]]-Table3[[#This Row],[58F0]]</f>
        <v>0</v>
      </c>
      <c r="AA621">
        <f>DataLog_T717420_Aug11_4_59_37pm[[#This Row],[COOLANT TEMP '[Â°C']]]-Table3[[#This Row],[5805]]</f>
        <v>0</v>
      </c>
      <c r="AB621">
        <f>DataLog_T717420_Aug11_4_59_37pm[[#This Row],[BOOST '[BAR']]]-Table3[[#This Row],[58DD]]</f>
        <v>0</v>
      </c>
    </row>
    <row r="622" spans="2:28" x14ac:dyDescent="0.25">
      <c r="B622" s="2" t="s">
        <v>189</v>
      </c>
      <c r="C622" s="2" t="s">
        <v>30</v>
      </c>
      <c r="D622" s="2" t="s">
        <v>151</v>
      </c>
      <c r="E622" s="2" t="s">
        <v>93</v>
      </c>
      <c r="F622" s="2" t="s">
        <v>26</v>
      </c>
      <c r="G622" s="2" t="s">
        <v>186</v>
      </c>
      <c r="I622">
        <f>HEX2DEC(_0811_173439[[#This Row],[580C]])*B$4/B$5+B$6</f>
        <v>760</v>
      </c>
      <c r="J622">
        <f>HEX2DEC(_0811_173439[[#This Row],[4402]])*C$4/C$5+C$6</f>
        <v>36</v>
      </c>
      <c r="K622">
        <f>HEX2DEC(_0811_173439[[#This Row],[580F]])*D$4/D$5+D$6</f>
        <v>30</v>
      </c>
      <c r="L622">
        <f>ROUND(HEX2DEC(_0811_173439[[#This Row],[58F0]])*E$4/E$5+E$6,0)</f>
        <v>70</v>
      </c>
      <c r="M622">
        <f>ROUND(HEX2DEC(_0811_173439[[#This Row],[5805]])*F$4/F$5+F$6,0)</f>
        <v>42</v>
      </c>
      <c r="N622">
        <f>ROUND(HEX2DEC(_0811_173439[[#This Row],[58DD]])*G$4/G$5+G$6,2)</f>
        <v>-0.03</v>
      </c>
      <c r="P622">
        <v>760</v>
      </c>
      <c r="Q622">
        <v>36</v>
      </c>
      <c r="R622">
        <v>30</v>
      </c>
      <c r="S622">
        <v>70</v>
      </c>
      <c r="T622">
        <v>42</v>
      </c>
      <c r="U622">
        <v>-0.03</v>
      </c>
      <c r="W622">
        <f>DataLog_T717420_Aug11_4_59_37pm[[#This Row],[RPM '[1/MIN']]]-Table3[[#This Row],[580C]]</f>
        <v>0</v>
      </c>
      <c r="X622">
        <f>DataLog_T717420_Aug11_4_59_37pm[[#This Row],[OIL TEMP '[Â°C']]]-Table3[[#This Row],[4402]]</f>
        <v>0</v>
      </c>
      <c r="Y622">
        <f>DataLog_T717420_Aug11_4_59_37pm[[#This Row],[INTAKE TEMP '[Â°C']]]-Table3[[#This Row],[580F]]</f>
        <v>0</v>
      </c>
      <c r="Z622">
        <f>DataLog_T717420_Aug11_4_59_37pm[[#This Row],[HPFP PRES. '[BAR']]]-Table3[[#This Row],[58F0]]</f>
        <v>0</v>
      </c>
      <c r="AA622">
        <f>DataLog_T717420_Aug11_4_59_37pm[[#This Row],[COOLANT TEMP '[Â°C']]]-Table3[[#This Row],[5805]]</f>
        <v>0</v>
      </c>
      <c r="AB622">
        <f>DataLog_T717420_Aug11_4_59_37pm[[#This Row],[BOOST '[BAR']]]-Table3[[#This Row],[58DD]]</f>
        <v>0</v>
      </c>
    </row>
    <row r="623" spans="2:28" x14ac:dyDescent="0.25">
      <c r="B623" s="2" t="s">
        <v>189</v>
      </c>
      <c r="C623" s="2" t="s">
        <v>30</v>
      </c>
      <c r="D623" s="2" t="s">
        <v>151</v>
      </c>
      <c r="E623" s="2" t="s">
        <v>162</v>
      </c>
      <c r="F623" s="2" t="s">
        <v>26</v>
      </c>
      <c r="G623" s="2" t="s">
        <v>190</v>
      </c>
      <c r="I623">
        <f>HEX2DEC(_0811_173439[[#This Row],[580C]])*B$4/B$5+B$6</f>
        <v>760</v>
      </c>
      <c r="J623">
        <f>HEX2DEC(_0811_173439[[#This Row],[4402]])*C$4/C$5+C$6</f>
        <v>36</v>
      </c>
      <c r="K623">
        <f>HEX2DEC(_0811_173439[[#This Row],[580F]])*D$4/D$5+D$6</f>
        <v>30</v>
      </c>
      <c r="L623">
        <f>ROUND(HEX2DEC(_0811_173439[[#This Row],[58F0]])*E$4/E$5+E$6,0)</f>
        <v>71</v>
      </c>
      <c r="M623">
        <f>ROUND(HEX2DEC(_0811_173439[[#This Row],[5805]])*F$4/F$5+F$6,0)</f>
        <v>42</v>
      </c>
      <c r="N623">
        <f>ROUND(HEX2DEC(_0811_173439[[#This Row],[58DD]])*G$4/G$5+G$6,2)</f>
        <v>-0.03</v>
      </c>
      <c r="P623">
        <v>760</v>
      </c>
      <c r="Q623">
        <v>36</v>
      </c>
      <c r="R623">
        <v>30</v>
      </c>
      <c r="S623">
        <v>71</v>
      </c>
      <c r="T623">
        <v>42</v>
      </c>
      <c r="U623">
        <v>-0.03</v>
      </c>
      <c r="W623">
        <f>DataLog_T717420_Aug11_4_59_37pm[[#This Row],[RPM '[1/MIN']]]-Table3[[#This Row],[580C]]</f>
        <v>0</v>
      </c>
      <c r="X623">
        <f>DataLog_T717420_Aug11_4_59_37pm[[#This Row],[OIL TEMP '[Â°C']]]-Table3[[#This Row],[4402]]</f>
        <v>0</v>
      </c>
      <c r="Y623">
        <f>DataLog_T717420_Aug11_4_59_37pm[[#This Row],[INTAKE TEMP '[Â°C']]]-Table3[[#This Row],[580F]]</f>
        <v>0</v>
      </c>
      <c r="Z623">
        <f>DataLog_T717420_Aug11_4_59_37pm[[#This Row],[HPFP PRES. '[BAR']]]-Table3[[#This Row],[58F0]]</f>
        <v>0</v>
      </c>
      <c r="AA623">
        <f>DataLog_T717420_Aug11_4_59_37pm[[#This Row],[COOLANT TEMP '[Â°C']]]-Table3[[#This Row],[5805]]</f>
        <v>0</v>
      </c>
      <c r="AB623">
        <f>DataLog_T717420_Aug11_4_59_37pm[[#This Row],[BOOST '[BAR']]]-Table3[[#This Row],[58DD]]</f>
        <v>0</v>
      </c>
    </row>
    <row r="624" spans="2:28" x14ac:dyDescent="0.25">
      <c r="B624" s="2" t="s">
        <v>189</v>
      </c>
      <c r="C624" s="2" t="s">
        <v>30</v>
      </c>
      <c r="D624" s="2" t="s">
        <v>151</v>
      </c>
      <c r="E624" s="2" t="s">
        <v>170</v>
      </c>
      <c r="F624" s="2" t="s">
        <v>26</v>
      </c>
      <c r="G624" s="2" t="s">
        <v>190</v>
      </c>
      <c r="I624">
        <f>HEX2DEC(_0811_173439[[#This Row],[580C]])*B$4/B$5+B$6</f>
        <v>760</v>
      </c>
      <c r="J624">
        <f>HEX2DEC(_0811_173439[[#This Row],[4402]])*C$4/C$5+C$6</f>
        <v>36</v>
      </c>
      <c r="K624">
        <f>HEX2DEC(_0811_173439[[#This Row],[580F]])*D$4/D$5+D$6</f>
        <v>30</v>
      </c>
      <c r="L624">
        <f>ROUND(HEX2DEC(_0811_173439[[#This Row],[58F0]])*E$4/E$5+E$6,0)</f>
        <v>71</v>
      </c>
      <c r="M624">
        <f>ROUND(HEX2DEC(_0811_173439[[#This Row],[5805]])*F$4/F$5+F$6,0)</f>
        <v>42</v>
      </c>
      <c r="N624">
        <f>ROUND(HEX2DEC(_0811_173439[[#This Row],[58DD]])*G$4/G$5+G$6,2)</f>
        <v>-0.03</v>
      </c>
      <c r="P624">
        <v>760</v>
      </c>
      <c r="Q624">
        <v>36</v>
      </c>
      <c r="R624">
        <v>30</v>
      </c>
      <c r="S624">
        <v>71</v>
      </c>
      <c r="T624">
        <v>42</v>
      </c>
      <c r="U624">
        <v>-0.03</v>
      </c>
      <c r="W624">
        <f>DataLog_T717420_Aug11_4_59_37pm[[#This Row],[RPM '[1/MIN']]]-Table3[[#This Row],[580C]]</f>
        <v>0</v>
      </c>
      <c r="X624">
        <f>DataLog_T717420_Aug11_4_59_37pm[[#This Row],[OIL TEMP '[Â°C']]]-Table3[[#This Row],[4402]]</f>
        <v>0</v>
      </c>
      <c r="Y624">
        <f>DataLog_T717420_Aug11_4_59_37pm[[#This Row],[INTAKE TEMP '[Â°C']]]-Table3[[#This Row],[580F]]</f>
        <v>0</v>
      </c>
      <c r="Z624">
        <f>DataLog_T717420_Aug11_4_59_37pm[[#This Row],[HPFP PRES. '[BAR']]]-Table3[[#This Row],[58F0]]</f>
        <v>0</v>
      </c>
      <c r="AA624">
        <f>DataLog_T717420_Aug11_4_59_37pm[[#This Row],[COOLANT TEMP '[Â°C']]]-Table3[[#This Row],[5805]]</f>
        <v>0</v>
      </c>
      <c r="AB624">
        <f>DataLog_T717420_Aug11_4_59_37pm[[#This Row],[BOOST '[BAR']]]-Table3[[#This Row],[58DD]]</f>
        <v>0</v>
      </c>
    </row>
    <row r="625" spans="2:28" x14ac:dyDescent="0.25">
      <c r="B625" s="2" t="s">
        <v>189</v>
      </c>
      <c r="C625" s="2" t="s">
        <v>30</v>
      </c>
      <c r="D625" s="2" t="s">
        <v>151</v>
      </c>
      <c r="E625" s="2" t="s">
        <v>163</v>
      </c>
      <c r="F625" s="2" t="s">
        <v>26</v>
      </c>
      <c r="G625" s="2" t="s">
        <v>53</v>
      </c>
      <c r="I625">
        <f>HEX2DEC(_0811_173439[[#This Row],[580C]])*B$4/B$5+B$6</f>
        <v>760</v>
      </c>
      <c r="J625">
        <f>HEX2DEC(_0811_173439[[#This Row],[4402]])*C$4/C$5+C$6</f>
        <v>36</v>
      </c>
      <c r="K625">
        <f>HEX2DEC(_0811_173439[[#This Row],[580F]])*D$4/D$5+D$6</f>
        <v>30</v>
      </c>
      <c r="L625">
        <f>ROUND(HEX2DEC(_0811_173439[[#This Row],[58F0]])*E$4/E$5+E$6,0)</f>
        <v>70</v>
      </c>
      <c r="M625">
        <f>ROUND(HEX2DEC(_0811_173439[[#This Row],[5805]])*F$4/F$5+F$6,0)</f>
        <v>42</v>
      </c>
      <c r="N625">
        <f>ROUND(HEX2DEC(_0811_173439[[#This Row],[58DD]])*G$4/G$5+G$6,2)</f>
        <v>-0.03</v>
      </c>
      <c r="P625">
        <v>760</v>
      </c>
      <c r="Q625">
        <v>36</v>
      </c>
      <c r="R625">
        <v>30</v>
      </c>
      <c r="S625">
        <v>70</v>
      </c>
      <c r="T625">
        <v>42</v>
      </c>
      <c r="U625">
        <v>-0.03</v>
      </c>
      <c r="W625">
        <f>DataLog_T717420_Aug11_4_59_37pm[[#This Row],[RPM '[1/MIN']]]-Table3[[#This Row],[580C]]</f>
        <v>0</v>
      </c>
      <c r="X625">
        <f>DataLog_T717420_Aug11_4_59_37pm[[#This Row],[OIL TEMP '[Â°C']]]-Table3[[#This Row],[4402]]</f>
        <v>0</v>
      </c>
      <c r="Y625">
        <f>DataLog_T717420_Aug11_4_59_37pm[[#This Row],[INTAKE TEMP '[Â°C']]]-Table3[[#This Row],[580F]]</f>
        <v>0</v>
      </c>
      <c r="Z625">
        <f>DataLog_T717420_Aug11_4_59_37pm[[#This Row],[HPFP PRES. '[BAR']]]-Table3[[#This Row],[58F0]]</f>
        <v>0</v>
      </c>
      <c r="AA625">
        <f>DataLog_T717420_Aug11_4_59_37pm[[#This Row],[COOLANT TEMP '[Â°C']]]-Table3[[#This Row],[5805]]</f>
        <v>0</v>
      </c>
      <c r="AB625">
        <f>DataLog_T717420_Aug11_4_59_37pm[[#This Row],[BOOST '[BAR']]]-Table3[[#This Row],[58DD]]</f>
        <v>0</v>
      </c>
    </row>
    <row r="626" spans="2:28" x14ac:dyDescent="0.25">
      <c r="B626" s="2" t="s">
        <v>189</v>
      </c>
      <c r="C626" s="2" t="s">
        <v>30</v>
      </c>
      <c r="D626" s="2" t="s">
        <v>151</v>
      </c>
      <c r="E626" s="2" t="s">
        <v>153</v>
      </c>
      <c r="F626" s="2" t="s">
        <v>26</v>
      </c>
      <c r="G626" s="2" t="s">
        <v>96</v>
      </c>
      <c r="I626">
        <f>HEX2DEC(_0811_173439[[#This Row],[580C]])*B$4/B$5+B$6</f>
        <v>760</v>
      </c>
      <c r="J626">
        <f>HEX2DEC(_0811_173439[[#This Row],[4402]])*C$4/C$5+C$6</f>
        <v>36</v>
      </c>
      <c r="K626">
        <f>HEX2DEC(_0811_173439[[#This Row],[580F]])*D$4/D$5+D$6</f>
        <v>30</v>
      </c>
      <c r="L626">
        <f>ROUND(HEX2DEC(_0811_173439[[#This Row],[58F0]])*E$4/E$5+E$6,0)</f>
        <v>70</v>
      </c>
      <c r="M626">
        <f>ROUND(HEX2DEC(_0811_173439[[#This Row],[5805]])*F$4/F$5+F$6,0)</f>
        <v>42</v>
      </c>
      <c r="N626">
        <f>ROUND(HEX2DEC(_0811_173439[[#This Row],[58DD]])*G$4/G$5+G$6,2)</f>
        <v>-0.03</v>
      </c>
      <c r="P626">
        <v>760</v>
      </c>
      <c r="Q626">
        <v>36</v>
      </c>
      <c r="R626">
        <v>30</v>
      </c>
      <c r="S626">
        <v>70</v>
      </c>
      <c r="T626">
        <v>42</v>
      </c>
      <c r="U626">
        <v>-0.03</v>
      </c>
      <c r="W626">
        <f>DataLog_T717420_Aug11_4_59_37pm[[#This Row],[RPM '[1/MIN']]]-Table3[[#This Row],[580C]]</f>
        <v>0</v>
      </c>
      <c r="X626">
        <f>DataLog_T717420_Aug11_4_59_37pm[[#This Row],[OIL TEMP '[Â°C']]]-Table3[[#This Row],[4402]]</f>
        <v>0</v>
      </c>
      <c r="Y626">
        <f>DataLog_T717420_Aug11_4_59_37pm[[#This Row],[INTAKE TEMP '[Â°C']]]-Table3[[#This Row],[580F]]</f>
        <v>0</v>
      </c>
      <c r="Z626">
        <f>DataLog_T717420_Aug11_4_59_37pm[[#This Row],[HPFP PRES. '[BAR']]]-Table3[[#This Row],[58F0]]</f>
        <v>0</v>
      </c>
      <c r="AA626">
        <f>DataLog_T717420_Aug11_4_59_37pm[[#This Row],[COOLANT TEMP '[Â°C']]]-Table3[[#This Row],[5805]]</f>
        <v>0</v>
      </c>
      <c r="AB626">
        <f>DataLog_T717420_Aug11_4_59_37pm[[#This Row],[BOOST '[BAR']]]-Table3[[#This Row],[58DD]]</f>
        <v>0</v>
      </c>
    </row>
    <row r="627" spans="2:28" x14ac:dyDescent="0.25">
      <c r="B627" s="2" t="s">
        <v>189</v>
      </c>
      <c r="C627" s="2" t="s">
        <v>30</v>
      </c>
      <c r="D627" s="2" t="s">
        <v>151</v>
      </c>
      <c r="E627" s="2" t="s">
        <v>93</v>
      </c>
      <c r="F627" s="2" t="s">
        <v>26</v>
      </c>
      <c r="G627" s="2" t="s">
        <v>53</v>
      </c>
      <c r="I627">
        <f>HEX2DEC(_0811_173439[[#This Row],[580C]])*B$4/B$5+B$6</f>
        <v>760</v>
      </c>
      <c r="J627">
        <f>HEX2DEC(_0811_173439[[#This Row],[4402]])*C$4/C$5+C$6</f>
        <v>36</v>
      </c>
      <c r="K627">
        <f>HEX2DEC(_0811_173439[[#This Row],[580F]])*D$4/D$5+D$6</f>
        <v>30</v>
      </c>
      <c r="L627">
        <f>ROUND(HEX2DEC(_0811_173439[[#This Row],[58F0]])*E$4/E$5+E$6,0)</f>
        <v>70</v>
      </c>
      <c r="M627">
        <f>ROUND(HEX2DEC(_0811_173439[[#This Row],[5805]])*F$4/F$5+F$6,0)</f>
        <v>42</v>
      </c>
      <c r="N627">
        <f>ROUND(HEX2DEC(_0811_173439[[#This Row],[58DD]])*G$4/G$5+G$6,2)</f>
        <v>-0.03</v>
      </c>
      <c r="P627">
        <v>760</v>
      </c>
      <c r="Q627">
        <v>36</v>
      </c>
      <c r="R627">
        <v>30</v>
      </c>
      <c r="S627">
        <v>70</v>
      </c>
      <c r="T627">
        <v>42</v>
      </c>
      <c r="U627">
        <v>-0.03</v>
      </c>
      <c r="W627">
        <f>DataLog_T717420_Aug11_4_59_37pm[[#This Row],[RPM '[1/MIN']]]-Table3[[#This Row],[580C]]</f>
        <v>0</v>
      </c>
      <c r="X627">
        <f>DataLog_T717420_Aug11_4_59_37pm[[#This Row],[OIL TEMP '[Â°C']]]-Table3[[#This Row],[4402]]</f>
        <v>0</v>
      </c>
      <c r="Y627">
        <f>DataLog_T717420_Aug11_4_59_37pm[[#This Row],[INTAKE TEMP '[Â°C']]]-Table3[[#This Row],[580F]]</f>
        <v>0</v>
      </c>
      <c r="Z627">
        <f>DataLog_T717420_Aug11_4_59_37pm[[#This Row],[HPFP PRES. '[BAR']]]-Table3[[#This Row],[58F0]]</f>
        <v>0</v>
      </c>
      <c r="AA627">
        <f>DataLog_T717420_Aug11_4_59_37pm[[#This Row],[COOLANT TEMP '[Â°C']]]-Table3[[#This Row],[5805]]</f>
        <v>0</v>
      </c>
      <c r="AB627">
        <f>DataLog_T717420_Aug11_4_59_37pm[[#This Row],[BOOST '[BAR']]]-Table3[[#This Row],[58DD]]</f>
        <v>0</v>
      </c>
    </row>
    <row r="628" spans="2:28" x14ac:dyDescent="0.25">
      <c r="B628" s="2" t="s">
        <v>189</v>
      </c>
      <c r="C628" s="2" t="s">
        <v>30</v>
      </c>
      <c r="D628" s="2" t="s">
        <v>151</v>
      </c>
      <c r="E628" s="2" t="s">
        <v>159</v>
      </c>
      <c r="F628" s="2" t="s">
        <v>26</v>
      </c>
      <c r="G628" s="2" t="s">
        <v>236</v>
      </c>
      <c r="I628">
        <f>HEX2DEC(_0811_173439[[#This Row],[580C]])*B$4/B$5+B$6</f>
        <v>760</v>
      </c>
      <c r="J628">
        <f>HEX2DEC(_0811_173439[[#This Row],[4402]])*C$4/C$5+C$6</f>
        <v>36</v>
      </c>
      <c r="K628">
        <f>HEX2DEC(_0811_173439[[#This Row],[580F]])*D$4/D$5+D$6</f>
        <v>30</v>
      </c>
      <c r="L628">
        <f>ROUND(HEX2DEC(_0811_173439[[#This Row],[58F0]])*E$4/E$5+E$6,0)</f>
        <v>70</v>
      </c>
      <c r="M628">
        <f>ROUND(HEX2DEC(_0811_173439[[#This Row],[5805]])*F$4/F$5+F$6,0)</f>
        <v>42</v>
      </c>
      <c r="N628">
        <f>ROUND(HEX2DEC(_0811_173439[[#This Row],[58DD]])*G$4/G$5+G$6,2)</f>
        <v>-0.03</v>
      </c>
      <c r="P628">
        <v>760</v>
      </c>
      <c r="Q628">
        <v>36</v>
      </c>
      <c r="R628">
        <v>30</v>
      </c>
      <c r="S628">
        <v>70</v>
      </c>
      <c r="T628">
        <v>42</v>
      </c>
      <c r="U628">
        <v>-0.03</v>
      </c>
      <c r="W628">
        <f>DataLog_T717420_Aug11_4_59_37pm[[#This Row],[RPM '[1/MIN']]]-Table3[[#This Row],[580C]]</f>
        <v>0</v>
      </c>
      <c r="X628">
        <f>DataLog_T717420_Aug11_4_59_37pm[[#This Row],[OIL TEMP '[Â°C']]]-Table3[[#This Row],[4402]]</f>
        <v>0</v>
      </c>
      <c r="Y628">
        <f>DataLog_T717420_Aug11_4_59_37pm[[#This Row],[INTAKE TEMP '[Â°C']]]-Table3[[#This Row],[580F]]</f>
        <v>0</v>
      </c>
      <c r="Z628">
        <f>DataLog_T717420_Aug11_4_59_37pm[[#This Row],[HPFP PRES. '[BAR']]]-Table3[[#This Row],[58F0]]</f>
        <v>0</v>
      </c>
      <c r="AA628">
        <f>DataLog_T717420_Aug11_4_59_37pm[[#This Row],[COOLANT TEMP '[Â°C']]]-Table3[[#This Row],[5805]]</f>
        <v>0</v>
      </c>
      <c r="AB628">
        <f>DataLog_T717420_Aug11_4_59_37pm[[#This Row],[BOOST '[BAR']]]-Table3[[#This Row],[58DD]]</f>
        <v>0</v>
      </c>
    </row>
    <row r="629" spans="2:28" x14ac:dyDescent="0.25">
      <c r="B629" s="2" t="s">
        <v>189</v>
      </c>
      <c r="C629" s="2" t="s">
        <v>30</v>
      </c>
      <c r="D629" s="2" t="s">
        <v>151</v>
      </c>
      <c r="E629" s="2" t="s">
        <v>194</v>
      </c>
      <c r="F629" s="2" t="s">
        <v>26</v>
      </c>
      <c r="G629" s="2" t="s">
        <v>96</v>
      </c>
      <c r="I629">
        <f>HEX2DEC(_0811_173439[[#This Row],[580C]])*B$4/B$5+B$6</f>
        <v>760</v>
      </c>
      <c r="J629">
        <f>HEX2DEC(_0811_173439[[#This Row],[4402]])*C$4/C$5+C$6</f>
        <v>36</v>
      </c>
      <c r="K629">
        <f>HEX2DEC(_0811_173439[[#This Row],[580F]])*D$4/D$5+D$6</f>
        <v>30</v>
      </c>
      <c r="L629">
        <f>ROUND(HEX2DEC(_0811_173439[[#This Row],[58F0]])*E$4/E$5+E$6,0)</f>
        <v>70</v>
      </c>
      <c r="M629">
        <f>ROUND(HEX2DEC(_0811_173439[[#This Row],[5805]])*F$4/F$5+F$6,0)</f>
        <v>42</v>
      </c>
      <c r="N629">
        <f>ROUND(HEX2DEC(_0811_173439[[#This Row],[58DD]])*G$4/G$5+G$6,2)</f>
        <v>-0.03</v>
      </c>
      <c r="P629">
        <v>760</v>
      </c>
      <c r="Q629">
        <v>36</v>
      </c>
      <c r="R629">
        <v>30</v>
      </c>
      <c r="S629">
        <v>70</v>
      </c>
      <c r="T629">
        <v>42</v>
      </c>
      <c r="U629">
        <v>-0.03</v>
      </c>
      <c r="W629">
        <f>DataLog_T717420_Aug11_4_59_37pm[[#This Row],[RPM '[1/MIN']]]-Table3[[#This Row],[580C]]</f>
        <v>0</v>
      </c>
      <c r="X629">
        <f>DataLog_T717420_Aug11_4_59_37pm[[#This Row],[OIL TEMP '[Â°C']]]-Table3[[#This Row],[4402]]</f>
        <v>0</v>
      </c>
      <c r="Y629">
        <f>DataLog_T717420_Aug11_4_59_37pm[[#This Row],[INTAKE TEMP '[Â°C']]]-Table3[[#This Row],[580F]]</f>
        <v>0</v>
      </c>
      <c r="Z629">
        <f>DataLog_T717420_Aug11_4_59_37pm[[#This Row],[HPFP PRES. '[BAR']]]-Table3[[#This Row],[58F0]]</f>
        <v>0</v>
      </c>
      <c r="AA629">
        <f>DataLog_T717420_Aug11_4_59_37pm[[#This Row],[COOLANT TEMP '[Â°C']]]-Table3[[#This Row],[5805]]</f>
        <v>0</v>
      </c>
      <c r="AB629">
        <f>DataLog_T717420_Aug11_4_59_37pm[[#This Row],[BOOST '[BAR']]]-Table3[[#This Row],[58DD]]</f>
        <v>0</v>
      </c>
    </row>
    <row r="630" spans="2:28" x14ac:dyDescent="0.25">
      <c r="B630" s="2" t="s">
        <v>189</v>
      </c>
      <c r="C630" s="2" t="s">
        <v>30</v>
      </c>
      <c r="D630" s="2" t="s">
        <v>151</v>
      </c>
      <c r="E630" s="2" t="s">
        <v>148</v>
      </c>
      <c r="F630" s="2" t="s">
        <v>26</v>
      </c>
      <c r="G630" s="2" t="s">
        <v>71</v>
      </c>
      <c r="I630">
        <f>HEX2DEC(_0811_173439[[#This Row],[580C]])*B$4/B$5+B$6</f>
        <v>760</v>
      </c>
      <c r="J630">
        <f>HEX2DEC(_0811_173439[[#This Row],[4402]])*C$4/C$5+C$6</f>
        <v>36</v>
      </c>
      <c r="K630">
        <f>HEX2DEC(_0811_173439[[#This Row],[580F]])*D$4/D$5+D$6</f>
        <v>30</v>
      </c>
      <c r="L630">
        <f>ROUND(HEX2DEC(_0811_173439[[#This Row],[58F0]])*E$4/E$5+E$6,0)</f>
        <v>70</v>
      </c>
      <c r="M630">
        <f>ROUND(HEX2DEC(_0811_173439[[#This Row],[5805]])*F$4/F$5+F$6,0)</f>
        <v>42</v>
      </c>
      <c r="N630">
        <f>ROUND(HEX2DEC(_0811_173439[[#This Row],[58DD]])*G$4/G$5+G$6,2)</f>
        <v>-0.03</v>
      </c>
      <c r="P630">
        <v>760</v>
      </c>
      <c r="Q630">
        <v>36</v>
      </c>
      <c r="R630">
        <v>30</v>
      </c>
      <c r="S630">
        <v>70</v>
      </c>
      <c r="T630">
        <v>42</v>
      </c>
      <c r="U630">
        <v>-0.03</v>
      </c>
      <c r="W630">
        <f>DataLog_T717420_Aug11_4_59_37pm[[#This Row],[RPM '[1/MIN']]]-Table3[[#This Row],[580C]]</f>
        <v>0</v>
      </c>
      <c r="X630">
        <f>DataLog_T717420_Aug11_4_59_37pm[[#This Row],[OIL TEMP '[Â°C']]]-Table3[[#This Row],[4402]]</f>
        <v>0</v>
      </c>
      <c r="Y630">
        <f>DataLog_T717420_Aug11_4_59_37pm[[#This Row],[INTAKE TEMP '[Â°C']]]-Table3[[#This Row],[580F]]</f>
        <v>0</v>
      </c>
      <c r="Z630">
        <f>DataLog_T717420_Aug11_4_59_37pm[[#This Row],[HPFP PRES. '[BAR']]]-Table3[[#This Row],[58F0]]</f>
        <v>0</v>
      </c>
      <c r="AA630">
        <f>DataLog_T717420_Aug11_4_59_37pm[[#This Row],[COOLANT TEMP '[Â°C']]]-Table3[[#This Row],[5805]]</f>
        <v>0</v>
      </c>
      <c r="AB630">
        <f>DataLog_T717420_Aug11_4_59_37pm[[#This Row],[BOOST '[BAR']]]-Table3[[#This Row],[58DD]]</f>
        <v>0</v>
      </c>
    </row>
    <row r="631" spans="2:28" x14ac:dyDescent="0.25">
      <c r="B631" s="2" t="s">
        <v>189</v>
      </c>
      <c r="C631" s="2" t="s">
        <v>30</v>
      </c>
      <c r="D631" s="2" t="s">
        <v>151</v>
      </c>
      <c r="E631" s="2" t="s">
        <v>237</v>
      </c>
      <c r="F631" s="2" t="s">
        <v>26</v>
      </c>
      <c r="G631" s="2" t="s">
        <v>53</v>
      </c>
      <c r="I631">
        <f>HEX2DEC(_0811_173439[[#This Row],[580C]])*B$4/B$5+B$6</f>
        <v>760</v>
      </c>
      <c r="J631">
        <f>HEX2DEC(_0811_173439[[#This Row],[4402]])*C$4/C$5+C$6</f>
        <v>36</v>
      </c>
      <c r="K631">
        <f>HEX2DEC(_0811_173439[[#This Row],[580F]])*D$4/D$5+D$6</f>
        <v>30</v>
      </c>
      <c r="L631">
        <f>ROUND(HEX2DEC(_0811_173439[[#This Row],[58F0]])*E$4/E$5+E$6,0)</f>
        <v>69</v>
      </c>
      <c r="M631">
        <f>ROUND(HEX2DEC(_0811_173439[[#This Row],[5805]])*F$4/F$5+F$6,0)</f>
        <v>42</v>
      </c>
      <c r="N631">
        <f>ROUND(HEX2DEC(_0811_173439[[#This Row],[58DD]])*G$4/G$5+G$6,2)</f>
        <v>-0.03</v>
      </c>
      <c r="P631">
        <v>760</v>
      </c>
      <c r="Q631">
        <v>36</v>
      </c>
      <c r="R631">
        <v>30</v>
      </c>
      <c r="S631">
        <v>69</v>
      </c>
      <c r="T631">
        <v>42</v>
      </c>
      <c r="U631">
        <v>-0.03</v>
      </c>
      <c r="W631">
        <f>DataLog_T717420_Aug11_4_59_37pm[[#This Row],[RPM '[1/MIN']]]-Table3[[#This Row],[580C]]</f>
        <v>0</v>
      </c>
      <c r="X631">
        <f>DataLog_T717420_Aug11_4_59_37pm[[#This Row],[OIL TEMP '[Â°C']]]-Table3[[#This Row],[4402]]</f>
        <v>0</v>
      </c>
      <c r="Y631">
        <f>DataLog_T717420_Aug11_4_59_37pm[[#This Row],[INTAKE TEMP '[Â°C']]]-Table3[[#This Row],[580F]]</f>
        <v>0</v>
      </c>
      <c r="Z631">
        <f>DataLog_T717420_Aug11_4_59_37pm[[#This Row],[HPFP PRES. '[BAR']]]-Table3[[#This Row],[58F0]]</f>
        <v>0</v>
      </c>
      <c r="AA631">
        <f>DataLog_T717420_Aug11_4_59_37pm[[#This Row],[COOLANT TEMP '[Â°C']]]-Table3[[#This Row],[5805]]</f>
        <v>0</v>
      </c>
      <c r="AB631">
        <f>DataLog_T717420_Aug11_4_59_37pm[[#This Row],[BOOST '[BAR']]]-Table3[[#This Row],[58DD]]</f>
        <v>0</v>
      </c>
    </row>
    <row r="632" spans="2:28" x14ac:dyDescent="0.25">
      <c r="B632" s="2" t="s">
        <v>189</v>
      </c>
      <c r="C632" s="2" t="s">
        <v>30</v>
      </c>
      <c r="D632" s="2" t="s">
        <v>151</v>
      </c>
      <c r="E632" s="2" t="s">
        <v>238</v>
      </c>
      <c r="F632" s="2" t="s">
        <v>26</v>
      </c>
      <c r="G632" s="2" t="s">
        <v>71</v>
      </c>
      <c r="I632">
        <f>HEX2DEC(_0811_173439[[#This Row],[580C]])*B$4/B$5+B$6</f>
        <v>760</v>
      </c>
      <c r="J632">
        <f>HEX2DEC(_0811_173439[[#This Row],[4402]])*C$4/C$5+C$6</f>
        <v>36</v>
      </c>
      <c r="K632">
        <f>HEX2DEC(_0811_173439[[#This Row],[580F]])*D$4/D$5+D$6</f>
        <v>30</v>
      </c>
      <c r="L632">
        <f>ROUND(HEX2DEC(_0811_173439[[#This Row],[58F0]])*E$4/E$5+E$6,0)</f>
        <v>69</v>
      </c>
      <c r="M632">
        <f>ROUND(HEX2DEC(_0811_173439[[#This Row],[5805]])*F$4/F$5+F$6,0)</f>
        <v>42</v>
      </c>
      <c r="N632">
        <f>ROUND(HEX2DEC(_0811_173439[[#This Row],[58DD]])*G$4/G$5+G$6,2)</f>
        <v>-0.03</v>
      </c>
      <c r="P632">
        <v>760</v>
      </c>
      <c r="Q632">
        <v>36</v>
      </c>
      <c r="R632">
        <v>30</v>
      </c>
      <c r="S632">
        <v>69</v>
      </c>
      <c r="T632">
        <v>42</v>
      </c>
      <c r="U632">
        <v>-0.03</v>
      </c>
      <c r="W632">
        <f>DataLog_T717420_Aug11_4_59_37pm[[#This Row],[RPM '[1/MIN']]]-Table3[[#This Row],[580C]]</f>
        <v>0</v>
      </c>
      <c r="X632">
        <f>DataLog_T717420_Aug11_4_59_37pm[[#This Row],[OIL TEMP '[Â°C']]]-Table3[[#This Row],[4402]]</f>
        <v>0</v>
      </c>
      <c r="Y632">
        <f>DataLog_T717420_Aug11_4_59_37pm[[#This Row],[INTAKE TEMP '[Â°C']]]-Table3[[#This Row],[580F]]</f>
        <v>0</v>
      </c>
      <c r="Z632">
        <f>DataLog_T717420_Aug11_4_59_37pm[[#This Row],[HPFP PRES. '[BAR']]]-Table3[[#This Row],[58F0]]</f>
        <v>0</v>
      </c>
      <c r="AA632">
        <f>DataLog_T717420_Aug11_4_59_37pm[[#This Row],[COOLANT TEMP '[Â°C']]]-Table3[[#This Row],[5805]]</f>
        <v>0</v>
      </c>
      <c r="AB632">
        <f>DataLog_T717420_Aug11_4_59_37pm[[#This Row],[BOOST '[BAR']]]-Table3[[#This Row],[58DD]]</f>
        <v>0</v>
      </c>
    </row>
    <row r="633" spans="2:28" x14ac:dyDescent="0.25">
      <c r="B633" s="2" t="s">
        <v>189</v>
      </c>
      <c r="C633" s="2" t="s">
        <v>30</v>
      </c>
      <c r="D633" s="2" t="s">
        <v>151</v>
      </c>
      <c r="E633" s="2" t="s">
        <v>239</v>
      </c>
      <c r="F633" s="2" t="s">
        <v>26</v>
      </c>
      <c r="G633" s="2" t="s">
        <v>53</v>
      </c>
      <c r="I633">
        <f>HEX2DEC(_0811_173439[[#This Row],[580C]])*B$4/B$5+B$6</f>
        <v>760</v>
      </c>
      <c r="J633">
        <f>HEX2DEC(_0811_173439[[#This Row],[4402]])*C$4/C$5+C$6</f>
        <v>36</v>
      </c>
      <c r="K633">
        <f>HEX2DEC(_0811_173439[[#This Row],[580F]])*D$4/D$5+D$6</f>
        <v>30</v>
      </c>
      <c r="L633">
        <f>ROUND(HEX2DEC(_0811_173439[[#This Row],[58F0]])*E$4/E$5+E$6,0)</f>
        <v>68</v>
      </c>
      <c r="M633">
        <f>ROUND(HEX2DEC(_0811_173439[[#This Row],[5805]])*F$4/F$5+F$6,0)</f>
        <v>42</v>
      </c>
      <c r="N633">
        <f>ROUND(HEX2DEC(_0811_173439[[#This Row],[58DD]])*G$4/G$5+G$6,2)</f>
        <v>-0.03</v>
      </c>
      <c r="P633">
        <v>760</v>
      </c>
      <c r="Q633">
        <v>36</v>
      </c>
      <c r="R633">
        <v>30</v>
      </c>
      <c r="S633">
        <v>68</v>
      </c>
      <c r="T633">
        <v>42</v>
      </c>
      <c r="U633">
        <v>-0.03</v>
      </c>
      <c r="W633">
        <f>DataLog_T717420_Aug11_4_59_37pm[[#This Row],[RPM '[1/MIN']]]-Table3[[#This Row],[580C]]</f>
        <v>0</v>
      </c>
      <c r="X633">
        <f>DataLog_T717420_Aug11_4_59_37pm[[#This Row],[OIL TEMP '[Â°C']]]-Table3[[#This Row],[4402]]</f>
        <v>0</v>
      </c>
      <c r="Y633">
        <f>DataLog_T717420_Aug11_4_59_37pm[[#This Row],[INTAKE TEMP '[Â°C']]]-Table3[[#This Row],[580F]]</f>
        <v>0</v>
      </c>
      <c r="Z633">
        <f>DataLog_T717420_Aug11_4_59_37pm[[#This Row],[HPFP PRES. '[BAR']]]-Table3[[#This Row],[58F0]]</f>
        <v>0</v>
      </c>
      <c r="AA633">
        <f>DataLog_T717420_Aug11_4_59_37pm[[#This Row],[COOLANT TEMP '[Â°C']]]-Table3[[#This Row],[5805]]</f>
        <v>0</v>
      </c>
      <c r="AB633">
        <f>DataLog_T717420_Aug11_4_59_37pm[[#This Row],[BOOST '[BAR']]]-Table3[[#This Row],[58DD]]</f>
        <v>0</v>
      </c>
    </row>
    <row r="634" spans="2:28" x14ac:dyDescent="0.25">
      <c r="B634" s="2" t="s">
        <v>189</v>
      </c>
      <c r="C634" s="2" t="s">
        <v>30</v>
      </c>
      <c r="D634" s="2" t="s">
        <v>151</v>
      </c>
      <c r="E634" s="2" t="s">
        <v>240</v>
      </c>
      <c r="F634" s="2" t="s">
        <v>26</v>
      </c>
      <c r="G634" s="2" t="s">
        <v>71</v>
      </c>
      <c r="I634">
        <f>HEX2DEC(_0811_173439[[#This Row],[580C]])*B$4/B$5+B$6</f>
        <v>760</v>
      </c>
      <c r="J634">
        <f>HEX2DEC(_0811_173439[[#This Row],[4402]])*C$4/C$5+C$6</f>
        <v>36</v>
      </c>
      <c r="K634">
        <f>HEX2DEC(_0811_173439[[#This Row],[580F]])*D$4/D$5+D$6</f>
        <v>30</v>
      </c>
      <c r="L634">
        <f>ROUND(HEX2DEC(_0811_173439[[#This Row],[58F0]])*E$4/E$5+E$6,0)</f>
        <v>67</v>
      </c>
      <c r="M634">
        <f>ROUND(HEX2DEC(_0811_173439[[#This Row],[5805]])*F$4/F$5+F$6,0)</f>
        <v>42</v>
      </c>
      <c r="N634">
        <f>ROUND(HEX2DEC(_0811_173439[[#This Row],[58DD]])*G$4/G$5+G$6,2)</f>
        <v>-0.03</v>
      </c>
      <c r="P634">
        <v>760</v>
      </c>
      <c r="Q634">
        <v>36</v>
      </c>
      <c r="R634">
        <v>30</v>
      </c>
      <c r="S634">
        <v>67</v>
      </c>
      <c r="T634">
        <v>42</v>
      </c>
      <c r="U634">
        <v>-0.03</v>
      </c>
      <c r="W634">
        <f>DataLog_T717420_Aug11_4_59_37pm[[#This Row],[RPM '[1/MIN']]]-Table3[[#This Row],[580C]]</f>
        <v>0</v>
      </c>
      <c r="X634">
        <f>DataLog_T717420_Aug11_4_59_37pm[[#This Row],[OIL TEMP '[Â°C']]]-Table3[[#This Row],[4402]]</f>
        <v>0</v>
      </c>
      <c r="Y634">
        <f>DataLog_T717420_Aug11_4_59_37pm[[#This Row],[INTAKE TEMP '[Â°C']]]-Table3[[#This Row],[580F]]</f>
        <v>0</v>
      </c>
      <c r="Z634">
        <f>DataLog_T717420_Aug11_4_59_37pm[[#This Row],[HPFP PRES. '[BAR']]]-Table3[[#This Row],[58F0]]</f>
        <v>0</v>
      </c>
      <c r="AA634">
        <f>DataLog_T717420_Aug11_4_59_37pm[[#This Row],[COOLANT TEMP '[Â°C']]]-Table3[[#This Row],[5805]]</f>
        <v>0</v>
      </c>
      <c r="AB634">
        <f>DataLog_T717420_Aug11_4_59_37pm[[#This Row],[BOOST '[BAR']]]-Table3[[#This Row],[58DD]]</f>
        <v>0</v>
      </c>
    </row>
    <row r="635" spans="2:28" x14ac:dyDescent="0.25">
      <c r="B635" s="2" t="s">
        <v>189</v>
      </c>
      <c r="C635" s="2" t="s">
        <v>30</v>
      </c>
      <c r="D635" s="2" t="s">
        <v>151</v>
      </c>
      <c r="E635" s="2" t="s">
        <v>241</v>
      </c>
      <c r="F635" s="2" t="s">
        <v>26</v>
      </c>
      <c r="G635" s="2" t="s">
        <v>235</v>
      </c>
      <c r="I635">
        <f>HEX2DEC(_0811_173439[[#This Row],[580C]])*B$4/B$5+B$6</f>
        <v>760</v>
      </c>
      <c r="J635">
        <f>HEX2DEC(_0811_173439[[#This Row],[4402]])*C$4/C$5+C$6</f>
        <v>36</v>
      </c>
      <c r="K635">
        <f>HEX2DEC(_0811_173439[[#This Row],[580F]])*D$4/D$5+D$6</f>
        <v>30</v>
      </c>
      <c r="L635">
        <f>ROUND(HEX2DEC(_0811_173439[[#This Row],[58F0]])*E$4/E$5+E$6,0)</f>
        <v>66</v>
      </c>
      <c r="M635">
        <f>ROUND(HEX2DEC(_0811_173439[[#This Row],[5805]])*F$4/F$5+F$6,0)</f>
        <v>42</v>
      </c>
      <c r="N635">
        <f>ROUND(HEX2DEC(_0811_173439[[#This Row],[58DD]])*G$4/G$5+G$6,2)</f>
        <v>-0.03</v>
      </c>
      <c r="P635">
        <v>760</v>
      </c>
      <c r="Q635">
        <v>36</v>
      </c>
      <c r="R635">
        <v>30</v>
      </c>
      <c r="S635">
        <v>66</v>
      </c>
      <c r="T635">
        <v>42</v>
      </c>
      <c r="U635">
        <v>-0.03</v>
      </c>
      <c r="W635">
        <f>DataLog_T717420_Aug11_4_59_37pm[[#This Row],[RPM '[1/MIN']]]-Table3[[#This Row],[580C]]</f>
        <v>0</v>
      </c>
      <c r="X635">
        <f>DataLog_T717420_Aug11_4_59_37pm[[#This Row],[OIL TEMP '[Â°C']]]-Table3[[#This Row],[4402]]</f>
        <v>0</v>
      </c>
      <c r="Y635">
        <f>DataLog_T717420_Aug11_4_59_37pm[[#This Row],[INTAKE TEMP '[Â°C']]]-Table3[[#This Row],[580F]]</f>
        <v>0</v>
      </c>
      <c r="Z635">
        <f>DataLog_T717420_Aug11_4_59_37pm[[#This Row],[HPFP PRES. '[BAR']]]-Table3[[#This Row],[58F0]]</f>
        <v>0</v>
      </c>
      <c r="AA635">
        <f>DataLog_T717420_Aug11_4_59_37pm[[#This Row],[COOLANT TEMP '[Â°C']]]-Table3[[#This Row],[5805]]</f>
        <v>0</v>
      </c>
      <c r="AB635">
        <f>DataLog_T717420_Aug11_4_59_37pm[[#This Row],[BOOST '[BAR']]]-Table3[[#This Row],[58DD]]</f>
        <v>0</v>
      </c>
    </row>
    <row r="636" spans="2:28" x14ac:dyDescent="0.25">
      <c r="B636" s="2" t="s">
        <v>189</v>
      </c>
      <c r="C636" s="2" t="s">
        <v>30</v>
      </c>
      <c r="D636" s="2" t="s">
        <v>151</v>
      </c>
      <c r="E636" s="2" t="s">
        <v>242</v>
      </c>
      <c r="F636" s="2" t="s">
        <v>26</v>
      </c>
      <c r="G636" s="2" t="s">
        <v>71</v>
      </c>
      <c r="I636">
        <f>HEX2DEC(_0811_173439[[#This Row],[580C]])*B$4/B$5+B$6</f>
        <v>760</v>
      </c>
      <c r="J636">
        <f>HEX2DEC(_0811_173439[[#This Row],[4402]])*C$4/C$5+C$6</f>
        <v>36</v>
      </c>
      <c r="K636">
        <f>HEX2DEC(_0811_173439[[#This Row],[580F]])*D$4/D$5+D$6</f>
        <v>30</v>
      </c>
      <c r="L636">
        <f>ROUND(HEX2DEC(_0811_173439[[#This Row],[58F0]])*E$4/E$5+E$6,0)</f>
        <v>71</v>
      </c>
      <c r="M636">
        <f>ROUND(HEX2DEC(_0811_173439[[#This Row],[5805]])*F$4/F$5+F$6,0)</f>
        <v>42</v>
      </c>
      <c r="N636">
        <f>ROUND(HEX2DEC(_0811_173439[[#This Row],[58DD]])*G$4/G$5+G$6,2)</f>
        <v>-0.03</v>
      </c>
      <c r="P636">
        <v>760</v>
      </c>
      <c r="Q636">
        <v>36</v>
      </c>
      <c r="R636">
        <v>30</v>
      </c>
      <c r="S636">
        <v>71</v>
      </c>
      <c r="T636">
        <v>42</v>
      </c>
      <c r="U636">
        <v>-0.03</v>
      </c>
      <c r="W636">
        <f>DataLog_T717420_Aug11_4_59_37pm[[#This Row],[RPM '[1/MIN']]]-Table3[[#This Row],[580C]]</f>
        <v>0</v>
      </c>
      <c r="X636">
        <f>DataLog_T717420_Aug11_4_59_37pm[[#This Row],[OIL TEMP '[Â°C']]]-Table3[[#This Row],[4402]]</f>
        <v>0</v>
      </c>
      <c r="Y636">
        <f>DataLog_T717420_Aug11_4_59_37pm[[#This Row],[INTAKE TEMP '[Â°C']]]-Table3[[#This Row],[580F]]</f>
        <v>0</v>
      </c>
      <c r="Z636">
        <f>DataLog_T717420_Aug11_4_59_37pm[[#This Row],[HPFP PRES. '[BAR']]]-Table3[[#This Row],[58F0]]</f>
        <v>0</v>
      </c>
      <c r="AA636">
        <f>DataLog_T717420_Aug11_4_59_37pm[[#This Row],[COOLANT TEMP '[Â°C']]]-Table3[[#This Row],[5805]]</f>
        <v>0</v>
      </c>
      <c r="AB636">
        <f>DataLog_T717420_Aug11_4_59_37pm[[#This Row],[BOOST '[BAR']]]-Table3[[#This Row],[58DD]]</f>
        <v>0</v>
      </c>
    </row>
    <row r="637" spans="2:28" x14ac:dyDescent="0.25">
      <c r="B637" s="2" t="s">
        <v>189</v>
      </c>
      <c r="C637" s="2" t="s">
        <v>30</v>
      </c>
      <c r="D637" s="2" t="s">
        <v>151</v>
      </c>
      <c r="E637" s="2" t="s">
        <v>152</v>
      </c>
      <c r="F637" s="2" t="s">
        <v>26</v>
      </c>
      <c r="G637" s="2" t="s">
        <v>71</v>
      </c>
      <c r="I637">
        <f>HEX2DEC(_0811_173439[[#This Row],[580C]])*B$4/B$5+B$6</f>
        <v>760</v>
      </c>
      <c r="J637">
        <f>HEX2DEC(_0811_173439[[#This Row],[4402]])*C$4/C$5+C$6</f>
        <v>36</v>
      </c>
      <c r="K637">
        <f>HEX2DEC(_0811_173439[[#This Row],[580F]])*D$4/D$5+D$6</f>
        <v>30</v>
      </c>
      <c r="L637">
        <f>ROUND(HEX2DEC(_0811_173439[[#This Row],[58F0]])*E$4/E$5+E$6,0)</f>
        <v>70</v>
      </c>
      <c r="M637">
        <f>ROUND(HEX2DEC(_0811_173439[[#This Row],[5805]])*F$4/F$5+F$6,0)</f>
        <v>42</v>
      </c>
      <c r="N637">
        <f>ROUND(HEX2DEC(_0811_173439[[#This Row],[58DD]])*G$4/G$5+G$6,2)</f>
        <v>-0.03</v>
      </c>
      <c r="P637">
        <v>760</v>
      </c>
      <c r="Q637">
        <v>36</v>
      </c>
      <c r="R637">
        <v>30</v>
      </c>
      <c r="S637">
        <v>70</v>
      </c>
      <c r="T637">
        <v>42</v>
      </c>
      <c r="U637">
        <v>-0.03</v>
      </c>
      <c r="W637">
        <f>DataLog_T717420_Aug11_4_59_37pm[[#This Row],[RPM '[1/MIN']]]-Table3[[#This Row],[580C]]</f>
        <v>0</v>
      </c>
      <c r="X637">
        <f>DataLog_T717420_Aug11_4_59_37pm[[#This Row],[OIL TEMP '[Â°C']]]-Table3[[#This Row],[4402]]</f>
        <v>0</v>
      </c>
      <c r="Y637">
        <f>DataLog_T717420_Aug11_4_59_37pm[[#This Row],[INTAKE TEMP '[Â°C']]]-Table3[[#This Row],[580F]]</f>
        <v>0</v>
      </c>
      <c r="Z637">
        <f>DataLog_T717420_Aug11_4_59_37pm[[#This Row],[HPFP PRES. '[BAR']]]-Table3[[#This Row],[58F0]]</f>
        <v>0</v>
      </c>
      <c r="AA637">
        <f>DataLog_T717420_Aug11_4_59_37pm[[#This Row],[COOLANT TEMP '[Â°C']]]-Table3[[#This Row],[5805]]</f>
        <v>0</v>
      </c>
      <c r="AB637">
        <f>DataLog_T717420_Aug11_4_59_37pm[[#This Row],[BOOST '[BAR']]]-Table3[[#This Row],[58DD]]</f>
        <v>0</v>
      </c>
    </row>
    <row r="638" spans="2:28" x14ac:dyDescent="0.25">
      <c r="B638" s="2" t="s">
        <v>189</v>
      </c>
      <c r="C638" s="2" t="s">
        <v>30</v>
      </c>
      <c r="D638" s="2" t="s">
        <v>151</v>
      </c>
      <c r="E638" s="2" t="s">
        <v>141</v>
      </c>
      <c r="F638" s="2" t="s">
        <v>26</v>
      </c>
      <c r="G638" s="2" t="s">
        <v>236</v>
      </c>
      <c r="I638">
        <f>HEX2DEC(_0811_173439[[#This Row],[580C]])*B$4/B$5+B$6</f>
        <v>760</v>
      </c>
      <c r="J638">
        <f>HEX2DEC(_0811_173439[[#This Row],[4402]])*C$4/C$5+C$6</f>
        <v>36</v>
      </c>
      <c r="K638">
        <f>HEX2DEC(_0811_173439[[#This Row],[580F]])*D$4/D$5+D$6</f>
        <v>30</v>
      </c>
      <c r="L638">
        <f>ROUND(HEX2DEC(_0811_173439[[#This Row],[58F0]])*E$4/E$5+E$6,0)</f>
        <v>70</v>
      </c>
      <c r="M638">
        <f>ROUND(HEX2DEC(_0811_173439[[#This Row],[5805]])*F$4/F$5+F$6,0)</f>
        <v>42</v>
      </c>
      <c r="N638">
        <f>ROUND(HEX2DEC(_0811_173439[[#This Row],[58DD]])*G$4/G$5+G$6,2)</f>
        <v>-0.03</v>
      </c>
      <c r="P638">
        <v>760</v>
      </c>
      <c r="Q638">
        <v>36</v>
      </c>
      <c r="R638">
        <v>30</v>
      </c>
      <c r="S638">
        <v>70</v>
      </c>
      <c r="T638">
        <v>42</v>
      </c>
      <c r="U638">
        <v>-0.03</v>
      </c>
      <c r="W638">
        <f>DataLog_T717420_Aug11_4_59_37pm[[#This Row],[RPM '[1/MIN']]]-Table3[[#This Row],[580C]]</f>
        <v>0</v>
      </c>
      <c r="X638">
        <f>DataLog_T717420_Aug11_4_59_37pm[[#This Row],[OIL TEMP '[Â°C']]]-Table3[[#This Row],[4402]]</f>
        <v>0</v>
      </c>
      <c r="Y638">
        <f>DataLog_T717420_Aug11_4_59_37pm[[#This Row],[INTAKE TEMP '[Â°C']]]-Table3[[#This Row],[580F]]</f>
        <v>0</v>
      </c>
      <c r="Z638">
        <f>DataLog_T717420_Aug11_4_59_37pm[[#This Row],[HPFP PRES. '[BAR']]]-Table3[[#This Row],[58F0]]</f>
        <v>0</v>
      </c>
      <c r="AA638">
        <f>DataLog_T717420_Aug11_4_59_37pm[[#This Row],[COOLANT TEMP '[Â°C']]]-Table3[[#This Row],[5805]]</f>
        <v>0</v>
      </c>
      <c r="AB638">
        <f>DataLog_T717420_Aug11_4_59_37pm[[#This Row],[BOOST '[BAR']]]-Table3[[#This Row],[58DD]]</f>
        <v>0</v>
      </c>
    </row>
    <row r="639" spans="2:28" x14ac:dyDescent="0.25">
      <c r="B639" s="2" t="s">
        <v>189</v>
      </c>
      <c r="C639" s="2" t="s">
        <v>30</v>
      </c>
      <c r="D639" s="2" t="s">
        <v>151</v>
      </c>
      <c r="E639" s="2" t="s">
        <v>140</v>
      </c>
      <c r="F639" s="2" t="s">
        <v>26</v>
      </c>
      <c r="G639" s="2" t="s">
        <v>190</v>
      </c>
      <c r="I639">
        <f>HEX2DEC(_0811_173439[[#This Row],[580C]])*B$4/B$5+B$6</f>
        <v>760</v>
      </c>
      <c r="J639">
        <f>HEX2DEC(_0811_173439[[#This Row],[4402]])*C$4/C$5+C$6</f>
        <v>36</v>
      </c>
      <c r="K639">
        <f>HEX2DEC(_0811_173439[[#This Row],[580F]])*D$4/D$5+D$6</f>
        <v>30</v>
      </c>
      <c r="L639">
        <f>ROUND(HEX2DEC(_0811_173439[[#This Row],[58F0]])*E$4/E$5+E$6,0)</f>
        <v>71</v>
      </c>
      <c r="M639">
        <f>ROUND(HEX2DEC(_0811_173439[[#This Row],[5805]])*F$4/F$5+F$6,0)</f>
        <v>42</v>
      </c>
      <c r="N639">
        <f>ROUND(HEX2DEC(_0811_173439[[#This Row],[58DD]])*G$4/G$5+G$6,2)</f>
        <v>-0.03</v>
      </c>
      <c r="P639">
        <v>760</v>
      </c>
      <c r="Q639">
        <v>36</v>
      </c>
      <c r="R639">
        <v>30</v>
      </c>
      <c r="S639">
        <v>71</v>
      </c>
      <c r="T639">
        <v>42</v>
      </c>
      <c r="U639">
        <v>-0.03</v>
      </c>
      <c r="W639">
        <f>DataLog_T717420_Aug11_4_59_37pm[[#This Row],[RPM '[1/MIN']]]-Table3[[#This Row],[580C]]</f>
        <v>0</v>
      </c>
      <c r="X639">
        <f>DataLog_T717420_Aug11_4_59_37pm[[#This Row],[OIL TEMP '[Â°C']]]-Table3[[#This Row],[4402]]</f>
        <v>0</v>
      </c>
      <c r="Y639">
        <f>DataLog_T717420_Aug11_4_59_37pm[[#This Row],[INTAKE TEMP '[Â°C']]]-Table3[[#This Row],[580F]]</f>
        <v>0</v>
      </c>
      <c r="Z639">
        <f>DataLog_T717420_Aug11_4_59_37pm[[#This Row],[HPFP PRES. '[BAR']]]-Table3[[#This Row],[58F0]]</f>
        <v>0</v>
      </c>
      <c r="AA639">
        <f>DataLog_T717420_Aug11_4_59_37pm[[#This Row],[COOLANT TEMP '[Â°C']]]-Table3[[#This Row],[5805]]</f>
        <v>0</v>
      </c>
      <c r="AB639">
        <f>DataLog_T717420_Aug11_4_59_37pm[[#This Row],[BOOST '[BAR']]]-Table3[[#This Row],[58DD]]</f>
        <v>0</v>
      </c>
    </row>
    <row r="640" spans="2:28" x14ac:dyDescent="0.25">
      <c r="B640" s="2" t="s">
        <v>183</v>
      </c>
      <c r="C640" s="2" t="s">
        <v>30</v>
      </c>
      <c r="D640" s="2" t="s">
        <v>151</v>
      </c>
      <c r="E640" s="2" t="s">
        <v>243</v>
      </c>
      <c r="F640" s="2" t="s">
        <v>26</v>
      </c>
      <c r="G640" s="2" t="s">
        <v>53</v>
      </c>
      <c r="I640">
        <f>HEX2DEC(_0811_173439[[#This Row],[580C]])*B$4/B$5+B$6</f>
        <v>800</v>
      </c>
      <c r="J640">
        <f>HEX2DEC(_0811_173439[[#This Row],[4402]])*C$4/C$5+C$6</f>
        <v>36</v>
      </c>
      <c r="K640">
        <f>HEX2DEC(_0811_173439[[#This Row],[580F]])*D$4/D$5+D$6</f>
        <v>30</v>
      </c>
      <c r="L640">
        <f>ROUND(HEX2DEC(_0811_173439[[#This Row],[58F0]])*E$4/E$5+E$6,0)</f>
        <v>72</v>
      </c>
      <c r="M640">
        <f>ROUND(HEX2DEC(_0811_173439[[#This Row],[5805]])*F$4/F$5+F$6,0)</f>
        <v>42</v>
      </c>
      <c r="N640">
        <f>ROUND(HEX2DEC(_0811_173439[[#This Row],[58DD]])*G$4/G$5+G$6,2)</f>
        <v>-0.03</v>
      </c>
      <c r="P640">
        <v>800</v>
      </c>
      <c r="Q640">
        <v>36</v>
      </c>
      <c r="R640">
        <v>30</v>
      </c>
      <c r="S640">
        <v>72</v>
      </c>
      <c r="T640">
        <v>42</v>
      </c>
      <c r="U640">
        <v>-0.03</v>
      </c>
      <c r="W640">
        <f>DataLog_T717420_Aug11_4_59_37pm[[#This Row],[RPM '[1/MIN']]]-Table3[[#This Row],[580C]]</f>
        <v>0</v>
      </c>
      <c r="X640">
        <f>DataLog_T717420_Aug11_4_59_37pm[[#This Row],[OIL TEMP '[Â°C']]]-Table3[[#This Row],[4402]]</f>
        <v>0</v>
      </c>
      <c r="Y640">
        <f>DataLog_T717420_Aug11_4_59_37pm[[#This Row],[INTAKE TEMP '[Â°C']]]-Table3[[#This Row],[580F]]</f>
        <v>0</v>
      </c>
      <c r="Z640">
        <f>DataLog_T717420_Aug11_4_59_37pm[[#This Row],[HPFP PRES. '[BAR']]]-Table3[[#This Row],[58F0]]</f>
        <v>0</v>
      </c>
      <c r="AA640">
        <f>DataLog_T717420_Aug11_4_59_37pm[[#This Row],[COOLANT TEMP '[Â°C']]]-Table3[[#This Row],[5805]]</f>
        <v>0</v>
      </c>
      <c r="AB640">
        <f>DataLog_T717420_Aug11_4_59_37pm[[#This Row],[BOOST '[BAR']]]-Table3[[#This Row],[58DD]]</f>
        <v>0</v>
      </c>
    </row>
    <row r="641" spans="2:28" x14ac:dyDescent="0.25">
      <c r="B641" s="2" t="s">
        <v>183</v>
      </c>
      <c r="C641" s="2" t="s">
        <v>30</v>
      </c>
      <c r="D641" s="2" t="s">
        <v>151</v>
      </c>
      <c r="E641" s="2" t="s">
        <v>143</v>
      </c>
      <c r="F641" s="2" t="s">
        <v>26</v>
      </c>
      <c r="G641" s="2" t="s">
        <v>235</v>
      </c>
      <c r="I641">
        <f>HEX2DEC(_0811_173439[[#This Row],[580C]])*B$4/B$5+B$6</f>
        <v>800</v>
      </c>
      <c r="J641">
        <f>HEX2DEC(_0811_173439[[#This Row],[4402]])*C$4/C$5+C$6</f>
        <v>36</v>
      </c>
      <c r="K641">
        <f>HEX2DEC(_0811_173439[[#This Row],[580F]])*D$4/D$5+D$6</f>
        <v>30</v>
      </c>
      <c r="L641">
        <f>ROUND(HEX2DEC(_0811_173439[[#This Row],[58F0]])*E$4/E$5+E$6,0)</f>
        <v>71</v>
      </c>
      <c r="M641">
        <f>ROUND(HEX2DEC(_0811_173439[[#This Row],[5805]])*F$4/F$5+F$6,0)</f>
        <v>42</v>
      </c>
      <c r="N641">
        <f>ROUND(HEX2DEC(_0811_173439[[#This Row],[58DD]])*G$4/G$5+G$6,2)</f>
        <v>-0.03</v>
      </c>
      <c r="P641">
        <v>800</v>
      </c>
      <c r="Q641">
        <v>36</v>
      </c>
      <c r="R641">
        <v>30</v>
      </c>
      <c r="S641">
        <v>71</v>
      </c>
      <c r="T641">
        <v>42</v>
      </c>
      <c r="U641">
        <v>-0.03</v>
      </c>
      <c r="W641">
        <f>DataLog_T717420_Aug11_4_59_37pm[[#This Row],[RPM '[1/MIN']]]-Table3[[#This Row],[580C]]</f>
        <v>0</v>
      </c>
      <c r="X641">
        <f>DataLog_T717420_Aug11_4_59_37pm[[#This Row],[OIL TEMP '[Â°C']]]-Table3[[#This Row],[4402]]</f>
        <v>0</v>
      </c>
      <c r="Y641">
        <f>DataLog_T717420_Aug11_4_59_37pm[[#This Row],[INTAKE TEMP '[Â°C']]]-Table3[[#This Row],[580F]]</f>
        <v>0</v>
      </c>
      <c r="Z641">
        <f>DataLog_T717420_Aug11_4_59_37pm[[#This Row],[HPFP PRES. '[BAR']]]-Table3[[#This Row],[58F0]]</f>
        <v>0</v>
      </c>
      <c r="AA641">
        <f>DataLog_T717420_Aug11_4_59_37pm[[#This Row],[COOLANT TEMP '[Â°C']]]-Table3[[#This Row],[5805]]</f>
        <v>0</v>
      </c>
      <c r="AB641">
        <f>DataLog_T717420_Aug11_4_59_37pm[[#This Row],[BOOST '[BAR']]]-Table3[[#This Row],[58DD]]</f>
        <v>0</v>
      </c>
    </row>
    <row r="642" spans="2:28" x14ac:dyDescent="0.25">
      <c r="B642" s="2" t="s">
        <v>183</v>
      </c>
      <c r="C642" s="2" t="s">
        <v>30</v>
      </c>
      <c r="D642" s="2" t="s">
        <v>151</v>
      </c>
      <c r="E642" s="2" t="s">
        <v>161</v>
      </c>
      <c r="F642" s="2" t="s">
        <v>26</v>
      </c>
      <c r="G642" s="2" t="s">
        <v>96</v>
      </c>
      <c r="I642">
        <f>HEX2DEC(_0811_173439[[#This Row],[580C]])*B$4/B$5+B$6</f>
        <v>800</v>
      </c>
      <c r="J642">
        <f>HEX2DEC(_0811_173439[[#This Row],[4402]])*C$4/C$5+C$6</f>
        <v>36</v>
      </c>
      <c r="K642">
        <f>HEX2DEC(_0811_173439[[#This Row],[580F]])*D$4/D$5+D$6</f>
        <v>30</v>
      </c>
      <c r="L642">
        <f>ROUND(HEX2DEC(_0811_173439[[#This Row],[58F0]])*E$4/E$5+E$6,0)</f>
        <v>71</v>
      </c>
      <c r="M642">
        <f>ROUND(HEX2DEC(_0811_173439[[#This Row],[5805]])*F$4/F$5+F$6,0)</f>
        <v>42</v>
      </c>
      <c r="N642">
        <f>ROUND(HEX2DEC(_0811_173439[[#This Row],[58DD]])*G$4/G$5+G$6,2)</f>
        <v>-0.03</v>
      </c>
      <c r="P642">
        <v>800</v>
      </c>
      <c r="Q642">
        <v>36</v>
      </c>
      <c r="R642">
        <v>30</v>
      </c>
      <c r="S642">
        <v>71</v>
      </c>
      <c r="T642">
        <v>42</v>
      </c>
      <c r="U642">
        <v>-0.03</v>
      </c>
      <c r="W642">
        <f>DataLog_T717420_Aug11_4_59_37pm[[#This Row],[RPM '[1/MIN']]]-Table3[[#This Row],[580C]]</f>
        <v>0</v>
      </c>
      <c r="X642">
        <f>DataLog_T717420_Aug11_4_59_37pm[[#This Row],[OIL TEMP '[Â°C']]]-Table3[[#This Row],[4402]]</f>
        <v>0</v>
      </c>
      <c r="Y642">
        <f>DataLog_T717420_Aug11_4_59_37pm[[#This Row],[INTAKE TEMP '[Â°C']]]-Table3[[#This Row],[580F]]</f>
        <v>0</v>
      </c>
      <c r="Z642">
        <f>DataLog_T717420_Aug11_4_59_37pm[[#This Row],[HPFP PRES. '[BAR']]]-Table3[[#This Row],[58F0]]</f>
        <v>0</v>
      </c>
      <c r="AA642">
        <f>DataLog_T717420_Aug11_4_59_37pm[[#This Row],[COOLANT TEMP '[Â°C']]]-Table3[[#This Row],[5805]]</f>
        <v>0</v>
      </c>
      <c r="AB642">
        <f>DataLog_T717420_Aug11_4_59_37pm[[#This Row],[BOOST '[BAR']]]-Table3[[#This Row],[58DD]]</f>
        <v>0</v>
      </c>
    </row>
    <row r="643" spans="2:28" x14ac:dyDescent="0.25">
      <c r="B643" s="2" t="s">
        <v>183</v>
      </c>
      <c r="C643" s="2" t="s">
        <v>30</v>
      </c>
      <c r="D643" s="2" t="s">
        <v>151</v>
      </c>
      <c r="E643" s="2" t="s">
        <v>244</v>
      </c>
      <c r="F643" s="2" t="s">
        <v>26</v>
      </c>
      <c r="G643" s="2" t="s">
        <v>245</v>
      </c>
      <c r="I643">
        <f>HEX2DEC(_0811_173439[[#This Row],[580C]])*B$4/B$5+B$6</f>
        <v>800</v>
      </c>
      <c r="J643">
        <f>HEX2DEC(_0811_173439[[#This Row],[4402]])*C$4/C$5+C$6</f>
        <v>36</v>
      </c>
      <c r="K643">
        <f>HEX2DEC(_0811_173439[[#This Row],[580F]])*D$4/D$5+D$6</f>
        <v>30</v>
      </c>
      <c r="L643">
        <f>ROUND(HEX2DEC(_0811_173439[[#This Row],[58F0]])*E$4/E$5+E$6,0)</f>
        <v>72</v>
      </c>
      <c r="M643">
        <f>ROUND(HEX2DEC(_0811_173439[[#This Row],[5805]])*F$4/F$5+F$6,0)</f>
        <v>42</v>
      </c>
      <c r="N643">
        <f>ROUND(HEX2DEC(_0811_173439[[#This Row],[58DD]])*G$4/G$5+G$6,2)</f>
        <v>-0.03</v>
      </c>
      <c r="P643">
        <v>800</v>
      </c>
      <c r="Q643">
        <v>36</v>
      </c>
      <c r="R643">
        <v>30</v>
      </c>
      <c r="S643">
        <v>72</v>
      </c>
      <c r="T643">
        <v>42</v>
      </c>
      <c r="U643">
        <v>-0.03</v>
      </c>
      <c r="W643">
        <f>DataLog_T717420_Aug11_4_59_37pm[[#This Row],[RPM '[1/MIN']]]-Table3[[#This Row],[580C]]</f>
        <v>0</v>
      </c>
      <c r="X643">
        <f>DataLog_T717420_Aug11_4_59_37pm[[#This Row],[OIL TEMP '[Â°C']]]-Table3[[#This Row],[4402]]</f>
        <v>0</v>
      </c>
      <c r="Y643">
        <f>DataLog_T717420_Aug11_4_59_37pm[[#This Row],[INTAKE TEMP '[Â°C']]]-Table3[[#This Row],[580F]]</f>
        <v>0</v>
      </c>
      <c r="Z643">
        <f>DataLog_T717420_Aug11_4_59_37pm[[#This Row],[HPFP PRES. '[BAR']]]-Table3[[#This Row],[58F0]]</f>
        <v>0</v>
      </c>
      <c r="AA643">
        <f>DataLog_T717420_Aug11_4_59_37pm[[#This Row],[COOLANT TEMP '[Â°C']]]-Table3[[#This Row],[5805]]</f>
        <v>0</v>
      </c>
      <c r="AB643">
        <f>DataLog_T717420_Aug11_4_59_37pm[[#This Row],[BOOST '[BAR']]]-Table3[[#This Row],[58DD]]</f>
        <v>0</v>
      </c>
    </row>
    <row r="644" spans="2:28" x14ac:dyDescent="0.25">
      <c r="B644" s="2" t="s">
        <v>189</v>
      </c>
      <c r="C644" s="2" t="s">
        <v>30</v>
      </c>
      <c r="D644" s="2" t="s">
        <v>151</v>
      </c>
      <c r="E644" s="2" t="s">
        <v>206</v>
      </c>
      <c r="F644" s="2" t="s">
        <v>26</v>
      </c>
      <c r="G644" s="2" t="s">
        <v>236</v>
      </c>
      <c r="I644">
        <f>HEX2DEC(_0811_173439[[#This Row],[580C]])*B$4/B$5+B$6</f>
        <v>760</v>
      </c>
      <c r="J644">
        <f>HEX2DEC(_0811_173439[[#This Row],[4402]])*C$4/C$5+C$6</f>
        <v>36</v>
      </c>
      <c r="K644">
        <f>HEX2DEC(_0811_173439[[#This Row],[580F]])*D$4/D$5+D$6</f>
        <v>30</v>
      </c>
      <c r="L644">
        <f>ROUND(HEX2DEC(_0811_173439[[#This Row],[58F0]])*E$4/E$5+E$6,0)</f>
        <v>71</v>
      </c>
      <c r="M644">
        <f>ROUND(HEX2DEC(_0811_173439[[#This Row],[5805]])*F$4/F$5+F$6,0)</f>
        <v>42</v>
      </c>
      <c r="N644">
        <f>ROUND(HEX2DEC(_0811_173439[[#This Row],[58DD]])*G$4/G$5+G$6,2)</f>
        <v>-0.03</v>
      </c>
      <c r="P644">
        <v>760</v>
      </c>
      <c r="Q644">
        <v>36</v>
      </c>
      <c r="R644">
        <v>30</v>
      </c>
      <c r="S644">
        <v>71</v>
      </c>
      <c r="T644">
        <v>42</v>
      </c>
      <c r="U644">
        <v>-0.03</v>
      </c>
      <c r="W644">
        <f>DataLog_T717420_Aug11_4_59_37pm[[#This Row],[RPM '[1/MIN']]]-Table3[[#This Row],[580C]]</f>
        <v>0</v>
      </c>
      <c r="X644">
        <f>DataLog_T717420_Aug11_4_59_37pm[[#This Row],[OIL TEMP '[Â°C']]]-Table3[[#This Row],[4402]]</f>
        <v>0</v>
      </c>
      <c r="Y644">
        <f>DataLog_T717420_Aug11_4_59_37pm[[#This Row],[INTAKE TEMP '[Â°C']]]-Table3[[#This Row],[580F]]</f>
        <v>0</v>
      </c>
      <c r="Z644">
        <f>DataLog_T717420_Aug11_4_59_37pm[[#This Row],[HPFP PRES. '[BAR']]]-Table3[[#This Row],[58F0]]</f>
        <v>0</v>
      </c>
      <c r="AA644">
        <f>DataLog_T717420_Aug11_4_59_37pm[[#This Row],[COOLANT TEMP '[Â°C']]]-Table3[[#This Row],[5805]]</f>
        <v>0</v>
      </c>
      <c r="AB644">
        <f>DataLog_T717420_Aug11_4_59_37pm[[#This Row],[BOOST '[BAR']]]-Table3[[#This Row],[58DD]]</f>
        <v>0</v>
      </c>
    </row>
    <row r="645" spans="2:28" x14ac:dyDescent="0.25">
      <c r="B645" s="2" t="s">
        <v>189</v>
      </c>
      <c r="C645" s="2" t="s">
        <v>30</v>
      </c>
      <c r="D645" s="2" t="s">
        <v>151</v>
      </c>
      <c r="E645" s="2" t="s">
        <v>217</v>
      </c>
      <c r="F645" s="2" t="s">
        <v>26</v>
      </c>
      <c r="G645" s="2" t="s">
        <v>236</v>
      </c>
      <c r="I645">
        <f>HEX2DEC(_0811_173439[[#This Row],[580C]])*B$4/B$5+B$6</f>
        <v>760</v>
      </c>
      <c r="J645">
        <f>HEX2DEC(_0811_173439[[#This Row],[4402]])*C$4/C$5+C$6</f>
        <v>36</v>
      </c>
      <c r="K645">
        <f>HEX2DEC(_0811_173439[[#This Row],[580F]])*D$4/D$5+D$6</f>
        <v>30</v>
      </c>
      <c r="L645">
        <f>ROUND(HEX2DEC(_0811_173439[[#This Row],[58F0]])*E$4/E$5+E$6,0)</f>
        <v>71</v>
      </c>
      <c r="M645">
        <f>ROUND(HEX2DEC(_0811_173439[[#This Row],[5805]])*F$4/F$5+F$6,0)</f>
        <v>42</v>
      </c>
      <c r="N645">
        <f>ROUND(HEX2DEC(_0811_173439[[#This Row],[58DD]])*G$4/G$5+G$6,2)</f>
        <v>-0.03</v>
      </c>
      <c r="P645">
        <v>760</v>
      </c>
      <c r="Q645">
        <v>36</v>
      </c>
      <c r="R645">
        <v>30</v>
      </c>
      <c r="S645">
        <v>71</v>
      </c>
      <c r="T645">
        <v>42</v>
      </c>
      <c r="U645">
        <v>-0.03</v>
      </c>
      <c r="W645">
        <f>DataLog_T717420_Aug11_4_59_37pm[[#This Row],[RPM '[1/MIN']]]-Table3[[#This Row],[580C]]</f>
        <v>0</v>
      </c>
      <c r="X645">
        <f>DataLog_T717420_Aug11_4_59_37pm[[#This Row],[OIL TEMP '[Â°C']]]-Table3[[#This Row],[4402]]</f>
        <v>0</v>
      </c>
      <c r="Y645">
        <f>DataLog_T717420_Aug11_4_59_37pm[[#This Row],[INTAKE TEMP '[Â°C']]]-Table3[[#This Row],[580F]]</f>
        <v>0</v>
      </c>
      <c r="Z645">
        <f>DataLog_T717420_Aug11_4_59_37pm[[#This Row],[HPFP PRES. '[BAR']]]-Table3[[#This Row],[58F0]]</f>
        <v>0</v>
      </c>
      <c r="AA645">
        <f>DataLog_T717420_Aug11_4_59_37pm[[#This Row],[COOLANT TEMP '[Â°C']]]-Table3[[#This Row],[5805]]</f>
        <v>0</v>
      </c>
      <c r="AB645">
        <f>DataLog_T717420_Aug11_4_59_37pm[[#This Row],[BOOST '[BAR']]]-Table3[[#This Row],[58DD]]</f>
        <v>0</v>
      </c>
    </row>
    <row r="646" spans="2:28" x14ac:dyDescent="0.25">
      <c r="B646" s="2" t="s">
        <v>189</v>
      </c>
      <c r="C646" s="2" t="s">
        <v>30</v>
      </c>
      <c r="D646" s="2" t="s">
        <v>151</v>
      </c>
      <c r="E646" s="2" t="s">
        <v>202</v>
      </c>
      <c r="F646" s="2" t="s">
        <v>26</v>
      </c>
      <c r="G646" s="2" t="s">
        <v>236</v>
      </c>
      <c r="I646">
        <f>HEX2DEC(_0811_173439[[#This Row],[580C]])*B$4/B$5+B$6</f>
        <v>760</v>
      </c>
      <c r="J646">
        <f>HEX2DEC(_0811_173439[[#This Row],[4402]])*C$4/C$5+C$6</f>
        <v>36</v>
      </c>
      <c r="K646">
        <f>HEX2DEC(_0811_173439[[#This Row],[580F]])*D$4/D$5+D$6</f>
        <v>30</v>
      </c>
      <c r="L646">
        <f>ROUND(HEX2DEC(_0811_173439[[#This Row],[58F0]])*E$4/E$5+E$6,0)</f>
        <v>71</v>
      </c>
      <c r="M646">
        <f>ROUND(HEX2DEC(_0811_173439[[#This Row],[5805]])*F$4/F$5+F$6,0)</f>
        <v>42</v>
      </c>
      <c r="N646">
        <f>ROUND(HEX2DEC(_0811_173439[[#This Row],[58DD]])*G$4/G$5+G$6,2)</f>
        <v>-0.03</v>
      </c>
      <c r="P646">
        <v>760</v>
      </c>
      <c r="Q646">
        <v>36</v>
      </c>
      <c r="R646">
        <v>30</v>
      </c>
      <c r="S646">
        <v>71</v>
      </c>
      <c r="T646">
        <v>42</v>
      </c>
      <c r="U646">
        <v>-0.03</v>
      </c>
      <c r="W646">
        <f>DataLog_T717420_Aug11_4_59_37pm[[#This Row],[RPM '[1/MIN']]]-Table3[[#This Row],[580C]]</f>
        <v>0</v>
      </c>
      <c r="X646">
        <f>DataLog_T717420_Aug11_4_59_37pm[[#This Row],[OIL TEMP '[Â°C']]]-Table3[[#This Row],[4402]]</f>
        <v>0</v>
      </c>
      <c r="Y646">
        <f>DataLog_T717420_Aug11_4_59_37pm[[#This Row],[INTAKE TEMP '[Â°C']]]-Table3[[#This Row],[580F]]</f>
        <v>0</v>
      </c>
      <c r="Z646">
        <f>DataLog_T717420_Aug11_4_59_37pm[[#This Row],[HPFP PRES. '[BAR']]]-Table3[[#This Row],[58F0]]</f>
        <v>0</v>
      </c>
      <c r="AA646">
        <f>DataLog_T717420_Aug11_4_59_37pm[[#This Row],[COOLANT TEMP '[Â°C']]]-Table3[[#This Row],[5805]]</f>
        <v>0</v>
      </c>
      <c r="AB646">
        <f>DataLog_T717420_Aug11_4_59_37pm[[#This Row],[BOOST '[BAR']]]-Table3[[#This Row],[58DD]]</f>
        <v>0</v>
      </c>
    </row>
    <row r="647" spans="2:28" x14ac:dyDescent="0.25">
      <c r="B647" s="2" t="s">
        <v>189</v>
      </c>
      <c r="C647" s="2" t="s">
        <v>30</v>
      </c>
      <c r="D647" s="2" t="s">
        <v>151</v>
      </c>
      <c r="E647" s="2" t="s">
        <v>135</v>
      </c>
      <c r="F647" s="2" t="s">
        <v>26</v>
      </c>
      <c r="G647" s="2" t="s">
        <v>90</v>
      </c>
      <c r="I647">
        <f>HEX2DEC(_0811_173439[[#This Row],[580C]])*B$4/B$5+B$6</f>
        <v>760</v>
      </c>
      <c r="J647">
        <f>HEX2DEC(_0811_173439[[#This Row],[4402]])*C$4/C$5+C$6</f>
        <v>36</v>
      </c>
      <c r="K647">
        <f>HEX2DEC(_0811_173439[[#This Row],[580F]])*D$4/D$5+D$6</f>
        <v>30</v>
      </c>
      <c r="L647">
        <f>ROUND(HEX2DEC(_0811_173439[[#This Row],[58F0]])*E$4/E$5+E$6,0)</f>
        <v>71</v>
      </c>
      <c r="M647">
        <f>ROUND(HEX2DEC(_0811_173439[[#This Row],[5805]])*F$4/F$5+F$6,0)</f>
        <v>42</v>
      </c>
      <c r="N647">
        <f>ROUND(HEX2DEC(_0811_173439[[#This Row],[58DD]])*G$4/G$5+G$6,2)</f>
        <v>-0.03</v>
      </c>
      <c r="P647">
        <v>760</v>
      </c>
      <c r="Q647">
        <v>36</v>
      </c>
      <c r="R647">
        <v>30</v>
      </c>
      <c r="S647">
        <v>71</v>
      </c>
      <c r="T647">
        <v>42</v>
      </c>
      <c r="U647">
        <v>-0.03</v>
      </c>
      <c r="W647">
        <f>DataLog_T717420_Aug11_4_59_37pm[[#This Row],[RPM '[1/MIN']]]-Table3[[#This Row],[580C]]</f>
        <v>0</v>
      </c>
      <c r="X647">
        <f>DataLog_T717420_Aug11_4_59_37pm[[#This Row],[OIL TEMP '[Â°C']]]-Table3[[#This Row],[4402]]</f>
        <v>0</v>
      </c>
      <c r="Y647">
        <f>DataLog_T717420_Aug11_4_59_37pm[[#This Row],[INTAKE TEMP '[Â°C']]]-Table3[[#This Row],[580F]]</f>
        <v>0</v>
      </c>
      <c r="Z647">
        <f>DataLog_T717420_Aug11_4_59_37pm[[#This Row],[HPFP PRES. '[BAR']]]-Table3[[#This Row],[58F0]]</f>
        <v>0</v>
      </c>
      <c r="AA647">
        <f>DataLog_T717420_Aug11_4_59_37pm[[#This Row],[COOLANT TEMP '[Â°C']]]-Table3[[#This Row],[5805]]</f>
        <v>0</v>
      </c>
      <c r="AB647">
        <f>DataLog_T717420_Aug11_4_59_37pm[[#This Row],[BOOST '[BAR']]]-Table3[[#This Row],[58DD]]</f>
        <v>0</v>
      </c>
    </row>
    <row r="648" spans="2:28" x14ac:dyDescent="0.25">
      <c r="B648" s="2" t="s">
        <v>189</v>
      </c>
      <c r="C648" s="2" t="s">
        <v>30</v>
      </c>
      <c r="D648" s="2" t="s">
        <v>151</v>
      </c>
      <c r="E648" s="2" t="s">
        <v>206</v>
      </c>
      <c r="F648" s="2" t="s">
        <v>26</v>
      </c>
      <c r="G648" s="2" t="s">
        <v>53</v>
      </c>
      <c r="I648">
        <f>HEX2DEC(_0811_173439[[#This Row],[580C]])*B$4/B$5+B$6</f>
        <v>760</v>
      </c>
      <c r="J648">
        <f>HEX2DEC(_0811_173439[[#This Row],[4402]])*C$4/C$5+C$6</f>
        <v>36</v>
      </c>
      <c r="K648">
        <f>HEX2DEC(_0811_173439[[#This Row],[580F]])*D$4/D$5+D$6</f>
        <v>30</v>
      </c>
      <c r="L648">
        <f>ROUND(HEX2DEC(_0811_173439[[#This Row],[58F0]])*E$4/E$5+E$6,0)</f>
        <v>71</v>
      </c>
      <c r="M648">
        <f>ROUND(HEX2DEC(_0811_173439[[#This Row],[5805]])*F$4/F$5+F$6,0)</f>
        <v>42</v>
      </c>
      <c r="N648">
        <f>ROUND(HEX2DEC(_0811_173439[[#This Row],[58DD]])*G$4/G$5+G$6,2)</f>
        <v>-0.03</v>
      </c>
      <c r="P648">
        <v>760</v>
      </c>
      <c r="Q648">
        <v>36</v>
      </c>
      <c r="R648">
        <v>30</v>
      </c>
      <c r="S648">
        <v>71</v>
      </c>
      <c r="T648">
        <v>42</v>
      </c>
      <c r="U648">
        <v>-0.03</v>
      </c>
      <c r="W648">
        <f>DataLog_T717420_Aug11_4_59_37pm[[#This Row],[RPM '[1/MIN']]]-Table3[[#This Row],[580C]]</f>
        <v>0</v>
      </c>
      <c r="X648">
        <f>DataLog_T717420_Aug11_4_59_37pm[[#This Row],[OIL TEMP '[Â°C']]]-Table3[[#This Row],[4402]]</f>
        <v>0</v>
      </c>
      <c r="Y648">
        <f>DataLog_T717420_Aug11_4_59_37pm[[#This Row],[INTAKE TEMP '[Â°C']]]-Table3[[#This Row],[580F]]</f>
        <v>0</v>
      </c>
      <c r="Z648">
        <f>DataLog_T717420_Aug11_4_59_37pm[[#This Row],[HPFP PRES. '[BAR']]]-Table3[[#This Row],[58F0]]</f>
        <v>0</v>
      </c>
      <c r="AA648">
        <f>DataLog_T717420_Aug11_4_59_37pm[[#This Row],[COOLANT TEMP '[Â°C']]]-Table3[[#This Row],[5805]]</f>
        <v>0</v>
      </c>
      <c r="AB648">
        <f>DataLog_T717420_Aug11_4_59_37pm[[#This Row],[BOOST '[BAR']]]-Table3[[#This Row],[58DD]]</f>
        <v>0</v>
      </c>
    </row>
    <row r="649" spans="2:28" x14ac:dyDescent="0.25">
      <c r="B649" s="2" t="s">
        <v>189</v>
      </c>
      <c r="C649" s="2" t="s">
        <v>30</v>
      </c>
      <c r="D649" s="2" t="s">
        <v>151</v>
      </c>
      <c r="E649" s="2" t="s">
        <v>184</v>
      </c>
      <c r="F649" s="2" t="s">
        <v>26</v>
      </c>
      <c r="G649" s="2" t="s">
        <v>236</v>
      </c>
      <c r="I649">
        <f>HEX2DEC(_0811_173439[[#This Row],[580C]])*B$4/B$5+B$6</f>
        <v>760</v>
      </c>
      <c r="J649">
        <f>HEX2DEC(_0811_173439[[#This Row],[4402]])*C$4/C$5+C$6</f>
        <v>36</v>
      </c>
      <c r="K649">
        <f>HEX2DEC(_0811_173439[[#This Row],[580F]])*D$4/D$5+D$6</f>
        <v>30</v>
      </c>
      <c r="L649">
        <f>ROUND(HEX2DEC(_0811_173439[[#This Row],[58F0]])*E$4/E$5+E$6,0)</f>
        <v>71</v>
      </c>
      <c r="M649">
        <f>ROUND(HEX2DEC(_0811_173439[[#This Row],[5805]])*F$4/F$5+F$6,0)</f>
        <v>42</v>
      </c>
      <c r="N649">
        <f>ROUND(HEX2DEC(_0811_173439[[#This Row],[58DD]])*G$4/G$5+G$6,2)</f>
        <v>-0.03</v>
      </c>
      <c r="P649">
        <v>760</v>
      </c>
      <c r="Q649">
        <v>36</v>
      </c>
      <c r="R649">
        <v>30</v>
      </c>
      <c r="S649">
        <v>71</v>
      </c>
      <c r="T649">
        <v>42</v>
      </c>
      <c r="U649">
        <v>-0.03</v>
      </c>
      <c r="W649">
        <f>DataLog_T717420_Aug11_4_59_37pm[[#This Row],[RPM '[1/MIN']]]-Table3[[#This Row],[580C]]</f>
        <v>0</v>
      </c>
      <c r="X649">
        <f>DataLog_T717420_Aug11_4_59_37pm[[#This Row],[OIL TEMP '[Â°C']]]-Table3[[#This Row],[4402]]</f>
        <v>0</v>
      </c>
      <c r="Y649">
        <f>DataLog_T717420_Aug11_4_59_37pm[[#This Row],[INTAKE TEMP '[Â°C']]]-Table3[[#This Row],[580F]]</f>
        <v>0</v>
      </c>
      <c r="Z649">
        <f>DataLog_T717420_Aug11_4_59_37pm[[#This Row],[HPFP PRES. '[BAR']]]-Table3[[#This Row],[58F0]]</f>
        <v>0</v>
      </c>
      <c r="AA649">
        <f>DataLog_T717420_Aug11_4_59_37pm[[#This Row],[COOLANT TEMP '[Â°C']]]-Table3[[#This Row],[5805]]</f>
        <v>0</v>
      </c>
      <c r="AB649">
        <f>DataLog_T717420_Aug11_4_59_37pm[[#This Row],[BOOST '[BAR']]]-Table3[[#This Row],[58DD]]</f>
        <v>0</v>
      </c>
    </row>
    <row r="650" spans="2:28" x14ac:dyDescent="0.25">
      <c r="B650" s="2" t="s">
        <v>189</v>
      </c>
      <c r="C650" s="2" t="s">
        <v>30</v>
      </c>
      <c r="D650" s="2" t="s">
        <v>151</v>
      </c>
      <c r="E650" s="2" t="s">
        <v>127</v>
      </c>
      <c r="F650" s="2" t="s">
        <v>26</v>
      </c>
      <c r="G650" s="2" t="s">
        <v>71</v>
      </c>
      <c r="I650">
        <f>HEX2DEC(_0811_173439[[#This Row],[580C]])*B$4/B$5+B$6</f>
        <v>760</v>
      </c>
      <c r="J650">
        <f>HEX2DEC(_0811_173439[[#This Row],[4402]])*C$4/C$5+C$6</f>
        <v>36</v>
      </c>
      <c r="K650">
        <f>HEX2DEC(_0811_173439[[#This Row],[580F]])*D$4/D$5+D$6</f>
        <v>30</v>
      </c>
      <c r="L650">
        <f>ROUND(HEX2DEC(_0811_173439[[#This Row],[58F0]])*E$4/E$5+E$6,0)</f>
        <v>70</v>
      </c>
      <c r="M650">
        <f>ROUND(HEX2DEC(_0811_173439[[#This Row],[5805]])*F$4/F$5+F$6,0)</f>
        <v>42</v>
      </c>
      <c r="N650">
        <f>ROUND(HEX2DEC(_0811_173439[[#This Row],[58DD]])*G$4/G$5+G$6,2)</f>
        <v>-0.03</v>
      </c>
      <c r="P650">
        <v>760</v>
      </c>
      <c r="Q650">
        <v>36</v>
      </c>
      <c r="R650">
        <v>30</v>
      </c>
      <c r="S650">
        <v>70</v>
      </c>
      <c r="T650">
        <v>42</v>
      </c>
      <c r="U650">
        <v>-0.03</v>
      </c>
      <c r="W650">
        <f>DataLog_T717420_Aug11_4_59_37pm[[#This Row],[RPM '[1/MIN']]]-Table3[[#This Row],[580C]]</f>
        <v>0</v>
      </c>
      <c r="X650">
        <f>DataLog_T717420_Aug11_4_59_37pm[[#This Row],[OIL TEMP '[Â°C']]]-Table3[[#This Row],[4402]]</f>
        <v>0</v>
      </c>
      <c r="Y650">
        <f>DataLog_T717420_Aug11_4_59_37pm[[#This Row],[INTAKE TEMP '[Â°C']]]-Table3[[#This Row],[580F]]</f>
        <v>0</v>
      </c>
      <c r="Z650">
        <f>DataLog_T717420_Aug11_4_59_37pm[[#This Row],[HPFP PRES. '[BAR']]]-Table3[[#This Row],[58F0]]</f>
        <v>0</v>
      </c>
      <c r="AA650">
        <f>DataLog_T717420_Aug11_4_59_37pm[[#This Row],[COOLANT TEMP '[Â°C']]]-Table3[[#This Row],[5805]]</f>
        <v>0</v>
      </c>
      <c r="AB650">
        <f>DataLog_T717420_Aug11_4_59_37pm[[#This Row],[BOOST '[BAR']]]-Table3[[#This Row],[58DD]]</f>
        <v>0</v>
      </c>
    </row>
    <row r="651" spans="2:28" x14ac:dyDescent="0.25">
      <c r="B651" s="2" t="s">
        <v>189</v>
      </c>
      <c r="C651" s="2" t="s">
        <v>30</v>
      </c>
      <c r="D651" s="2" t="s">
        <v>151</v>
      </c>
      <c r="E651" s="2" t="s">
        <v>93</v>
      </c>
      <c r="F651" s="2" t="s">
        <v>26</v>
      </c>
      <c r="G651" s="2" t="s">
        <v>236</v>
      </c>
      <c r="I651">
        <f>HEX2DEC(_0811_173439[[#This Row],[580C]])*B$4/B$5+B$6</f>
        <v>760</v>
      </c>
      <c r="J651">
        <f>HEX2DEC(_0811_173439[[#This Row],[4402]])*C$4/C$5+C$6</f>
        <v>36</v>
      </c>
      <c r="K651">
        <f>HEX2DEC(_0811_173439[[#This Row],[580F]])*D$4/D$5+D$6</f>
        <v>30</v>
      </c>
      <c r="L651">
        <f>ROUND(HEX2DEC(_0811_173439[[#This Row],[58F0]])*E$4/E$5+E$6,0)</f>
        <v>70</v>
      </c>
      <c r="M651">
        <f>ROUND(HEX2DEC(_0811_173439[[#This Row],[5805]])*F$4/F$5+F$6,0)</f>
        <v>42</v>
      </c>
      <c r="N651">
        <f>ROUND(HEX2DEC(_0811_173439[[#This Row],[58DD]])*G$4/G$5+G$6,2)</f>
        <v>-0.03</v>
      </c>
      <c r="P651">
        <v>760</v>
      </c>
      <c r="Q651">
        <v>36</v>
      </c>
      <c r="R651">
        <v>30</v>
      </c>
      <c r="S651">
        <v>70</v>
      </c>
      <c r="T651">
        <v>42</v>
      </c>
      <c r="U651">
        <v>-0.03</v>
      </c>
      <c r="W651">
        <f>DataLog_T717420_Aug11_4_59_37pm[[#This Row],[RPM '[1/MIN']]]-Table3[[#This Row],[580C]]</f>
        <v>0</v>
      </c>
      <c r="X651">
        <f>DataLog_T717420_Aug11_4_59_37pm[[#This Row],[OIL TEMP '[Â°C']]]-Table3[[#This Row],[4402]]</f>
        <v>0</v>
      </c>
      <c r="Y651">
        <f>DataLog_T717420_Aug11_4_59_37pm[[#This Row],[INTAKE TEMP '[Â°C']]]-Table3[[#This Row],[580F]]</f>
        <v>0</v>
      </c>
      <c r="Z651">
        <f>DataLog_T717420_Aug11_4_59_37pm[[#This Row],[HPFP PRES. '[BAR']]]-Table3[[#This Row],[58F0]]</f>
        <v>0</v>
      </c>
      <c r="AA651">
        <f>DataLog_T717420_Aug11_4_59_37pm[[#This Row],[COOLANT TEMP '[Â°C']]]-Table3[[#This Row],[5805]]</f>
        <v>0</v>
      </c>
      <c r="AB651">
        <f>DataLog_T717420_Aug11_4_59_37pm[[#This Row],[BOOST '[BAR']]]-Table3[[#This Row],[58DD]]</f>
        <v>0</v>
      </c>
    </row>
    <row r="652" spans="2:28" x14ac:dyDescent="0.25">
      <c r="B652" s="2" t="s">
        <v>189</v>
      </c>
      <c r="C652" s="2" t="s">
        <v>30</v>
      </c>
      <c r="D652" s="2" t="s">
        <v>151</v>
      </c>
      <c r="E652" s="2" t="s">
        <v>124</v>
      </c>
      <c r="F652" s="2" t="s">
        <v>26</v>
      </c>
      <c r="G652" s="2" t="s">
        <v>53</v>
      </c>
      <c r="I652">
        <f>HEX2DEC(_0811_173439[[#This Row],[580C]])*B$4/B$5+B$6</f>
        <v>760</v>
      </c>
      <c r="J652">
        <f>HEX2DEC(_0811_173439[[#This Row],[4402]])*C$4/C$5+C$6</f>
        <v>36</v>
      </c>
      <c r="K652">
        <f>HEX2DEC(_0811_173439[[#This Row],[580F]])*D$4/D$5+D$6</f>
        <v>30</v>
      </c>
      <c r="L652">
        <f>ROUND(HEX2DEC(_0811_173439[[#This Row],[58F0]])*E$4/E$5+E$6,0)</f>
        <v>71</v>
      </c>
      <c r="M652">
        <f>ROUND(HEX2DEC(_0811_173439[[#This Row],[5805]])*F$4/F$5+F$6,0)</f>
        <v>42</v>
      </c>
      <c r="N652">
        <f>ROUND(HEX2DEC(_0811_173439[[#This Row],[58DD]])*G$4/G$5+G$6,2)</f>
        <v>-0.03</v>
      </c>
      <c r="P652">
        <v>760</v>
      </c>
      <c r="Q652">
        <v>36</v>
      </c>
      <c r="R652">
        <v>30</v>
      </c>
      <c r="S652">
        <v>71</v>
      </c>
      <c r="T652">
        <v>42</v>
      </c>
      <c r="U652">
        <v>-0.03</v>
      </c>
      <c r="W652">
        <f>DataLog_T717420_Aug11_4_59_37pm[[#This Row],[RPM '[1/MIN']]]-Table3[[#This Row],[580C]]</f>
        <v>0</v>
      </c>
      <c r="X652">
        <f>DataLog_T717420_Aug11_4_59_37pm[[#This Row],[OIL TEMP '[Â°C']]]-Table3[[#This Row],[4402]]</f>
        <v>0</v>
      </c>
      <c r="Y652">
        <f>DataLog_T717420_Aug11_4_59_37pm[[#This Row],[INTAKE TEMP '[Â°C']]]-Table3[[#This Row],[580F]]</f>
        <v>0</v>
      </c>
      <c r="Z652">
        <f>DataLog_T717420_Aug11_4_59_37pm[[#This Row],[HPFP PRES. '[BAR']]]-Table3[[#This Row],[58F0]]</f>
        <v>0</v>
      </c>
      <c r="AA652">
        <f>DataLog_T717420_Aug11_4_59_37pm[[#This Row],[COOLANT TEMP '[Â°C']]]-Table3[[#This Row],[5805]]</f>
        <v>0</v>
      </c>
      <c r="AB652">
        <f>DataLog_T717420_Aug11_4_59_37pm[[#This Row],[BOOST '[BAR']]]-Table3[[#This Row],[58DD]]</f>
        <v>0</v>
      </c>
    </row>
    <row r="653" spans="2:28" x14ac:dyDescent="0.25">
      <c r="B653" s="2" t="s">
        <v>189</v>
      </c>
      <c r="C653" s="2" t="s">
        <v>30</v>
      </c>
      <c r="D653" s="2" t="s">
        <v>151</v>
      </c>
      <c r="E653" s="2" t="s">
        <v>195</v>
      </c>
      <c r="F653" s="2" t="s">
        <v>26</v>
      </c>
      <c r="G653" s="2" t="s">
        <v>216</v>
      </c>
      <c r="I653">
        <f>HEX2DEC(_0811_173439[[#This Row],[580C]])*B$4/B$5+B$6</f>
        <v>760</v>
      </c>
      <c r="J653">
        <f>HEX2DEC(_0811_173439[[#This Row],[4402]])*C$4/C$5+C$6</f>
        <v>36</v>
      </c>
      <c r="K653">
        <f>HEX2DEC(_0811_173439[[#This Row],[580F]])*D$4/D$5+D$6</f>
        <v>30</v>
      </c>
      <c r="L653">
        <f>ROUND(HEX2DEC(_0811_173439[[#This Row],[58F0]])*E$4/E$5+E$6,0)</f>
        <v>70</v>
      </c>
      <c r="M653">
        <f>ROUND(HEX2DEC(_0811_173439[[#This Row],[5805]])*F$4/F$5+F$6,0)</f>
        <v>42</v>
      </c>
      <c r="N653">
        <f>ROUND(HEX2DEC(_0811_173439[[#This Row],[58DD]])*G$4/G$5+G$6,2)</f>
        <v>-0.03</v>
      </c>
      <c r="P653">
        <v>760</v>
      </c>
      <c r="Q653">
        <v>36</v>
      </c>
      <c r="R653">
        <v>30</v>
      </c>
      <c r="S653">
        <v>70</v>
      </c>
      <c r="T653">
        <v>42</v>
      </c>
      <c r="U653">
        <v>-0.03</v>
      </c>
      <c r="W653">
        <f>DataLog_T717420_Aug11_4_59_37pm[[#This Row],[RPM '[1/MIN']]]-Table3[[#This Row],[580C]]</f>
        <v>0</v>
      </c>
      <c r="X653">
        <f>DataLog_T717420_Aug11_4_59_37pm[[#This Row],[OIL TEMP '[Â°C']]]-Table3[[#This Row],[4402]]</f>
        <v>0</v>
      </c>
      <c r="Y653">
        <f>DataLog_T717420_Aug11_4_59_37pm[[#This Row],[INTAKE TEMP '[Â°C']]]-Table3[[#This Row],[580F]]</f>
        <v>0</v>
      </c>
      <c r="Z653">
        <f>DataLog_T717420_Aug11_4_59_37pm[[#This Row],[HPFP PRES. '[BAR']]]-Table3[[#This Row],[58F0]]</f>
        <v>0</v>
      </c>
      <c r="AA653">
        <f>DataLog_T717420_Aug11_4_59_37pm[[#This Row],[COOLANT TEMP '[Â°C']]]-Table3[[#This Row],[5805]]</f>
        <v>0</v>
      </c>
      <c r="AB653">
        <f>DataLog_T717420_Aug11_4_59_37pm[[#This Row],[BOOST '[BAR']]]-Table3[[#This Row],[58DD]]</f>
        <v>0</v>
      </c>
    </row>
    <row r="654" spans="2:28" x14ac:dyDescent="0.25">
      <c r="B654" s="2" t="s">
        <v>189</v>
      </c>
      <c r="C654" s="2" t="s">
        <v>30</v>
      </c>
      <c r="D654" s="2" t="s">
        <v>151</v>
      </c>
      <c r="E654" s="2" t="s">
        <v>134</v>
      </c>
      <c r="F654" s="2" t="s">
        <v>26</v>
      </c>
      <c r="G654" s="2" t="s">
        <v>236</v>
      </c>
      <c r="I654">
        <f>HEX2DEC(_0811_173439[[#This Row],[580C]])*B$4/B$5+B$6</f>
        <v>760</v>
      </c>
      <c r="J654">
        <f>HEX2DEC(_0811_173439[[#This Row],[4402]])*C$4/C$5+C$6</f>
        <v>36</v>
      </c>
      <c r="K654">
        <f>HEX2DEC(_0811_173439[[#This Row],[580F]])*D$4/D$5+D$6</f>
        <v>30</v>
      </c>
      <c r="L654">
        <f>ROUND(HEX2DEC(_0811_173439[[#This Row],[58F0]])*E$4/E$5+E$6,0)</f>
        <v>70</v>
      </c>
      <c r="M654">
        <f>ROUND(HEX2DEC(_0811_173439[[#This Row],[5805]])*F$4/F$5+F$6,0)</f>
        <v>42</v>
      </c>
      <c r="N654">
        <f>ROUND(HEX2DEC(_0811_173439[[#This Row],[58DD]])*G$4/G$5+G$6,2)</f>
        <v>-0.03</v>
      </c>
      <c r="P654">
        <v>760</v>
      </c>
      <c r="Q654">
        <v>36</v>
      </c>
      <c r="R654">
        <v>30</v>
      </c>
      <c r="S654">
        <v>70</v>
      </c>
      <c r="T654">
        <v>42</v>
      </c>
      <c r="U654">
        <v>-0.03</v>
      </c>
      <c r="W654">
        <f>DataLog_T717420_Aug11_4_59_37pm[[#This Row],[RPM '[1/MIN']]]-Table3[[#This Row],[580C]]</f>
        <v>0</v>
      </c>
      <c r="X654">
        <f>DataLog_T717420_Aug11_4_59_37pm[[#This Row],[OIL TEMP '[Â°C']]]-Table3[[#This Row],[4402]]</f>
        <v>0</v>
      </c>
      <c r="Y654">
        <f>DataLog_T717420_Aug11_4_59_37pm[[#This Row],[INTAKE TEMP '[Â°C']]]-Table3[[#This Row],[580F]]</f>
        <v>0</v>
      </c>
      <c r="Z654">
        <f>DataLog_T717420_Aug11_4_59_37pm[[#This Row],[HPFP PRES. '[BAR']]]-Table3[[#This Row],[58F0]]</f>
        <v>0</v>
      </c>
      <c r="AA654">
        <f>DataLog_T717420_Aug11_4_59_37pm[[#This Row],[COOLANT TEMP '[Â°C']]]-Table3[[#This Row],[5805]]</f>
        <v>0</v>
      </c>
      <c r="AB654">
        <f>DataLog_T717420_Aug11_4_59_37pm[[#This Row],[BOOST '[BAR']]]-Table3[[#This Row],[58DD]]</f>
        <v>0</v>
      </c>
    </row>
    <row r="655" spans="2:28" x14ac:dyDescent="0.25">
      <c r="B655" s="2" t="s">
        <v>189</v>
      </c>
      <c r="C655" s="2" t="s">
        <v>30</v>
      </c>
      <c r="D655" s="2" t="s">
        <v>151</v>
      </c>
      <c r="E655" s="2" t="s">
        <v>93</v>
      </c>
      <c r="F655" s="2" t="s">
        <v>26</v>
      </c>
      <c r="G655" s="2" t="s">
        <v>96</v>
      </c>
      <c r="I655">
        <f>HEX2DEC(_0811_173439[[#This Row],[580C]])*B$4/B$5+B$6</f>
        <v>760</v>
      </c>
      <c r="J655">
        <f>HEX2DEC(_0811_173439[[#This Row],[4402]])*C$4/C$5+C$6</f>
        <v>36</v>
      </c>
      <c r="K655">
        <f>HEX2DEC(_0811_173439[[#This Row],[580F]])*D$4/D$5+D$6</f>
        <v>30</v>
      </c>
      <c r="L655">
        <f>ROUND(HEX2DEC(_0811_173439[[#This Row],[58F0]])*E$4/E$5+E$6,0)</f>
        <v>70</v>
      </c>
      <c r="M655">
        <f>ROUND(HEX2DEC(_0811_173439[[#This Row],[5805]])*F$4/F$5+F$6,0)</f>
        <v>42</v>
      </c>
      <c r="N655">
        <f>ROUND(HEX2DEC(_0811_173439[[#This Row],[58DD]])*G$4/G$5+G$6,2)</f>
        <v>-0.03</v>
      </c>
      <c r="P655">
        <v>760</v>
      </c>
      <c r="Q655">
        <v>36</v>
      </c>
      <c r="R655">
        <v>30</v>
      </c>
      <c r="S655">
        <v>70</v>
      </c>
      <c r="T655">
        <v>42</v>
      </c>
      <c r="U655">
        <v>-0.03</v>
      </c>
      <c r="W655">
        <f>DataLog_T717420_Aug11_4_59_37pm[[#This Row],[RPM '[1/MIN']]]-Table3[[#This Row],[580C]]</f>
        <v>0</v>
      </c>
      <c r="X655">
        <f>DataLog_T717420_Aug11_4_59_37pm[[#This Row],[OIL TEMP '[Â°C']]]-Table3[[#This Row],[4402]]</f>
        <v>0</v>
      </c>
      <c r="Y655">
        <f>DataLog_T717420_Aug11_4_59_37pm[[#This Row],[INTAKE TEMP '[Â°C']]]-Table3[[#This Row],[580F]]</f>
        <v>0</v>
      </c>
      <c r="Z655">
        <f>DataLog_T717420_Aug11_4_59_37pm[[#This Row],[HPFP PRES. '[BAR']]]-Table3[[#This Row],[58F0]]</f>
        <v>0</v>
      </c>
      <c r="AA655">
        <f>DataLog_T717420_Aug11_4_59_37pm[[#This Row],[COOLANT TEMP '[Â°C']]]-Table3[[#This Row],[5805]]</f>
        <v>0</v>
      </c>
      <c r="AB655">
        <f>DataLog_T717420_Aug11_4_59_37pm[[#This Row],[BOOST '[BAR']]]-Table3[[#This Row],[58DD]]</f>
        <v>0</v>
      </c>
    </row>
    <row r="656" spans="2:28" x14ac:dyDescent="0.25">
      <c r="B656" s="2" t="s">
        <v>189</v>
      </c>
      <c r="C656" s="2" t="s">
        <v>30</v>
      </c>
      <c r="D656" s="2" t="s">
        <v>151</v>
      </c>
      <c r="E656" s="2" t="s">
        <v>214</v>
      </c>
      <c r="F656" s="2" t="s">
        <v>26</v>
      </c>
      <c r="G656" s="2" t="s">
        <v>53</v>
      </c>
      <c r="I656">
        <f>HEX2DEC(_0811_173439[[#This Row],[580C]])*B$4/B$5+B$6</f>
        <v>760</v>
      </c>
      <c r="J656">
        <f>HEX2DEC(_0811_173439[[#This Row],[4402]])*C$4/C$5+C$6</f>
        <v>36</v>
      </c>
      <c r="K656">
        <f>HEX2DEC(_0811_173439[[#This Row],[580F]])*D$4/D$5+D$6</f>
        <v>30</v>
      </c>
      <c r="L656">
        <f>ROUND(HEX2DEC(_0811_173439[[#This Row],[58F0]])*E$4/E$5+E$6,0)</f>
        <v>70</v>
      </c>
      <c r="M656">
        <f>ROUND(HEX2DEC(_0811_173439[[#This Row],[5805]])*F$4/F$5+F$6,0)</f>
        <v>42</v>
      </c>
      <c r="N656">
        <f>ROUND(HEX2DEC(_0811_173439[[#This Row],[58DD]])*G$4/G$5+G$6,2)</f>
        <v>-0.03</v>
      </c>
      <c r="P656">
        <v>760</v>
      </c>
      <c r="Q656">
        <v>36</v>
      </c>
      <c r="R656">
        <v>30</v>
      </c>
      <c r="S656">
        <v>70</v>
      </c>
      <c r="T656">
        <v>42</v>
      </c>
      <c r="U656">
        <v>-0.03</v>
      </c>
      <c r="W656">
        <f>DataLog_T717420_Aug11_4_59_37pm[[#This Row],[RPM '[1/MIN']]]-Table3[[#This Row],[580C]]</f>
        <v>0</v>
      </c>
      <c r="X656">
        <f>DataLog_T717420_Aug11_4_59_37pm[[#This Row],[OIL TEMP '[Â°C']]]-Table3[[#This Row],[4402]]</f>
        <v>0</v>
      </c>
      <c r="Y656">
        <f>DataLog_T717420_Aug11_4_59_37pm[[#This Row],[INTAKE TEMP '[Â°C']]]-Table3[[#This Row],[580F]]</f>
        <v>0</v>
      </c>
      <c r="Z656">
        <f>DataLog_T717420_Aug11_4_59_37pm[[#This Row],[HPFP PRES. '[BAR']]]-Table3[[#This Row],[58F0]]</f>
        <v>0</v>
      </c>
      <c r="AA656">
        <f>DataLog_T717420_Aug11_4_59_37pm[[#This Row],[COOLANT TEMP '[Â°C']]]-Table3[[#This Row],[5805]]</f>
        <v>0</v>
      </c>
      <c r="AB656">
        <f>DataLog_T717420_Aug11_4_59_37pm[[#This Row],[BOOST '[BAR']]]-Table3[[#This Row],[58DD]]</f>
        <v>0</v>
      </c>
    </row>
    <row r="657" spans="2:28" x14ac:dyDescent="0.25">
      <c r="B657" s="2" t="s">
        <v>189</v>
      </c>
      <c r="C657" s="2" t="s">
        <v>30</v>
      </c>
      <c r="D657" s="2" t="s">
        <v>151</v>
      </c>
      <c r="E657" s="2" t="s">
        <v>159</v>
      </c>
      <c r="F657" s="2" t="s">
        <v>26</v>
      </c>
      <c r="G657" s="2" t="s">
        <v>236</v>
      </c>
      <c r="I657">
        <f>HEX2DEC(_0811_173439[[#This Row],[580C]])*B$4/B$5+B$6</f>
        <v>760</v>
      </c>
      <c r="J657">
        <f>HEX2DEC(_0811_173439[[#This Row],[4402]])*C$4/C$5+C$6</f>
        <v>36</v>
      </c>
      <c r="K657">
        <f>HEX2DEC(_0811_173439[[#This Row],[580F]])*D$4/D$5+D$6</f>
        <v>30</v>
      </c>
      <c r="L657">
        <f>ROUND(HEX2DEC(_0811_173439[[#This Row],[58F0]])*E$4/E$5+E$6,0)</f>
        <v>70</v>
      </c>
      <c r="M657">
        <f>ROUND(HEX2DEC(_0811_173439[[#This Row],[5805]])*F$4/F$5+F$6,0)</f>
        <v>42</v>
      </c>
      <c r="N657">
        <f>ROUND(HEX2DEC(_0811_173439[[#This Row],[58DD]])*G$4/G$5+G$6,2)</f>
        <v>-0.03</v>
      </c>
      <c r="P657">
        <v>760</v>
      </c>
      <c r="Q657">
        <v>36</v>
      </c>
      <c r="R657">
        <v>30</v>
      </c>
      <c r="S657">
        <v>70</v>
      </c>
      <c r="T657">
        <v>42</v>
      </c>
      <c r="U657">
        <v>-0.03</v>
      </c>
      <c r="W657">
        <f>DataLog_T717420_Aug11_4_59_37pm[[#This Row],[RPM '[1/MIN']]]-Table3[[#This Row],[580C]]</f>
        <v>0</v>
      </c>
      <c r="X657">
        <f>DataLog_T717420_Aug11_4_59_37pm[[#This Row],[OIL TEMP '[Â°C']]]-Table3[[#This Row],[4402]]</f>
        <v>0</v>
      </c>
      <c r="Y657">
        <f>DataLog_T717420_Aug11_4_59_37pm[[#This Row],[INTAKE TEMP '[Â°C']]]-Table3[[#This Row],[580F]]</f>
        <v>0</v>
      </c>
      <c r="Z657">
        <f>DataLog_T717420_Aug11_4_59_37pm[[#This Row],[HPFP PRES. '[BAR']]]-Table3[[#This Row],[58F0]]</f>
        <v>0</v>
      </c>
      <c r="AA657">
        <f>DataLog_T717420_Aug11_4_59_37pm[[#This Row],[COOLANT TEMP '[Â°C']]]-Table3[[#This Row],[5805]]</f>
        <v>0</v>
      </c>
      <c r="AB657">
        <f>DataLog_T717420_Aug11_4_59_37pm[[#This Row],[BOOST '[BAR']]]-Table3[[#This Row],[58DD]]</f>
        <v>0</v>
      </c>
    </row>
    <row r="658" spans="2:28" x14ac:dyDescent="0.25">
      <c r="B658" s="2" t="s">
        <v>189</v>
      </c>
      <c r="C658" s="2" t="s">
        <v>30</v>
      </c>
      <c r="D658" s="2" t="s">
        <v>151</v>
      </c>
      <c r="E658" s="2" t="s">
        <v>127</v>
      </c>
      <c r="F658" s="2" t="s">
        <v>26</v>
      </c>
      <c r="G658" s="2" t="s">
        <v>236</v>
      </c>
      <c r="I658">
        <f>HEX2DEC(_0811_173439[[#This Row],[580C]])*B$4/B$5+B$6</f>
        <v>760</v>
      </c>
      <c r="J658">
        <f>HEX2DEC(_0811_173439[[#This Row],[4402]])*C$4/C$5+C$6</f>
        <v>36</v>
      </c>
      <c r="K658">
        <f>HEX2DEC(_0811_173439[[#This Row],[580F]])*D$4/D$5+D$6</f>
        <v>30</v>
      </c>
      <c r="L658">
        <f>ROUND(HEX2DEC(_0811_173439[[#This Row],[58F0]])*E$4/E$5+E$6,0)</f>
        <v>70</v>
      </c>
      <c r="M658">
        <f>ROUND(HEX2DEC(_0811_173439[[#This Row],[5805]])*F$4/F$5+F$6,0)</f>
        <v>42</v>
      </c>
      <c r="N658">
        <f>ROUND(HEX2DEC(_0811_173439[[#This Row],[58DD]])*G$4/G$5+G$6,2)</f>
        <v>-0.03</v>
      </c>
      <c r="P658">
        <v>760</v>
      </c>
      <c r="Q658">
        <v>36</v>
      </c>
      <c r="R658">
        <v>30</v>
      </c>
      <c r="S658">
        <v>70</v>
      </c>
      <c r="T658">
        <v>42</v>
      </c>
      <c r="U658">
        <v>-0.03</v>
      </c>
      <c r="W658">
        <f>DataLog_T717420_Aug11_4_59_37pm[[#This Row],[RPM '[1/MIN']]]-Table3[[#This Row],[580C]]</f>
        <v>0</v>
      </c>
      <c r="X658">
        <f>DataLog_T717420_Aug11_4_59_37pm[[#This Row],[OIL TEMP '[Â°C']]]-Table3[[#This Row],[4402]]</f>
        <v>0</v>
      </c>
      <c r="Y658">
        <f>DataLog_T717420_Aug11_4_59_37pm[[#This Row],[INTAKE TEMP '[Â°C']]]-Table3[[#This Row],[580F]]</f>
        <v>0</v>
      </c>
      <c r="Z658">
        <f>DataLog_T717420_Aug11_4_59_37pm[[#This Row],[HPFP PRES. '[BAR']]]-Table3[[#This Row],[58F0]]</f>
        <v>0</v>
      </c>
      <c r="AA658">
        <f>DataLog_T717420_Aug11_4_59_37pm[[#This Row],[COOLANT TEMP '[Â°C']]]-Table3[[#This Row],[5805]]</f>
        <v>0</v>
      </c>
      <c r="AB658">
        <f>DataLog_T717420_Aug11_4_59_37pm[[#This Row],[BOOST '[BAR']]]-Table3[[#This Row],[58DD]]</f>
        <v>0</v>
      </c>
    </row>
    <row r="659" spans="2:28" x14ac:dyDescent="0.25">
      <c r="B659" s="2" t="s">
        <v>189</v>
      </c>
      <c r="C659" s="2" t="s">
        <v>30</v>
      </c>
      <c r="D659" s="2" t="s">
        <v>151</v>
      </c>
      <c r="E659" s="2" t="s">
        <v>246</v>
      </c>
      <c r="F659" s="2" t="s">
        <v>26</v>
      </c>
      <c r="G659" s="2" t="s">
        <v>247</v>
      </c>
      <c r="I659">
        <f>HEX2DEC(_0811_173439[[#This Row],[580C]])*B$4/B$5+B$6</f>
        <v>760</v>
      </c>
      <c r="J659">
        <f>HEX2DEC(_0811_173439[[#This Row],[4402]])*C$4/C$5+C$6</f>
        <v>36</v>
      </c>
      <c r="K659">
        <f>HEX2DEC(_0811_173439[[#This Row],[580F]])*D$4/D$5+D$6</f>
        <v>30</v>
      </c>
      <c r="L659">
        <f>ROUND(HEX2DEC(_0811_173439[[#This Row],[58F0]])*E$4/E$5+E$6,0)</f>
        <v>69</v>
      </c>
      <c r="M659">
        <f>ROUND(HEX2DEC(_0811_173439[[#This Row],[5805]])*F$4/F$5+F$6,0)</f>
        <v>42</v>
      </c>
      <c r="N659">
        <f>ROUND(HEX2DEC(_0811_173439[[#This Row],[58DD]])*G$4/G$5+G$6,2)</f>
        <v>-0.03</v>
      </c>
      <c r="P659">
        <v>760</v>
      </c>
      <c r="Q659">
        <v>36</v>
      </c>
      <c r="R659">
        <v>30</v>
      </c>
      <c r="S659">
        <v>69</v>
      </c>
      <c r="T659">
        <v>42</v>
      </c>
      <c r="U659">
        <v>-0.03</v>
      </c>
      <c r="W659">
        <f>DataLog_T717420_Aug11_4_59_37pm[[#This Row],[RPM '[1/MIN']]]-Table3[[#This Row],[580C]]</f>
        <v>0</v>
      </c>
      <c r="X659">
        <f>DataLog_T717420_Aug11_4_59_37pm[[#This Row],[OIL TEMP '[Â°C']]]-Table3[[#This Row],[4402]]</f>
        <v>0</v>
      </c>
      <c r="Y659">
        <f>DataLog_T717420_Aug11_4_59_37pm[[#This Row],[INTAKE TEMP '[Â°C']]]-Table3[[#This Row],[580F]]</f>
        <v>0</v>
      </c>
      <c r="Z659">
        <f>DataLog_T717420_Aug11_4_59_37pm[[#This Row],[HPFP PRES. '[BAR']]]-Table3[[#This Row],[58F0]]</f>
        <v>0</v>
      </c>
      <c r="AA659">
        <f>DataLog_T717420_Aug11_4_59_37pm[[#This Row],[COOLANT TEMP '[Â°C']]]-Table3[[#This Row],[5805]]</f>
        <v>0</v>
      </c>
      <c r="AB659">
        <f>DataLog_T717420_Aug11_4_59_37pm[[#This Row],[BOOST '[BAR']]]-Table3[[#This Row],[58DD]]</f>
        <v>0</v>
      </c>
    </row>
    <row r="660" spans="2:28" x14ac:dyDescent="0.25">
      <c r="B660" s="2" t="s">
        <v>189</v>
      </c>
      <c r="C660" s="2" t="s">
        <v>30</v>
      </c>
      <c r="D660" s="2" t="s">
        <v>151</v>
      </c>
      <c r="E660" s="2" t="s">
        <v>197</v>
      </c>
      <c r="F660" s="2" t="s">
        <v>26</v>
      </c>
      <c r="G660" s="2" t="s">
        <v>53</v>
      </c>
      <c r="I660">
        <f>HEX2DEC(_0811_173439[[#This Row],[580C]])*B$4/B$5+B$6</f>
        <v>760</v>
      </c>
      <c r="J660">
        <f>HEX2DEC(_0811_173439[[#This Row],[4402]])*C$4/C$5+C$6</f>
        <v>36</v>
      </c>
      <c r="K660">
        <f>HEX2DEC(_0811_173439[[#This Row],[580F]])*D$4/D$5+D$6</f>
        <v>30</v>
      </c>
      <c r="L660">
        <f>ROUND(HEX2DEC(_0811_173439[[#This Row],[58F0]])*E$4/E$5+E$6,0)</f>
        <v>69</v>
      </c>
      <c r="M660">
        <f>ROUND(HEX2DEC(_0811_173439[[#This Row],[5805]])*F$4/F$5+F$6,0)</f>
        <v>42</v>
      </c>
      <c r="N660">
        <f>ROUND(HEX2DEC(_0811_173439[[#This Row],[58DD]])*G$4/G$5+G$6,2)</f>
        <v>-0.03</v>
      </c>
      <c r="P660">
        <v>760</v>
      </c>
      <c r="Q660">
        <v>36</v>
      </c>
      <c r="R660">
        <v>30</v>
      </c>
      <c r="S660">
        <v>69</v>
      </c>
      <c r="T660">
        <v>42</v>
      </c>
      <c r="U660">
        <v>-0.03</v>
      </c>
      <c r="W660">
        <f>DataLog_T717420_Aug11_4_59_37pm[[#This Row],[RPM '[1/MIN']]]-Table3[[#This Row],[580C]]</f>
        <v>0</v>
      </c>
      <c r="X660">
        <f>DataLog_T717420_Aug11_4_59_37pm[[#This Row],[OIL TEMP '[Â°C']]]-Table3[[#This Row],[4402]]</f>
        <v>0</v>
      </c>
      <c r="Y660">
        <f>DataLog_T717420_Aug11_4_59_37pm[[#This Row],[INTAKE TEMP '[Â°C']]]-Table3[[#This Row],[580F]]</f>
        <v>0</v>
      </c>
      <c r="Z660">
        <f>DataLog_T717420_Aug11_4_59_37pm[[#This Row],[HPFP PRES. '[BAR']]]-Table3[[#This Row],[58F0]]</f>
        <v>0</v>
      </c>
      <c r="AA660">
        <f>DataLog_T717420_Aug11_4_59_37pm[[#This Row],[COOLANT TEMP '[Â°C']]]-Table3[[#This Row],[5805]]</f>
        <v>0</v>
      </c>
      <c r="AB660">
        <f>DataLog_T717420_Aug11_4_59_37pm[[#This Row],[BOOST '[BAR']]]-Table3[[#This Row],[58DD]]</f>
        <v>0</v>
      </c>
    </row>
    <row r="661" spans="2:28" x14ac:dyDescent="0.25">
      <c r="B661" s="2" t="s">
        <v>189</v>
      </c>
      <c r="C661" s="2" t="s">
        <v>30</v>
      </c>
      <c r="D661" s="2" t="s">
        <v>151</v>
      </c>
      <c r="E661" s="2" t="s">
        <v>127</v>
      </c>
      <c r="F661" s="2" t="s">
        <v>26</v>
      </c>
      <c r="G661" s="2" t="s">
        <v>190</v>
      </c>
      <c r="I661">
        <f>HEX2DEC(_0811_173439[[#This Row],[580C]])*B$4/B$5+B$6</f>
        <v>760</v>
      </c>
      <c r="J661">
        <f>HEX2DEC(_0811_173439[[#This Row],[4402]])*C$4/C$5+C$6</f>
        <v>36</v>
      </c>
      <c r="K661">
        <f>HEX2DEC(_0811_173439[[#This Row],[580F]])*D$4/D$5+D$6</f>
        <v>30</v>
      </c>
      <c r="L661">
        <f>ROUND(HEX2DEC(_0811_173439[[#This Row],[58F0]])*E$4/E$5+E$6,0)</f>
        <v>70</v>
      </c>
      <c r="M661">
        <f>ROUND(HEX2DEC(_0811_173439[[#This Row],[5805]])*F$4/F$5+F$6,0)</f>
        <v>42</v>
      </c>
      <c r="N661">
        <f>ROUND(HEX2DEC(_0811_173439[[#This Row],[58DD]])*G$4/G$5+G$6,2)</f>
        <v>-0.03</v>
      </c>
      <c r="P661">
        <v>760</v>
      </c>
      <c r="Q661">
        <v>36</v>
      </c>
      <c r="R661">
        <v>30</v>
      </c>
      <c r="S661">
        <v>70</v>
      </c>
      <c r="T661">
        <v>42</v>
      </c>
      <c r="U661">
        <v>-0.03</v>
      </c>
      <c r="W661">
        <f>DataLog_T717420_Aug11_4_59_37pm[[#This Row],[RPM '[1/MIN']]]-Table3[[#This Row],[580C]]</f>
        <v>0</v>
      </c>
      <c r="X661">
        <f>DataLog_T717420_Aug11_4_59_37pm[[#This Row],[OIL TEMP '[Â°C']]]-Table3[[#This Row],[4402]]</f>
        <v>0</v>
      </c>
      <c r="Y661">
        <f>DataLog_T717420_Aug11_4_59_37pm[[#This Row],[INTAKE TEMP '[Â°C']]]-Table3[[#This Row],[580F]]</f>
        <v>0</v>
      </c>
      <c r="Z661">
        <f>DataLog_T717420_Aug11_4_59_37pm[[#This Row],[HPFP PRES. '[BAR']]]-Table3[[#This Row],[58F0]]</f>
        <v>0</v>
      </c>
      <c r="AA661">
        <f>DataLog_T717420_Aug11_4_59_37pm[[#This Row],[COOLANT TEMP '[Â°C']]]-Table3[[#This Row],[5805]]</f>
        <v>0</v>
      </c>
      <c r="AB661">
        <f>DataLog_T717420_Aug11_4_59_37pm[[#This Row],[BOOST '[BAR']]]-Table3[[#This Row],[58DD]]</f>
        <v>0</v>
      </c>
    </row>
    <row r="662" spans="2:28" x14ac:dyDescent="0.25">
      <c r="B662" s="2" t="s">
        <v>189</v>
      </c>
      <c r="C662" s="2" t="s">
        <v>30</v>
      </c>
      <c r="D662" s="2" t="s">
        <v>151</v>
      </c>
      <c r="E662" s="2" t="s">
        <v>134</v>
      </c>
      <c r="F662" s="2" t="s">
        <v>26</v>
      </c>
      <c r="G662" s="2" t="s">
        <v>53</v>
      </c>
      <c r="I662">
        <f>HEX2DEC(_0811_173439[[#This Row],[580C]])*B$4/B$5+B$6</f>
        <v>760</v>
      </c>
      <c r="J662">
        <f>HEX2DEC(_0811_173439[[#This Row],[4402]])*C$4/C$5+C$6</f>
        <v>36</v>
      </c>
      <c r="K662">
        <f>HEX2DEC(_0811_173439[[#This Row],[580F]])*D$4/D$5+D$6</f>
        <v>30</v>
      </c>
      <c r="L662">
        <f>ROUND(HEX2DEC(_0811_173439[[#This Row],[58F0]])*E$4/E$5+E$6,0)</f>
        <v>70</v>
      </c>
      <c r="M662">
        <f>ROUND(HEX2DEC(_0811_173439[[#This Row],[5805]])*F$4/F$5+F$6,0)</f>
        <v>42</v>
      </c>
      <c r="N662">
        <f>ROUND(HEX2DEC(_0811_173439[[#This Row],[58DD]])*G$4/G$5+G$6,2)</f>
        <v>-0.03</v>
      </c>
      <c r="P662">
        <v>760</v>
      </c>
      <c r="Q662">
        <v>36</v>
      </c>
      <c r="R662">
        <v>30</v>
      </c>
      <c r="S662">
        <v>70</v>
      </c>
      <c r="T662">
        <v>42</v>
      </c>
      <c r="U662">
        <v>-0.03</v>
      </c>
      <c r="W662">
        <f>DataLog_T717420_Aug11_4_59_37pm[[#This Row],[RPM '[1/MIN']]]-Table3[[#This Row],[580C]]</f>
        <v>0</v>
      </c>
      <c r="X662">
        <f>DataLog_T717420_Aug11_4_59_37pm[[#This Row],[OIL TEMP '[Â°C']]]-Table3[[#This Row],[4402]]</f>
        <v>0</v>
      </c>
      <c r="Y662">
        <f>DataLog_T717420_Aug11_4_59_37pm[[#This Row],[INTAKE TEMP '[Â°C']]]-Table3[[#This Row],[580F]]</f>
        <v>0</v>
      </c>
      <c r="Z662">
        <f>DataLog_T717420_Aug11_4_59_37pm[[#This Row],[HPFP PRES. '[BAR']]]-Table3[[#This Row],[58F0]]</f>
        <v>0</v>
      </c>
      <c r="AA662">
        <f>DataLog_T717420_Aug11_4_59_37pm[[#This Row],[COOLANT TEMP '[Â°C']]]-Table3[[#This Row],[5805]]</f>
        <v>0</v>
      </c>
      <c r="AB662">
        <f>DataLog_T717420_Aug11_4_59_37pm[[#This Row],[BOOST '[BAR']]]-Table3[[#This Row],[58DD]]</f>
        <v>0</v>
      </c>
    </row>
    <row r="663" spans="2:28" x14ac:dyDescent="0.25">
      <c r="B663" s="2" t="s">
        <v>189</v>
      </c>
      <c r="C663" s="2" t="s">
        <v>30</v>
      </c>
      <c r="D663" s="2" t="s">
        <v>151</v>
      </c>
      <c r="E663" s="2" t="s">
        <v>209</v>
      </c>
      <c r="F663" s="2" t="s">
        <v>26</v>
      </c>
      <c r="G663" s="2" t="s">
        <v>190</v>
      </c>
      <c r="I663">
        <f>HEX2DEC(_0811_173439[[#This Row],[580C]])*B$4/B$5+B$6</f>
        <v>760</v>
      </c>
      <c r="J663">
        <f>HEX2DEC(_0811_173439[[#This Row],[4402]])*C$4/C$5+C$6</f>
        <v>36</v>
      </c>
      <c r="K663">
        <f>HEX2DEC(_0811_173439[[#This Row],[580F]])*D$4/D$5+D$6</f>
        <v>30</v>
      </c>
      <c r="L663">
        <f>ROUND(HEX2DEC(_0811_173439[[#This Row],[58F0]])*E$4/E$5+E$6,0)</f>
        <v>70</v>
      </c>
      <c r="M663">
        <f>ROUND(HEX2DEC(_0811_173439[[#This Row],[5805]])*F$4/F$5+F$6,0)</f>
        <v>42</v>
      </c>
      <c r="N663">
        <f>ROUND(HEX2DEC(_0811_173439[[#This Row],[58DD]])*G$4/G$5+G$6,2)</f>
        <v>-0.03</v>
      </c>
      <c r="P663">
        <v>760</v>
      </c>
      <c r="Q663">
        <v>36</v>
      </c>
      <c r="R663">
        <v>30</v>
      </c>
      <c r="S663">
        <v>70</v>
      </c>
      <c r="T663">
        <v>42</v>
      </c>
      <c r="U663">
        <v>-0.03</v>
      </c>
      <c r="W663">
        <f>DataLog_T717420_Aug11_4_59_37pm[[#This Row],[RPM '[1/MIN']]]-Table3[[#This Row],[580C]]</f>
        <v>0</v>
      </c>
      <c r="X663">
        <f>DataLog_T717420_Aug11_4_59_37pm[[#This Row],[OIL TEMP '[Â°C']]]-Table3[[#This Row],[4402]]</f>
        <v>0</v>
      </c>
      <c r="Y663">
        <f>DataLog_T717420_Aug11_4_59_37pm[[#This Row],[INTAKE TEMP '[Â°C']]]-Table3[[#This Row],[580F]]</f>
        <v>0</v>
      </c>
      <c r="Z663">
        <f>DataLog_T717420_Aug11_4_59_37pm[[#This Row],[HPFP PRES. '[BAR']]]-Table3[[#This Row],[58F0]]</f>
        <v>0</v>
      </c>
      <c r="AA663">
        <f>DataLog_T717420_Aug11_4_59_37pm[[#This Row],[COOLANT TEMP '[Â°C']]]-Table3[[#This Row],[5805]]</f>
        <v>0</v>
      </c>
      <c r="AB663">
        <f>DataLog_T717420_Aug11_4_59_37pm[[#This Row],[BOOST '[BAR']]]-Table3[[#This Row],[58DD]]</f>
        <v>0</v>
      </c>
    </row>
    <row r="664" spans="2:28" x14ac:dyDescent="0.25">
      <c r="B664" s="2" t="s">
        <v>189</v>
      </c>
      <c r="C664" s="2" t="s">
        <v>30</v>
      </c>
      <c r="D664" s="2" t="s">
        <v>151</v>
      </c>
      <c r="E664" s="2" t="s">
        <v>93</v>
      </c>
      <c r="F664" s="2" t="s">
        <v>26</v>
      </c>
      <c r="G664" s="2" t="s">
        <v>53</v>
      </c>
      <c r="I664">
        <f>HEX2DEC(_0811_173439[[#This Row],[580C]])*B$4/B$5+B$6</f>
        <v>760</v>
      </c>
      <c r="J664">
        <f>HEX2DEC(_0811_173439[[#This Row],[4402]])*C$4/C$5+C$6</f>
        <v>36</v>
      </c>
      <c r="K664">
        <f>HEX2DEC(_0811_173439[[#This Row],[580F]])*D$4/D$5+D$6</f>
        <v>30</v>
      </c>
      <c r="L664">
        <f>ROUND(HEX2DEC(_0811_173439[[#This Row],[58F0]])*E$4/E$5+E$6,0)</f>
        <v>70</v>
      </c>
      <c r="M664">
        <f>ROUND(HEX2DEC(_0811_173439[[#This Row],[5805]])*F$4/F$5+F$6,0)</f>
        <v>42</v>
      </c>
      <c r="N664">
        <f>ROUND(HEX2DEC(_0811_173439[[#This Row],[58DD]])*G$4/G$5+G$6,2)</f>
        <v>-0.03</v>
      </c>
      <c r="P664">
        <v>760</v>
      </c>
      <c r="Q664">
        <v>36</v>
      </c>
      <c r="R664">
        <v>30</v>
      </c>
      <c r="S664">
        <v>70</v>
      </c>
      <c r="T664">
        <v>42</v>
      </c>
      <c r="U664">
        <v>-0.03</v>
      </c>
      <c r="W664">
        <f>DataLog_T717420_Aug11_4_59_37pm[[#This Row],[RPM '[1/MIN']]]-Table3[[#This Row],[580C]]</f>
        <v>0</v>
      </c>
      <c r="X664">
        <f>DataLog_T717420_Aug11_4_59_37pm[[#This Row],[OIL TEMP '[Â°C']]]-Table3[[#This Row],[4402]]</f>
        <v>0</v>
      </c>
      <c r="Y664">
        <f>DataLog_T717420_Aug11_4_59_37pm[[#This Row],[INTAKE TEMP '[Â°C']]]-Table3[[#This Row],[580F]]</f>
        <v>0</v>
      </c>
      <c r="Z664">
        <f>DataLog_T717420_Aug11_4_59_37pm[[#This Row],[HPFP PRES. '[BAR']]]-Table3[[#This Row],[58F0]]</f>
        <v>0</v>
      </c>
      <c r="AA664">
        <f>DataLog_T717420_Aug11_4_59_37pm[[#This Row],[COOLANT TEMP '[Â°C']]]-Table3[[#This Row],[5805]]</f>
        <v>0</v>
      </c>
      <c r="AB664">
        <f>DataLog_T717420_Aug11_4_59_37pm[[#This Row],[BOOST '[BAR']]]-Table3[[#This Row],[58DD]]</f>
        <v>0</v>
      </c>
    </row>
    <row r="665" spans="2:28" x14ac:dyDescent="0.25">
      <c r="B665" s="2" t="s">
        <v>189</v>
      </c>
      <c r="C665" s="2" t="s">
        <v>30</v>
      </c>
      <c r="D665" s="2" t="s">
        <v>151</v>
      </c>
      <c r="E665" s="2" t="s">
        <v>126</v>
      </c>
      <c r="F665" s="2" t="s">
        <v>26</v>
      </c>
      <c r="G665" s="2" t="s">
        <v>98</v>
      </c>
      <c r="I665">
        <f>HEX2DEC(_0811_173439[[#This Row],[580C]])*B$4/B$5+B$6</f>
        <v>760</v>
      </c>
      <c r="J665">
        <f>HEX2DEC(_0811_173439[[#This Row],[4402]])*C$4/C$5+C$6</f>
        <v>36</v>
      </c>
      <c r="K665">
        <f>HEX2DEC(_0811_173439[[#This Row],[580F]])*D$4/D$5+D$6</f>
        <v>30</v>
      </c>
      <c r="L665">
        <f>ROUND(HEX2DEC(_0811_173439[[#This Row],[58F0]])*E$4/E$5+E$6,0)</f>
        <v>71</v>
      </c>
      <c r="M665">
        <f>ROUND(HEX2DEC(_0811_173439[[#This Row],[5805]])*F$4/F$5+F$6,0)</f>
        <v>42</v>
      </c>
      <c r="N665">
        <f>ROUND(HEX2DEC(_0811_173439[[#This Row],[58DD]])*G$4/G$5+G$6,2)</f>
        <v>-0.03</v>
      </c>
      <c r="P665">
        <v>760</v>
      </c>
      <c r="Q665">
        <v>36</v>
      </c>
      <c r="R665">
        <v>30</v>
      </c>
      <c r="S665">
        <v>71</v>
      </c>
      <c r="T665">
        <v>42</v>
      </c>
      <c r="U665">
        <v>-0.03</v>
      </c>
      <c r="W665">
        <f>DataLog_T717420_Aug11_4_59_37pm[[#This Row],[RPM '[1/MIN']]]-Table3[[#This Row],[580C]]</f>
        <v>0</v>
      </c>
      <c r="X665">
        <f>DataLog_T717420_Aug11_4_59_37pm[[#This Row],[OIL TEMP '[Â°C']]]-Table3[[#This Row],[4402]]</f>
        <v>0</v>
      </c>
      <c r="Y665">
        <f>DataLog_T717420_Aug11_4_59_37pm[[#This Row],[INTAKE TEMP '[Â°C']]]-Table3[[#This Row],[580F]]</f>
        <v>0</v>
      </c>
      <c r="Z665">
        <f>DataLog_T717420_Aug11_4_59_37pm[[#This Row],[HPFP PRES. '[BAR']]]-Table3[[#This Row],[58F0]]</f>
        <v>0</v>
      </c>
      <c r="AA665">
        <f>DataLog_T717420_Aug11_4_59_37pm[[#This Row],[COOLANT TEMP '[Â°C']]]-Table3[[#This Row],[5805]]</f>
        <v>0</v>
      </c>
      <c r="AB665">
        <f>DataLog_T717420_Aug11_4_59_37pm[[#This Row],[BOOST '[BAR']]]-Table3[[#This Row],[58DD]]</f>
        <v>0</v>
      </c>
    </row>
    <row r="666" spans="2:28" x14ac:dyDescent="0.25">
      <c r="B666" s="2" t="s">
        <v>189</v>
      </c>
      <c r="C666" s="2" t="s">
        <v>30</v>
      </c>
      <c r="D666" s="2" t="s">
        <v>151</v>
      </c>
      <c r="E666" s="2" t="s">
        <v>248</v>
      </c>
      <c r="F666" s="2" t="s">
        <v>26</v>
      </c>
      <c r="G666" s="2" t="s">
        <v>213</v>
      </c>
      <c r="I666">
        <f>HEX2DEC(_0811_173439[[#This Row],[580C]])*B$4/B$5+B$6</f>
        <v>760</v>
      </c>
      <c r="J666">
        <f>HEX2DEC(_0811_173439[[#This Row],[4402]])*C$4/C$5+C$6</f>
        <v>36</v>
      </c>
      <c r="K666">
        <f>HEX2DEC(_0811_173439[[#This Row],[580F]])*D$4/D$5+D$6</f>
        <v>30</v>
      </c>
      <c r="L666">
        <f>ROUND(HEX2DEC(_0811_173439[[#This Row],[58F0]])*E$4/E$5+E$6,0)</f>
        <v>70</v>
      </c>
      <c r="M666">
        <f>ROUND(HEX2DEC(_0811_173439[[#This Row],[5805]])*F$4/F$5+F$6,0)</f>
        <v>42</v>
      </c>
      <c r="N666">
        <f>ROUND(HEX2DEC(_0811_173439[[#This Row],[58DD]])*G$4/G$5+G$6,2)</f>
        <v>-0.03</v>
      </c>
      <c r="P666">
        <v>760</v>
      </c>
      <c r="Q666">
        <v>36</v>
      </c>
      <c r="R666">
        <v>30</v>
      </c>
      <c r="S666">
        <v>70</v>
      </c>
      <c r="T666">
        <v>42</v>
      </c>
      <c r="U666">
        <v>-0.03</v>
      </c>
      <c r="W666">
        <f>DataLog_T717420_Aug11_4_59_37pm[[#This Row],[RPM '[1/MIN']]]-Table3[[#This Row],[580C]]</f>
        <v>0</v>
      </c>
      <c r="X666">
        <f>DataLog_T717420_Aug11_4_59_37pm[[#This Row],[OIL TEMP '[Â°C']]]-Table3[[#This Row],[4402]]</f>
        <v>0</v>
      </c>
      <c r="Y666">
        <f>DataLog_T717420_Aug11_4_59_37pm[[#This Row],[INTAKE TEMP '[Â°C']]]-Table3[[#This Row],[580F]]</f>
        <v>0</v>
      </c>
      <c r="Z666">
        <f>DataLog_T717420_Aug11_4_59_37pm[[#This Row],[HPFP PRES. '[BAR']]]-Table3[[#This Row],[58F0]]</f>
        <v>0</v>
      </c>
      <c r="AA666">
        <f>DataLog_T717420_Aug11_4_59_37pm[[#This Row],[COOLANT TEMP '[Â°C']]]-Table3[[#This Row],[5805]]</f>
        <v>0</v>
      </c>
      <c r="AB666">
        <f>DataLog_T717420_Aug11_4_59_37pm[[#This Row],[BOOST '[BAR']]]-Table3[[#This Row],[58DD]]</f>
        <v>0</v>
      </c>
    </row>
    <row r="667" spans="2:28" x14ac:dyDescent="0.25">
      <c r="B667" s="2" t="s">
        <v>189</v>
      </c>
      <c r="C667" s="2" t="s">
        <v>30</v>
      </c>
      <c r="D667" s="2" t="s">
        <v>151</v>
      </c>
      <c r="E667" s="2" t="s">
        <v>199</v>
      </c>
      <c r="F667" s="2" t="s">
        <v>26</v>
      </c>
      <c r="G667" s="2" t="s">
        <v>191</v>
      </c>
      <c r="I667">
        <f>HEX2DEC(_0811_173439[[#This Row],[580C]])*B$4/B$5+B$6</f>
        <v>760</v>
      </c>
      <c r="J667">
        <f>HEX2DEC(_0811_173439[[#This Row],[4402]])*C$4/C$5+C$6</f>
        <v>36</v>
      </c>
      <c r="K667">
        <f>HEX2DEC(_0811_173439[[#This Row],[580F]])*D$4/D$5+D$6</f>
        <v>30</v>
      </c>
      <c r="L667">
        <f>ROUND(HEX2DEC(_0811_173439[[#This Row],[58F0]])*E$4/E$5+E$6,0)</f>
        <v>70</v>
      </c>
      <c r="M667">
        <f>ROUND(HEX2DEC(_0811_173439[[#This Row],[5805]])*F$4/F$5+F$6,0)</f>
        <v>42</v>
      </c>
      <c r="N667">
        <f>ROUND(HEX2DEC(_0811_173439[[#This Row],[58DD]])*G$4/G$5+G$6,2)</f>
        <v>-0.03</v>
      </c>
      <c r="P667">
        <v>760</v>
      </c>
      <c r="Q667">
        <v>36</v>
      </c>
      <c r="R667">
        <v>30</v>
      </c>
      <c r="S667">
        <v>70</v>
      </c>
      <c r="T667">
        <v>42</v>
      </c>
      <c r="U667">
        <v>-0.03</v>
      </c>
      <c r="W667">
        <f>DataLog_T717420_Aug11_4_59_37pm[[#This Row],[RPM '[1/MIN']]]-Table3[[#This Row],[580C]]</f>
        <v>0</v>
      </c>
      <c r="X667">
        <f>DataLog_T717420_Aug11_4_59_37pm[[#This Row],[OIL TEMP '[Â°C']]]-Table3[[#This Row],[4402]]</f>
        <v>0</v>
      </c>
      <c r="Y667">
        <f>DataLog_T717420_Aug11_4_59_37pm[[#This Row],[INTAKE TEMP '[Â°C']]]-Table3[[#This Row],[580F]]</f>
        <v>0</v>
      </c>
      <c r="Z667">
        <f>DataLog_T717420_Aug11_4_59_37pm[[#This Row],[HPFP PRES. '[BAR']]]-Table3[[#This Row],[58F0]]</f>
        <v>0</v>
      </c>
      <c r="AA667">
        <f>DataLog_T717420_Aug11_4_59_37pm[[#This Row],[COOLANT TEMP '[Â°C']]]-Table3[[#This Row],[5805]]</f>
        <v>0</v>
      </c>
      <c r="AB667">
        <f>DataLog_T717420_Aug11_4_59_37pm[[#This Row],[BOOST '[BAR']]]-Table3[[#This Row],[58DD]]</f>
        <v>0</v>
      </c>
    </row>
    <row r="668" spans="2:28" x14ac:dyDescent="0.25">
      <c r="B668" s="2" t="s">
        <v>189</v>
      </c>
      <c r="C668" s="2" t="s">
        <v>30</v>
      </c>
      <c r="D668" s="2" t="s">
        <v>151</v>
      </c>
      <c r="E668" s="2" t="s">
        <v>157</v>
      </c>
      <c r="F668" s="2" t="s">
        <v>26</v>
      </c>
      <c r="G668" s="2" t="s">
        <v>53</v>
      </c>
      <c r="I668">
        <f>HEX2DEC(_0811_173439[[#This Row],[580C]])*B$4/B$5+B$6</f>
        <v>760</v>
      </c>
      <c r="J668">
        <f>HEX2DEC(_0811_173439[[#This Row],[4402]])*C$4/C$5+C$6</f>
        <v>36</v>
      </c>
      <c r="K668">
        <f>HEX2DEC(_0811_173439[[#This Row],[580F]])*D$4/D$5+D$6</f>
        <v>30</v>
      </c>
      <c r="L668">
        <f>ROUND(HEX2DEC(_0811_173439[[#This Row],[58F0]])*E$4/E$5+E$6,0)</f>
        <v>70</v>
      </c>
      <c r="M668">
        <f>ROUND(HEX2DEC(_0811_173439[[#This Row],[5805]])*F$4/F$5+F$6,0)</f>
        <v>42</v>
      </c>
      <c r="N668">
        <f>ROUND(HEX2DEC(_0811_173439[[#This Row],[58DD]])*G$4/G$5+G$6,2)</f>
        <v>-0.03</v>
      </c>
      <c r="P668">
        <v>760</v>
      </c>
      <c r="Q668">
        <v>36</v>
      </c>
      <c r="R668">
        <v>30</v>
      </c>
      <c r="S668">
        <v>70</v>
      </c>
      <c r="T668">
        <v>42</v>
      </c>
      <c r="U668">
        <v>-0.03</v>
      </c>
      <c r="W668">
        <f>DataLog_T717420_Aug11_4_59_37pm[[#This Row],[RPM '[1/MIN']]]-Table3[[#This Row],[580C]]</f>
        <v>0</v>
      </c>
      <c r="X668">
        <f>DataLog_T717420_Aug11_4_59_37pm[[#This Row],[OIL TEMP '[Â°C']]]-Table3[[#This Row],[4402]]</f>
        <v>0</v>
      </c>
      <c r="Y668">
        <f>DataLog_T717420_Aug11_4_59_37pm[[#This Row],[INTAKE TEMP '[Â°C']]]-Table3[[#This Row],[580F]]</f>
        <v>0</v>
      </c>
      <c r="Z668">
        <f>DataLog_T717420_Aug11_4_59_37pm[[#This Row],[HPFP PRES. '[BAR']]]-Table3[[#This Row],[58F0]]</f>
        <v>0</v>
      </c>
      <c r="AA668">
        <f>DataLog_T717420_Aug11_4_59_37pm[[#This Row],[COOLANT TEMP '[Â°C']]]-Table3[[#This Row],[5805]]</f>
        <v>0</v>
      </c>
      <c r="AB668">
        <f>DataLog_T717420_Aug11_4_59_37pm[[#This Row],[BOOST '[BAR']]]-Table3[[#This Row],[58DD]]</f>
        <v>0</v>
      </c>
    </row>
    <row r="669" spans="2:28" x14ac:dyDescent="0.25">
      <c r="B669" s="2" t="s">
        <v>189</v>
      </c>
      <c r="C669" s="2" t="s">
        <v>30</v>
      </c>
      <c r="D669" s="2" t="s">
        <v>151</v>
      </c>
      <c r="E669" s="2" t="s">
        <v>141</v>
      </c>
      <c r="F669" s="2" t="s">
        <v>26</v>
      </c>
      <c r="G669" s="2" t="s">
        <v>98</v>
      </c>
      <c r="I669">
        <f>HEX2DEC(_0811_173439[[#This Row],[580C]])*B$4/B$5+B$6</f>
        <v>760</v>
      </c>
      <c r="J669">
        <f>HEX2DEC(_0811_173439[[#This Row],[4402]])*C$4/C$5+C$6</f>
        <v>36</v>
      </c>
      <c r="K669">
        <f>HEX2DEC(_0811_173439[[#This Row],[580F]])*D$4/D$5+D$6</f>
        <v>30</v>
      </c>
      <c r="L669">
        <f>ROUND(HEX2DEC(_0811_173439[[#This Row],[58F0]])*E$4/E$5+E$6,0)</f>
        <v>70</v>
      </c>
      <c r="M669">
        <f>ROUND(HEX2DEC(_0811_173439[[#This Row],[5805]])*F$4/F$5+F$6,0)</f>
        <v>42</v>
      </c>
      <c r="N669">
        <f>ROUND(HEX2DEC(_0811_173439[[#This Row],[58DD]])*G$4/G$5+G$6,2)</f>
        <v>-0.03</v>
      </c>
      <c r="P669">
        <v>760</v>
      </c>
      <c r="Q669">
        <v>36</v>
      </c>
      <c r="R669">
        <v>30</v>
      </c>
      <c r="S669">
        <v>70</v>
      </c>
      <c r="T669">
        <v>42</v>
      </c>
      <c r="U669">
        <v>-0.03</v>
      </c>
      <c r="W669">
        <f>DataLog_T717420_Aug11_4_59_37pm[[#This Row],[RPM '[1/MIN']]]-Table3[[#This Row],[580C]]</f>
        <v>0</v>
      </c>
      <c r="X669">
        <f>DataLog_T717420_Aug11_4_59_37pm[[#This Row],[OIL TEMP '[Â°C']]]-Table3[[#This Row],[4402]]</f>
        <v>0</v>
      </c>
      <c r="Y669">
        <f>DataLog_T717420_Aug11_4_59_37pm[[#This Row],[INTAKE TEMP '[Â°C']]]-Table3[[#This Row],[580F]]</f>
        <v>0</v>
      </c>
      <c r="Z669">
        <f>DataLog_T717420_Aug11_4_59_37pm[[#This Row],[HPFP PRES. '[BAR']]]-Table3[[#This Row],[58F0]]</f>
        <v>0</v>
      </c>
      <c r="AA669">
        <f>DataLog_T717420_Aug11_4_59_37pm[[#This Row],[COOLANT TEMP '[Â°C']]]-Table3[[#This Row],[5805]]</f>
        <v>0</v>
      </c>
      <c r="AB669">
        <f>DataLog_T717420_Aug11_4_59_37pm[[#This Row],[BOOST '[BAR']]]-Table3[[#This Row],[58DD]]</f>
        <v>0</v>
      </c>
    </row>
    <row r="670" spans="2:28" x14ac:dyDescent="0.25">
      <c r="B670" s="2" t="s">
        <v>189</v>
      </c>
      <c r="C670" s="2" t="s">
        <v>30</v>
      </c>
      <c r="D670" s="2" t="s">
        <v>151</v>
      </c>
      <c r="E670" s="2" t="s">
        <v>159</v>
      </c>
      <c r="F670" s="2" t="s">
        <v>26</v>
      </c>
      <c r="G670" s="2" t="s">
        <v>216</v>
      </c>
      <c r="I670">
        <f>HEX2DEC(_0811_173439[[#This Row],[580C]])*B$4/B$5+B$6</f>
        <v>760</v>
      </c>
      <c r="J670">
        <f>HEX2DEC(_0811_173439[[#This Row],[4402]])*C$4/C$5+C$6</f>
        <v>36</v>
      </c>
      <c r="K670">
        <f>HEX2DEC(_0811_173439[[#This Row],[580F]])*D$4/D$5+D$6</f>
        <v>30</v>
      </c>
      <c r="L670">
        <f>ROUND(HEX2DEC(_0811_173439[[#This Row],[58F0]])*E$4/E$5+E$6,0)</f>
        <v>70</v>
      </c>
      <c r="M670">
        <f>ROUND(HEX2DEC(_0811_173439[[#This Row],[5805]])*F$4/F$5+F$6,0)</f>
        <v>42</v>
      </c>
      <c r="N670">
        <f>ROUND(HEX2DEC(_0811_173439[[#This Row],[58DD]])*G$4/G$5+G$6,2)</f>
        <v>-0.03</v>
      </c>
      <c r="P670">
        <v>760</v>
      </c>
      <c r="Q670">
        <v>36</v>
      </c>
      <c r="R670">
        <v>30</v>
      </c>
      <c r="S670">
        <v>70</v>
      </c>
      <c r="T670">
        <v>42</v>
      </c>
      <c r="U670">
        <v>-0.03</v>
      </c>
      <c r="W670">
        <f>DataLog_T717420_Aug11_4_59_37pm[[#This Row],[RPM '[1/MIN']]]-Table3[[#This Row],[580C]]</f>
        <v>0</v>
      </c>
      <c r="X670">
        <f>DataLog_T717420_Aug11_4_59_37pm[[#This Row],[OIL TEMP '[Â°C']]]-Table3[[#This Row],[4402]]</f>
        <v>0</v>
      </c>
      <c r="Y670">
        <f>DataLog_T717420_Aug11_4_59_37pm[[#This Row],[INTAKE TEMP '[Â°C']]]-Table3[[#This Row],[580F]]</f>
        <v>0</v>
      </c>
      <c r="Z670">
        <f>DataLog_T717420_Aug11_4_59_37pm[[#This Row],[HPFP PRES. '[BAR']]]-Table3[[#This Row],[58F0]]</f>
        <v>0</v>
      </c>
      <c r="AA670">
        <f>DataLog_T717420_Aug11_4_59_37pm[[#This Row],[COOLANT TEMP '[Â°C']]]-Table3[[#This Row],[5805]]</f>
        <v>0</v>
      </c>
      <c r="AB670">
        <f>DataLog_T717420_Aug11_4_59_37pm[[#This Row],[BOOST '[BAR']]]-Table3[[#This Row],[58DD]]</f>
        <v>0</v>
      </c>
    </row>
    <row r="671" spans="2:28" x14ac:dyDescent="0.25">
      <c r="B671" s="2" t="s">
        <v>189</v>
      </c>
      <c r="C671" s="2" t="s">
        <v>30</v>
      </c>
      <c r="D671" s="2" t="s">
        <v>151</v>
      </c>
      <c r="E671" s="2" t="s">
        <v>172</v>
      </c>
      <c r="F671" s="2" t="s">
        <v>26</v>
      </c>
      <c r="G671" s="2" t="s">
        <v>213</v>
      </c>
      <c r="I671">
        <f>HEX2DEC(_0811_173439[[#This Row],[580C]])*B$4/B$5+B$6</f>
        <v>760</v>
      </c>
      <c r="J671">
        <f>HEX2DEC(_0811_173439[[#This Row],[4402]])*C$4/C$5+C$6</f>
        <v>36</v>
      </c>
      <c r="K671">
        <f>HEX2DEC(_0811_173439[[#This Row],[580F]])*D$4/D$5+D$6</f>
        <v>30</v>
      </c>
      <c r="L671">
        <f>ROUND(HEX2DEC(_0811_173439[[#This Row],[58F0]])*E$4/E$5+E$6,0)</f>
        <v>70</v>
      </c>
      <c r="M671">
        <f>ROUND(HEX2DEC(_0811_173439[[#This Row],[5805]])*F$4/F$5+F$6,0)</f>
        <v>42</v>
      </c>
      <c r="N671">
        <f>ROUND(HEX2DEC(_0811_173439[[#This Row],[58DD]])*G$4/G$5+G$6,2)</f>
        <v>-0.03</v>
      </c>
      <c r="P671">
        <v>760</v>
      </c>
      <c r="Q671">
        <v>36</v>
      </c>
      <c r="R671">
        <v>30</v>
      </c>
      <c r="S671">
        <v>70</v>
      </c>
      <c r="T671">
        <v>42</v>
      </c>
      <c r="U671">
        <v>-0.03</v>
      </c>
      <c r="W671">
        <f>DataLog_T717420_Aug11_4_59_37pm[[#This Row],[RPM '[1/MIN']]]-Table3[[#This Row],[580C]]</f>
        <v>0</v>
      </c>
      <c r="X671">
        <f>DataLog_T717420_Aug11_4_59_37pm[[#This Row],[OIL TEMP '[Â°C']]]-Table3[[#This Row],[4402]]</f>
        <v>0</v>
      </c>
      <c r="Y671">
        <f>DataLog_T717420_Aug11_4_59_37pm[[#This Row],[INTAKE TEMP '[Â°C']]]-Table3[[#This Row],[580F]]</f>
        <v>0</v>
      </c>
      <c r="Z671">
        <f>DataLog_T717420_Aug11_4_59_37pm[[#This Row],[HPFP PRES. '[BAR']]]-Table3[[#This Row],[58F0]]</f>
        <v>0</v>
      </c>
      <c r="AA671">
        <f>DataLog_T717420_Aug11_4_59_37pm[[#This Row],[COOLANT TEMP '[Â°C']]]-Table3[[#This Row],[5805]]</f>
        <v>0</v>
      </c>
      <c r="AB671">
        <f>DataLog_T717420_Aug11_4_59_37pm[[#This Row],[BOOST '[BAR']]]-Table3[[#This Row],[58DD]]</f>
        <v>0</v>
      </c>
    </row>
    <row r="672" spans="2:28" x14ac:dyDescent="0.25">
      <c r="B672" s="2" t="s">
        <v>189</v>
      </c>
      <c r="C672" s="2" t="s">
        <v>30</v>
      </c>
      <c r="D672" s="2" t="s">
        <v>151</v>
      </c>
      <c r="E672" s="2" t="s">
        <v>165</v>
      </c>
      <c r="F672" s="2" t="s">
        <v>26</v>
      </c>
      <c r="G672" s="2" t="s">
        <v>216</v>
      </c>
      <c r="I672">
        <f>HEX2DEC(_0811_173439[[#This Row],[580C]])*B$4/B$5+B$6</f>
        <v>760</v>
      </c>
      <c r="J672">
        <f>HEX2DEC(_0811_173439[[#This Row],[4402]])*C$4/C$5+C$6</f>
        <v>36</v>
      </c>
      <c r="K672">
        <f>HEX2DEC(_0811_173439[[#This Row],[580F]])*D$4/D$5+D$6</f>
        <v>30</v>
      </c>
      <c r="L672">
        <f>ROUND(HEX2DEC(_0811_173439[[#This Row],[58F0]])*E$4/E$5+E$6,0)</f>
        <v>70</v>
      </c>
      <c r="M672">
        <f>ROUND(HEX2DEC(_0811_173439[[#This Row],[5805]])*F$4/F$5+F$6,0)</f>
        <v>42</v>
      </c>
      <c r="N672">
        <f>ROUND(HEX2DEC(_0811_173439[[#This Row],[58DD]])*G$4/G$5+G$6,2)</f>
        <v>-0.03</v>
      </c>
      <c r="P672">
        <v>760</v>
      </c>
      <c r="Q672">
        <v>36</v>
      </c>
      <c r="R672">
        <v>30</v>
      </c>
      <c r="S672">
        <v>70</v>
      </c>
      <c r="T672">
        <v>42</v>
      </c>
      <c r="U672">
        <v>-0.03</v>
      </c>
      <c r="W672">
        <f>DataLog_T717420_Aug11_4_59_37pm[[#This Row],[RPM '[1/MIN']]]-Table3[[#This Row],[580C]]</f>
        <v>0</v>
      </c>
      <c r="X672">
        <f>DataLog_T717420_Aug11_4_59_37pm[[#This Row],[OIL TEMP '[Â°C']]]-Table3[[#This Row],[4402]]</f>
        <v>0</v>
      </c>
      <c r="Y672">
        <f>DataLog_T717420_Aug11_4_59_37pm[[#This Row],[INTAKE TEMP '[Â°C']]]-Table3[[#This Row],[580F]]</f>
        <v>0</v>
      </c>
      <c r="Z672">
        <f>DataLog_T717420_Aug11_4_59_37pm[[#This Row],[HPFP PRES. '[BAR']]]-Table3[[#This Row],[58F0]]</f>
        <v>0</v>
      </c>
      <c r="AA672">
        <f>DataLog_T717420_Aug11_4_59_37pm[[#This Row],[COOLANT TEMP '[Â°C']]]-Table3[[#This Row],[5805]]</f>
        <v>0</v>
      </c>
      <c r="AB672">
        <f>DataLog_T717420_Aug11_4_59_37pm[[#This Row],[BOOST '[BAR']]]-Table3[[#This Row],[58DD]]</f>
        <v>0</v>
      </c>
    </row>
    <row r="673" spans="2:28" x14ac:dyDescent="0.25">
      <c r="B673" s="2" t="s">
        <v>189</v>
      </c>
      <c r="C673" s="2" t="s">
        <v>30</v>
      </c>
      <c r="D673" s="2" t="s">
        <v>151</v>
      </c>
      <c r="E673" s="2" t="s">
        <v>209</v>
      </c>
      <c r="F673" s="2" t="s">
        <v>26</v>
      </c>
      <c r="G673" s="2" t="s">
        <v>71</v>
      </c>
      <c r="I673">
        <f>HEX2DEC(_0811_173439[[#This Row],[580C]])*B$4/B$5+B$6</f>
        <v>760</v>
      </c>
      <c r="J673">
        <f>HEX2DEC(_0811_173439[[#This Row],[4402]])*C$4/C$5+C$6</f>
        <v>36</v>
      </c>
      <c r="K673">
        <f>HEX2DEC(_0811_173439[[#This Row],[580F]])*D$4/D$5+D$6</f>
        <v>30</v>
      </c>
      <c r="L673">
        <f>ROUND(HEX2DEC(_0811_173439[[#This Row],[58F0]])*E$4/E$5+E$6,0)</f>
        <v>70</v>
      </c>
      <c r="M673">
        <f>ROUND(HEX2DEC(_0811_173439[[#This Row],[5805]])*F$4/F$5+F$6,0)</f>
        <v>42</v>
      </c>
      <c r="N673">
        <f>ROUND(HEX2DEC(_0811_173439[[#This Row],[58DD]])*G$4/G$5+G$6,2)</f>
        <v>-0.03</v>
      </c>
      <c r="P673">
        <v>760</v>
      </c>
      <c r="Q673">
        <v>36</v>
      </c>
      <c r="R673">
        <v>30</v>
      </c>
      <c r="S673">
        <v>70</v>
      </c>
      <c r="T673">
        <v>42</v>
      </c>
      <c r="U673">
        <v>-0.03</v>
      </c>
      <c r="W673">
        <f>DataLog_T717420_Aug11_4_59_37pm[[#This Row],[RPM '[1/MIN']]]-Table3[[#This Row],[580C]]</f>
        <v>0</v>
      </c>
      <c r="X673">
        <f>DataLog_T717420_Aug11_4_59_37pm[[#This Row],[OIL TEMP '[Â°C']]]-Table3[[#This Row],[4402]]</f>
        <v>0</v>
      </c>
      <c r="Y673">
        <f>DataLog_T717420_Aug11_4_59_37pm[[#This Row],[INTAKE TEMP '[Â°C']]]-Table3[[#This Row],[580F]]</f>
        <v>0</v>
      </c>
      <c r="Z673">
        <f>DataLog_T717420_Aug11_4_59_37pm[[#This Row],[HPFP PRES. '[BAR']]]-Table3[[#This Row],[58F0]]</f>
        <v>0</v>
      </c>
      <c r="AA673">
        <f>DataLog_T717420_Aug11_4_59_37pm[[#This Row],[COOLANT TEMP '[Â°C']]]-Table3[[#This Row],[5805]]</f>
        <v>0</v>
      </c>
      <c r="AB673">
        <f>DataLog_T717420_Aug11_4_59_37pm[[#This Row],[BOOST '[BAR']]]-Table3[[#This Row],[58DD]]</f>
        <v>0</v>
      </c>
    </row>
    <row r="674" spans="2:28" x14ac:dyDescent="0.25">
      <c r="B674" s="2" t="s">
        <v>183</v>
      </c>
      <c r="C674" s="2" t="s">
        <v>30</v>
      </c>
      <c r="D674" s="2" t="s">
        <v>151</v>
      </c>
      <c r="E674" s="2" t="s">
        <v>93</v>
      </c>
      <c r="F674" s="2" t="s">
        <v>26</v>
      </c>
      <c r="G674" s="2" t="s">
        <v>96</v>
      </c>
      <c r="I674">
        <f>HEX2DEC(_0811_173439[[#This Row],[580C]])*B$4/B$5+B$6</f>
        <v>800</v>
      </c>
      <c r="J674">
        <f>HEX2DEC(_0811_173439[[#This Row],[4402]])*C$4/C$5+C$6</f>
        <v>36</v>
      </c>
      <c r="K674">
        <f>HEX2DEC(_0811_173439[[#This Row],[580F]])*D$4/D$5+D$6</f>
        <v>30</v>
      </c>
      <c r="L674">
        <f>ROUND(HEX2DEC(_0811_173439[[#This Row],[58F0]])*E$4/E$5+E$6,0)</f>
        <v>70</v>
      </c>
      <c r="M674">
        <f>ROUND(HEX2DEC(_0811_173439[[#This Row],[5805]])*F$4/F$5+F$6,0)</f>
        <v>42</v>
      </c>
      <c r="N674">
        <f>ROUND(HEX2DEC(_0811_173439[[#This Row],[58DD]])*G$4/G$5+G$6,2)</f>
        <v>-0.03</v>
      </c>
      <c r="P674">
        <v>800</v>
      </c>
      <c r="Q674">
        <v>36</v>
      </c>
      <c r="R674">
        <v>30</v>
      </c>
      <c r="S674">
        <v>70</v>
      </c>
      <c r="T674">
        <v>42</v>
      </c>
      <c r="U674">
        <v>-0.03</v>
      </c>
      <c r="W674">
        <f>DataLog_T717420_Aug11_4_59_37pm[[#This Row],[RPM '[1/MIN']]]-Table3[[#This Row],[580C]]</f>
        <v>0</v>
      </c>
      <c r="X674">
        <f>DataLog_T717420_Aug11_4_59_37pm[[#This Row],[OIL TEMP '[Â°C']]]-Table3[[#This Row],[4402]]</f>
        <v>0</v>
      </c>
      <c r="Y674">
        <f>DataLog_T717420_Aug11_4_59_37pm[[#This Row],[INTAKE TEMP '[Â°C']]]-Table3[[#This Row],[580F]]</f>
        <v>0</v>
      </c>
      <c r="Z674">
        <f>DataLog_T717420_Aug11_4_59_37pm[[#This Row],[HPFP PRES. '[BAR']]]-Table3[[#This Row],[58F0]]</f>
        <v>0</v>
      </c>
      <c r="AA674">
        <f>DataLog_T717420_Aug11_4_59_37pm[[#This Row],[COOLANT TEMP '[Â°C']]]-Table3[[#This Row],[5805]]</f>
        <v>0</v>
      </c>
      <c r="AB674">
        <f>DataLog_T717420_Aug11_4_59_37pm[[#This Row],[BOOST '[BAR']]]-Table3[[#This Row],[58DD]]</f>
        <v>0</v>
      </c>
    </row>
    <row r="675" spans="2:28" x14ac:dyDescent="0.25">
      <c r="B675" s="2" t="s">
        <v>183</v>
      </c>
      <c r="C675" s="2" t="s">
        <v>30</v>
      </c>
      <c r="D675" s="2" t="s">
        <v>151</v>
      </c>
      <c r="E675" s="2" t="s">
        <v>152</v>
      </c>
      <c r="F675" s="2" t="s">
        <v>26</v>
      </c>
      <c r="G675" s="2" t="s">
        <v>53</v>
      </c>
      <c r="I675">
        <f>HEX2DEC(_0811_173439[[#This Row],[580C]])*B$4/B$5+B$6</f>
        <v>800</v>
      </c>
      <c r="J675">
        <f>HEX2DEC(_0811_173439[[#This Row],[4402]])*C$4/C$5+C$6</f>
        <v>36</v>
      </c>
      <c r="K675">
        <f>HEX2DEC(_0811_173439[[#This Row],[580F]])*D$4/D$5+D$6</f>
        <v>30</v>
      </c>
      <c r="L675">
        <f>ROUND(HEX2DEC(_0811_173439[[#This Row],[58F0]])*E$4/E$5+E$6,0)</f>
        <v>70</v>
      </c>
      <c r="M675">
        <f>ROUND(HEX2DEC(_0811_173439[[#This Row],[5805]])*F$4/F$5+F$6,0)</f>
        <v>42</v>
      </c>
      <c r="N675">
        <f>ROUND(HEX2DEC(_0811_173439[[#This Row],[58DD]])*G$4/G$5+G$6,2)</f>
        <v>-0.03</v>
      </c>
      <c r="P675">
        <v>800</v>
      </c>
      <c r="Q675">
        <v>36</v>
      </c>
      <c r="R675">
        <v>30</v>
      </c>
      <c r="S675">
        <v>70</v>
      </c>
      <c r="T675">
        <v>42</v>
      </c>
      <c r="U675">
        <v>-0.03</v>
      </c>
      <c r="W675">
        <f>DataLog_T717420_Aug11_4_59_37pm[[#This Row],[RPM '[1/MIN']]]-Table3[[#This Row],[580C]]</f>
        <v>0</v>
      </c>
      <c r="X675">
        <f>DataLog_T717420_Aug11_4_59_37pm[[#This Row],[OIL TEMP '[Â°C']]]-Table3[[#This Row],[4402]]</f>
        <v>0</v>
      </c>
      <c r="Y675">
        <f>DataLog_T717420_Aug11_4_59_37pm[[#This Row],[INTAKE TEMP '[Â°C']]]-Table3[[#This Row],[580F]]</f>
        <v>0</v>
      </c>
      <c r="Z675">
        <f>DataLog_T717420_Aug11_4_59_37pm[[#This Row],[HPFP PRES. '[BAR']]]-Table3[[#This Row],[58F0]]</f>
        <v>0</v>
      </c>
      <c r="AA675">
        <f>DataLog_T717420_Aug11_4_59_37pm[[#This Row],[COOLANT TEMP '[Â°C']]]-Table3[[#This Row],[5805]]</f>
        <v>0</v>
      </c>
      <c r="AB675">
        <f>DataLog_T717420_Aug11_4_59_37pm[[#This Row],[BOOST '[BAR']]]-Table3[[#This Row],[58DD]]</f>
        <v>0</v>
      </c>
    </row>
    <row r="676" spans="2:28" x14ac:dyDescent="0.25">
      <c r="B676" s="2" t="s">
        <v>183</v>
      </c>
      <c r="C676" s="2" t="s">
        <v>30</v>
      </c>
      <c r="D676" s="2" t="s">
        <v>151</v>
      </c>
      <c r="E676" s="2" t="s">
        <v>159</v>
      </c>
      <c r="F676" s="2" t="s">
        <v>26</v>
      </c>
      <c r="G676" s="2" t="s">
        <v>191</v>
      </c>
      <c r="I676">
        <f>HEX2DEC(_0811_173439[[#This Row],[580C]])*B$4/B$5+B$6</f>
        <v>800</v>
      </c>
      <c r="J676">
        <f>HEX2DEC(_0811_173439[[#This Row],[4402]])*C$4/C$5+C$6</f>
        <v>36</v>
      </c>
      <c r="K676">
        <f>HEX2DEC(_0811_173439[[#This Row],[580F]])*D$4/D$5+D$6</f>
        <v>30</v>
      </c>
      <c r="L676">
        <f>ROUND(HEX2DEC(_0811_173439[[#This Row],[58F0]])*E$4/E$5+E$6,0)</f>
        <v>70</v>
      </c>
      <c r="M676">
        <f>ROUND(HEX2DEC(_0811_173439[[#This Row],[5805]])*F$4/F$5+F$6,0)</f>
        <v>42</v>
      </c>
      <c r="N676">
        <f>ROUND(HEX2DEC(_0811_173439[[#This Row],[58DD]])*G$4/G$5+G$6,2)</f>
        <v>-0.03</v>
      </c>
      <c r="P676">
        <v>800</v>
      </c>
      <c r="Q676">
        <v>36</v>
      </c>
      <c r="R676">
        <v>30</v>
      </c>
      <c r="S676">
        <v>70</v>
      </c>
      <c r="T676">
        <v>42</v>
      </c>
      <c r="U676">
        <v>-0.03</v>
      </c>
      <c r="W676">
        <f>DataLog_T717420_Aug11_4_59_37pm[[#This Row],[RPM '[1/MIN']]]-Table3[[#This Row],[580C]]</f>
        <v>0</v>
      </c>
      <c r="X676">
        <f>DataLog_T717420_Aug11_4_59_37pm[[#This Row],[OIL TEMP '[Â°C']]]-Table3[[#This Row],[4402]]</f>
        <v>0</v>
      </c>
      <c r="Y676">
        <f>DataLog_T717420_Aug11_4_59_37pm[[#This Row],[INTAKE TEMP '[Â°C']]]-Table3[[#This Row],[580F]]</f>
        <v>0</v>
      </c>
      <c r="Z676">
        <f>DataLog_T717420_Aug11_4_59_37pm[[#This Row],[HPFP PRES. '[BAR']]]-Table3[[#This Row],[58F0]]</f>
        <v>0</v>
      </c>
      <c r="AA676">
        <f>DataLog_T717420_Aug11_4_59_37pm[[#This Row],[COOLANT TEMP '[Â°C']]]-Table3[[#This Row],[5805]]</f>
        <v>0</v>
      </c>
      <c r="AB676">
        <f>DataLog_T717420_Aug11_4_59_37pm[[#This Row],[BOOST '[BAR']]]-Table3[[#This Row],[58DD]]</f>
        <v>0</v>
      </c>
    </row>
    <row r="677" spans="2:28" x14ac:dyDescent="0.25">
      <c r="B677" s="2" t="s">
        <v>183</v>
      </c>
      <c r="C677" s="2" t="s">
        <v>30</v>
      </c>
      <c r="D677" s="2" t="s">
        <v>151</v>
      </c>
      <c r="E677" s="2" t="s">
        <v>127</v>
      </c>
      <c r="F677" s="2" t="s">
        <v>26</v>
      </c>
      <c r="G677" s="2" t="s">
        <v>96</v>
      </c>
      <c r="I677">
        <f>HEX2DEC(_0811_173439[[#This Row],[580C]])*B$4/B$5+B$6</f>
        <v>800</v>
      </c>
      <c r="J677">
        <f>HEX2DEC(_0811_173439[[#This Row],[4402]])*C$4/C$5+C$6</f>
        <v>36</v>
      </c>
      <c r="K677">
        <f>HEX2DEC(_0811_173439[[#This Row],[580F]])*D$4/D$5+D$6</f>
        <v>30</v>
      </c>
      <c r="L677">
        <f>ROUND(HEX2DEC(_0811_173439[[#This Row],[58F0]])*E$4/E$5+E$6,0)</f>
        <v>70</v>
      </c>
      <c r="M677">
        <f>ROUND(HEX2DEC(_0811_173439[[#This Row],[5805]])*F$4/F$5+F$6,0)</f>
        <v>42</v>
      </c>
      <c r="N677">
        <f>ROUND(HEX2DEC(_0811_173439[[#This Row],[58DD]])*G$4/G$5+G$6,2)</f>
        <v>-0.03</v>
      </c>
      <c r="P677">
        <v>800</v>
      </c>
      <c r="Q677">
        <v>36</v>
      </c>
      <c r="R677">
        <v>30</v>
      </c>
      <c r="S677">
        <v>70</v>
      </c>
      <c r="T677">
        <v>42</v>
      </c>
      <c r="U677">
        <v>-0.03</v>
      </c>
      <c r="W677">
        <f>DataLog_T717420_Aug11_4_59_37pm[[#This Row],[RPM '[1/MIN']]]-Table3[[#This Row],[580C]]</f>
        <v>0</v>
      </c>
      <c r="X677">
        <f>DataLog_T717420_Aug11_4_59_37pm[[#This Row],[OIL TEMP '[Â°C']]]-Table3[[#This Row],[4402]]</f>
        <v>0</v>
      </c>
      <c r="Y677">
        <f>DataLog_T717420_Aug11_4_59_37pm[[#This Row],[INTAKE TEMP '[Â°C']]]-Table3[[#This Row],[580F]]</f>
        <v>0</v>
      </c>
      <c r="Z677">
        <f>DataLog_T717420_Aug11_4_59_37pm[[#This Row],[HPFP PRES. '[BAR']]]-Table3[[#This Row],[58F0]]</f>
        <v>0</v>
      </c>
      <c r="AA677">
        <f>DataLog_T717420_Aug11_4_59_37pm[[#This Row],[COOLANT TEMP '[Â°C']]]-Table3[[#This Row],[5805]]</f>
        <v>0</v>
      </c>
      <c r="AB677">
        <f>DataLog_T717420_Aug11_4_59_37pm[[#This Row],[BOOST '[BAR']]]-Table3[[#This Row],[58DD]]</f>
        <v>0</v>
      </c>
    </row>
    <row r="678" spans="2:28" x14ac:dyDescent="0.25">
      <c r="B678" s="2" t="s">
        <v>183</v>
      </c>
      <c r="C678" s="2" t="s">
        <v>30</v>
      </c>
      <c r="D678" s="2" t="s">
        <v>151</v>
      </c>
      <c r="E678" s="2" t="s">
        <v>249</v>
      </c>
      <c r="F678" s="2" t="s">
        <v>26</v>
      </c>
      <c r="G678" s="2" t="s">
        <v>96</v>
      </c>
      <c r="I678">
        <f>HEX2DEC(_0811_173439[[#This Row],[580C]])*B$4/B$5+B$6</f>
        <v>800</v>
      </c>
      <c r="J678">
        <f>HEX2DEC(_0811_173439[[#This Row],[4402]])*C$4/C$5+C$6</f>
        <v>36</v>
      </c>
      <c r="K678">
        <f>HEX2DEC(_0811_173439[[#This Row],[580F]])*D$4/D$5+D$6</f>
        <v>30</v>
      </c>
      <c r="L678">
        <f>ROUND(HEX2DEC(_0811_173439[[#This Row],[58F0]])*E$4/E$5+E$6,0)</f>
        <v>70</v>
      </c>
      <c r="M678">
        <f>ROUND(HEX2DEC(_0811_173439[[#This Row],[5805]])*F$4/F$5+F$6,0)</f>
        <v>42</v>
      </c>
      <c r="N678">
        <f>ROUND(HEX2DEC(_0811_173439[[#This Row],[58DD]])*G$4/G$5+G$6,2)</f>
        <v>-0.03</v>
      </c>
      <c r="P678">
        <v>800</v>
      </c>
      <c r="Q678">
        <v>36</v>
      </c>
      <c r="R678">
        <v>30</v>
      </c>
      <c r="S678">
        <v>70</v>
      </c>
      <c r="T678">
        <v>42</v>
      </c>
      <c r="U678">
        <v>-0.03</v>
      </c>
      <c r="W678">
        <f>DataLog_T717420_Aug11_4_59_37pm[[#This Row],[RPM '[1/MIN']]]-Table3[[#This Row],[580C]]</f>
        <v>0</v>
      </c>
      <c r="X678">
        <f>DataLog_T717420_Aug11_4_59_37pm[[#This Row],[OIL TEMP '[Â°C']]]-Table3[[#This Row],[4402]]</f>
        <v>0</v>
      </c>
      <c r="Y678">
        <f>DataLog_T717420_Aug11_4_59_37pm[[#This Row],[INTAKE TEMP '[Â°C']]]-Table3[[#This Row],[580F]]</f>
        <v>0</v>
      </c>
      <c r="Z678">
        <f>DataLog_T717420_Aug11_4_59_37pm[[#This Row],[HPFP PRES. '[BAR']]]-Table3[[#This Row],[58F0]]</f>
        <v>0</v>
      </c>
      <c r="AA678">
        <f>DataLog_T717420_Aug11_4_59_37pm[[#This Row],[COOLANT TEMP '[Â°C']]]-Table3[[#This Row],[5805]]</f>
        <v>0</v>
      </c>
      <c r="AB678">
        <f>DataLog_T717420_Aug11_4_59_37pm[[#This Row],[BOOST '[BAR']]]-Table3[[#This Row],[58DD]]</f>
        <v>0</v>
      </c>
    </row>
    <row r="679" spans="2:28" x14ac:dyDescent="0.25">
      <c r="B679" s="2" t="s">
        <v>183</v>
      </c>
      <c r="C679" s="2" t="s">
        <v>30</v>
      </c>
      <c r="D679" s="2" t="s">
        <v>151</v>
      </c>
      <c r="E679" s="2" t="s">
        <v>159</v>
      </c>
      <c r="F679" s="2" t="s">
        <v>26</v>
      </c>
      <c r="G679" s="2" t="s">
        <v>236</v>
      </c>
      <c r="I679">
        <f>HEX2DEC(_0811_173439[[#This Row],[580C]])*B$4/B$5+B$6</f>
        <v>800</v>
      </c>
      <c r="J679">
        <f>HEX2DEC(_0811_173439[[#This Row],[4402]])*C$4/C$5+C$6</f>
        <v>36</v>
      </c>
      <c r="K679">
        <f>HEX2DEC(_0811_173439[[#This Row],[580F]])*D$4/D$5+D$6</f>
        <v>30</v>
      </c>
      <c r="L679">
        <f>ROUND(HEX2DEC(_0811_173439[[#This Row],[58F0]])*E$4/E$5+E$6,0)</f>
        <v>70</v>
      </c>
      <c r="M679">
        <f>ROUND(HEX2DEC(_0811_173439[[#This Row],[5805]])*F$4/F$5+F$6,0)</f>
        <v>42</v>
      </c>
      <c r="N679">
        <f>ROUND(HEX2DEC(_0811_173439[[#This Row],[58DD]])*G$4/G$5+G$6,2)</f>
        <v>-0.03</v>
      </c>
      <c r="P679">
        <v>800</v>
      </c>
      <c r="Q679">
        <v>36</v>
      </c>
      <c r="R679">
        <v>30</v>
      </c>
      <c r="S679">
        <v>70</v>
      </c>
      <c r="T679">
        <v>42</v>
      </c>
      <c r="U679">
        <v>-0.03</v>
      </c>
      <c r="W679">
        <f>DataLog_T717420_Aug11_4_59_37pm[[#This Row],[RPM '[1/MIN']]]-Table3[[#This Row],[580C]]</f>
        <v>0</v>
      </c>
      <c r="X679">
        <f>DataLog_T717420_Aug11_4_59_37pm[[#This Row],[OIL TEMP '[Â°C']]]-Table3[[#This Row],[4402]]</f>
        <v>0</v>
      </c>
      <c r="Y679">
        <f>DataLog_T717420_Aug11_4_59_37pm[[#This Row],[INTAKE TEMP '[Â°C']]]-Table3[[#This Row],[580F]]</f>
        <v>0</v>
      </c>
      <c r="Z679">
        <f>DataLog_T717420_Aug11_4_59_37pm[[#This Row],[HPFP PRES. '[BAR']]]-Table3[[#This Row],[58F0]]</f>
        <v>0</v>
      </c>
      <c r="AA679">
        <f>DataLog_T717420_Aug11_4_59_37pm[[#This Row],[COOLANT TEMP '[Â°C']]]-Table3[[#This Row],[5805]]</f>
        <v>0</v>
      </c>
      <c r="AB679">
        <f>DataLog_T717420_Aug11_4_59_37pm[[#This Row],[BOOST '[BAR']]]-Table3[[#This Row],[58DD]]</f>
        <v>0</v>
      </c>
    </row>
    <row r="680" spans="2:28" x14ac:dyDescent="0.25">
      <c r="B680" s="2" t="s">
        <v>183</v>
      </c>
      <c r="C680" s="2" t="s">
        <v>30</v>
      </c>
      <c r="D680" s="2" t="s">
        <v>151</v>
      </c>
      <c r="E680" s="2" t="s">
        <v>127</v>
      </c>
      <c r="F680" s="2" t="s">
        <v>26</v>
      </c>
      <c r="G680" s="2" t="s">
        <v>96</v>
      </c>
      <c r="I680">
        <f>HEX2DEC(_0811_173439[[#This Row],[580C]])*B$4/B$5+B$6</f>
        <v>800</v>
      </c>
      <c r="J680">
        <f>HEX2DEC(_0811_173439[[#This Row],[4402]])*C$4/C$5+C$6</f>
        <v>36</v>
      </c>
      <c r="K680">
        <f>HEX2DEC(_0811_173439[[#This Row],[580F]])*D$4/D$5+D$6</f>
        <v>30</v>
      </c>
      <c r="L680">
        <f>ROUND(HEX2DEC(_0811_173439[[#This Row],[58F0]])*E$4/E$5+E$6,0)</f>
        <v>70</v>
      </c>
      <c r="M680">
        <f>ROUND(HEX2DEC(_0811_173439[[#This Row],[5805]])*F$4/F$5+F$6,0)</f>
        <v>42</v>
      </c>
      <c r="N680">
        <f>ROUND(HEX2DEC(_0811_173439[[#This Row],[58DD]])*G$4/G$5+G$6,2)</f>
        <v>-0.03</v>
      </c>
      <c r="P680">
        <v>800</v>
      </c>
      <c r="Q680">
        <v>36</v>
      </c>
      <c r="R680">
        <v>30</v>
      </c>
      <c r="S680">
        <v>70</v>
      </c>
      <c r="T680">
        <v>42</v>
      </c>
      <c r="U680">
        <v>-0.03</v>
      </c>
      <c r="W680">
        <f>DataLog_T717420_Aug11_4_59_37pm[[#This Row],[RPM '[1/MIN']]]-Table3[[#This Row],[580C]]</f>
        <v>0</v>
      </c>
      <c r="X680">
        <f>DataLog_T717420_Aug11_4_59_37pm[[#This Row],[OIL TEMP '[Â°C']]]-Table3[[#This Row],[4402]]</f>
        <v>0</v>
      </c>
      <c r="Y680">
        <f>DataLog_T717420_Aug11_4_59_37pm[[#This Row],[INTAKE TEMP '[Â°C']]]-Table3[[#This Row],[580F]]</f>
        <v>0</v>
      </c>
      <c r="Z680">
        <f>DataLog_T717420_Aug11_4_59_37pm[[#This Row],[HPFP PRES. '[BAR']]]-Table3[[#This Row],[58F0]]</f>
        <v>0</v>
      </c>
      <c r="AA680">
        <f>DataLog_T717420_Aug11_4_59_37pm[[#This Row],[COOLANT TEMP '[Â°C']]]-Table3[[#This Row],[5805]]</f>
        <v>0</v>
      </c>
      <c r="AB680">
        <f>DataLog_T717420_Aug11_4_59_37pm[[#This Row],[BOOST '[BAR']]]-Table3[[#This Row],[58DD]]</f>
        <v>0</v>
      </c>
    </row>
    <row r="681" spans="2:28" x14ac:dyDescent="0.25">
      <c r="B681" s="2" t="s">
        <v>183</v>
      </c>
      <c r="C681" s="2" t="s">
        <v>30</v>
      </c>
      <c r="D681" s="2" t="s">
        <v>151</v>
      </c>
      <c r="E681" s="2" t="s">
        <v>163</v>
      </c>
      <c r="F681" s="2" t="s">
        <v>26</v>
      </c>
      <c r="G681" s="2" t="s">
        <v>71</v>
      </c>
      <c r="I681">
        <f>HEX2DEC(_0811_173439[[#This Row],[580C]])*B$4/B$5+B$6</f>
        <v>800</v>
      </c>
      <c r="J681">
        <f>HEX2DEC(_0811_173439[[#This Row],[4402]])*C$4/C$5+C$6</f>
        <v>36</v>
      </c>
      <c r="K681">
        <f>HEX2DEC(_0811_173439[[#This Row],[580F]])*D$4/D$5+D$6</f>
        <v>30</v>
      </c>
      <c r="L681">
        <f>ROUND(HEX2DEC(_0811_173439[[#This Row],[58F0]])*E$4/E$5+E$6,0)</f>
        <v>70</v>
      </c>
      <c r="M681">
        <f>ROUND(HEX2DEC(_0811_173439[[#This Row],[5805]])*F$4/F$5+F$6,0)</f>
        <v>42</v>
      </c>
      <c r="N681">
        <f>ROUND(HEX2DEC(_0811_173439[[#This Row],[58DD]])*G$4/G$5+G$6,2)</f>
        <v>-0.03</v>
      </c>
      <c r="P681">
        <v>800</v>
      </c>
      <c r="Q681">
        <v>36</v>
      </c>
      <c r="R681">
        <v>30</v>
      </c>
      <c r="S681">
        <v>70</v>
      </c>
      <c r="T681">
        <v>42</v>
      </c>
      <c r="U681">
        <v>-0.03</v>
      </c>
      <c r="W681">
        <f>DataLog_T717420_Aug11_4_59_37pm[[#This Row],[RPM '[1/MIN']]]-Table3[[#This Row],[580C]]</f>
        <v>0</v>
      </c>
      <c r="X681">
        <f>DataLog_T717420_Aug11_4_59_37pm[[#This Row],[OIL TEMP '[Â°C']]]-Table3[[#This Row],[4402]]</f>
        <v>0</v>
      </c>
      <c r="Y681">
        <f>DataLog_T717420_Aug11_4_59_37pm[[#This Row],[INTAKE TEMP '[Â°C']]]-Table3[[#This Row],[580F]]</f>
        <v>0</v>
      </c>
      <c r="Z681">
        <f>DataLog_T717420_Aug11_4_59_37pm[[#This Row],[HPFP PRES. '[BAR']]]-Table3[[#This Row],[58F0]]</f>
        <v>0</v>
      </c>
      <c r="AA681">
        <f>DataLog_T717420_Aug11_4_59_37pm[[#This Row],[COOLANT TEMP '[Â°C']]]-Table3[[#This Row],[5805]]</f>
        <v>0</v>
      </c>
      <c r="AB681">
        <f>DataLog_T717420_Aug11_4_59_37pm[[#This Row],[BOOST '[BAR']]]-Table3[[#This Row],[58DD]]</f>
        <v>0</v>
      </c>
    </row>
    <row r="682" spans="2:28" x14ac:dyDescent="0.25">
      <c r="B682" s="2" t="s">
        <v>183</v>
      </c>
      <c r="C682" s="2" t="s">
        <v>30</v>
      </c>
      <c r="D682" s="2" t="s">
        <v>151</v>
      </c>
      <c r="E682" s="2" t="s">
        <v>198</v>
      </c>
      <c r="F682" s="2" t="s">
        <v>26</v>
      </c>
      <c r="G682" s="2" t="s">
        <v>250</v>
      </c>
      <c r="I682">
        <f>HEX2DEC(_0811_173439[[#This Row],[580C]])*B$4/B$5+B$6</f>
        <v>800</v>
      </c>
      <c r="J682">
        <f>HEX2DEC(_0811_173439[[#This Row],[4402]])*C$4/C$5+C$6</f>
        <v>36</v>
      </c>
      <c r="K682">
        <f>HEX2DEC(_0811_173439[[#This Row],[580F]])*D$4/D$5+D$6</f>
        <v>30</v>
      </c>
      <c r="L682">
        <f>ROUND(HEX2DEC(_0811_173439[[#This Row],[58F0]])*E$4/E$5+E$6,0)</f>
        <v>70</v>
      </c>
      <c r="M682">
        <f>ROUND(HEX2DEC(_0811_173439[[#This Row],[5805]])*F$4/F$5+F$6,0)</f>
        <v>42</v>
      </c>
      <c r="N682">
        <f>ROUND(HEX2DEC(_0811_173439[[#This Row],[58DD]])*G$4/G$5+G$6,2)</f>
        <v>-0.03</v>
      </c>
      <c r="P682">
        <v>800</v>
      </c>
      <c r="Q682">
        <v>36</v>
      </c>
      <c r="R682">
        <v>30</v>
      </c>
      <c r="S682">
        <v>70</v>
      </c>
      <c r="T682">
        <v>42</v>
      </c>
      <c r="U682">
        <v>-0.03</v>
      </c>
      <c r="W682">
        <f>DataLog_T717420_Aug11_4_59_37pm[[#This Row],[RPM '[1/MIN']]]-Table3[[#This Row],[580C]]</f>
        <v>0</v>
      </c>
      <c r="X682">
        <f>DataLog_T717420_Aug11_4_59_37pm[[#This Row],[OIL TEMP '[Â°C']]]-Table3[[#This Row],[4402]]</f>
        <v>0</v>
      </c>
      <c r="Y682">
        <f>DataLog_T717420_Aug11_4_59_37pm[[#This Row],[INTAKE TEMP '[Â°C']]]-Table3[[#This Row],[580F]]</f>
        <v>0</v>
      </c>
      <c r="Z682">
        <f>DataLog_T717420_Aug11_4_59_37pm[[#This Row],[HPFP PRES. '[BAR']]]-Table3[[#This Row],[58F0]]</f>
        <v>0</v>
      </c>
      <c r="AA682">
        <f>DataLog_T717420_Aug11_4_59_37pm[[#This Row],[COOLANT TEMP '[Â°C']]]-Table3[[#This Row],[5805]]</f>
        <v>0</v>
      </c>
      <c r="AB682">
        <f>DataLog_T717420_Aug11_4_59_37pm[[#This Row],[BOOST '[BAR']]]-Table3[[#This Row],[58DD]]</f>
        <v>0</v>
      </c>
    </row>
    <row r="683" spans="2:28" x14ac:dyDescent="0.25">
      <c r="B683" s="2" t="s">
        <v>189</v>
      </c>
      <c r="C683" s="2" t="s">
        <v>30</v>
      </c>
      <c r="D683" s="2" t="s">
        <v>151</v>
      </c>
      <c r="E683" s="2" t="s">
        <v>93</v>
      </c>
      <c r="F683" s="2" t="s">
        <v>26</v>
      </c>
      <c r="G683" s="2" t="s">
        <v>236</v>
      </c>
      <c r="I683">
        <f>HEX2DEC(_0811_173439[[#This Row],[580C]])*B$4/B$5+B$6</f>
        <v>760</v>
      </c>
      <c r="J683">
        <f>HEX2DEC(_0811_173439[[#This Row],[4402]])*C$4/C$5+C$6</f>
        <v>36</v>
      </c>
      <c r="K683">
        <f>HEX2DEC(_0811_173439[[#This Row],[580F]])*D$4/D$5+D$6</f>
        <v>30</v>
      </c>
      <c r="L683">
        <f>ROUND(HEX2DEC(_0811_173439[[#This Row],[58F0]])*E$4/E$5+E$6,0)</f>
        <v>70</v>
      </c>
      <c r="M683">
        <f>ROUND(HEX2DEC(_0811_173439[[#This Row],[5805]])*F$4/F$5+F$6,0)</f>
        <v>42</v>
      </c>
      <c r="N683">
        <f>ROUND(HEX2DEC(_0811_173439[[#This Row],[58DD]])*G$4/G$5+G$6,2)</f>
        <v>-0.03</v>
      </c>
      <c r="P683">
        <v>760</v>
      </c>
      <c r="Q683">
        <v>36</v>
      </c>
      <c r="R683">
        <v>30</v>
      </c>
      <c r="S683">
        <v>70</v>
      </c>
      <c r="T683">
        <v>42</v>
      </c>
      <c r="U683">
        <v>-0.03</v>
      </c>
      <c r="W683">
        <f>DataLog_T717420_Aug11_4_59_37pm[[#This Row],[RPM '[1/MIN']]]-Table3[[#This Row],[580C]]</f>
        <v>0</v>
      </c>
      <c r="X683">
        <f>DataLog_T717420_Aug11_4_59_37pm[[#This Row],[OIL TEMP '[Â°C']]]-Table3[[#This Row],[4402]]</f>
        <v>0</v>
      </c>
      <c r="Y683">
        <f>DataLog_T717420_Aug11_4_59_37pm[[#This Row],[INTAKE TEMP '[Â°C']]]-Table3[[#This Row],[580F]]</f>
        <v>0</v>
      </c>
      <c r="Z683">
        <f>DataLog_T717420_Aug11_4_59_37pm[[#This Row],[HPFP PRES. '[BAR']]]-Table3[[#This Row],[58F0]]</f>
        <v>0</v>
      </c>
      <c r="AA683">
        <f>DataLog_T717420_Aug11_4_59_37pm[[#This Row],[COOLANT TEMP '[Â°C']]]-Table3[[#This Row],[5805]]</f>
        <v>0</v>
      </c>
      <c r="AB683">
        <f>DataLog_T717420_Aug11_4_59_37pm[[#This Row],[BOOST '[BAR']]]-Table3[[#This Row],[58DD]]</f>
        <v>0</v>
      </c>
    </row>
    <row r="684" spans="2:28" x14ac:dyDescent="0.25">
      <c r="B684" s="2" t="s">
        <v>189</v>
      </c>
      <c r="C684" s="2" t="s">
        <v>30</v>
      </c>
      <c r="D684" s="2" t="s">
        <v>151</v>
      </c>
      <c r="E684" s="2" t="s">
        <v>127</v>
      </c>
      <c r="F684" s="2" t="s">
        <v>26</v>
      </c>
      <c r="G684" s="2" t="s">
        <v>71</v>
      </c>
      <c r="I684">
        <f>HEX2DEC(_0811_173439[[#This Row],[580C]])*B$4/B$5+B$6</f>
        <v>760</v>
      </c>
      <c r="J684">
        <f>HEX2DEC(_0811_173439[[#This Row],[4402]])*C$4/C$5+C$6</f>
        <v>36</v>
      </c>
      <c r="K684">
        <f>HEX2DEC(_0811_173439[[#This Row],[580F]])*D$4/D$5+D$6</f>
        <v>30</v>
      </c>
      <c r="L684">
        <f>ROUND(HEX2DEC(_0811_173439[[#This Row],[58F0]])*E$4/E$5+E$6,0)</f>
        <v>70</v>
      </c>
      <c r="M684">
        <f>ROUND(HEX2DEC(_0811_173439[[#This Row],[5805]])*F$4/F$5+F$6,0)</f>
        <v>42</v>
      </c>
      <c r="N684">
        <f>ROUND(HEX2DEC(_0811_173439[[#This Row],[58DD]])*G$4/G$5+G$6,2)</f>
        <v>-0.03</v>
      </c>
      <c r="P684">
        <v>760</v>
      </c>
      <c r="Q684">
        <v>36</v>
      </c>
      <c r="R684">
        <v>30</v>
      </c>
      <c r="S684">
        <v>70</v>
      </c>
      <c r="T684">
        <v>42</v>
      </c>
      <c r="U684">
        <v>-0.03</v>
      </c>
      <c r="W684">
        <f>DataLog_T717420_Aug11_4_59_37pm[[#This Row],[RPM '[1/MIN']]]-Table3[[#This Row],[580C]]</f>
        <v>0</v>
      </c>
      <c r="X684">
        <f>DataLog_T717420_Aug11_4_59_37pm[[#This Row],[OIL TEMP '[Â°C']]]-Table3[[#This Row],[4402]]</f>
        <v>0</v>
      </c>
      <c r="Y684">
        <f>DataLog_T717420_Aug11_4_59_37pm[[#This Row],[INTAKE TEMP '[Â°C']]]-Table3[[#This Row],[580F]]</f>
        <v>0</v>
      </c>
      <c r="Z684">
        <f>DataLog_T717420_Aug11_4_59_37pm[[#This Row],[HPFP PRES. '[BAR']]]-Table3[[#This Row],[58F0]]</f>
        <v>0</v>
      </c>
      <c r="AA684">
        <f>DataLog_T717420_Aug11_4_59_37pm[[#This Row],[COOLANT TEMP '[Â°C']]]-Table3[[#This Row],[5805]]</f>
        <v>0</v>
      </c>
      <c r="AB684">
        <f>DataLog_T717420_Aug11_4_59_37pm[[#This Row],[BOOST '[BAR']]]-Table3[[#This Row],[58DD]]</f>
        <v>0</v>
      </c>
    </row>
    <row r="685" spans="2:28" x14ac:dyDescent="0.25">
      <c r="B685" s="2" t="s">
        <v>189</v>
      </c>
      <c r="C685" s="2" t="s">
        <v>30</v>
      </c>
      <c r="D685" s="2" t="s">
        <v>151</v>
      </c>
      <c r="E685" s="2" t="s">
        <v>137</v>
      </c>
      <c r="F685" s="2" t="s">
        <v>26</v>
      </c>
      <c r="G685" s="2" t="s">
        <v>190</v>
      </c>
      <c r="I685">
        <f>HEX2DEC(_0811_173439[[#This Row],[580C]])*B$4/B$5+B$6</f>
        <v>760</v>
      </c>
      <c r="J685">
        <f>HEX2DEC(_0811_173439[[#This Row],[4402]])*C$4/C$5+C$6</f>
        <v>36</v>
      </c>
      <c r="K685">
        <f>HEX2DEC(_0811_173439[[#This Row],[580F]])*D$4/D$5+D$6</f>
        <v>30</v>
      </c>
      <c r="L685">
        <f>ROUND(HEX2DEC(_0811_173439[[#This Row],[58F0]])*E$4/E$5+E$6,0)</f>
        <v>70</v>
      </c>
      <c r="M685">
        <f>ROUND(HEX2DEC(_0811_173439[[#This Row],[5805]])*F$4/F$5+F$6,0)</f>
        <v>42</v>
      </c>
      <c r="N685">
        <f>ROUND(HEX2DEC(_0811_173439[[#This Row],[58DD]])*G$4/G$5+G$6,2)</f>
        <v>-0.03</v>
      </c>
      <c r="P685">
        <v>760</v>
      </c>
      <c r="Q685">
        <v>36</v>
      </c>
      <c r="R685">
        <v>30</v>
      </c>
      <c r="S685">
        <v>70</v>
      </c>
      <c r="T685">
        <v>42</v>
      </c>
      <c r="U685">
        <v>-0.03</v>
      </c>
      <c r="W685">
        <f>DataLog_T717420_Aug11_4_59_37pm[[#This Row],[RPM '[1/MIN']]]-Table3[[#This Row],[580C]]</f>
        <v>0</v>
      </c>
      <c r="X685">
        <f>DataLog_T717420_Aug11_4_59_37pm[[#This Row],[OIL TEMP '[Â°C']]]-Table3[[#This Row],[4402]]</f>
        <v>0</v>
      </c>
      <c r="Y685">
        <f>DataLog_T717420_Aug11_4_59_37pm[[#This Row],[INTAKE TEMP '[Â°C']]]-Table3[[#This Row],[580F]]</f>
        <v>0</v>
      </c>
      <c r="Z685">
        <f>DataLog_T717420_Aug11_4_59_37pm[[#This Row],[HPFP PRES. '[BAR']]]-Table3[[#This Row],[58F0]]</f>
        <v>0</v>
      </c>
      <c r="AA685">
        <f>DataLog_T717420_Aug11_4_59_37pm[[#This Row],[COOLANT TEMP '[Â°C']]]-Table3[[#This Row],[5805]]</f>
        <v>0</v>
      </c>
      <c r="AB685">
        <f>DataLog_T717420_Aug11_4_59_37pm[[#This Row],[BOOST '[BAR']]]-Table3[[#This Row],[58DD]]</f>
        <v>0</v>
      </c>
    </row>
    <row r="686" spans="2:28" x14ac:dyDescent="0.25">
      <c r="B686" s="2" t="s">
        <v>189</v>
      </c>
      <c r="C686" s="2" t="s">
        <v>30</v>
      </c>
      <c r="D686" s="2" t="s">
        <v>151</v>
      </c>
      <c r="E686" s="2" t="s">
        <v>93</v>
      </c>
      <c r="F686" s="2" t="s">
        <v>26</v>
      </c>
      <c r="G686" s="2" t="s">
        <v>190</v>
      </c>
      <c r="I686">
        <f>HEX2DEC(_0811_173439[[#This Row],[580C]])*B$4/B$5+B$6</f>
        <v>760</v>
      </c>
      <c r="J686">
        <f>HEX2DEC(_0811_173439[[#This Row],[4402]])*C$4/C$5+C$6</f>
        <v>36</v>
      </c>
      <c r="K686">
        <f>HEX2DEC(_0811_173439[[#This Row],[580F]])*D$4/D$5+D$6</f>
        <v>30</v>
      </c>
      <c r="L686">
        <f>ROUND(HEX2DEC(_0811_173439[[#This Row],[58F0]])*E$4/E$5+E$6,0)</f>
        <v>70</v>
      </c>
      <c r="M686">
        <f>ROUND(HEX2DEC(_0811_173439[[#This Row],[5805]])*F$4/F$5+F$6,0)</f>
        <v>42</v>
      </c>
      <c r="N686">
        <f>ROUND(HEX2DEC(_0811_173439[[#This Row],[58DD]])*G$4/G$5+G$6,2)</f>
        <v>-0.03</v>
      </c>
      <c r="P686">
        <v>760</v>
      </c>
      <c r="Q686">
        <v>36</v>
      </c>
      <c r="R686">
        <v>30</v>
      </c>
      <c r="S686">
        <v>70</v>
      </c>
      <c r="T686">
        <v>42</v>
      </c>
      <c r="U686">
        <v>-0.03</v>
      </c>
      <c r="W686">
        <f>DataLog_T717420_Aug11_4_59_37pm[[#This Row],[RPM '[1/MIN']]]-Table3[[#This Row],[580C]]</f>
        <v>0</v>
      </c>
      <c r="X686">
        <f>DataLog_T717420_Aug11_4_59_37pm[[#This Row],[OIL TEMP '[Â°C']]]-Table3[[#This Row],[4402]]</f>
        <v>0</v>
      </c>
      <c r="Y686">
        <f>DataLog_T717420_Aug11_4_59_37pm[[#This Row],[INTAKE TEMP '[Â°C']]]-Table3[[#This Row],[580F]]</f>
        <v>0</v>
      </c>
      <c r="Z686">
        <f>DataLog_T717420_Aug11_4_59_37pm[[#This Row],[HPFP PRES. '[BAR']]]-Table3[[#This Row],[58F0]]</f>
        <v>0</v>
      </c>
      <c r="AA686">
        <f>DataLog_T717420_Aug11_4_59_37pm[[#This Row],[COOLANT TEMP '[Â°C']]]-Table3[[#This Row],[5805]]</f>
        <v>0</v>
      </c>
      <c r="AB686">
        <f>DataLog_T717420_Aug11_4_59_37pm[[#This Row],[BOOST '[BAR']]]-Table3[[#This Row],[58DD]]</f>
        <v>0</v>
      </c>
    </row>
    <row r="687" spans="2:28" x14ac:dyDescent="0.25">
      <c r="B687" s="2" t="s">
        <v>189</v>
      </c>
      <c r="C687" s="2" t="s">
        <v>30</v>
      </c>
      <c r="D687" s="2" t="s">
        <v>151</v>
      </c>
      <c r="E687" s="2" t="s">
        <v>141</v>
      </c>
      <c r="F687" s="2" t="s">
        <v>26</v>
      </c>
      <c r="G687" s="2" t="s">
        <v>190</v>
      </c>
      <c r="I687">
        <f>HEX2DEC(_0811_173439[[#This Row],[580C]])*B$4/B$5+B$6</f>
        <v>760</v>
      </c>
      <c r="J687">
        <f>HEX2DEC(_0811_173439[[#This Row],[4402]])*C$4/C$5+C$6</f>
        <v>36</v>
      </c>
      <c r="K687">
        <f>HEX2DEC(_0811_173439[[#This Row],[580F]])*D$4/D$5+D$6</f>
        <v>30</v>
      </c>
      <c r="L687">
        <f>ROUND(HEX2DEC(_0811_173439[[#This Row],[58F0]])*E$4/E$5+E$6,0)</f>
        <v>70</v>
      </c>
      <c r="M687">
        <f>ROUND(HEX2DEC(_0811_173439[[#This Row],[5805]])*F$4/F$5+F$6,0)</f>
        <v>42</v>
      </c>
      <c r="N687">
        <f>ROUND(HEX2DEC(_0811_173439[[#This Row],[58DD]])*G$4/G$5+G$6,2)</f>
        <v>-0.03</v>
      </c>
      <c r="P687">
        <v>760</v>
      </c>
      <c r="Q687">
        <v>36</v>
      </c>
      <c r="R687">
        <v>30</v>
      </c>
      <c r="S687">
        <v>70</v>
      </c>
      <c r="T687">
        <v>42</v>
      </c>
      <c r="U687">
        <v>-0.03</v>
      </c>
      <c r="W687">
        <f>DataLog_T717420_Aug11_4_59_37pm[[#This Row],[RPM '[1/MIN']]]-Table3[[#This Row],[580C]]</f>
        <v>0</v>
      </c>
      <c r="X687">
        <f>DataLog_T717420_Aug11_4_59_37pm[[#This Row],[OIL TEMP '[Â°C']]]-Table3[[#This Row],[4402]]</f>
        <v>0</v>
      </c>
      <c r="Y687">
        <f>DataLog_T717420_Aug11_4_59_37pm[[#This Row],[INTAKE TEMP '[Â°C']]]-Table3[[#This Row],[580F]]</f>
        <v>0</v>
      </c>
      <c r="Z687">
        <f>DataLog_T717420_Aug11_4_59_37pm[[#This Row],[HPFP PRES. '[BAR']]]-Table3[[#This Row],[58F0]]</f>
        <v>0</v>
      </c>
      <c r="AA687">
        <f>DataLog_T717420_Aug11_4_59_37pm[[#This Row],[COOLANT TEMP '[Â°C']]]-Table3[[#This Row],[5805]]</f>
        <v>0</v>
      </c>
      <c r="AB687">
        <f>DataLog_T717420_Aug11_4_59_37pm[[#This Row],[BOOST '[BAR']]]-Table3[[#This Row],[58DD]]</f>
        <v>0</v>
      </c>
    </row>
    <row r="688" spans="2:28" x14ac:dyDescent="0.25">
      <c r="B688" s="2" t="s">
        <v>189</v>
      </c>
      <c r="C688" s="2" t="s">
        <v>30</v>
      </c>
      <c r="D688" s="2" t="s">
        <v>151</v>
      </c>
      <c r="E688" s="2" t="s">
        <v>156</v>
      </c>
      <c r="F688" s="2" t="s">
        <v>26</v>
      </c>
      <c r="G688" s="2" t="s">
        <v>213</v>
      </c>
      <c r="I688">
        <f>HEX2DEC(_0811_173439[[#This Row],[580C]])*B$4/B$5+B$6</f>
        <v>760</v>
      </c>
      <c r="J688">
        <f>HEX2DEC(_0811_173439[[#This Row],[4402]])*C$4/C$5+C$6</f>
        <v>36</v>
      </c>
      <c r="K688">
        <f>HEX2DEC(_0811_173439[[#This Row],[580F]])*D$4/D$5+D$6</f>
        <v>30</v>
      </c>
      <c r="L688">
        <f>ROUND(HEX2DEC(_0811_173439[[#This Row],[58F0]])*E$4/E$5+E$6,0)</f>
        <v>70</v>
      </c>
      <c r="M688">
        <f>ROUND(HEX2DEC(_0811_173439[[#This Row],[5805]])*F$4/F$5+F$6,0)</f>
        <v>42</v>
      </c>
      <c r="N688">
        <f>ROUND(HEX2DEC(_0811_173439[[#This Row],[58DD]])*G$4/G$5+G$6,2)</f>
        <v>-0.03</v>
      </c>
      <c r="P688">
        <v>760</v>
      </c>
      <c r="Q688">
        <v>36</v>
      </c>
      <c r="R688">
        <v>30</v>
      </c>
      <c r="S688">
        <v>70</v>
      </c>
      <c r="T688">
        <v>42</v>
      </c>
      <c r="U688">
        <v>-0.03</v>
      </c>
      <c r="W688">
        <f>DataLog_T717420_Aug11_4_59_37pm[[#This Row],[RPM '[1/MIN']]]-Table3[[#This Row],[580C]]</f>
        <v>0</v>
      </c>
      <c r="X688">
        <f>DataLog_T717420_Aug11_4_59_37pm[[#This Row],[OIL TEMP '[Â°C']]]-Table3[[#This Row],[4402]]</f>
        <v>0</v>
      </c>
      <c r="Y688">
        <f>DataLog_T717420_Aug11_4_59_37pm[[#This Row],[INTAKE TEMP '[Â°C']]]-Table3[[#This Row],[580F]]</f>
        <v>0</v>
      </c>
      <c r="Z688">
        <f>DataLog_T717420_Aug11_4_59_37pm[[#This Row],[HPFP PRES. '[BAR']]]-Table3[[#This Row],[58F0]]</f>
        <v>0</v>
      </c>
      <c r="AA688">
        <f>DataLog_T717420_Aug11_4_59_37pm[[#This Row],[COOLANT TEMP '[Â°C']]]-Table3[[#This Row],[5805]]</f>
        <v>0</v>
      </c>
      <c r="AB688">
        <f>DataLog_T717420_Aug11_4_59_37pm[[#This Row],[BOOST '[BAR']]]-Table3[[#This Row],[58DD]]</f>
        <v>0</v>
      </c>
    </row>
    <row r="689" spans="2:28" x14ac:dyDescent="0.25">
      <c r="B689" s="2" t="s">
        <v>189</v>
      </c>
      <c r="C689" s="2" t="s">
        <v>30</v>
      </c>
      <c r="D689" s="2" t="s">
        <v>151</v>
      </c>
      <c r="E689" s="2" t="s">
        <v>93</v>
      </c>
      <c r="F689" s="2" t="s">
        <v>26</v>
      </c>
      <c r="G689" s="2" t="s">
        <v>98</v>
      </c>
      <c r="I689">
        <f>HEX2DEC(_0811_173439[[#This Row],[580C]])*B$4/B$5+B$6</f>
        <v>760</v>
      </c>
      <c r="J689">
        <f>HEX2DEC(_0811_173439[[#This Row],[4402]])*C$4/C$5+C$6</f>
        <v>36</v>
      </c>
      <c r="K689">
        <f>HEX2DEC(_0811_173439[[#This Row],[580F]])*D$4/D$5+D$6</f>
        <v>30</v>
      </c>
      <c r="L689">
        <f>ROUND(HEX2DEC(_0811_173439[[#This Row],[58F0]])*E$4/E$5+E$6,0)</f>
        <v>70</v>
      </c>
      <c r="M689">
        <f>ROUND(HEX2DEC(_0811_173439[[#This Row],[5805]])*F$4/F$5+F$6,0)</f>
        <v>42</v>
      </c>
      <c r="N689">
        <f>ROUND(HEX2DEC(_0811_173439[[#This Row],[58DD]])*G$4/G$5+G$6,2)</f>
        <v>-0.03</v>
      </c>
      <c r="P689">
        <v>760</v>
      </c>
      <c r="Q689">
        <v>36</v>
      </c>
      <c r="R689">
        <v>30</v>
      </c>
      <c r="S689">
        <v>70</v>
      </c>
      <c r="T689">
        <v>42</v>
      </c>
      <c r="U689">
        <v>-0.03</v>
      </c>
      <c r="W689">
        <f>DataLog_T717420_Aug11_4_59_37pm[[#This Row],[RPM '[1/MIN']]]-Table3[[#This Row],[580C]]</f>
        <v>0</v>
      </c>
      <c r="X689">
        <f>DataLog_T717420_Aug11_4_59_37pm[[#This Row],[OIL TEMP '[Â°C']]]-Table3[[#This Row],[4402]]</f>
        <v>0</v>
      </c>
      <c r="Y689">
        <f>DataLog_T717420_Aug11_4_59_37pm[[#This Row],[INTAKE TEMP '[Â°C']]]-Table3[[#This Row],[580F]]</f>
        <v>0</v>
      </c>
      <c r="Z689">
        <f>DataLog_T717420_Aug11_4_59_37pm[[#This Row],[HPFP PRES. '[BAR']]]-Table3[[#This Row],[58F0]]</f>
        <v>0</v>
      </c>
      <c r="AA689">
        <f>DataLog_T717420_Aug11_4_59_37pm[[#This Row],[COOLANT TEMP '[Â°C']]]-Table3[[#This Row],[5805]]</f>
        <v>0</v>
      </c>
      <c r="AB689">
        <f>DataLog_T717420_Aug11_4_59_37pm[[#This Row],[BOOST '[BAR']]]-Table3[[#This Row],[58DD]]</f>
        <v>0</v>
      </c>
    </row>
    <row r="690" spans="2:28" x14ac:dyDescent="0.25">
      <c r="B690" s="2" t="s">
        <v>189</v>
      </c>
      <c r="C690" s="2" t="s">
        <v>30</v>
      </c>
      <c r="D690" s="2" t="s">
        <v>151</v>
      </c>
      <c r="E690" s="2" t="s">
        <v>207</v>
      </c>
      <c r="F690" s="2" t="s">
        <v>26</v>
      </c>
      <c r="G690" s="2" t="s">
        <v>213</v>
      </c>
      <c r="I690">
        <f>HEX2DEC(_0811_173439[[#This Row],[580C]])*B$4/B$5+B$6</f>
        <v>760</v>
      </c>
      <c r="J690">
        <f>HEX2DEC(_0811_173439[[#This Row],[4402]])*C$4/C$5+C$6</f>
        <v>36</v>
      </c>
      <c r="K690">
        <f>HEX2DEC(_0811_173439[[#This Row],[580F]])*D$4/D$5+D$6</f>
        <v>30</v>
      </c>
      <c r="L690">
        <f>ROUND(HEX2DEC(_0811_173439[[#This Row],[58F0]])*E$4/E$5+E$6,0)</f>
        <v>70</v>
      </c>
      <c r="M690">
        <f>ROUND(HEX2DEC(_0811_173439[[#This Row],[5805]])*F$4/F$5+F$6,0)</f>
        <v>42</v>
      </c>
      <c r="N690">
        <f>ROUND(HEX2DEC(_0811_173439[[#This Row],[58DD]])*G$4/G$5+G$6,2)</f>
        <v>-0.03</v>
      </c>
      <c r="P690">
        <v>760</v>
      </c>
      <c r="Q690">
        <v>36</v>
      </c>
      <c r="R690">
        <v>30</v>
      </c>
      <c r="S690">
        <v>70</v>
      </c>
      <c r="T690">
        <v>42</v>
      </c>
      <c r="U690">
        <v>-0.03</v>
      </c>
      <c r="W690">
        <f>DataLog_T717420_Aug11_4_59_37pm[[#This Row],[RPM '[1/MIN']]]-Table3[[#This Row],[580C]]</f>
        <v>0</v>
      </c>
      <c r="X690">
        <f>DataLog_T717420_Aug11_4_59_37pm[[#This Row],[OIL TEMP '[Â°C']]]-Table3[[#This Row],[4402]]</f>
        <v>0</v>
      </c>
      <c r="Y690">
        <f>DataLog_T717420_Aug11_4_59_37pm[[#This Row],[INTAKE TEMP '[Â°C']]]-Table3[[#This Row],[580F]]</f>
        <v>0</v>
      </c>
      <c r="Z690">
        <f>DataLog_T717420_Aug11_4_59_37pm[[#This Row],[HPFP PRES. '[BAR']]]-Table3[[#This Row],[58F0]]</f>
        <v>0</v>
      </c>
      <c r="AA690">
        <f>DataLog_T717420_Aug11_4_59_37pm[[#This Row],[COOLANT TEMP '[Â°C']]]-Table3[[#This Row],[5805]]</f>
        <v>0</v>
      </c>
      <c r="AB690">
        <f>DataLog_T717420_Aug11_4_59_37pm[[#This Row],[BOOST '[BAR']]]-Table3[[#This Row],[58DD]]</f>
        <v>0</v>
      </c>
    </row>
    <row r="691" spans="2:28" x14ac:dyDescent="0.25">
      <c r="B691" s="2" t="s">
        <v>189</v>
      </c>
      <c r="C691" s="2" t="s">
        <v>30</v>
      </c>
      <c r="D691" s="2" t="s">
        <v>151</v>
      </c>
      <c r="E691" s="2" t="s">
        <v>209</v>
      </c>
      <c r="F691" s="2" t="s">
        <v>26</v>
      </c>
      <c r="G691" s="2" t="s">
        <v>71</v>
      </c>
      <c r="I691">
        <f>HEX2DEC(_0811_173439[[#This Row],[580C]])*B$4/B$5+B$6</f>
        <v>760</v>
      </c>
      <c r="J691">
        <f>HEX2DEC(_0811_173439[[#This Row],[4402]])*C$4/C$5+C$6</f>
        <v>36</v>
      </c>
      <c r="K691">
        <f>HEX2DEC(_0811_173439[[#This Row],[580F]])*D$4/D$5+D$6</f>
        <v>30</v>
      </c>
      <c r="L691">
        <f>ROUND(HEX2DEC(_0811_173439[[#This Row],[58F0]])*E$4/E$5+E$6,0)</f>
        <v>70</v>
      </c>
      <c r="M691">
        <f>ROUND(HEX2DEC(_0811_173439[[#This Row],[5805]])*F$4/F$5+F$6,0)</f>
        <v>42</v>
      </c>
      <c r="N691">
        <f>ROUND(HEX2DEC(_0811_173439[[#This Row],[58DD]])*G$4/G$5+G$6,2)</f>
        <v>-0.03</v>
      </c>
      <c r="P691">
        <v>760</v>
      </c>
      <c r="Q691">
        <v>36</v>
      </c>
      <c r="R691">
        <v>30</v>
      </c>
      <c r="S691">
        <v>70</v>
      </c>
      <c r="T691">
        <v>42</v>
      </c>
      <c r="U691">
        <v>-0.03</v>
      </c>
      <c r="W691">
        <f>DataLog_T717420_Aug11_4_59_37pm[[#This Row],[RPM '[1/MIN']]]-Table3[[#This Row],[580C]]</f>
        <v>0</v>
      </c>
      <c r="X691">
        <f>DataLog_T717420_Aug11_4_59_37pm[[#This Row],[OIL TEMP '[Â°C']]]-Table3[[#This Row],[4402]]</f>
        <v>0</v>
      </c>
      <c r="Y691">
        <f>DataLog_T717420_Aug11_4_59_37pm[[#This Row],[INTAKE TEMP '[Â°C']]]-Table3[[#This Row],[580F]]</f>
        <v>0</v>
      </c>
      <c r="Z691">
        <f>DataLog_T717420_Aug11_4_59_37pm[[#This Row],[HPFP PRES. '[BAR']]]-Table3[[#This Row],[58F0]]</f>
        <v>0</v>
      </c>
      <c r="AA691">
        <f>DataLog_T717420_Aug11_4_59_37pm[[#This Row],[COOLANT TEMP '[Â°C']]]-Table3[[#This Row],[5805]]</f>
        <v>0</v>
      </c>
      <c r="AB691">
        <f>DataLog_T717420_Aug11_4_59_37pm[[#This Row],[BOOST '[BAR']]]-Table3[[#This Row],[58DD]]</f>
        <v>0</v>
      </c>
    </row>
    <row r="692" spans="2:28" x14ac:dyDescent="0.25">
      <c r="B692" s="2" t="s">
        <v>189</v>
      </c>
      <c r="C692" s="2" t="s">
        <v>30</v>
      </c>
      <c r="D692" s="2" t="s">
        <v>151</v>
      </c>
      <c r="E692" s="2" t="s">
        <v>93</v>
      </c>
      <c r="F692" s="2" t="s">
        <v>26</v>
      </c>
      <c r="G692" s="2" t="s">
        <v>191</v>
      </c>
      <c r="I692">
        <f>HEX2DEC(_0811_173439[[#This Row],[580C]])*B$4/B$5+B$6</f>
        <v>760</v>
      </c>
      <c r="J692">
        <f>HEX2DEC(_0811_173439[[#This Row],[4402]])*C$4/C$5+C$6</f>
        <v>36</v>
      </c>
      <c r="K692">
        <f>HEX2DEC(_0811_173439[[#This Row],[580F]])*D$4/D$5+D$6</f>
        <v>30</v>
      </c>
      <c r="L692">
        <f>ROUND(HEX2DEC(_0811_173439[[#This Row],[58F0]])*E$4/E$5+E$6,0)</f>
        <v>70</v>
      </c>
      <c r="M692">
        <f>ROUND(HEX2DEC(_0811_173439[[#This Row],[5805]])*F$4/F$5+F$6,0)</f>
        <v>42</v>
      </c>
      <c r="N692">
        <f>ROUND(HEX2DEC(_0811_173439[[#This Row],[58DD]])*G$4/G$5+G$6,2)</f>
        <v>-0.03</v>
      </c>
      <c r="P692">
        <v>760</v>
      </c>
      <c r="Q692">
        <v>36</v>
      </c>
      <c r="R692">
        <v>30</v>
      </c>
      <c r="S692">
        <v>70</v>
      </c>
      <c r="T692">
        <v>42</v>
      </c>
      <c r="U692">
        <v>-0.03</v>
      </c>
      <c r="W692">
        <f>DataLog_T717420_Aug11_4_59_37pm[[#This Row],[RPM '[1/MIN']]]-Table3[[#This Row],[580C]]</f>
        <v>0</v>
      </c>
      <c r="X692">
        <f>DataLog_T717420_Aug11_4_59_37pm[[#This Row],[OIL TEMP '[Â°C']]]-Table3[[#This Row],[4402]]</f>
        <v>0</v>
      </c>
      <c r="Y692">
        <f>DataLog_T717420_Aug11_4_59_37pm[[#This Row],[INTAKE TEMP '[Â°C']]]-Table3[[#This Row],[580F]]</f>
        <v>0</v>
      </c>
      <c r="Z692">
        <f>DataLog_T717420_Aug11_4_59_37pm[[#This Row],[HPFP PRES. '[BAR']]]-Table3[[#This Row],[58F0]]</f>
        <v>0</v>
      </c>
      <c r="AA692">
        <f>DataLog_T717420_Aug11_4_59_37pm[[#This Row],[COOLANT TEMP '[Â°C']]]-Table3[[#This Row],[5805]]</f>
        <v>0</v>
      </c>
      <c r="AB692">
        <f>DataLog_T717420_Aug11_4_59_37pm[[#This Row],[BOOST '[BAR']]]-Table3[[#This Row],[58DD]]</f>
        <v>0</v>
      </c>
    </row>
    <row r="693" spans="2:28" x14ac:dyDescent="0.25">
      <c r="B693" s="2" t="s">
        <v>183</v>
      </c>
      <c r="C693" s="2" t="s">
        <v>30</v>
      </c>
      <c r="D693" s="2" t="s">
        <v>151</v>
      </c>
      <c r="E693" s="2" t="s">
        <v>165</v>
      </c>
      <c r="F693" s="2" t="s">
        <v>26</v>
      </c>
      <c r="G693" s="2" t="s">
        <v>216</v>
      </c>
      <c r="I693">
        <f>HEX2DEC(_0811_173439[[#This Row],[580C]])*B$4/B$5+B$6</f>
        <v>800</v>
      </c>
      <c r="J693">
        <f>HEX2DEC(_0811_173439[[#This Row],[4402]])*C$4/C$5+C$6</f>
        <v>36</v>
      </c>
      <c r="K693">
        <f>HEX2DEC(_0811_173439[[#This Row],[580F]])*D$4/D$5+D$6</f>
        <v>30</v>
      </c>
      <c r="L693">
        <f>ROUND(HEX2DEC(_0811_173439[[#This Row],[58F0]])*E$4/E$5+E$6,0)</f>
        <v>70</v>
      </c>
      <c r="M693">
        <f>ROUND(HEX2DEC(_0811_173439[[#This Row],[5805]])*F$4/F$5+F$6,0)</f>
        <v>42</v>
      </c>
      <c r="N693">
        <f>ROUND(HEX2DEC(_0811_173439[[#This Row],[58DD]])*G$4/G$5+G$6,2)</f>
        <v>-0.03</v>
      </c>
      <c r="P693">
        <v>800</v>
      </c>
      <c r="Q693">
        <v>36</v>
      </c>
      <c r="R693">
        <v>30</v>
      </c>
      <c r="S693">
        <v>70</v>
      </c>
      <c r="T693">
        <v>42</v>
      </c>
      <c r="U693">
        <v>-0.03</v>
      </c>
      <c r="W693">
        <f>DataLog_T717420_Aug11_4_59_37pm[[#This Row],[RPM '[1/MIN']]]-Table3[[#This Row],[580C]]</f>
        <v>0</v>
      </c>
      <c r="X693">
        <f>DataLog_T717420_Aug11_4_59_37pm[[#This Row],[OIL TEMP '[Â°C']]]-Table3[[#This Row],[4402]]</f>
        <v>0</v>
      </c>
      <c r="Y693">
        <f>DataLog_T717420_Aug11_4_59_37pm[[#This Row],[INTAKE TEMP '[Â°C']]]-Table3[[#This Row],[580F]]</f>
        <v>0</v>
      </c>
      <c r="Z693">
        <f>DataLog_T717420_Aug11_4_59_37pm[[#This Row],[HPFP PRES. '[BAR']]]-Table3[[#This Row],[58F0]]</f>
        <v>0</v>
      </c>
      <c r="AA693">
        <f>DataLog_T717420_Aug11_4_59_37pm[[#This Row],[COOLANT TEMP '[Â°C']]]-Table3[[#This Row],[5805]]</f>
        <v>0</v>
      </c>
      <c r="AB693">
        <f>DataLog_T717420_Aug11_4_59_37pm[[#This Row],[BOOST '[BAR']]]-Table3[[#This Row],[58DD]]</f>
        <v>0</v>
      </c>
    </row>
    <row r="694" spans="2:28" x14ac:dyDescent="0.25">
      <c r="B694" s="2" t="s">
        <v>183</v>
      </c>
      <c r="C694" s="2" t="s">
        <v>30</v>
      </c>
      <c r="D694" s="2" t="s">
        <v>151</v>
      </c>
      <c r="E694" s="2" t="s">
        <v>198</v>
      </c>
      <c r="F694" s="2" t="s">
        <v>26</v>
      </c>
      <c r="G694" s="2" t="s">
        <v>71</v>
      </c>
      <c r="I694">
        <f>HEX2DEC(_0811_173439[[#This Row],[580C]])*B$4/B$5+B$6</f>
        <v>800</v>
      </c>
      <c r="J694">
        <f>HEX2DEC(_0811_173439[[#This Row],[4402]])*C$4/C$5+C$6</f>
        <v>36</v>
      </c>
      <c r="K694">
        <f>HEX2DEC(_0811_173439[[#This Row],[580F]])*D$4/D$5+D$6</f>
        <v>30</v>
      </c>
      <c r="L694">
        <f>ROUND(HEX2DEC(_0811_173439[[#This Row],[58F0]])*E$4/E$5+E$6,0)</f>
        <v>70</v>
      </c>
      <c r="M694">
        <f>ROUND(HEX2DEC(_0811_173439[[#This Row],[5805]])*F$4/F$5+F$6,0)</f>
        <v>42</v>
      </c>
      <c r="N694">
        <f>ROUND(HEX2DEC(_0811_173439[[#This Row],[58DD]])*G$4/G$5+G$6,2)</f>
        <v>-0.03</v>
      </c>
      <c r="P694">
        <v>800</v>
      </c>
      <c r="Q694">
        <v>36</v>
      </c>
      <c r="R694">
        <v>30</v>
      </c>
      <c r="S694">
        <v>70</v>
      </c>
      <c r="T694">
        <v>42</v>
      </c>
      <c r="U694">
        <v>-0.03</v>
      </c>
      <c r="W694">
        <f>DataLog_T717420_Aug11_4_59_37pm[[#This Row],[RPM '[1/MIN']]]-Table3[[#This Row],[580C]]</f>
        <v>0</v>
      </c>
      <c r="X694">
        <f>DataLog_T717420_Aug11_4_59_37pm[[#This Row],[OIL TEMP '[Â°C']]]-Table3[[#This Row],[4402]]</f>
        <v>0</v>
      </c>
      <c r="Y694">
        <f>DataLog_T717420_Aug11_4_59_37pm[[#This Row],[INTAKE TEMP '[Â°C']]]-Table3[[#This Row],[580F]]</f>
        <v>0</v>
      </c>
      <c r="Z694">
        <f>DataLog_T717420_Aug11_4_59_37pm[[#This Row],[HPFP PRES. '[BAR']]]-Table3[[#This Row],[58F0]]</f>
        <v>0</v>
      </c>
      <c r="AA694">
        <f>DataLog_T717420_Aug11_4_59_37pm[[#This Row],[COOLANT TEMP '[Â°C']]]-Table3[[#This Row],[5805]]</f>
        <v>0</v>
      </c>
      <c r="AB694">
        <f>DataLog_T717420_Aug11_4_59_37pm[[#This Row],[BOOST '[BAR']]]-Table3[[#This Row],[58DD]]</f>
        <v>0</v>
      </c>
    </row>
    <row r="695" spans="2:28" x14ac:dyDescent="0.25">
      <c r="B695" s="2" t="s">
        <v>189</v>
      </c>
      <c r="C695" s="2" t="s">
        <v>30</v>
      </c>
      <c r="D695" s="2" t="s">
        <v>151</v>
      </c>
      <c r="E695" s="2" t="s">
        <v>93</v>
      </c>
      <c r="F695" s="2" t="s">
        <v>26</v>
      </c>
      <c r="G695" s="2" t="s">
        <v>53</v>
      </c>
      <c r="I695">
        <f>HEX2DEC(_0811_173439[[#This Row],[580C]])*B$4/B$5+B$6</f>
        <v>760</v>
      </c>
      <c r="J695">
        <f>HEX2DEC(_0811_173439[[#This Row],[4402]])*C$4/C$5+C$6</f>
        <v>36</v>
      </c>
      <c r="K695">
        <f>HEX2DEC(_0811_173439[[#This Row],[580F]])*D$4/D$5+D$6</f>
        <v>30</v>
      </c>
      <c r="L695">
        <f>ROUND(HEX2DEC(_0811_173439[[#This Row],[58F0]])*E$4/E$5+E$6,0)</f>
        <v>70</v>
      </c>
      <c r="M695">
        <f>ROUND(HEX2DEC(_0811_173439[[#This Row],[5805]])*F$4/F$5+F$6,0)</f>
        <v>42</v>
      </c>
      <c r="N695">
        <f>ROUND(HEX2DEC(_0811_173439[[#This Row],[58DD]])*G$4/G$5+G$6,2)</f>
        <v>-0.03</v>
      </c>
      <c r="P695">
        <v>760</v>
      </c>
      <c r="Q695">
        <v>36</v>
      </c>
      <c r="R695">
        <v>30</v>
      </c>
      <c r="S695">
        <v>70</v>
      </c>
      <c r="T695">
        <v>42</v>
      </c>
      <c r="U695">
        <v>-0.03</v>
      </c>
      <c r="W695">
        <f>DataLog_T717420_Aug11_4_59_37pm[[#This Row],[RPM '[1/MIN']]]-Table3[[#This Row],[580C]]</f>
        <v>0</v>
      </c>
      <c r="X695">
        <f>DataLog_T717420_Aug11_4_59_37pm[[#This Row],[OIL TEMP '[Â°C']]]-Table3[[#This Row],[4402]]</f>
        <v>0</v>
      </c>
      <c r="Y695">
        <f>DataLog_T717420_Aug11_4_59_37pm[[#This Row],[INTAKE TEMP '[Â°C']]]-Table3[[#This Row],[580F]]</f>
        <v>0</v>
      </c>
      <c r="Z695">
        <f>DataLog_T717420_Aug11_4_59_37pm[[#This Row],[HPFP PRES. '[BAR']]]-Table3[[#This Row],[58F0]]</f>
        <v>0</v>
      </c>
      <c r="AA695">
        <f>DataLog_T717420_Aug11_4_59_37pm[[#This Row],[COOLANT TEMP '[Â°C']]]-Table3[[#This Row],[5805]]</f>
        <v>0</v>
      </c>
      <c r="AB695">
        <f>DataLog_T717420_Aug11_4_59_37pm[[#This Row],[BOOST '[BAR']]]-Table3[[#This Row],[58DD]]</f>
        <v>0</v>
      </c>
    </row>
    <row r="696" spans="2:28" x14ac:dyDescent="0.25">
      <c r="B696" s="2" t="s">
        <v>189</v>
      </c>
      <c r="C696" s="2" t="s">
        <v>30</v>
      </c>
      <c r="D696" s="2" t="s">
        <v>151</v>
      </c>
      <c r="E696" s="2" t="s">
        <v>152</v>
      </c>
      <c r="F696" s="2" t="s">
        <v>26</v>
      </c>
      <c r="G696" s="2" t="s">
        <v>53</v>
      </c>
      <c r="I696">
        <f>HEX2DEC(_0811_173439[[#This Row],[580C]])*B$4/B$5+B$6</f>
        <v>760</v>
      </c>
      <c r="J696">
        <f>HEX2DEC(_0811_173439[[#This Row],[4402]])*C$4/C$5+C$6</f>
        <v>36</v>
      </c>
      <c r="K696">
        <f>HEX2DEC(_0811_173439[[#This Row],[580F]])*D$4/D$5+D$6</f>
        <v>30</v>
      </c>
      <c r="L696">
        <f>ROUND(HEX2DEC(_0811_173439[[#This Row],[58F0]])*E$4/E$5+E$6,0)</f>
        <v>70</v>
      </c>
      <c r="M696">
        <f>ROUND(HEX2DEC(_0811_173439[[#This Row],[5805]])*F$4/F$5+F$6,0)</f>
        <v>42</v>
      </c>
      <c r="N696">
        <f>ROUND(HEX2DEC(_0811_173439[[#This Row],[58DD]])*G$4/G$5+G$6,2)</f>
        <v>-0.03</v>
      </c>
      <c r="P696">
        <v>760</v>
      </c>
      <c r="Q696">
        <v>36</v>
      </c>
      <c r="R696">
        <v>30</v>
      </c>
      <c r="S696">
        <v>70</v>
      </c>
      <c r="T696">
        <v>42</v>
      </c>
      <c r="U696">
        <v>-0.03</v>
      </c>
      <c r="W696">
        <f>DataLog_T717420_Aug11_4_59_37pm[[#This Row],[RPM '[1/MIN']]]-Table3[[#This Row],[580C]]</f>
        <v>0</v>
      </c>
      <c r="X696">
        <f>DataLog_T717420_Aug11_4_59_37pm[[#This Row],[OIL TEMP '[Â°C']]]-Table3[[#This Row],[4402]]</f>
        <v>0</v>
      </c>
      <c r="Y696">
        <f>DataLog_T717420_Aug11_4_59_37pm[[#This Row],[INTAKE TEMP '[Â°C']]]-Table3[[#This Row],[580F]]</f>
        <v>0</v>
      </c>
      <c r="Z696">
        <f>DataLog_T717420_Aug11_4_59_37pm[[#This Row],[HPFP PRES. '[BAR']]]-Table3[[#This Row],[58F0]]</f>
        <v>0</v>
      </c>
      <c r="AA696">
        <f>DataLog_T717420_Aug11_4_59_37pm[[#This Row],[COOLANT TEMP '[Â°C']]]-Table3[[#This Row],[5805]]</f>
        <v>0</v>
      </c>
      <c r="AB696">
        <f>DataLog_T717420_Aug11_4_59_37pm[[#This Row],[BOOST '[BAR']]]-Table3[[#This Row],[58DD]]</f>
        <v>0</v>
      </c>
    </row>
    <row r="697" spans="2:28" x14ac:dyDescent="0.25">
      <c r="B697" s="2" t="s">
        <v>189</v>
      </c>
      <c r="C697" s="2" t="s">
        <v>30</v>
      </c>
      <c r="D697" s="2" t="s">
        <v>151</v>
      </c>
      <c r="E697" s="2" t="s">
        <v>209</v>
      </c>
      <c r="F697" s="2" t="s">
        <v>26</v>
      </c>
      <c r="G697" s="2" t="s">
        <v>191</v>
      </c>
      <c r="I697">
        <f>HEX2DEC(_0811_173439[[#This Row],[580C]])*B$4/B$5+B$6</f>
        <v>760</v>
      </c>
      <c r="J697">
        <f>HEX2DEC(_0811_173439[[#This Row],[4402]])*C$4/C$5+C$6</f>
        <v>36</v>
      </c>
      <c r="K697">
        <f>HEX2DEC(_0811_173439[[#This Row],[580F]])*D$4/D$5+D$6</f>
        <v>30</v>
      </c>
      <c r="L697">
        <f>ROUND(HEX2DEC(_0811_173439[[#This Row],[58F0]])*E$4/E$5+E$6,0)</f>
        <v>70</v>
      </c>
      <c r="M697">
        <f>ROUND(HEX2DEC(_0811_173439[[#This Row],[5805]])*F$4/F$5+F$6,0)</f>
        <v>42</v>
      </c>
      <c r="N697">
        <f>ROUND(HEX2DEC(_0811_173439[[#This Row],[58DD]])*G$4/G$5+G$6,2)</f>
        <v>-0.03</v>
      </c>
      <c r="P697">
        <v>760</v>
      </c>
      <c r="Q697">
        <v>36</v>
      </c>
      <c r="R697">
        <v>30</v>
      </c>
      <c r="S697">
        <v>70</v>
      </c>
      <c r="T697">
        <v>42</v>
      </c>
      <c r="U697">
        <v>-0.03</v>
      </c>
      <c r="W697">
        <f>DataLog_T717420_Aug11_4_59_37pm[[#This Row],[RPM '[1/MIN']]]-Table3[[#This Row],[580C]]</f>
        <v>0</v>
      </c>
      <c r="X697">
        <f>DataLog_T717420_Aug11_4_59_37pm[[#This Row],[OIL TEMP '[Â°C']]]-Table3[[#This Row],[4402]]</f>
        <v>0</v>
      </c>
      <c r="Y697">
        <f>DataLog_T717420_Aug11_4_59_37pm[[#This Row],[INTAKE TEMP '[Â°C']]]-Table3[[#This Row],[580F]]</f>
        <v>0</v>
      </c>
      <c r="Z697">
        <f>DataLog_T717420_Aug11_4_59_37pm[[#This Row],[HPFP PRES. '[BAR']]]-Table3[[#This Row],[58F0]]</f>
        <v>0</v>
      </c>
      <c r="AA697">
        <f>DataLog_T717420_Aug11_4_59_37pm[[#This Row],[COOLANT TEMP '[Â°C']]]-Table3[[#This Row],[5805]]</f>
        <v>0</v>
      </c>
      <c r="AB697">
        <f>DataLog_T717420_Aug11_4_59_37pm[[#This Row],[BOOST '[BAR']]]-Table3[[#This Row],[58DD]]</f>
        <v>0</v>
      </c>
    </row>
    <row r="698" spans="2:28" x14ac:dyDescent="0.25">
      <c r="B698" s="2" t="s">
        <v>189</v>
      </c>
      <c r="C698" s="2" t="s">
        <v>30</v>
      </c>
      <c r="D698" s="2" t="s">
        <v>151</v>
      </c>
      <c r="E698" s="2" t="s">
        <v>122</v>
      </c>
      <c r="F698" s="2" t="s">
        <v>26</v>
      </c>
      <c r="G698" s="2" t="s">
        <v>53</v>
      </c>
      <c r="I698">
        <f>HEX2DEC(_0811_173439[[#This Row],[580C]])*B$4/B$5+B$6</f>
        <v>760</v>
      </c>
      <c r="J698">
        <f>HEX2DEC(_0811_173439[[#This Row],[4402]])*C$4/C$5+C$6</f>
        <v>36</v>
      </c>
      <c r="K698">
        <f>HEX2DEC(_0811_173439[[#This Row],[580F]])*D$4/D$5+D$6</f>
        <v>30</v>
      </c>
      <c r="L698">
        <f>ROUND(HEX2DEC(_0811_173439[[#This Row],[58F0]])*E$4/E$5+E$6,0)</f>
        <v>71</v>
      </c>
      <c r="M698">
        <f>ROUND(HEX2DEC(_0811_173439[[#This Row],[5805]])*F$4/F$5+F$6,0)</f>
        <v>42</v>
      </c>
      <c r="N698">
        <f>ROUND(HEX2DEC(_0811_173439[[#This Row],[58DD]])*G$4/G$5+G$6,2)</f>
        <v>-0.03</v>
      </c>
      <c r="P698">
        <v>760</v>
      </c>
      <c r="Q698">
        <v>36</v>
      </c>
      <c r="R698">
        <v>30</v>
      </c>
      <c r="S698">
        <v>71</v>
      </c>
      <c r="T698">
        <v>42</v>
      </c>
      <c r="U698">
        <v>-0.03</v>
      </c>
      <c r="W698">
        <f>DataLog_T717420_Aug11_4_59_37pm[[#This Row],[RPM '[1/MIN']]]-Table3[[#This Row],[580C]]</f>
        <v>0</v>
      </c>
      <c r="X698">
        <f>DataLog_T717420_Aug11_4_59_37pm[[#This Row],[OIL TEMP '[Â°C']]]-Table3[[#This Row],[4402]]</f>
        <v>0</v>
      </c>
      <c r="Y698">
        <f>DataLog_T717420_Aug11_4_59_37pm[[#This Row],[INTAKE TEMP '[Â°C']]]-Table3[[#This Row],[580F]]</f>
        <v>0</v>
      </c>
      <c r="Z698">
        <f>DataLog_T717420_Aug11_4_59_37pm[[#This Row],[HPFP PRES. '[BAR']]]-Table3[[#This Row],[58F0]]</f>
        <v>0</v>
      </c>
      <c r="AA698">
        <f>DataLog_T717420_Aug11_4_59_37pm[[#This Row],[COOLANT TEMP '[Â°C']]]-Table3[[#This Row],[5805]]</f>
        <v>0</v>
      </c>
      <c r="AB698">
        <f>DataLog_T717420_Aug11_4_59_37pm[[#This Row],[BOOST '[BAR']]]-Table3[[#This Row],[58DD]]</f>
        <v>0</v>
      </c>
    </row>
    <row r="699" spans="2:28" x14ac:dyDescent="0.25">
      <c r="B699" s="2" t="s">
        <v>189</v>
      </c>
      <c r="C699" s="2" t="s">
        <v>30</v>
      </c>
      <c r="D699" s="2" t="s">
        <v>151</v>
      </c>
      <c r="E699" s="2" t="s">
        <v>162</v>
      </c>
      <c r="F699" s="2" t="s">
        <v>26</v>
      </c>
      <c r="G699" s="2" t="s">
        <v>236</v>
      </c>
      <c r="I699">
        <f>HEX2DEC(_0811_173439[[#This Row],[580C]])*B$4/B$5+B$6</f>
        <v>760</v>
      </c>
      <c r="J699">
        <f>HEX2DEC(_0811_173439[[#This Row],[4402]])*C$4/C$5+C$6</f>
        <v>36</v>
      </c>
      <c r="K699">
        <f>HEX2DEC(_0811_173439[[#This Row],[580F]])*D$4/D$5+D$6</f>
        <v>30</v>
      </c>
      <c r="L699">
        <f>ROUND(HEX2DEC(_0811_173439[[#This Row],[58F0]])*E$4/E$5+E$6,0)</f>
        <v>71</v>
      </c>
      <c r="M699">
        <f>ROUND(HEX2DEC(_0811_173439[[#This Row],[5805]])*F$4/F$5+F$6,0)</f>
        <v>42</v>
      </c>
      <c r="N699">
        <f>ROUND(HEX2DEC(_0811_173439[[#This Row],[58DD]])*G$4/G$5+G$6,2)</f>
        <v>-0.03</v>
      </c>
      <c r="P699">
        <v>760</v>
      </c>
      <c r="Q699">
        <v>36</v>
      </c>
      <c r="R699">
        <v>30</v>
      </c>
      <c r="S699">
        <v>71</v>
      </c>
      <c r="T699">
        <v>42</v>
      </c>
      <c r="U699">
        <v>-0.03</v>
      </c>
      <c r="W699">
        <f>DataLog_T717420_Aug11_4_59_37pm[[#This Row],[RPM '[1/MIN']]]-Table3[[#This Row],[580C]]</f>
        <v>0</v>
      </c>
      <c r="X699">
        <f>DataLog_T717420_Aug11_4_59_37pm[[#This Row],[OIL TEMP '[Â°C']]]-Table3[[#This Row],[4402]]</f>
        <v>0</v>
      </c>
      <c r="Y699">
        <f>DataLog_T717420_Aug11_4_59_37pm[[#This Row],[INTAKE TEMP '[Â°C']]]-Table3[[#This Row],[580F]]</f>
        <v>0</v>
      </c>
      <c r="Z699">
        <f>DataLog_T717420_Aug11_4_59_37pm[[#This Row],[HPFP PRES. '[BAR']]]-Table3[[#This Row],[58F0]]</f>
        <v>0</v>
      </c>
      <c r="AA699">
        <f>DataLog_T717420_Aug11_4_59_37pm[[#This Row],[COOLANT TEMP '[Â°C']]]-Table3[[#This Row],[5805]]</f>
        <v>0</v>
      </c>
      <c r="AB699">
        <f>DataLog_T717420_Aug11_4_59_37pm[[#This Row],[BOOST '[BAR']]]-Table3[[#This Row],[58DD]]</f>
        <v>0</v>
      </c>
    </row>
    <row r="700" spans="2:28" x14ac:dyDescent="0.25">
      <c r="B700" s="2" t="s">
        <v>189</v>
      </c>
      <c r="C700" s="2" t="s">
        <v>30</v>
      </c>
      <c r="D700" s="2" t="s">
        <v>151</v>
      </c>
      <c r="E700" s="2" t="s">
        <v>194</v>
      </c>
      <c r="F700" s="2" t="s">
        <v>26</v>
      </c>
      <c r="G700" s="2" t="s">
        <v>96</v>
      </c>
      <c r="I700">
        <f>HEX2DEC(_0811_173439[[#This Row],[580C]])*B$4/B$5+B$6</f>
        <v>760</v>
      </c>
      <c r="J700">
        <f>HEX2DEC(_0811_173439[[#This Row],[4402]])*C$4/C$5+C$6</f>
        <v>36</v>
      </c>
      <c r="K700">
        <f>HEX2DEC(_0811_173439[[#This Row],[580F]])*D$4/D$5+D$6</f>
        <v>30</v>
      </c>
      <c r="L700">
        <f>ROUND(HEX2DEC(_0811_173439[[#This Row],[58F0]])*E$4/E$5+E$6,0)</f>
        <v>70</v>
      </c>
      <c r="M700">
        <f>ROUND(HEX2DEC(_0811_173439[[#This Row],[5805]])*F$4/F$5+F$6,0)</f>
        <v>42</v>
      </c>
      <c r="N700">
        <f>ROUND(HEX2DEC(_0811_173439[[#This Row],[58DD]])*G$4/G$5+G$6,2)</f>
        <v>-0.03</v>
      </c>
      <c r="P700">
        <v>760</v>
      </c>
      <c r="Q700">
        <v>36</v>
      </c>
      <c r="R700">
        <v>30</v>
      </c>
      <c r="S700">
        <v>70</v>
      </c>
      <c r="T700">
        <v>42</v>
      </c>
      <c r="U700">
        <v>-0.03</v>
      </c>
      <c r="W700">
        <f>DataLog_T717420_Aug11_4_59_37pm[[#This Row],[RPM '[1/MIN']]]-Table3[[#This Row],[580C]]</f>
        <v>0</v>
      </c>
      <c r="X700">
        <f>DataLog_T717420_Aug11_4_59_37pm[[#This Row],[OIL TEMP '[Â°C']]]-Table3[[#This Row],[4402]]</f>
        <v>0</v>
      </c>
      <c r="Y700">
        <f>DataLog_T717420_Aug11_4_59_37pm[[#This Row],[INTAKE TEMP '[Â°C']]]-Table3[[#This Row],[580F]]</f>
        <v>0</v>
      </c>
      <c r="Z700">
        <f>DataLog_T717420_Aug11_4_59_37pm[[#This Row],[HPFP PRES. '[BAR']]]-Table3[[#This Row],[58F0]]</f>
        <v>0</v>
      </c>
      <c r="AA700">
        <f>DataLog_T717420_Aug11_4_59_37pm[[#This Row],[COOLANT TEMP '[Â°C']]]-Table3[[#This Row],[5805]]</f>
        <v>0</v>
      </c>
      <c r="AB700">
        <f>DataLog_T717420_Aug11_4_59_37pm[[#This Row],[BOOST '[BAR']]]-Table3[[#This Row],[58DD]]</f>
        <v>0</v>
      </c>
    </row>
    <row r="701" spans="2:28" x14ac:dyDescent="0.25">
      <c r="B701" s="2" t="s">
        <v>189</v>
      </c>
      <c r="C701" s="2" t="s">
        <v>30</v>
      </c>
      <c r="D701" s="2" t="s">
        <v>151</v>
      </c>
      <c r="E701" s="2" t="s">
        <v>93</v>
      </c>
      <c r="F701" s="2" t="s">
        <v>26</v>
      </c>
      <c r="G701" s="2" t="s">
        <v>71</v>
      </c>
      <c r="I701">
        <f>HEX2DEC(_0811_173439[[#This Row],[580C]])*B$4/B$5+B$6</f>
        <v>760</v>
      </c>
      <c r="J701">
        <f>HEX2DEC(_0811_173439[[#This Row],[4402]])*C$4/C$5+C$6</f>
        <v>36</v>
      </c>
      <c r="K701">
        <f>HEX2DEC(_0811_173439[[#This Row],[580F]])*D$4/D$5+D$6</f>
        <v>30</v>
      </c>
      <c r="L701">
        <f>ROUND(HEX2DEC(_0811_173439[[#This Row],[58F0]])*E$4/E$5+E$6,0)</f>
        <v>70</v>
      </c>
      <c r="M701">
        <f>ROUND(HEX2DEC(_0811_173439[[#This Row],[5805]])*F$4/F$5+F$6,0)</f>
        <v>42</v>
      </c>
      <c r="N701">
        <f>ROUND(HEX2DEC(_0811_173439[[#This Row],[58DD]])*G$4/G$5+G$6,2)</f>
        <v>-0.03</v>
      </c>
      <c r="P701">
        <v>760</v>
      </c>
      <c r="Q701">
        <v>36</v>
      </c>
      <c r="R701">
        <v>30</v>
      </c>
      <c r="S701">
        <v>70</v>
      </c>
      <c r="T701">
        <v>42</v>
      </c>
      <c r="U701">
        <v>-0.03</v>
      </c>
      <c r="W701">
        <f>DataLog_T717420_Aug11_4_59_37pm[[#This Row],[RPM '[1/MIN']]]-Table3[[#This Row],[580C]]</f>
        <v>0</v>
      </c>
      <c r="X701">
        <f>DataLog_T717420_Aug11_4_59_37pm[[#This Row],[OIL TEMP '[Â°C']]]-Table3[[#This Row],[4402]]</f>
        <v>0</v>
      </c>
      <c r="Y701">
        <f>DataLog_T717420_Aug11_4_59_37pm[[#This Row],[INTAKE TEMP '[Â°C']]]-Table3[[#This Row],[580F]]</f>
        <v>0</v>
      </c>
      <c r="Z701">
        <f>DataLog_T717420_Aug11_4_59_37pm[[#This Row],[HPFP PRES. '[BAR']]]-Table3[[#This Row],[58F0]]</f>
        <v>0</v>
      </c>
      <c r="AA701">
        <f>DataLog_T717420_Aug11_4_59_37pm[[#This Row],[COOLANT TEMP '[Â°C']]]-Table3[[#This Row],[5805]]</f>
        <v>0</v>
      </c>
      <c r="AB701">
        <f>DataLog_T717420_Aug11_4_59_37pm[[#This Row],[BOOST '[BAR']]]-Table3[[#This Row],[58DD]]</f>
        <v>0</v>
      </c>
    </row>
    <row r="702" spans="2:28" x14ac:dyDescent="0.25">
      <c r="B702" s="2" t="s">
        <v>189</v>
      </c>
      <c r="C702" s="2" t="s">
        <v>30</v>
      </c>
      <c r="D702" s="2" t="s">
        <v>151</v>
      </c>
      <c r="E702" s="2" t="s">
        <v>93</v>
      </c>
      <c r="F702" s="2" t="s">
        <v>26</v>
      </c>
      <c r="G702" s="2" t="s">
        <v>245</v>
      </c>
      <c r="I702">
        <f>HEX2DEC(_0811_173439[[#This Row],[580C]])*B$4/B$5+B$6</f>
        <v>760</v>
      </c>
      <c r="J702">
        <f>HEX2DEC(_0811_173439[[#This Row],[4402]])*C$4/C$5+C$6</f>
        <v>36</v>
      </c>
      <c r="K702">
        <f>HEX2DEC(_0811_173439[[#This Row],[580F]])*D$4/D$5+D$6</f>
        <v>30</v>
      </c>
      <c r="L702">
        <f>ROUND(HEX2DEC(_0811_173439[[#This Row],[58F0]])*E$4/E$5+E$6,0)</f>
        <v>70</v>
      </c>
      <c r="M702">
        <f>ROUND(HEX2DEC(_0811_173439[[#This Row],[5805]])*F$4/F$5+F$6,0)</f>
        <v>42</v>
      </c>
      <c r="N702">
        <f>ROUND(HEX2DEC(_0811_173439[[#This Row],[58DD]])*G$4/G$5+G$6,2)</f>
        <v>-0.03</v>
      </c>
      <c r="P702">
        <v>760</v>
      </c>
      <c r="Q702">
        <v>36</v>
      </c>
      <c r="R702">
        <v>30</v>
      </c>
      <c r="S702">
        <v>70</v>
      </c>
      <c r="T702">
        <v>42</v>
      </c>
      <c r="U702">
        <v>-0.03</v>
      </c>
      <c r="W702">
        <f>DataLog_T717420_Aug11_4_59_37pm[[#This Row],[RPM '[1/MIN']]]-Table3[[#This Row],[580C]]</f>
        <v>0</v>
      </c>
      <c r="X702">
        <f>DataLog_T717420_Aug11_4_59_37pm[[#This Row],[OIL TEMP '[Â°C']]]-Table3[[#This Row],[4402]]</f>
        <v>0</v>
      </c>
      <c r="Y702">
        <f>DataLog_T717420_Aug11_4_59_37pm[[#This Row],[INTAKE TEMP '[Â°C']]]-Table3[[#This Row],[580F]]</f>
        <v>0</v>
      </c>
      <c r="Z702">
        <f>DataLog_T717420_Aug11_4_59_37pm[[#This Row],[HPFP PRES. '[BAR']]]-Table3[[#This Row],[58F0]]</f>
        <v>0</v>
      </c>
      <c r="AA702">
        <f>DataLog_T717420_Aug11_4_59_37pm[[#This Row],[COOLANT TEMP '[Â°C']]]-Table3[[#This Row],[5805]]</f>
        <v>0</v>
      </c>
      <c r="AB702">
        <f>DataLog_T717420_Aug11_4_59_37pm[[#This Row],[BOOST '[BAR']]]-Table3[[#This Row],[58DD]]</f>
        <v>0</v>
      </c>
    </row>
    <row r="703" spans="2:28" x14ac:dyDescent="0.25">
      <c r="B703" s="2" t="s">
        <v>189</v>
      </c>
      <c r="C703" s="2" t="s">
        <v>30</v>
      </c>
      <c r="D703" s="2" t="s">
        <v>151</v>
      </c>
      <c r="E703" s="2" t="s">
        <v>149</v>
      </c>
      <c r="F703" s="2" t="s">
        <v>26</v>
      </c>
      <c r="G703" s="2" t="s">
        <v>71</v>
      </c>
      <c r="I703">
        <f>HEX2DEC(_0811_173439[[#This Row],[580C]])*B$4/B$5+B$6</f>
        <v>760</v>
      </c>
      <c r="J703">
        <f>HEX2DEC(_0811_173439[[#This Row],[4402]])*C$4/C$5+C$6</f>
        <v>36</v>
      </c>
      <c r="K703">
        <f>HEX2DEC(_0811_173439[[#This Row],[580F]])*D$4/D$5+D$6</f>
        <v>30</v>
      </c>
      <c r="L703">
        <f>ROUND(HEX2DEC(_0811_173439[[#This Row],[58F0]])*E$4/E$5+E$6,0)</f>
        <v>70</v>
      </c>
      <c r="M703">
        <f>ROUND(HEX2DEC(_0811_173439[[#This Row],[5805]])*F$4/F$5+F$6,0)</f>
        <v>42</v>
      </c>
      <c r="N703">
        <f>ROUND(HEX2DEC(_0811_173439[[#This Row],[58DD]])*G$4/G$5+G$6,2)</f>
        <v>-0.03</v>
      </c>
      <c r="P703">
        <v>760</v>
      </c>
      <c r="Q703">
        <v>36</v>
      </c>
      <c r="R703">
        <v>30</v>
      </c>
      <c r="S703">
        <v>70</v>
      </c>
      <c r="T703">
        <v>42</v>
      </c>
      <c r="U703">
        <v>-0.03</v>
      </c>
      <c r="W703">
        <f>DataLog_T717420_Aug11_4_59_37pm[[#This Row],[RPM '[1/MIN']]]-Table3[[#This Row],[580C]]</f>
        <v>0</v>
      </c>
      <c r="X703">
        <f>DataLog_T717420_Aug11_4_59_37pm[[#This Row],[OIL TEMP '[Â°C']]]-Table3[[#This Row],[4402]]</f>
        <v>0</v>
      </c>
      <c r="Y703">
        <f>DataLog_T717420_Aug11_4_59_37pm[[#This Row],[INTAKE TEMP '[Â°C']]]-Table3[[#This Row],[580F]]</f>
        <v>0</v>
      </c>
      <c r="Z703">
        <f>DataLog_T717420_Aug11_4_59_37pm[[#This Row],[HPFP PRES. '[BAR']]]-Table3[[#This Row],[58F0]]</f>
        <v>0</v>
      </c>
      <c r="AA703">
        <f>DataLog_T717420_Aug11_4_59_37pm[[#This Row],[COOLANT TEMP '[Â°C']]]-Table3[[#This Row],[5805]]</f>
        <v>0</v>
      </c>
      <c r="AB703">
        <f>DataLog_T717420_Aug11_4_59_37pm[[#This Row],[BOOST '[BAR']]]-Table3[[#This Row],[58DD]]</f>
        <v>0</v>
      </c>
    </row>
    <row r="704" spans="2:28" x14ac:dyDescent="0.25">
      <c r="B704" s="2" t="s">
        <v>189</v>
      </c>
      <c r="C704" s="2" t="s">
        <v>30</v>
      </c>
      <c r="D704" s="2" t="s">
        <v>151</v>
      </c>
      <c r="E704" s="2" t="s">
        <v>127</v>
      </c>
      <c r="F704" s="2" t="s">
        <v>26</v>
      </c>
      <c r="G704" s="2" t="s">
        <v>213</v>
      </c>
      <c r="I704">
        <f>HEX2DEC(_0811_173439[[#This Row],[580C]])*B$4/B$5+B$6</f>
        <v>760</v>
      </c>
      <c r="J704">
        <f>HEX2DEC(_0811_173439[[#This Row],[4402]])*C$4/C$5+C$6</f>
        <v>36</v>
      </c>
      <c r="K704">
        <f>HEX2DEC(_0811_173439[[#This Row],[580F]])*D$4/D$5+D$6</f>
        <v>30</v>
      </c>
      <c r="L704">
        <f>ROUND(HEX2DEC(_0811_173439[[#This Row],[58F0]])*E$4/E$5+E$6,0)</f>
        <v>70</v>
      </c>
      <c r="M704">
        <f>ROUND(HEX2DEC(_0811_173439[[#This Row],[5805]])*F$4/F$5+F$6,0)</f>
        <v>42</v>
      </c>
      <c r="N704">
        <f>ROUND(HEX2DEC(_0811_173439[[#This Row],[58DD]])*G$4/G$5+G$6,2)</f>
        <v>-0.03</v>
      </c>
      <c r="P704">
        <v>760</v>
      </c>
      <c r="Q704">
        <v>36</v>
      </c>
      <c r="R704">
        <v>30</v>
      </c>
      <c r="S704">
        <v>70</v>
      </c>
      <c r="T704">
        <v>42</v>
      </c>
      <c r="U704">
        <v>-0.03</v>
      </c>
      <c r="W704">
        <f>DataLog_T717420_Aug11_4_59_37pm[[#This Row],[RPM '[1/MIN']]]-Table3[[#This Row],[580C]]</f>
        <v>0</v>
      </c>
      <c r="X704">
        <f>DataLog_T717420_Aug11_4_59_37pm[[#This Row],[OIL TEMP '[Â°C']]]-Table3[[#This Row],[4402]]</f>
        <v>0</v>
      </c>
      <c r="Y704">
        <f>DataLog_T717420_Aug11_4_59_37pm[[#This Row],[INTAKE TEMP '[Â°C']]]-Table3[[#This Row],[580F]]</f>
        <v>0</v>
      </c>
      <c r="Z704">
        <f>DataLog_T717420_Aug11_4_59_37pm[[#This Row],[HPFP PRES. '[BAR']]]-Table3[[#This Row],[58F0]]</f>
        <v>0</v>
      </c>
      <c r="AA704">
        <f>DataLog_T717420_Aug11_4_59_37pm[[#This Row],[COOLANT TEMP '[Â°C']]]-Table3[[#This Row],[5805]]</f>
        <v>0</v>
      </c>
      <c r="AB704">
        <f>DataLog_T717420_Aug11_4_59_37pm[[#This Row],[BOOST '[BAR']]]-Table3[[#This Row],[58DD]]</f>
        <v>0</v>
      </c>
    </row>
    <row r="705" spans="2:28" x14ac:dyDescent="0.25">
      <c r="B705" s="2" t="s">
        <v>189</v>
      </c>
      <c r="C705" s="2" t="s">
        <v>30</v>
      </c>
      <c r="D705" s="2" t="s">
        <v>151</v>
      </c>
      <c r="E705" s="2" t="s">
        <v>127</v>
      </c>
      <c r="F705" s="2" t="s">
        <v>26</v>
      </c>
      <c r="G705" s="2" t="s">
        <v>96</v>
      </c>
      <c r="I705">
        <f>HEX2DEC(_0811_173439[[#This Row],[580C]])*B$4/B$5+B$6</f>
        <v>760</v>
      </c>
      <c r="J705">
        <f>HEX2DEC(_0811_173439[[#This Row],[4402]])*C$4/C$5+C$6</f>
        <v>36</v>
      </c>
      <c r="K705">
        <f>HEX2DEC(_0811_173439[[#This Row],[580F]])*D$4/D$5+D$6</f>
        <v>30</v>
      </c>
      <c r="L705">
        <f>ROUND(HEX2DEC(_0811_173439[[#This Row],[58F0]])*E$4/E$5+E$6,0)</f>
        <v>70</v>
      </c>
      <c r="M705">
        <f>ROUND(HEX2DEC(_0811_173439[[#This Row],[5805]])*F$4/F$5+F$6,0)</f>
        <v>42</v>
      </c>
      <c r="N705">
        <f>ROUND(HEX2DEC(_0811_173439[[#This Row],[58DD]])*G$4/G$5+G$6,2)</f>
        <v>-0.03</v>
      </c>
      <c r="P705">
        <v>760</v>
      </c>
      <c r="Q705">
        <v>36</v>
      </c>
      <c r="R705">
        <v>30</v>
      </c>
      <c r="S705">
        <v>70</v>
      </c>
      <c r="T705">
        <v>42</v>
      </c>
      <c r="U705">
        <v>-0.03</v>
      </c>
      <c r="W705">
        <f>DataLog_T717420_Aug11_4_59_37pm[[#This Row],[RPM '[1/MIN']]]-Table3[[#This Row],[580C]]</f>
        <v>0</v>
      </c>
      <c r="X705">
        <f>DataLog_T717420_Aug11_4_59_37pm[[#This Row],[OIL TEMP '[Â°C']]]-Table3[[#This Row],[4402]]</f>
        <v>0</v>
      </c>
      <c r="Y705">
        <f>DataLog_T717420_Aug11_4_59_37pm[[#This Row],[INTAKE TEMP '[Â°C']]]-Table3[[#This Row],[580F]]</f>
        <v>0</v>
      </c>
      <c r="Z705">
        <f>DataLog_T717420_Aug11_4_59_37pm[[#This Row],[HPFP PRES. '[BAR']]]-Table3[[#This Row],[58F0]]</f>
        <v>0</v>
      </c>
      <c r="AA705">
        <f>DataLog_T717420_Aug11_4_59_37pm[[#This Row],[COOLANT TEMP '[Â°C']]]-Table3[[#This Row],[5805]]</f>
        <v>0</v>
      </c>
      <c r="AB705">
        <f>DataLog_T717420_Aug11_4_59_37pm[[#This Row],[BOOST '[BAR']]]-Table3[[#This Row],[58DD]]</f>
        <v>0</v>
      </c>
    </row>
    <row r="706" spans="2:28" x14ac:dyDescent="0.25">
      <c r="B706" s="2" t="s">
        <v>189</v>
      </c>
      <c r="C706" s="2" t="s">
        <v>30</v>
      </c>
      <c r="D706" s="2" t="s">
        <v>151</v>
      </c>
      <c r="E706" s="2" t="s">
        <v>251</v>
      </c>
      <c r="F706" s="2" t="s">
        <v>26</v>
      </c>
      <c r="G706" s="2" t="s">
        <v>96</v>
      </c>
      <c r="I706">
        <f>HEX2DEC(_0811_173439[[#This Row],[580C]])*B$4/B$5+B$6</f>
        <v>760</v>
      </c>
      <c r="J706">
        <f>HEX2DEC(_0811_173439[[#This Row],[4402]])*C$4/C$5+C$6</f>
        <v>36</v>
      </c>
      <c r="K706">
        <f>HEX2DEC(_0811_173439[[#This Row],[580F]])*D$4/D$5+D$6</f>
        <v>30</v>
      </c>
      <c r="L706">
        <f>ROUND(HEX2DEC(_0811_173439[[#This Row],[58F0]])*E$4/E$5+E$6,0)</f>
        <v>69</v>
      </c>
      <c r="M706">
        <f>ROUND(HEX2DEC(_0811_173439[[#This Row],[5805]])*F$4/F$5+F$6,0)</f>
        <v>42</v>
      </c>
      <c r="N706">
        <f>ROUND(HEX2DEC(_0811_173439[[#This Row],[58DD]])*G$4/G$5+G$6,2)</f>
        <v>-0.03</v>
      </c>
      <c r="P706">
        <v>760</v>
      </c>
      <c r="Q706">
        <v>36</v>
      </c>
      <c r="R706">
        <v>30</v>
      </c>
      <c r="S706">
        <v>69</v>
      </c>
      <c r="T706">
        <v>42</v>
      </c>
      <c r="U706">
        <v>-0.03</v>
      </c>
      <c r="W706">
        <f>DataLog_T717420_Aug11_4_59_37pm[[#This Row],[RPM '[1/MIN']]]-Table3[[#This Row],[580C]]</f>
        <v>0</v>
      </c>
      <c r="X706">
        <f>DataLog_T717420_Aug11_4_59_37pm[[#This Row],[OIL TEMP '[Â°C']]]-Table3[[#This Row],[4402]]</f>
        <v>0</v>
      </c>
      <c r="Y706">
        <f>DataLog_T717420_Aug11_4_59_37pm[[#This Row],[INTAKE TEMP '[Â°C']]]-Table3[[#This Row],[580F]]</f>
        <v>0</v>
      </c>
      <c r="Z706">
        <f>DataLog_T717420_Aug11_4_59_37pm[[#This Row],[HPFP PRES. '[BAR']]]-Table3[[#This Row],[58F0]]</f>
        <v>0</v>
      </c>
      <c r="AA706">
        <f>DataLog_T717420_Aug11_4_59_37pm[[#This Row],[COOLANT TEMP '[Â°C']]]-Table3[[#This Row],[5805]]</f>
        <v>0</v>
      </c>
      <c r="AB706">
        <f>DataLog_T717420_Aug11_4_59_37pm[[#This Row],[BOOST '[BAR']]]-Table3[[#This Row],[58DD]]</f>
        <v>0</v>
      </c>
    </row>
    <row r="707" spans="2:28" x14ac:dyDescent="0.25">
      <c r="B707" s="2" t="s">
        <v>189</v>
      </c>
      <c r="C707" s="2" t="s">
        <v>30</v>
      </c>
      <c r="D707" s="2" t="s">
        <v>151</v>
      </c>
      <c r="E707" s="2" t="s">
        <v>163</v>
      </c>
      <c r="F707" s="2" t="s">
        <v>26</v>
      </c>
      <c r="G707" s="2" t="s">
        <v>190</v>
      </c>
      <c r="I707">
        <f>HEX2DEC(_0811_173439[[#This Row],[580C]])*B$4/B$5+B$6</f>
        <v>760</v>
      </c>
      <c r="J707">
        <f>HEX2DEC(_0811_173439[[#This Row],[4402]])*C$4/C$5+C$6</f>
        <v>36</v>
      </c>
      <c r="K707">
        <f>HEX2DEC(_0811_173439[[#This Row],[580F]])*D$4/D$5+D$6</f>
        <v>30</v>
      </c>
      <c r="L707">
        <f>ROUND(HEX2DEC(_0811_173439[[#This Row],[58F0]])*E$4/E$5+E$6,0)</f>
        <v>70</v>
      </c>
      <c r="M707">
        <f>ROUND(HEX2DEC(_0811_173439[[#This Row],[5805]])*F$4/F$5+F$6,0)</f>
        <v>42</v>
      </c>
      <c r="N707">
        <f>ROUND(HEX2DEC(_0811_173439[[#This Row],[58DD]])*G$4/G$5+G$6,2)</f>
        <v>-0.03</v>
      </c>
      <c r="P707">
        <v>760</v>
      </c>
      <c r="Q707">
        <v>36</v>
      </c>
      <c r="R707">
        <v>30</v>
      </c>
      <c r="S707">
        <v>70</v>
      </c>
      <c r="T707">
        <v>42</v>
      </c>
      <c r="U707">
        <v>-0.03</v>
      </c>
      <c r="W707">
        <f>DataLog_T717420_Aug11_4_59_37pm[[#This Row],[RPM '[1/MIN']]]-Table3[[#This Row],[580C]]</f>
        <v>0</v>
      </c>
      <c r="X707">
        <f>DataLog_T717420_Aug11_4_59_37pm[[#This Row],[OIL TEMP '[Â°C']]]-Table3[[#This Row],[4402]]</f>
        <v>0</v>
      </c>
      <c r="Y707">
        <f>DataLog_T717420_Aug11_4_59_37pm[[#This Row],[INTAKE TEMP '[Â°C']]]-Table3[[#This Row],[580F]]</f>
        <v>0</v>
      </c>
      <c r="Z707">
        <f>DataLog_T717420_Aug11_4_59_37pm[[#This Row],[HPFP PRES. '[BAR']]]-Table3[[#This Row],[58F0]]</f>
        <v>0</v>
      </c>
      <c r="AA707">
        <f>DataLog_T717420_Aug11_4_59_37pm[[#This Row],[COOLANT TEMP '[Â°C']]]-Table3[[#This Row],[5805]]</f>
        <v>0</v>
      </c>
      <c r="AB707">
        <f>DataLog_T717420_Aug11_4_59_37pm[[#This Row],[BOOST '[BAR']]]-Table3[[#This Row],[58DD]]</f>
        <v>0</v>
      </c>
    </row>
    <row r="708" spans="2:28" x14ac:dyDescent="0.25">
      <c r="B708" s="2" t="s">
        <v>189</v>
      </c>
      <c r="C708" s="2" t="s">
        <v>30</v>
      </c>
      <c r="D708" s="2" t="s">
        <v>151</v>
      </c>
      <c r="E708" s="2" t="s">
        <v>127</v>
      </c>
      <c r="F708" s="2" t="s">
        <v>26</v>
      </c>
      <c r="G708" s="2" t="s">
        <v>190</v>
      </c>
      <c r="I708">
        <f>HEX2DEC(_0811_173439[[#This Row],[580C]])*B$4/B$5+B$6</f>
        <v>760</v>
      </c>
      <c r="J708">
        <f>HEX2DEC(_0811_173439[[#This Row],[4402]])*C$4/C$5+C$6</f>
        <v>36</v>
      </c>
      <c r="K708">
        <f>HEX2DEC(_0811_173439[[#This Row],[580F]])*D$4/D$5+D$6</f>
        <v>30</v>
      </c>
      <c r="L708">
        <f>ROUND(HEX2DEC(_0811_173439[[#This Row],[58F0]])*E$4/E$5+E$6,0)</f>
        <v>70</v>
      </c>
      <c r="M708">
        <f>ROUND(HEX2DEC(_0811_173439[[#This Row],[5805]])*F$4/F$5+F$6,0)</f>
        <v>42</v>
      </c>
      <c r="N708">
        <f>ROUND(HEX2DEC(_0811_173439[[#This Row],[58DD]])*G$4/G$5+G$6,2)</f>
        <v>-0.03</v>
      </c>
      <c r="P708">
        <v>760</v>
      </c>
      <c r="Q708">
        <v>36</v>
      </c>
      <c r="R708">
        <v>30</v>
      </c>
      <c r="S708">
        <v>70</v>
      </c>
      <c r="T708">
        <v>42</v>
      </c>
      <c r="U708">
        <v>-0.03</v>
      </c>
      <c r="W708">
        <f>DataLog_T717420_Aug11_4_59_37pm[[#This Row],[RPM '[1/MIN']]]-Table3[[#This Row],[580C]]</f>
        <v>0</v>
      </c>
      <c r="X708">
        <f>DataLog_T717420_Aug11_4_59_37pm[[#This Row],[OIL TEMP '[Â°C']]]-Table3[[#This Row],[4402]]</f>
        <v>0</v>
      </c>
      <c r="Y708">
        <f>DataLog_T717420_Aug11_4_59_37pm[[#This Row],[INTAKE TEMP '[Â°C']]]-Table3[[#This Row],[580F]]</f>
        <v>0</v>
      </c>
      <c r="Z708">
        <f>DataLog_T717420_Aug11_4_59_37pm[[#This Row],[HPFP PRES. '[BAR']]]-Table3[[#This Row],[58F0]]</f>
        <v>0</v>
      </c>
      <c r="AA708">
        <f>DataLog_T717420_Aug11_4_59_37pm[[#This Row],[COOLANT TEMP '[Â°C']]]-Table3[[#This Row],[5805]]</f>
        <v>0</v>
      </c>
      <c r="AB708">
        <f>DataLog_T717420_Aug11_4_59_37pm[[#This Row],[BOOST '[BAR']]]-Table3[[#This Row],[58DD]]</f>
        <v>0</v>
      </c>
    </row>
    <row r="709" spans="2:28" x14ac:dyDescent="0.25">
      <c r="B709" s="2" t="s">
        <v>189</v>
      </c>
      <c r="C709" s="2" t="s">
        <v>30</v>
      </c>
      <c r="D709" s="2" t="s">
        <v>151</v>
      </c>
      <c r="E709" s="2" t="s">
        <v>224</v>
      </c>
      <c r="F709" s="2" t="s">
        <v>26</v>
      </c>
      <c r="G709" s="2" t="s">
        <v>216</v>
      </c>
      <c r="I709">
        <f>HEX2DEC(_0811_173439[[#This Row],[580C]])*B$4/B$5+B$6</f>
        <v>760</v>
      </c>
      <c r="J709">
        <f>HEX2DEC(_0811_173439[[#This Row],[4402]])*C$4/C$5+C$6</f>
        <v>36</v>
      </c>
      <c r="K709">
        <f>HEX2DEC(_0811_173439[[#This Row],[580F]])*D$4/D$5+D$6</f>
        <v>30</v>
      </c>
      <c r="L709">
        <f>ROUND(HEX2DEC(_0811_173439[[#This Row],[58F0]])*E$4/E$5+E$6,0)</f>
        <v>69</v>
      </c>
      <c r="M709">
        <f>ROUND(HEX2DEC(_0811_173439[[#This Row],[5805]])*F$4/F$5+F$6,0)</f>
        <v>42</v>
      </c>
      <c r="N709">
        <f>ROUND(HEX2DEC(_0811_173439[[#This Row],[58DD]])*G$4/G$5+G$6,2)</f>
        <v>-0.03</v>
      </c>
      <c r="P709">
        <v>760</v>
      </c>
      <c r="Q709">
        <v>36</v>
      </c>
      <c r="R709">
        <v>30</v>
      </c>
      <c r="S709">
        <v>69</v>
      </c>
      <c r="T709">
        <v>42</v>
      </c>
      <c r="U709">
        <v>-0.03</v>
      </c>
      <c r="W709">
        <f>DataLog_T717420_Aug11_4_59_37pm[[#This Row],[RPM '[1/MIN']]]-Table3[[#This Row],[580C]]</f>
        <v>0</v>
      </c>
      <c r="X709">
        <f>DataLog_T717420_Aug11_4_59_37pm[[#This Row],[OIL TEMP '[Â°C']]]-Table3[[#This Row],[4402]]</f>
        <v>0</v>
      </c>
      <c r="Y709">
        <f>DataLog_T717420_Aug11_4_59_37pm[[#This Row],[INTAKE TEMP '[Â°C']]]-Table3[[#This Row],[580F]]</f>
        <v>0</v>
      </c>
      <c r="Z709">
        <f>DataLog_T717420_Aug11_4_59_37pm[[#This Row],[HPFP PRES. '[BAR']]]-Table3[[#This Row],[58F0]]</f>
        <v>0</v>
      </c>
      <c r="AA709">
        <f>DataLog_T717420_Aug11_4_59_37pm[[#This Row],[COOLANT TEMP '[Â°C']]]-Table3[[#This Row],[5805]]</f>
        <v>0</v>
      </c>
      <c r="AB709">
        <f>DataLog_T717420_Aug11_4_59_37pm[[#This Row],[BOOST '[BAR']]]-Table3[[#This Row],[58DD]]</f>
        <v>0</v>
      </c>
    </row>
    <row r="710" spans="2:28" x14ac:dyDescent="0.25">
      <c r="B710" s="2" t="s">
        <v>189</v>
      </c>
      <c r="C710" s="2" t="s">
        <v>30</v>
      </c>
      <c r="D710" s="2" t="s">
        <v>151</v>
      </c>
      <c r="E710" s="2" t="s">
        <v>127</v>
      </c>
      <c r="F710" s="2" t="s">
        <v>26</v>
      </c>
      <c r="G710" s="2" t="s">
        <v>53</v>
      </c>
      <c r="I710">
        <f>HEX2DEC(_0811_173439[[#This Row],[580C]])*B$4/B$5+B$6</f>
        <v>760</v>
      </c>
      <c r="J710">
        <f>HEX2DEC(_0811_173439[[#This Row],[4402]])*C$4/C$5+C$6</f>
        <v>36</v>
      </c>
      <c r="K710">
        <f>HEX2DEC(_0811_173439[[#This Row],[580F]])*D$4/D$5+D$6</f>
        <v>30</v>
      </c>
      <c r="L710">
        <f>ROUND(HEX2DEC(_0811_173439[[#This Row],[58F0]])*E$4/E$5+E$6,0)</f>
        <v>70</v>
      </c>
      <c r="M710">
        <f>ROUND(HEX2DEC(_0811_173439[[#This Row],[5805]])*F$4/F$5+F$6,0)</f>
        <v>42</v>
      </c>
      <c r="N710">
        <f>ROUND(HEX2DEC(_0811_173439[[#This Row],[58DD]])*G$4/G$5+G$6,2)</f>
        <v>-0.03</v>
      </c>
      <c r="P710">
        <v>760</v>
      </c>
      <c r="Q710">
        <v>36</v>
      </c>
      <c r="R710">
        <v>30</v>
      </c>
      <c r="S710">
        <v>70</v>
      </c>
      <c r="T710">
        <v>42</v>
      </c>
      <c r="U710">
        <v>-0.03</v>
      </c>
      <c r="W710">
        <f>DataLog_T717420_Aug11_4_59_37pm[[#This Row],[RPM '[1/MIN']]]-Table3[[#This Row],[580C]]</f>
        <v>0</v>
      </c>
      <c r="X710">
        <f>DataLog_T717420_Aug11_4_59_37pm[[#This Row],[OIL TEMP '[Â°C']]]-Table3[[#This Row],[4402]]</f>
        <v>0</v>
      </c>
      <c r="Y710">
        <f>DataLog_T717420_Aug11_4_59_37pm[[#This Row],[INTAKE TEMP '[Â°C']]]-Table3[[#This Row],[580F]]</f>
        <v>0</v>
      </c>
      <c r="Z710">
        <f>DataLog_T717420_Aug11_4_59_37pm[[#This Row],[HPFP PRES. '[BAR']]]-Table3[[#This Row],[58F0]]</f>
        <v>0</v>
      </c>
      <c r="AA710">
        <f>DataLog_T717420_Aug11_4_59_37pm[[#This Row],[COOLANT TEMP '[Â°C']]]-Table3[[#This Row],[5805]]</f>
        <v>0</v>
      </c>
      <c r="AB710">
        <f>DataLog_T717420_Aug11_4_59_37pm[[#This Row],[BOOST '[BAR']]]-Table3[[#This Row],[58DD]]</f>
        <v>0</v>
      </c>
    </row>
    <row r="711" spans="2:28" x14ac:dyDescent="0.25">
      <c r="B711" s="2" t="s">
        <v>183</v>
      </c>
      <c r="C711" s="2" t="s">
        <v>30</v>
      </c>
      <c r="D711" s="2" t="s">
        <v>151</v>
      </c>
      <c r="E711" s="2" t="s">
        <v>127</v>
      </c>
      <c r="F711" s="2" t="s">
        <v>26</v>
      </c>
      <c r="G711" s="2" t="s">
        <v>53</v>
      </c>
      <c r="I711">
        <f>HEX2DEC(_0811_173439[[#This Row],[580C]])*B$4/B$5+B$6</f>
        <v>800</v>
      </c>
      <c r="J711">
        <f>HEX2DEC(_0811_173439[[#This Row],[4402]])*C$4/C$5+C$6</f>
        <v>36</v>
      </c>
      <c r="K711">
        <f>HEX2DEC(_0811_173439[[#This Row],[580F]])*D$4/D$5+D$6</f>
        <v>30</v>
      </c>
      <c r="L711">
        <f>ROUND(HEX2DEC(_0811_173439[[#This Row],[58F0]])*E$4/E$5+E$6,0)</f>
        <v>70</v>
      </c>
      <c r="M711">
        <f>ROUND(HEX2DEC(_0811_173439[[#This Row],[5805]])*F$4/F$5+F$6,0)</f>
        <v>42</v>
      </c>
      <c r="N711">
        <f>ROUND(HEX2DEC(_0811_173439[[#This Row],[58DD]])*G$4/G$5+G$6,2)</f>
        <v>-0.03</v>
      </c>
      <c r="P711">
        <v>800</v>
      </c>
      <c r="Q711">
        <v>36</v>
      </c>
      <c r="R711">
        <v>30</v>
      </c>
      <c r="S711">
        <v>70</v>
      </c>
      <c r="T711">
        <v>42</v>
      </c>
      <c r="U711">
        <v>-0.03</v>
      </c>
      <c r="W711">
        <f>DataLog_T717420_Aug11_4_59_37pm[[#This Row],[RPM '[1/MIN']]]-Table3[[#This Row],[580C]]</f>
        <v>0</v>
      </c>
      <c r="X711">
        <f>DataLog_T717420_Aug11_4_59_37pm[[#This Row],[OIL TEMP '[Â°C']]]-Table3[[#This Row],[4402]]</f>
        <v>0</v>
      </c>
      <c r="Y711">
        <f>DataLog_T717420_Aug11_4_59_37pm[[#This Row],[INTAKE TEMP '[Â°C']]]-Table3[[#This Row],[580F]]</f>
        <v>0</v>
      </c>
      <c r="Z711">
        <f>DataLog_T717420_Aug11_4_59_37pm[[#This Row],[HPFP PRES. '[BAR']]]-Table3[[#This Row],[58F0]]</f>
        <v>0</v>
      </c>
      <c r="AA711">
        <f>DataLog_T717420_Aug11_4_59_37pm[[#This Row],[COOLANT TEMP '[Â°C']]]-Table3[[#This Row],[5805]]</f>
        <v>0</v>
      </c>
      <c r="AB711">
        <f>DataLog_T717420_Aug11_4_59_37pm[[#This Row],[BOOST '[BAR']]]-Table3[[#This Row],[58DD]]</f>
        <v>0</v>
      </c>
    </row>
    <row r="712" spans="2:28" x14ac:dyDescent="0.25">
      <c r="B712" s="2" t="s">
        <v>183</v>
      </c>
      <c r="C712" s="2" t="s">
        <v>30</v>
      </c>
      <c r="D712" s="2" t="s">
        <v>151</v>
      </c>
      <c r="E712" s="2" t="s">
        <v>125</v>
      </c>
      <c r="F712" s="2" t="s">
        <v>26</v>
      </c>
      <c r="G712" s="2" t="s">
        <v>96</v>
      </c>
      <c r="I712">
        <f>HEX2DEC(_0811_173439[[#This Row],[580C]])*B$4/B$5+B$6</f>
        <v>800</v>
      </c>
      <c r="J712">
        <f>HEX2DEC(_0811_173439[[#This Row],[4402]])*C$4/C$5+C$6</f>
        <v>36</v>
      </c>
      <c r="K712">
        <f>HEX2DEC(_0811_173439[[#This Row],[580F]])*D$4/D$5+D$6</f>
        <v>30</v>
      </c>
      <c r="L712">
        <f>ROUND(HEX2DEC(_0811_173439[[#This Row],[58F0]])*E$4/E$5+E$6,0)</f>
        <v>70</v>
      </c>
      <c r="M712">
        <f>ROUND(HEX2DEC(_0811_173439[[#This Row],[5805]])*F$4/F$5+F$6,0)</f>
        <v>42</v>
      </c>
      <c r="N712">
        <f>ROUND(HEX2DEC(_0811_173439[[#This Row],[58DD]])*G$4/G$5+G$6,2)</f>
        <v>-0.03</v>
      </c>
      <c r="P712">
        <v>800</v>
      </c>
      <c r="Q712">
        <v>36</v>
      </c>
      <c r="R712">
        <v>30</v>
      </c>
      <c r="S712">
        <v>70</v>
      </c>
      <c r="T712">
        <v>42</v>
      </c>
      <c r="U712">
        <v>-0.03</v>
      </c>
      <c r="W712">
        <f>DataLog_T717420_Aug11_4_59_37pm[[#This Row],[RPM '[1/MIN']]]-Table3[[#This Row],[580C]]</f>
        <v>0</v>
      </c>
      <c r="X712">
        <f>DataLog_T717420_Aug11_4_59_37pm[[#This Row],[OIL TEMP '[Â°C']]]-Table3[[#This Row],[4402]]</f>
        <v>0</v>
      </c>
      <c r="Y712">
        <f>DataLog_T717420_Aug11_4_59_37pm[[#This Row],[INTAKE TEMP '[Â°C']]]-Table3[[#This Row],[580F]]</f>
        <v>0</v>
      </c>
      <c r="Z712">
        <f>DataLog_T717420_Aug11_4_59_37pm[[#This Row],[HPFP PRES. '[BAR']]]-Table3[[#This Row],[58F0]]</f>
        <v>0</v>
      </c>
      <c r="AA712">
        <f>DataLog_T717420_Aug11_4_59_37pm[[#This Row],[COOLANT TEMP '[Â°C']]]-Table3[[#This Row],[5805]]</f>
        <v>0</v>
      </c>
      <c r="AB712">
        <f>DataLog_T717420_Aug11_4_59_37pm[[#This Row],[BOOST '[BAR']]]-Table3[[#This Row],[58DD]]</f>
        <v>0</v>
      </c>
    </row>
    <row r="713" spans="2:28" x14ac:dyDescent="0.25">
      <c r="B713" s="2" t="s">
        <v>183</v>
      </c>
      <c r="C713" s="2" t="s">
        <v>30</v>
      </c>
      <c r="D713" s="2" t="s">
        <v>151</v>
      </c>
      <c r="E713" s="2" t="s">
        <v>127</v>
      </c>
      <c r="F713" s="2" t="s">
        <v>26</v>
      </c>
      <c r="G713" s="2" t="s">
        <v>190</v>
      </c>
      <c r="I713">
        <f>HEX2DEC(_0811_173439[[#This Row],[580C]])*B$4/B$5+B$6</f>
        <v>800</v>
      </c>
      <c r="J713">
        <f>HEX2DEC(_0811_173439[[#This Row],[4402]])*C$4/C$5+C$6</f>
        <v>36</v>
      </c>
      <c r="K713">
        <f>HEX2DEC(_0811_173439[[#This Row],[580F]])*D$4/D$5+D$6</f>
        <v>30</v>
      </c>
      <c r="L713">
        <f>ROUND(HEX2DEC(_0811_173439[[#This Row],[58F0]])*E$4/E$5+E$6,0)</f>
        <v>70</v>
      </c>
      <c r="M713">
        <f>ROUND(HEX2DEC(_0811_173439[[#This Row],[5805]])*F$4/F$5+F$6,0)</f>
        <v>42</v>
      </c>
      <c r="N713">
        <f>ROUND(HEX2DEC(_0811_173439[[#This Row],[58DD]])*G$4/G$5+G$6,2)</f>
        <v>-0.03</v>
      </c>
      <c r="P713">
        <v>800</v>
      </c>
      <c r="Q713">
        <v>36</v>
      </c>
      <c r="R713">
        <v>30</v>
      </c>
      <c r="S713">
        <v>70</v>
      </c>
      <c r="T713">
        <v>42</v>
      </c>
      <c r="U713">
        <v>-0.03</v>
      </c>
      <c r="W713">
        <f>DataLog_T717420_Aug11_4_59_37pm[[#This Row],[RPM '[1/MIN']]]-Table3[[#This Row],[580C]]</f>
        <v>0</v>
      </c>
      <c r="X713">
        <f>DataLog_T717420_Aug11_4_59_37pm[[#This Row],[OIL TEMP '[Â°C']]]-Table3[[#This Row],[4402]]</f>
        <v>0</v>
      </c>
      <c r="Y713">
        <f>DataLog_T717420_Aug11_4_59_37pm[[#This Row],[INTAKE TEMP '[Â°C']]]-Table3[[#This Row],[580F]]</f>
        <v>0</v>
      </c>
      <c r="Z713">
        <f>DataLog_T717420_Aug11_4_59_37pm[[#This Row],[HPFP PRES. '[BAR']]]-Table3[[#This Row],[58F0]]</f>
        <v>0</v>
      </c>
      <c r="AA713">
        <f>DataLog_T717420_Aug11_4_59_37pm[[#This Row],[COOLANT TEMP '[Â°C']]]-Table3[[#This Row],[5805]]</f>
        <v>0</v>
      </c>
      <c r="AB713">
        <f>DataLog_T717420_Aug11_4_59_37pm[[#This Row],[BOOST '[BAR']]]-Table3[[#This Row],[58DD]]</f>
        <v>0</v>
      </c>
    </row>
    <row r="714" spans="2:28" x14ac:dyDescent="0.25">
      <c r="B714" s="2" t="s">
        <v>183</v>
      </c>
      <c r="C714" s="2" t="s">
        <v>30</v>
      </c>
      <c r="D714" s="2" t="s">
        <v>151</v>
      </c>
      <c r="E714" s="2" t="s">
        <v>141</v>
      </c>
      <c r="F714" s="2" t="s">
        <v>26</v>
      </c>
      <c r="G714" s="2" t="s">
        <v>191</v>
      </c>
      <c r="I714">
        <f>HEX2DEC(_0811_173439[[#This Row],[580C]])*B$4/B$5+B$6</f>
        <v>800</v>
      </c>
      <c r="J714">
        <f>HEX2DEC(_0811_173439[[#This Row],[4402]])*C$4/C$5+C$6</f>
        <v>36</v>
      </c>
      <c r="K714">
        <f>HEX2DEC(_0811_173439[[#This Row],[580F]])*D$4/D$5+D$6</f>
        <v>30</v>
      </c>
      <c r="L714">
        <f>ROUND(HEX2DEC(_0811_173439[[#This Row],[58F0]])*E$4/E$5+E$6,0)</f>
        <v>70</v>
      </c>
      <c r="M714">
        <f>ROUND(HEX2DEC(_0811_173439[[#This Row],[5805]])*F$4/F$5+F$6,0)</f>
        <v>42</v>
      </c>
      <c r="N714">
        <f>ROUND(HEX2DEC(_0811_173439[[#This Row],[58DD]])*G$4/G$5+G$6,2)</f>
        <v>-0.03</v>
      </c>
      <c r="P714">
        <v>800</v>
      </c>
      <c r="Q714">
        <v>36</v>
      </c>
      <c r="R714">
        <v>30</v>
      </c>
      <c r="S714">
        <v>70</v>
      </c>
      <c r="T714">
        <v>42</v>
      </c>
      <c r="U714">
        <v>-0.03</v>
      </c>
      <c r="W714">
        <f>DataLog_T717420_Aug11_4_59_37pm[[#This Row],[RPM '[1/MIN']]]-Table3[[#This Row],[580C]]</f>
        <v>0</v>
      </c>
      <c r="X714">
        <f>DataLog_T717420_Aug11_4_59_37pm[[#This Row],[OIL TEMP '[Â°C']]]-Table3[[#This Row],[4402]]</f>
        <v>0</v>
      </c>
      <c r="Y714">
        <f>DataLog_T717420_Aug11_4_59_37pm[[#This Row],[INTAKE TEMP '[Â°C']]]-Table3[[#This Row],[580F]]</f>
        <v>0</v>
      </c>
      <c r="Z714">
        <f>DataLog_T717420_Aug11_4_59_37pm[[#This Row],[HPFP PRES. '[BAR']]]-Table3[[#This Row],[58F0]]</f>
        <v>0</v>
      </c>
      <c r="AA714">
        <f>DataLog_T717420_Aug11_4_59_37pm[[#This Row],[COOLANT TEMP '[Â°C']]]-Table3[[#This Row],[5805]]</f>
        <v>0</v>
      </c>
      <c r="AB714">
        <f>DataLog_T717420_Aug11_4_59_37pm[[#This Row],[BOOST '[BAR']]]-Table3[[#This Row],[58DD]]</f>
        <v>0</v>
      </c>
    </row>
    <row r="715" spans="2:28" x14ac:dyDescent="0.25">
      <c r="B715" s="2" t="s">
        <v>183</v>
      </c>
      <c r="C715" s="2" t="s">
        <v>30</v>
      </c>
      <c r="D715" s="2" t="s">
        <v>151</v>
      </c>
      <c r="E715" s="2" t="s">
        <v>209</v>
      </c>
      <c r="F715" s="2" t="s">
        <v>26</v>
      </c>
      <c r="G715" s="2" t="s">
        <v>191</v>
      </c>
      <c r="I715">
        <f>HEX2DEC(_0811_173439[[#This Row],[580C]])*B$4/B$5+B$6</f>
        <v>800</v>
      </c>
      <c r="J715">
        <f>HEX2DEC(_0811_173439[[#This Row],[4402]])*C$4/C$5+C$6</f>
        <v>36</v>
      </c>
      <c r="K715">
        <f>HEX2DEC(_0811_173439[[#This Row],[580F]])*D$4/D$5+D$6</f>
        <v>30</v>
      </c>
      <c r="L715">
        <f>ROUND(HEX2DEC(_0811_173439[[#This Row],[58F0]])*E$4/E$5+E$6,0)</f>
        <v>70</v>
      </c>
      <c r="M715">
        <f>ROUND(HEX2DEC(_0811_173439[[#This Row],[5805]])*F$4/F$5+F$6,0)</f>
        <v>42</v>
      </c>
      <c r="N715">
        <f>ROUND(HEX2DEC(_0811_173439[[#This Row],[58DD]])*G$4/G$5+G$6,2)</f>
        <v>-0.03</v>
      </c>
      <c r="P715">
        <v>800</v>
      </c>
      <c r="Q715">
        <v>36</v>
      </c>
      <c r="R715">
        <v>30</v>
      </c>
      <c r="S715">
        <v>70</v>
      </c>
      <c r="T715">
        <v>42</v>
      </c>
      <c r="U715">
        <v>-0.03</v>
      </c>
      <c r="W715">
        <f>DataLog_T717420_Aug11_4_59_37pm[[#This Row],[RPM '[1/MIN']]]-Table3[[#This Row],[580C]]</f>
        <v>0</v>
      </c>
      <c r="X715">
        <f>DataLog_T717420_Aug11_4_59_37pm[[#This Row],[OIL TEMP '[Â°C']]]-Table3[[#This Row],[4402]]</f>
        <v>0</v>
      </c>
      <c r="Y715">
        <f>DataLog_T717420_Aug11_4_59_37pm[[#This Row],[INTAKE TEMP '[Â°C']]]-Table3[[#This Row],[580F]]</f>
        <v>0</v>
      </c>
      <c r="Z715">
        <f>DataLog_T717420_Aug11_4_59_37pm[[#This Row],[HPFP PRES. '[BAR']]]-Table3[[#This Row],[58F0]]</f>
        <v>0</v>
      </c>
      <c r="AA715">
        <f>DataLog_T717420_Aug11_4_59_37pm[[#This Row],[COOLANT TEMP '[Â°C']]]-Table3[[#This Row],[5805]]</f>
        <v>0</v>
      </c>
      <c r="AB715">
        <f>DataLog_T717420_Aug11_4_59_37pm[[#This Row],[BOOST '[BAR']]]-Table3[[#This Row],[58DD]]</f>
        <v>0</v>
      </c>
    </row>
    <row r="716" spans="2:28" x14ac:dyDescent="0.25">
      <c r="B716" s="2" t="s">
        <v>183</v>
      </c>
      <c r="C716" s="2" t="s">
        <v>30</v>
      </c>
      <c r="D716" s="2" t="s">
        <v>151</v>
      </c>
      <c r="E716" s="2" t="s">
        <v>93</v>
      </c>
      <c r="F716" s="2" t="s">
        <v>26</v>
      </c>
      <c r="G716" s="2" t="s">
        <v>191</v>
      </c>
      <c r="I716">
        <f>HEX2DEC(_0811_173439[[#This Row],[580C]])*B$4/B$5+B$6</f>
        <v>800</v>
      </c>
      <c r="J716">
        <f>HEX2DEC(_0811_173439[[#This Row],[4402]])*C$4/C$5+C$6</f>
        <v>36</v>
      </c>
      <c r="K716">
        <f>HEX2DEC(_0811_173439[[#This Row],[580F]])*D$4/D$5+D$6</f>
        <v>30</v>
      </c>
      <c r="L716">
        <f>ROUND(HEX2DEC(_0811_173439[[#This Row],[58F0]])*E$4/E$5+E$6,0)</f>
        <v>70</v>
      </c>
      <c r="M716">
        <f>ROUND(HEX2DEC(_0811_173439[[#This Row],[5805]])*F$4/F$5+F$6,0)</f>
        <v>42</v>
      </c>
      <c r="N716">
        <f>ROUND(HEX2DEC(_0811_173439[[#This Row],[58DD]])*G$4/G$5+G$6,2)</f>
        <v>-0.03</v>
      </c>
      <c r="P716">
        <v>800</v>
      </c>
      <c r="Q716">
        <v>36</v>
      </c>
      <c r="R716">
        <v>30</v>
      </c>
      <c r="S716">
        <v>70</v>
      </c>
      <c r="T716">
        <v>42</v>
      </c>
      <c r="U716">
        <v>-0.03</v>
      </c>
      <c r="W716">
        <f>DataLog_T717420_Aug11_4_59_37pm[[#This Row],[RPM '[1/MIN']]]-Table3[[#This Row],[580C]]</f>
        <v>0</v>
      </c>
      <c r="X716">
        <f>DataLog_T717420_Aug11_4_59_37pm[[#This Row],[OIL TEMP '[Â°C']]]-Table3[[#This Row],[4402]]</f>
        <v>0</v>
      </c>
      <c r="Y716">
        <f>DataLog_T717420_Aug11_4_59_37pm[[#This Row],[INTAKE TEMP '[Â°C']]]-Table3[[#This Row],[580F]]</f>
        <v>0</v>
      </c>
      <c r="Z716">
        <f>DataLog_T717420_Aug11_4_59_37pm[[#This Row],[HPFP PRES. '[BAR']]]-Table3[[#This Row],[58F0]]</f>
        <v>0</v>
      </c>
      <c r="AA716">
        <f>DataLog_T717420_Aug11_4_59_37pm[[#This Row],[COOLANT TEMP '[Â°C']]]-Table3[[#This Row],[5805]]</f>
        <v>0</v>
      </c>
      <c r="AB716">
        <f>DataLog_T717420_Aug11_4_59_37pm[[#This Row],[BOOST '[BAR']]]-Table3[[#This Row],[58DD]]</f>
        <v>0</v>
      </c>
    </row>
    <row r="717" spans="2:28" x14ac:dyDescent="0.25">
      <c r="B717" s="2" t="s">
        <v>183</v>
      </c>
      <c r="C717" s="2" t="s">
        <v>30</v>
      </c>
      <c r="D717" s="2" t="s">
        <v>151</v>
      </c>
      <c r="E717" s="2" t="s">
        <v>122</v>
      </c>
      <c r="F717" s="2" t="s">
        <v>26</v>
      </c>
      <c r="G717" s="2" t="s">
        <v>71</v>
      </c>
      <c r="I717">
        <f>HEX2DEC(_0811_173439[[#This Row],[580C]])*B$4/B$5+B$6</f>
        <v>800</v>
      </c>
      <c r="J717">
        <f>HEX2DEC(_0811_173439[[#This Row],[4402]])*C$4/C$5+C$6</f>
        <v>36</v>
      </c>
      <c r="K717">
        <f>HEX2DEC(_0811_173439[[#This Row],[580F]])*D$4/D$5+D$6</f>
        <v>30</v>
      </c>
      <c r="L717">
        <f>ROUND(HEX2DEC(_0811_173439[[#This Row],[58F0]])*E$4/E$5+E$6,0)</f>
        <v>71</v>
      </c>
      <c r="M717">
        <f>ROUND(HEX2DEC(_0811_173439[[#This Row],[5805]])*F$4/F$5+F$6,0)</f>
        <v>42</v>
      </c>
      <c r="N717">
        <f>ROUND(HEX2DEC(_0811_173439[[#This Row],[58DD]])*G$4/G$5+G$6,2)</f>
        <v>-0.03</v>
      </c>
      <c r="P717">
        <v>800</v>
      </c>
      <c r="Q717">
        <v>36</v>
      </c>
      <c r="R717">
        <v>30</v>
      </c>
      <c r="S717">
        <v>71</v>
      </c>
      <c r="T717">
        <v>42</v>
      </c>
      <c r="U717">
        <v>-0.03</v>
      </c>
      <c r="W717">
        <f>DataLog_T717420_Aug11_4_59_37pm[[#This Row],[RPM '[1/MIN']]]-Table3[[#This Row],[580C]]</f>
        <v>0</v>
      </c>
      <c r="X717">
        <f>DataLog_T717420_Aug11_4_59_37pm[[#This Row],[OIL TEMP '[Â°C']]]-Table3[[#This Row],[4402]]</f>
        <v>0</v>
      </c>
      <c r="Y717">
        <f>DataLog_T717420_Aug11_4_59_37pm[[#This Row],[INTAKE TEMP '[Â°C']]]-Table3[[#This Row],[580F]]</f>
        <v>0</v>
      </c>
      <c r="Z717">
        <f>DataLog_T717420_Aug11_4_59_37pm[[#This Row],[HPFP PRES. '[BAR']]]-Table3[[#This Row],[58F0]]</f>
        <v>0</v>
      </c>
      <c r="AA717">
        <f>DataLog_T717420_Aug11_4_59_37pm[[#This Row],[COOLANT TEMP '[Â°C']]]-Table3[[#This Row],[5805]]</f>
        <v>0</v>
      </c>
      <c r="AB717">
        <f>DataLog_T717420_Aug11_4_59_37pm[[#This Row],[BOOST '[BAR']]]-Table3[[#This Row],[58DD]]</f>
        <v>0</v>
      </c>
    </row>
    <row r="718" spans="2:28" x14ac:dyDescent="0.25">
      <c r="B718" s="2" t="s">
        <v>183</v>
      </c>
      <c r="C718" s="2" t="s">
        <v>30</v>
      </c>
      <c r="D718" s="2" t="s">
        <v>151</v>
      </c>
      <c r="E718" s="2" t="s">
        <v>166</v>
      </c>
      <c r="F718" s="2" t="s">
        <v>26</v>
      </c>
      <c r="G718" s="2" t="s">
        <v>53</v>
      </c>
      <c r="I718">
        <f>HEX2DEC(_0811_173439[[#This Row],[580C]])*B$4/B$5+B$6</f>
        <v>800</v>
      </c>
      <c r="J718">
        <f>HEX2DEC(_0811_173439[[#This Row],[4402]])*C$4/C$5+C$6</f>
        <v>36</v>
      </c>
      <c r="K718">
        <f>HEX2DEC(_0811_173439[[#This Row],[580F]])*D$4/D$5+D$6</f>
        <v>30</v>
      </c>
      <c r="L718">
        <f>ROUND(HEX2DEC(_0811_173439[[#This Row],[58F0]])*E$4/E$5+E$6,0)</f>
        <v>71</v>
      </c>
      <c r="M718">
        <f>ROUND(HEX2DEC(_0811_173439[[#This Row],[5805]])*F$4/F$5+F$6,0)</f>
        <v>42</v>
      </c>
      <c r="N718">
        <f>ROUND(HEX2DEC(_0811_173439[[#This Row],[58DD]])*G$4/G$5+G$6,2)</f>
        <v>-0.03</v>
      </c>
      <c r="P718">
        <v>800</v>
      </c>
      <c r="Q718">
        <v>36</v>
      </c>
      <c r="R718">
        <v>30</v>
      </c>
      <c r="S718">
        <v>71</v>
      </c>
      <c r="T718">
        <v>42</v>
      </c>
      <c r="U718">
        <v>-0.03</v>
      </c>
      <c r="W718">
        <f>DataLog_T717420_Aug11_4_59_37pm[[#This Row],[RPM '[1/MIN']]]-Table3[[#This Row],[580C]]</f>
        <v>0</v>
      </c>
      <c r="X718">
        <f>DataLog_T717420_Aug11_4_59_37pm[[#This Row],[OIL TEMP '[Â°C']]]-Table3[[#This Row],[4402]]</f>
        <v>0</v>
      </c>
      <c r="Y718">
        <f>DataLog_T717420_Aug11_4_59_37pm[[#This Row],[INTAKE TEMP '[Â°C']]]-Table3[[#This Row],[580F]]</f>
        <v>0</v>
      </c>
      <c r="Z718">
        <f>DataLog_T717420_Aug11_4_59_37pm[[#This Row],[HPFP PRES. '[BAR']]]-Table3[[#This Row],[58F0]]</f>
        <v>0</v>
      </c>
      <c r="AA718">
        <f>DataLog_T717420_Aug11_4_59_37pm[[#This Row],[COOLANT TEMP '[Â°C']]]-Table3[[#This Row],[5805]]</f>
        <v>0</v>
      </c>
      <c r="AB718">
        <f>DataLog_T717420_Aug11_4_59_37pm[[#This Row],[BOOST '[BAR']]]-Table3[[#This Row],[58DD]]</f>
        <v>0</v>
      </c>
    </row>
    <row r="719" spans="2:28" x14ac:dyDescent="0.25">
      <c r="B719" s="2" t="s">
        <v>183</v>
      </c>
      <c r="C719" s="2" t="s">
        <v>30</v>
      </c>
      <c r="D719" s="2" t="s">
        <v>151</v>
      </c>
      <c r="E719" s="2" t="s">
        <v>118</v>
      </c>
      <c r="F719" s="2" t="s">
        <v>26</v>
      </c>
      <c r="G719" s="2" t="s">
        <v>191</v>
      </c>
      <c r="I719">
        <f>HEX2DEC(_0811_173439[[#This Row],[580C]])*B$4/B$5+B$6</f>
        <v>800</v>
      </c>
      <c r="J719">
        <f>HEX2DEC(_0811_173439[[#This Row],[4402]])*C$4/C$5+C$6</f>
        <v>36</v>
      </c>
      <c r="K719">
        <f>HEX2DEC(_0811_173439[[#This Row],[580F]])*D$4/D$5+D$6</f>
        <v>30</v>
      </c>
      <c r="L719">
        <f>ROUND(HEX2DEC(_0811_173439[[#This Row],[58F0]])*E$4/E$5+E$6,0)</f>
        <v>70</v>
      </c>
      <c r="M719">
        <f>ROUND(HEX2DEC(_0811_173439[[#This Row],[5805]])*F$4/F$5+F$6,0)</f>
        <v>42</v>
      </c>
      <c r="N719">
        <f>ROUND(HEX2DEC(_0811_173439[[#This Row],[58DD]])*G$4/G$5+G$6,2)</f>
        <v>-0.03</v>
      </c>
      <c r="P719">
        <v>800</v>
      </c>
      <c r="Q719">
        <v>36</v>
      </c>
      <c r="R719">
        <v>30</v>
      </c>
      <c r="S719">
        <v>70</v>
      </c>
      <c r="T719">
        <v>42</v>
      </c>
      <c r="U719">
        <v>-0.03</v>
      </c>
      <c r="W719">
        <f>DataLog_T717420_Aug11_4_59_37pm[[#This Row],[RPM '[1/MIN']]]-Table3[[#This Row],[580C]]</f>
        <v>0</v>
      </c>
      <c r="X719">
        <f>DataLog_T717420_Aug11_4_59_37pm[[#This Row],[OIL TEMP '[Â°C']]]-Table3[[#This Row],[4402]]</f>
        <v>0</v>
      </c>
      <c r="Y719">
        <f>DataLog_T717420_Aug11_4_59_37pm[[#This Row],[INTAKE TEMP '[Â°C']]]-Table3[[#This Row],[580F]]</f>
        <v>0</v>
      </c>
      <c r="Z719">
        <f>DataLog_T717420_Aug11_4_59_37pm[[#This Row],[HPFP PRES. '[BAR']]]-Table3[[#This Row],[58F0]]</f>
        <v>0</v>
      </c>
      <c r="AA719">
        <f>DataLog_T717420_Aug11_4_59_37pm[[#This Row],[COOLANT TEMP '[Â°C']]]-Table3[[#This Row],[5805]]</f>
        <v>0</v>
      </c>
      <c r="AB719">
        <f>DataLog_T717420_Aug11_4_59_37pm[[#This Row],[BOOST '[BAR']]]-Table3[[#This Row],[58DD]]</f>
        <v>0</v>
      </c>
    </row>
    <row r="720" spans="2:28" x14ac:dyDescent="0.25">
      <c r="B720" s="2" t="s">
        <v>183</v>
      </c>
      <c r="C720" s="2" t="s">
        <v>30</v>
      </c>
      <c r="D720" s="2" t="s">
        <v>151</v>
      </c>
      <c r="E720" s="2" t="s">
        <v>122</v>
      </c>
      <c r="F720" s="2" t="s">
        <v>26</v>
      </c>
      <c r="G720" s="2" t="s">
        <v>190</v>
      </c>
      <c r="I720">
        <f>HEX2DEC(_0811_173439[[#This Row],[580C]])*B$4/B$5+B$6</f>
        <v>800</v>
      </c>
      <c r="J720">
        <f>HEX2DEC(_0811_173439[[#This Row],[4402]])*C$4/C$5+C$6</f>
        <v>36</v>
      </c>
      <c r="K720">
        <f>HEX2DEC(_0811_173439[[#This Row],[580F]])*D$4/D$5+D$6</f>
        <v>30</v>
      </c>
      <c r="L720">
        <f>ROUND(HEX2DEC(_0811_173439[[#This Row],[58F0]])*E$4/E$5+E$6,0)</f>
        <v>71</v>
      </c>
      <c r="M720">
        <f>ROUND(HEX2DEC(_0811_173439[[#This Row],[5805]])*F$4/F$5+F$6,0)</f>
        <v>42</v>
      </c>
      <c r="N720">
        <f>ROUND(HEX2DEC(_0811_173439[[#This Row],[58DD]])*G$4/G$5+G$6,2)</f>
        <v>-0.03</v>
      </c>
      <c r="P720">
        <v>800</v>
      </c>
      <c r="Q720">
        <v>36</v>
      </c>
      <c r="R720">
        <v>30</v>
      </c>
      <c r="S720">
        <v>71</v>
      </c>
      <c r="T720">
        <v>42</v>
      </c>
      <c r="U720">
        <v>-0.03</v>
      </c>
      <c r="W720">
        <f>DataLog_T717420_Aug11_4_59_37pm[[#This Row],[RPM '[1/MIN']]]-Table3[[#This Row],[580C]]</f>
        <v>0</v>
      </c>
      <c r="X720">
        <f>DataLog_T717420_Aug11_4_59_37pm[[#This Row],[OIL TEMP '[Â°C']]]-Table3[[#This Row],[4402]]</f>
        <v>0</v>
      </c>
      <c r="Y720">
        <f>DataLog_T717420_Aug11_4_59_37pm[[#This Row],[INTAKE TEMP '[Â°C']]]-Table3[[#This Row],[580F]]</f>
        <v>0</v>
      </c>
      <c r="Z720">
        <f>DataLog_T717420_Aug11_4_59_37pm[[#This Row],[HPFP PRES. '[BAR']]]-Table3[[#This Row],[58F0]]</f>
        <v>0</v>
      </c>
      <c r="AA720">
        <f>DataLog_T717420_Aug11_4_59_37pm[[#This Row],[COOLANT TEMP '[Â°C']]]-Table3[[#This Row],[5805]]</f>
        <v>0</v>
      </c>
      <c r="AB720">
        <f>DataLog_T717420_Aug11_4_59_37pm[[#This Row],[BOOST '[BAR']]]-Table3[[#This Row],[58DD]]</f>
        <v>0</v>
      </c>
    </row>
    <row r="721" spans="2:28" x14ac:dyDescent="0.25">
      <c r="B721" s="2" t="s">
        <v>183</v>
      </c>
      <c r="C721" s="2" t="s">
        <v>30</v>
      </c>
      <c r="D721" s="2" t="s">
        <v>151</v>
      </c>
      <c r="E721" s="2" t="s">
        <v>172</v>
      </c>
      <c r="F721" s="2" t="s">
        <v>26</v>
      </c>
      <c r="G721" s="2" t="s">
        <v>53</v>
      </c>
      <c r="I721">
        <f>HEX2DEC(_0811_173439[[#This Row],[580C]])*B$4/B$5+B$6</f>
        <v>800</v>
      </c>
      <c r="J721">
        <f>HEX2DEC(_0811_173439[[#This Row],[4402]])*C$4/C$5+C$6</f>
        <v>36</v>
      </c>
      <c r="K721">
        <f>HEX2DEC(_0811_173439[[#This Row],[580F]])*D$4/D$5+D$6</f>
        <v>30</v>
      </c>
      <c r="L721">
        <f>ROUND(HEX2DEC(_0811_173439[[#This Row],[58F0]])*E$4/E$5+E$6,0)</f>
        <v>70</v>
      </c>
      <c r="M721">
        <f>ROUND(HEX2DEC(_0811_173439[[#This Row],[5805]])*F$4/F$5+F$6,0)</f>
        <v>42</v>
      </c>
      <c r="N721">
        <f>ROUND(HEX2DEC(_0811_173439[[#This Row],[58DD]])*G$4/G$5+G$6,2)</f>
        <v>-0.03</v>
      </c>
      <c r="P721">
        <v>800</v>
      </c>
      <c r="Q721">
        <v>36</v>
      </c>
      <c r="R721">
        <v>30</v>
      </c>
      <c r="S721">
        <v>70</v>
      </c>
      <c r="T721">
        <v>42</v>
      </c>
      <c r="U721">
        <v>-0.03</v>
      </c>
      <c r="W721">
        <f>DataLog_T717420_Aug11_4_59_37pm[[#This Row],[RPM '[1/MIN']]]-Table3[[#This Row],[580C]]</f>
        <v>0</v>
      </c>
      <c r="X721">
        <f>DataLog_T717420_Aug11_4_59_37pm[[#This Row],[OIL TEMP '[Â°C']]]-Table3[[#This Row],[4402]]</f>
        <v>0</v>
      </c>
      <c r="Y721">
        <f>DataLog_T717420_Aug11_4_59_37pm[[#This Row],[INTAKE TEMP '[Â°C']]]-Table3[[#This Row],[580F]]</f>
        <v>0</v>
      </c>
      <c r="Z721">
        <f>DataLog_T717420_Aug11_4_59_37pm[[#This Row],[HPFP PRES. '[BAR']]]-Table3[[#This Row],[58F0]]</f>
        <v>0</v>
      </c>
      <c r="AA721">
        <f>DataLog_T717420_Aug11_4_59_37pm[[#This Row],[COOLANT TEMP '[Â°C']]]-Table3[[#This Row],[5805]]</f>
        <v>0</v>
      </c>
      <c r="AB721">
        <f>DataLog_T717420_Aug11_4_59_37pm[[#This Row],[BOOST '[BAR']]]-Table3[[#This Row],[58DD]]</f>
        <v>0</v>
      </c>
    </row>
    <row r="722" spans="2:28" x14ac:dyDescent="0.25">
      <c r="B722" s="2" t="s">
        <v>183</v>
      </c>
      <c r="C722" s="2" t="s">
        <v>30</v>
      </c>
      <c r="D722" s="2" t="s">
        <v>151</v>
      </c>
      <c r="E722" s="2" t="s">
        <v>125</v>
      </c>
      <c r="F722" s="2" t="s">
        <v>26</v>
      </c>
      <c r="G722" s="2" t="s">
        <v>191</v>
      </c>
      <c r="I722">
        <f>HEX2DEC(_0811_173439[[#This Row],[580C]])*B$4/B$5+B$6</f>
        <v>800</v>
      </c>
      <c r="J722">
        <f>HEX2DEC(_0811_173439[[#This Row],[4402]])*C$4/C$5+C$6</f>
        <v>36</v>
      </c>
      <c r="K722">
        <f>HEX2DEC(_0811_173439[[#This Row],[580F]])*D$4/D$5+D$6</f>
        <v>30</v>
      </c>
      <c r="L722">
        <f>ROUND(HEX2DEC(_0811_173439[[#This Row],[58F0]])*E$4/E$5+E$6,0)</f>
        <v>70</v>
      </c>
      <c r="M722">
        <f>ROUND(HEX2DEC(_0811_173439[[#This Row],[5805]])*F$4/F$5+F$6,0)</f>
        <v>42</v>
      </c>
      <c r="N722">
        <f>ROUND(HEX2DEC(_0811_173439[[#This Row],[58DD]])*G$4/G$5+G$6,2)</f>
        <v>-0.03</v>
      </c>
      <c r="P722">
        <v>800</v>
      </c>
      <c r="Q722">
        <v>36</v>
      </c>
      <c r="R722">
        <v>30</v>
      </c>
      <c r="S722">
        <v>70</v>
      </c>
      <c r="T722">
        <v>42</v>
      </c>
      <c r="U722">
        <v>-0.03</v>
      </c>
      <c r="W722">
        <f>DataLog_T717420_Aug11_4_59_37pm[[#This Row],[RPM '[1/MIN']]]-Table3[[#This Row],[580C]]</f>
        <v>0</v>
      </c>
      <c r="X722">
        <f>DataLog_T717420_Aug11_4_59_37pm[[#This Row],[OIL TEMP '[Â°C']]]-Table3[[#This Row],[4402]]</f>
        <v>0</v>
      </c>
      <c r="Y722">
        <f>DataLog_T717420_Aug11_4_59_37pm[[#This Row],[INTAKE TEMP '[Â°C']]]-Table3[[#This Row],[580F]]</f>
        <v>0</v>
      </c>
      <c r="Z722">
        <f>DataLog_T717420_Aug11_4_59_37pm[[#This Row],[HPFP PRES. '[BAR']]]-Table3[[#This Row],[58F0]]</f>
        <v>0</v>
      </c>
      <c r="AA722">
        <f>DataLog_T717420_Aug11_4_59_37pm[[#This Row],[COOLANT TEMP '[Â°C']]]-Table3[[#This Row],[5805]]</f>
        <v>0</v>
      </c>
      <c r="AB722">
        <f>DataLog_T717420_Aug11_4_59_37pm[[#This Row],[BOOST '[BAR']]]-Table3[[#This Row],[58DD]]</f>
        <v>0</v>
      </c>
    </row>
    <row r="723" spans="2:28" x14ac:dyDescent="0.25">
      <c r="B723" s="2" t="s">
        <v>189</v>
      </c>
      <c r="C723" s="2" t="s">
        <v>30</v>
      </c>
      <c r="D723" s="2" t="s">
        <v>151</v>
      </c>
      <c r="E723" s="2" t="s">
        <v>93</v>
      </c>
      <c r="F723" s="2" t="s">
        <v>26</v>
      </c>
      <c r="G723" s="2" t="s">
        <v>191</v>
      </c>
      <c r="I723">
        <f>HEX2DEC(_0811_173439[[#This Row],[580C]])*B$4/B$5+B$6</f>
        <v>760</v>
      </c>
      <c r="J723">
        <f>HEX2DEC(_0811_173439[[#This Row],[4402]])*C$4/C$5+C$6</f>
        <v>36</v>
      </c>
      <c r="K723">
        <f>HEX2DEC(_0811_173439[[#This Row],[580F]])*D$4/D$5+D$6</f>
        <v>30</v>
      </c>
      <c r="L723">
        <f>ROUND(HEX2DEC(_0811_173439[[#This Row],[58F0]])*E$4/E$5+E$6,0)</f>
        <v>70</v>
      </c>
      <c r="M723">
        <f>ROUND(HEX2DEC(_0811_173439[[#This Row],[5805]])*F$4/F$5+F$6,0)</f>
        <v>42</v>
      </c>
      <c r="N723">
        <f>ROUND(HEX2DEC(_0811_173439[[#This Row],[58DD]])*G$4/G$5+G$6,2)</f>
        <v>-0.03</v>
      </c>
      <c r="P723">
        <v>760</v>
      </c>
      <c r="Q723">
        <v>36</v>
      </c>
      <c r="R723">
        <v>30</v>
      </c>
      <c r="S723">
        <v>70</v>
      </c>
      <c r="T723">
        <v>42</v>
      </c>
      <c r="U723">
        <v>-0.03</v>
      </c>
      <c r="W723">
        <f>DataLog_T717420_Aug11_4_59_37pm[[#This Row],[RPM '[1/MIN']]]-Table3[[#This Row],[580C]]</f>
        <v>0</v>
      </c>
      <c r="X723">
        <f>DataLog_T717420_Aug11_4_59_37pm[[#This Row],[OIL TEMP '[Â°C']]]-Table3[[#This Row],[4402]]</f>
        <v>0</v>
      </c>
      <c r="Y723">
        <f>DataLog_T717420_Aug11_4_59_37pm[[#This Row],[INTAKE TEMP '[Â°C']]]-Table3[[#This Row],[580F]]</f>
        <v>0</v>
      </c>
      <c r="Z723">
        <f>DataLog_T717420_Aug11_4_59_37pm[[#This Row],[HPFP PRES. '[BAR']]]-Table3[[#This Row],[58F0]]</f>
        <v>0</v>
      </c>
      <c r="AA723">
        <f>DataLog_T717420_Aug11_4_59_37pm[[#This Row],[COOLANT TEMP '[Â°C']]]-Table3[[#This Row],[5805]]</f>
        <v>0</v>
      </c>
      <c r="AB723">
        <f>DataLog_T717420_Aug11_4_59_37pm[[#This Row],[BOOST '[BAR']]]-Table3[[#This Row],[58DD]]</f>
        <v>0</v>
      </c>
    </row>
    <row r="724" spans="2:28" x14ac:dyDescent="0.25">
      <c r="B724" s="2" t="s">
        <v>189</v>
      </c>
      <c r="C724" s="2" t="s">
        <v>30</v>
      </c>
      <c r="D724" s="2" t="s">
        <v>151</v>
      </c>
      <c r="E724" s="2" t="s">
        <v>93</v>
      </c>
      <c r="F724" s="2" t="s">
        <v>26</v>
      </c>
      <c r="G724" s="2" t="s">
        <v>53</v>
      </c>
      <c r="I724">
        <f>HEX2DEC(_0811_173439[[#This Row],[580C]])*B$4/B$5+B$6</f>
        <v>760</v>
      </c>
      <c r="J724">
        <f>HEX2DEC(_0811_173439[[#This Row],[4402]])*C$4/C$5+C$6</f>
        <v>36</v>
      </c>
      <c r="K724">
        <f>HEX2DEC(_0811_173439[[#This Row],[580F]])*D$4/D$5+D$6</f>
        <v>30</v>
      </c>
      <c r="L724">
        <f>ROUND(HEX2DEC(_0811_173439[[#This Row],[58F0]])*E$4/E$5+E$6,0)</f>
        <v>70</v>
      </c>
      <c r="M724">
        <f>ROUND(HEX2DEC(_0811_173439[[#This Row],[5805]])*F$4/F$5+F$6,0)</f>
        <v>42</v>
      </c>
      <c r="N724">
        <f>ROUND(HEX2DEC(_0811_173439[[#This Row],[58DD]])*G$4/G$5+G$6,2)</f>
        <v>-0.03</v>
      </c>
      <c r="P724">
        <v>760</v>
      </c>
      <c r="Q724">
        <v>36</v>
      </c>
      <c r="R724">
        <v>30</v>
      </c>
      <c r="S724">
        <v>70</v>
      </c>
      <c r="T724">
        <v>42</v>
      </c>
      <c r="U724">
        <v>-0.03</v>
      </c>
      <c r="W724">
        <f>DataLog_T717420_Aug11_4_59_37pm[[#This Row],[RPM '[1/MIN']]]-Table3[[#This Row],[580C]]</f>
        <v>0</v>
      </c>
      <c r="X724">
        <f>DataLog_T717420_Aug11_4_59_37pm[[#This Row],[OIL TEMP '[Â°C']]]-Table3[[#This Row],[4402]]</f>
        <v>0</v>
      </c>
      <c r="Y724">
        <f>DataLog_T717420_Aug11_4_59_37pm[[#This Row],[INTAKE TEMP '[Â°C']]]-Table3[[#This Row],[580F]]</f>
        <v>0</v>
      </c>
      <c r="Z724">
        <f>DataLog_T717420_Aug11_4_59_37pm[[#This Row],[HPFP PRES. '[BAR']]]-Table3[[#This Row],[58F0]]</f>
        <v>0</v>
      </c>
      <c r="AA724">
        <f>DataLog_T717420_Aug11_4_59_37pm[[#This Row],[COOLANT TEMP '[Â°C']]]-Table3[[#This Row],[5805]]</f>
        <v>0</v>
      </c>
      <c r="AB724">
        <f>DataLog_T717420_Aug11_4_59_37pm[[#This Row],[BOOST '[BAR']]]-Table3[[#This Row],[58DD]]</f>
        <v>0</v>
      </c>
    </row>
    <row r="725" spans="2:28" x14ac:dyDescent="0.25">
      <c r="B725" s="2" t="s">
        <v>189</v>
      </c>
      <c r="C725" s="2" t="s">
        <v>30</v>
      </c>
      <c r="D725" s="2" t="s">
        <v>151</v>
      </c>
      <c r="E725" s="2" t="s">
        <v>118</v>
      </c>
      <c r="F725" s="2" t="s">
        <v>26</v>
      </c>
      <c r="G725" s="2" t="s">
        <v>96</v>
      </c>
      <c r="I725">
        <f>HEX2DEC(_0811_173439[[#This Row],[580C]])*B$4/B$5+B$6</f>
        <v>760</v>
      </c>
      <c r="J725">
        <f>HEX2DEC(_0811_173439[[#This Row],[4402]])*C$4/C$5+C$6</f>
        <v>36</v>
      </c>
      <c r="K725">
        <f>HEX2DEC(_0811_173439[[#This Row],[580F]])*D$4/D$5+D$6</f>
        <v>30</v>
      </c>
      <c r="L725">
        <f>ROUND(HEX2DEC(_0811_173439[[#This Row],[58F0]])*E$4/E$5+E$6,0)</f>
        <v>70</v>
      </c>
      <c r="M725">
        <f>ROUND(HEX2DEC(_0811_173439[[#This Row],[5805]])*F$4/F$5+F$6,0)</f>
        <v>42</v>
      </c>
      <c r="N725">
        <f>ROUND(HEX2DEC(_0811_173439[[#This Row],[58DD]])*G$4/G$5+G$6,2)</f>
        <v>-0.03</v>
      </c>
      <c r="P725">
        <v>760</v>
      </c>
      <c r="Q725">
        <v>36</v>
      </c>
      <c r="R725">
        <v>30</v>
      </c>
      <c r="S725">
        <v>70</v>
      </c>
      <c r="T725">
        <v>42</v>
      </c>
      <c r="U725">
        <v>-0.03</v>
      </c>
      <c r="W725">
        <f>DataLog_T717420_Aug11_4_59_37pm[[#This Row],[RPM '[1/MIN']]]-Table3[[#This Row],[580C]]</f>
        <v>0</v>
      </c>
      <c r="X725">
        <f>DataLog_T717420_Aug11_4_59_37pm[[#This Row],[OIL TEMP '[Â°C']]]-Table3[[#This Row],[4402]]</f>
        <v>0</v>
      </c>
      <c r="Y725">
        <f>DataLog_T717420_Aug11_4_59_37pm[[#This Row],[INTAKE TEMP '[Â°C']]]-Table3[[#This Row],[580F]]</f>
        <v>0</v>
      </c>
      <c r="Z725">
        <f>DataLog_T717420_Aug11_4_59_37pm[[#This Row],[HPFP PRES. '[BAR']]]-Table3[[#This Row],[58F0]]</f>
        <v>0</v>
      </c>
      <c r="AA725">
        <f>DataLog_T717420_Aug11_4_59_37pm[[#This Row],[COOLANT TEMP '[Â°C']]]-Table3[[#This Row],[5805]]</f>
        <v>0</v>
      </c>
      <c r="AB725">
        <f>DataLog_T717420_Aug11_4_59_37pm[[#This Row],[BOOST '[BAR']]]-Table3[[#This Row],[58DD]]</f>
        <v>0</v>
      </c>
    </row>
    <row r="726" spans="2:28" x14ac:dyDescent="0.25">
      <c r="B726" s="2" t="s">
        <v>189</v>
      </c>
      <c r="C726" s="2" t="s">
        <v>30</v>
      </c>
      <c r="D726" s="2" t="s">
        <v>151</v>
      </c>
      <c r="E726" s="2" t="s">
        <v>93</v>
      </c>
      <c r="F726" s="2" t="s">
        <v>26</v>
      </c>
      <c r="G726" s="2" t="s">
        <v>190</v>
      </c>
      <c r="I726">
        <f>HEX2DEC(_0811_173439[[#This Row],[580C]])*B$4/B$5+B$6</f>
        <v>760</v>
      </c>
      <c r="J726">
        <f>HEX2DEC(_0811_173439[[#This Row],[4402]])*C$4/C$5+C$6</f>
        <v>36</v>
      </c>
      <c r="K726">
        <f>HEX2DEC(_0811_173439[[#This Row],[580F]])*D$4/D$5+D$6</f>
        <v>30</v>
      </c>
      <c r="L726">
        <f>ROUND(HEX2DEC(_0811_173439[[#This Row],[58F0]])*E$4/E$5+E$6,0)</f>
        <v>70</v>
      </c>
      <c r="M726">
        <f>ROUND(HEX2DEC(_0811_173439[[#This Row],[5805]])*F$4/F$5+F$6,0)</f>
        <v>42</v>
      </c>
      <c r="N726">
        <f>ROUND(HEX2DEC(_0811_173439[[#This Row],[58DD]])*G$4/G$5+G$6,2)</f>
        <v>-0.03</v>
      </c>
      <c r="P726">
        <v>760</v>
      </c>
      <c r="Q726">
        <v>36</v>
      </c>
      <c r="R726">
        <v>30</v>
      </c>
      <c r="S726">
        <v>70</v>
      </c>
      <c r="T726">
        <v>42</v>
      </c>
      <c r="U726">
        <v>-0.03</v>
      </c>
      <c r="W726">
        <f>DataLog_T717420_Aug11_4_59_37pm[[#This Row],[RPM '[1/MIN']]]-Table3[[#This Row],[580C]]</f>
        <v>0</v>
      </c>
      <c r="X726">
        <f>DataLog_T717420_Aug11_4_59_37pm[[#This Row],[OIL TEMP '[Â°C']]]-Table3[[#This Row],[4402]]</f>
        <v>0</v>
      </c>
      <c r="Y726">
        <f>DataLog_T717420_Aug11_4_59_37pm[[#This Row],[INTAKE TEMP '[Â°C']]]-Table3[[#This Row],[580F]]</f>
        <v>0</v>
      </c>
      <c r="Z726">
        <f>DataLog_T717420_Aug11_4_59_37pm[[#This Row],[HPFP PRES. '[BAR']]]-Table3[[#This Row],[58F0]]</f>
        <v>0</v>
      </c>
      <c r="AA726">
        <f>DataLog_T717420_Aug11_4_59_37pm[[#This Row],[COOLANT TEMP '[Â°C']]]-Table3[[#This Row],[5805]]</f>
        <v>0</v>
      </c>
      <c r="AB726">
        <f>DataLog_T717420_Aug11_4_59_37pm[[#This Row],[BOOST '[BAR']]]-Table3[[#This Row],[58DD]]</f>
        <v>0</v>
      </c>
    </row>
    <row r="727" spans="2:28" x14ac:dyDescent="0.25">
      <c r="B727" s="2" t="s">
        <v>189</v>
      </c>
      <c r="C727" s="2" t="s">
        <v>30</v>
      </c>
      <c r="D727" s="2" t="s">
        <v>151</v>
      </c>
      <c r="E727" s="2" t="s">
        <v>93</v>
      </c>
      <c r="F727" s="2" t="s">
        <v>26</v>
      </c>
      <c r="G727" s="2" t="s">
        <v>71</v>
      </c>
      <c r="I727">
        <f>HEX2DEC(_0811_173439[[#This Row],[580C]])*B$4/B$5+B$6</f>
        <v>760</v>
      </c>
      <c r="J727">
        <f>HEX2DEC(_0811_173439[[#This Row],[4402]])*C$4/C$5+C$6</f>
        <v>36</v>
      </c>
      <c r="K727">
        <f>HEX2DEC(_0811_173439[[#This Row],[580F]])*D$4/D$5+D$6</f>
        <v>30</v>
      </c>
      <c r="L727">
        <f>ROUND(HEX2DEC(_0811_173439[[#This Row],[58F0]])*E$4/E$5+E$6,0)</f>
        <v>70</v>
      </c>
      <c r="M727">
        <f>ROUND(HEX2DEC(_0811_173439[[#This Row],[5805]])*F$4/F$5+F$6,0)</f>
        <v>42</v>
      </c>
      <c r="N727">
        <f>ROUND(HEX2DEC(_0811_173439[[#This Row],[58DD]])*G$4/G$5+G$6,2)</f>
        <v>-0.03</v>
      </c>
      <c r="P727">
        <v>760</v>
      </c>
      <c r="Q727">
        <v>36</v>
      </c>
      <c r="R727">
        <v>30</v>
      </c>
      <c r="S727">
        <v>70</v>
      </c>
      <c r="T727">
        <v>42</v>
      </c>
      <c r="U727">
        <v>-0.03</v>
      </c>
      <c r="W727">
        <f>DataLog_T717420_Aug11_4_59_37pm[[#This Row],[RPM '[1/MIN']]]-Table3[[#This Row],[580C]]</f>
        <v>0</v>
      </c>
      <c r="X727">
        <f>DataLog_T717420_Aug11_4_59_37pm[[#This Row],[OIL TEMP '[Â°C']]]-Table3[[#This Row],[4402]]</f>
        <v>0</v>
      </c>
      <c r="Y727">
        <f>DataLog_T717420_Aug11_4_59_37pm[[#This Row],[INTAKE TEMP '[Â°C']]]-Table3[[#This Row],[580F]]</f>
        <v>0</v>
      </c>
      <c r="Z727">
        <f>DataLog_T717420_Aug11_4_59_37pm[[#This Row],[HPFP PRES. '[BAR']]]-Table3[[#This Row],[58F0]]</f>
        <v>0</v>
      </c>
      <c r="AA727">
        <f>DataLog_T717420_Aug11_4_59_37pm[[#This Row],[COOLANT TEMP '[Â°C']]]-Table3[[#This Row],[5805]]</f>
        <v>0</v>
      </c>
      <c r="AB727">
        <f>DataLog_T717420_Aug11_4_59_37pm[[#This Row],[BOOST '[BAR']]]-Table3[[#This Row],[58DD]]</f>
        <v>0</v>
      </c>
    </row>
    <row r="728" spans="2:28" x14ac:dyDescent="0.25">
      <c r="B728" s="2" t="s">
        <v>183</v>
      </c>
      <c r="C728" s="2" t="s">
        <v>30</v>
      </c>
      <c r="D728" s="2" t="s">
        <v>151</v>
      </c>
      <c r="E728" s="2" t="s">
        <v>125</v>
      </c>
      <c r="F728" s="2" t="s">
        <v>26</v>
      </c>
      <c r="G728" s="2" t="s">
        <v>96</v>
      </c>
      <c r="I728">
        <f>HEX2DEC(_0811_173439[[#This Row],[580C]])*B$4/B$5+B$6</f>
        <v>800</v>
      </c>
      <c r="J728">
        <f>HEX2DEC(_0811_173439[[#This Row],[4402]])*C$4/C$5+C$6</f>
        <v>36</v>
      </c>
      <c r="K728">
        <f>HEX2DEC(_0811_173439[[#This Row],[580F]])*D$4/D$5+D$6</f>
        <v>30</v>
      </c>
      <c r="L728">
        <f>ROUND(HEX2DEC(_0811_173439[[#This Row],[58F0]])*E$4/E$5+E$6,0)</f>
        <v>70</v>
      </c>
      <c r="M728">
        <f>ROUND(HEX2DEC(_0811_173439[[#This Row],[5805]])*F$4/F$5+F$6,0)</f>
        <v>42</v>
      </c>
      <c r="N728">
        <f>ROUND(HEX2DEC(_0811_173439[[#This Row],[58DD]])*G$4/G$5+G$6,2)</f>
        <v>-0.03</v>
      </c>
      <c r="P728">
        <v>800</v>
      </c>
      <c r="Q728">
        <v>36</v>
      </c>
      <c r="R728">
        <v>30</v>
      </c>
      <c r="S728">
        <v>70</v>
      </c>
      <c r="T728">
        <v>42</v>
      </c>
      <c r="U728">
        <v>-0.03</v>
      </c>
      <c r="W728">
        <f>DataLog_T717420_Aug11_4_59_37pm[[#This Row],[RPM '[1/MIN']]]-Table3[[#This Row],[580C]]</f>
        <v>0</v>
      </c>
      <c r="X728">
        <f>DataLog_T717420_Aug11_4_59_37pm[[#This Row],[OIL TEMP '[Â°C']]]-Table3[[#This Row],[4402]]</f>
        <v>0</v>
      </c>
      <c r="Y728">
        <f>DataLog_T717420_Aug11_4_59_37pm[[#This Row],[INTAKE TEMP '[Â°C']]]-Table3[[#This Row],[580F]]</f>
        <v>0</v>
      </c>
      <c r="Z728">
        <f>DataLog_T717420_Aug11_4_59_37pm[[#This Row],[HPFP PRES. '[BAR']]]-Table3[[#This Row],[58F0]]</f>
        <v>0</v>
      </c>
      <c r="AA728">
        <f>DataLog_T717420_Aug11_4_59_37pm[[#This Row],[COOLANT TEMP '[Â°C']]]-Table3[[#This Row],[5805]]</f>
        <v>0</v>
      </c>
      <c r="AB728">
        <f>DataLog_T717420_Aug11_4_59_37pm[[#This Row],[BOOST '[BAR']]]-Table3[[#This Row],[58DD]]</f>
        <v>0</v>
      </c>
    </row>
    <row r="729" spans="2:28" x14ac:dyDescent="0.25">
      <c r="B729" s="2" t="s">
        <v>183</v>
      </c>
      <c r="C729" s="2" t="s">
        <v>30</v>
      </c>
      <c r="D729" s="2" t="s">
        <v>151</v>
      </c>
      <c r="E729" s="2" t="s">
        <v>127</v>
      </c>
      <c r="F729" s="2" t="s">
        <v>26</v>
      </c>
      <c r="G729" s="2" t="s">
        <v>236</v>
      </c>
      <c r="I729">
        <f>HEX2DEC(_0811_173439[[#This Row],[580C]])*B$4/B$5+B$6</f>
        <v>800</v>
      </c>
      <c r="J729">
        <f>HEX2DEC(_0811_173439[[#This Row],[4402]])*C$4/C$5+C$6</f>
        <v>36</v>
      </c>
      <c r="K729">
        <f>HEX2DEC(_0811_173439[[#This Row],[580F]])*D$4/D$5+D$6</f>
        <v>30</v>
      </c>
      <c r="L729">
        <f>ROUND(HEX2DEC(_0811_173439[[#This Row],[58F0]])*E$4/E$5+E$6,0)</f>
        <v>70</v>
      </c>
      <c r="M729">
        <f>ROUND(HEX2DEC(_0811_173439[[#This Row],[5805]])*F$4/F$5+F$6,0)</f>
        <v>42</v>
      </c>
      <c r="N729">
        <f>ROUND(HEX2DEC(_0811_173439[[#This Row],[58DD]])*G$4/G$5+G$6,2)</f>
        <v>-0.03</v>
      </c>
      <c r="P729">
        <v>800</v>
      </c>
      <c r="Q729">
        <v>36</v>
      </c>
      <c r="R729">
        <v>30</v>
      </c>
      <c r="S729">
        <v>70</v>
      </c>
      <c r="T729">
        <v>42</v>
      </c>
      <c r="U729">
        <v>-0.03</v>
      </c>
      <c r="W729">
        <f>DataLog_T717420_Aug11_4_59_37pm[[#This Row],[RPM '[1/MIN']]]-Table3[[#This Row],[580C]]</f>
        <v>0</v>
      </c>
      <c r="X729">
        <f>DataLog_T717420_Aug11_4_59_37pm[[#This Row],[OIL TEMP '[Â°C']]]-Table3[[#This Row],[4402]]</f>
        <v>0</v>
      </c>
      <c r="Y729">
        <f>DataLog_T717420_Aug11_4_59_37pm[[#This Row],[INTAKE TEMP '[Â°C']]]-Table3[[#This Row],[580F]]</f>
        <v>0</v>
      </c>
      <c r="Z729">
        <f>DataLog_T717420_Aug11_4_59_37pm[[#This Row],[HPFP PRES. '[BAR']]]-Table3[[#This Row],[58F0]]</f>
        <v>0</v>
      </c>
      <c r="AA729">
        <f>DataLog_T717420_Aug11_4_59_37pm[[#This Row],[COOLANT TEMP '[Â°C']]]-Table3[[#This Row],[5805]]</f>
        <v>0</v>
      </c>
      <c r="AB729">
        <f>DataLog_T717420_Aug11_4_59_37pm[[#This Row],[BOOST '[BAR']]]-Table3[[#This Row],[58DD]]</f>
        <v>0</v>
      </c>
    </row>
    <row r="730" spans="2:28" x14ac:dyDescent="0.25">
      <c r="B730" s="2" t="s">
        <v>183</v>
      </c>
      <c r="C730" s="2" t="s">
        <v>30</v>
      </c>
      <c r="D730" s="2" t="s">
        <v>151</v>
      </c>
      <c r="E730" s="2" t="s">
        <v>93</v>
      </c>
      <c r="F730" s="2" t="s">
        <v>26</v>
      </c>
      <c r="G730" s="2" t="s">
        <v>245</v>
      </c>
      <c r="I730">
        <f>HEX2DEC(_0811_173439[[#This Row],[580C]])*B$4/B$5+B$6</f>
        <v>800</v>
      </c>
      <c r="J730">
        <f>HEX2DEC(_0811_173439[[#This Row],[4402]])*C$4/C$5+C$6</f>
        <v>36</v>
      </c>
      <c r="K730">
        <f>HEX2DEC(_0811_173439[[#This Row],[580F]])*D$4/D$5+D$6</f>
        <v>30</v>
      </c>
      <c r="L730">
        <f>ROUND(HEX2DEC(_0811_173439[[#This Row],[58F0]])*E$4/E$5+E$6,0)</f>
        <v>70</v>
      </c>
      <c r="M730">
        <f>ROUND(HEX2DEC(_0811_173439[[#This Row],[5805]])*F$4/F$5+F$6,0)</f>
        <v>42</v>
      </c>
      <c r="N730">
        <f>ROUND(HEX2DEC(_0811_173439[[#This Row],[58DD]])*G$4/G$5+G$6,2)</f>
        <v>-0.03</v>
      </c>
      <c r="P730">
        <v>800</v>
      </c>
      <c r="Q730">
        <v>36</v>
      </c>
      <c r="R730">
        <v>30</v>
      </c>
      <c r="S730">
        <v>70</v>
      </c>
      <c r="T730">
        <v>42</v>
      </c>
      <c r="U730">
        <v>-0.03</v>
      </c>
      <c r="W730">
        <f>DataLog_T717420_Aug11_4_59_37pm[[#This Row],[RPM '[1/MIN']]]-Table3[[#This Row],[580C]]</f>
        <v>0</v>
      </c>
      <c r="X730">
        <f>DataLog_T717420_Aug11_4_59_37pm[[#This Row],[OIL TEMP '[Â°C']]]-Table3[[#This Row],[4402]]</f>
        <v>0</v>
      </c>
      <c r="Y730">
        <f>DataLog_T717420_Aug11_4_59_37pm[[#This Row],[INTAKE TEMP '[Â°C']]]-Table3[[#This Row],[580F]]</f>
        <v>0</v>
      </c>
      <c r="Z730">
        <f>DataLog_T717420_Aug11_4_59_37pm[[#This Row],[HPFP PRES. '[BAR']]]-Table3[[#This Row],[58F0]]</f>
        <v>0</v>
      </c>
      <c r="AA730">
        <f>DataLog_T717420_Aug11_4_59_37pm[[#This Row],[COOLANT TEMP '[Â°C']]]-Table3[[#This Row],[5805]]</f>
        <v>0</v>
      </c>
      <c r="AB730">
        <f>DataLog_T717420_Aug11_4_59_37pm[[#This Row],[BOOST '[BAR']]]-Table3[[#This Row],[58DD]]</f>
        <v>0</v>
      </c>
    </row>
    <row r="731" spans="2:28" x14ac:dyDescent="0.25">
      <c r="B731" s="2" t="s">
        <v>183</v>
      </c>
      <c r="C731" s="2" t="s">
        <v>30</v>
      </c>
      <c r="D731" s="2" t="s">
        <v>151</v>
      </c>
      <c r="E731" s="2" t="s">
        <v>150</v>
      </c>
      <c r="F731" s="2" t="s">
        <v>26</v>
      </c>
      <c r="G731" s="2" t="s">
        <v>96</v>
      </c>
      <c r="I731">
        <f>HEX2DEC(_0811_173439[[#This Row],[580C]])*B$4/B$5+B$6</f>
        <v>800</v>
      </c>
      <c r="J731">
        <f>HEX2DEC(_0811_173439[[#This Row],[4402]])*C$4/C$5+C$6</f>
        <v>36</v>
      </c>
      <c r="K731">
        <f>HEX2DEC(_0811_173439[[#This Row],[580F]])*D$4/D$5+D$6</f>
        <v>30</v>
      </c>
      <c r="L731">
        <f>ROUND(HEX2DEC(_0811_173439[[#This Row],[58F0]])*E$4/E$5+E$6,0)</f>
        <v>70</v>
      </c>
      <c r="M731">
        <f>ROUND(HEX2DEC(_0811_173439[[#This Row],[5805]])*F$4/F$5+F$6,0)</f>
        <v>42</v>
      </c>
      <c r="N731">
        <f>ROUND(HEX2DEC(_0811_173439[[#This Row],[58DD]])*G$4/G$5+G$6,2)</f>
        <v>-0.03</v>
      </c>
      <c r="P731">
        <v>800</v>
      </c>
      <c r="Q731">
        <v>36</v>
      </c>
      <c r="R731">
        <v>30</v>
      </c>
      <c r="S731">
        <v>70</v>
      </c>
      <c r="T731">
        <v>42</v>
      </c>
      <c r="U731">
        <v>-0.03</v>
      </c>
      <c r="W731">
        <f>DataLog_T717420_Aug11_4_59_37pm[[#This Row],[RPM '[1/MIN']]]-Table3[[#This Row],[580C]]</f>
        <v>0</v>
      </c>
      <c r="X731">
        <f>DataLog_T717420_Aug11_4_59_37pm[[#This Row],[OIL TEMP '[Â°C']]]-Table3[[#This Row],[4402]]</f>
        <v>0</v>
      </c>
      <c r="Y731">
        <f>DataLog_T717420_Aug11_4_59_37pm[[#This Row],[INTAKE TEMP '[Â°C']]]-Table3[[#This Row],[580F]]</f>
        <v>0</v>
      </c>
      <c r="Z731">
        <f>DataLog_T717420_Aug11_4_59_37pm[[#This Row],[HPFP PRES. '[BAR']]]-Table3[[#This Row],[58F0]]</f>
        <v>0</v>
      </c>
      <c r="AA731">
        <f>DataLog_T717420_Aug11_4_59_37pm[[#This Row],[COOLANT TEMP '[Â°C']]]-Table3[[#This Row],[5805]]</f>
        <v>0</v>
      </c>
      <c r="AB731">
        <f>DataLog_T717420_Aug11_4_59_37pm[[#This Row],[BOOST '[BAR']]]-Table3[[#This Row],[58DD]]</f>
        <v>0</v>
      </c>
    </row>
    <row r="732" spans="2:28" x14ac:dyDescent="0.25">
      <c r="B732" s="2" t="s">
        <v>183</v>
      </c>
      <c r="C732" s="2" t="s">
        <v>30</v>
      </c>
      <c r="D732" s="2" t="s">
        <v>151</v>
      </c>
      <c r="E732" s="2" t="s">
        <v>127</v>
      </c>
      <c r="F732" s="2" t="s">
        <v>26</v>
      </c>
      <c r="G732" s="2" t="s">
        <v>216</v>
      </c>
      <c r="I732">
        <f>HEX2DEC(_0811_173439[[#This Row],[580C]])*B$4/B$5+B$6</f>
        <v>800</v>
      </c>
      <c r="J732">
        <f>HEX2DEC(_0811_173439[[#This Row],[4402]])*C$4/C$5+C$6</f>
        <v>36</v>
      </c>
      <c r="K732">
        <f>HEX2DEC(_0811_173439[[#This Row],[580F]])*D$4/D$5+D$6</f>
        <v>30</v>
      </c>
      <c r="L732">
        <f>ROUND(HEX2DEC(_0811_173439[[#This Row],[58F0]])*E$4/E$5+E$6,0)</f>
        <v>70</v>
      </c>
      <c r="M732">
        <f>ROUND(HEX2DEC(_0811_173439[[#This Row],[5805]])*F$4/F$5+F$6,0)</f>
        <v>42</v>
      </c>
      <c r="N732">
        <f>ROUND(HEX2DEC(_0811_173439[[#This Row],[58DD]])*G$4/G$5+G$6,2)</f>
        <v>-0.03</v>
      </c>
      <c r="P732">
        <v>800</v>
      </c>
      <c r="Q732">
        <v>36</v>
      </c>
      <c r="R732">
        <v>30</v>
      </c>
      <c r="S732">
        <v>70</v>
      </c>
      <c r="T732">
        <v>42</v>
      </c>
      <c r="U732">
        <v>-0.03</v>
      </c>
      <c r="W732">
        <f>DataLog_T717420_Aug11_4_59_37pm[[#This Row],[RPM '[1/MIN']]]-Table3[[#This Row],[580C]]</f>
        <v>0</v>
      </c>
      <c r="X732">
        <f>DataLog_T717420_Aug11_4_59_37pm[[#This Row],[OIL TEMP '[Â°C']]]-Table3[[#This Row],[4402]]</f>
        <v>0</v>
      </c>
      <c r="Y732">
        <f>DataLog_T717420_Aug11_4_59_37pm[[#This Row],[INTAKE TEMP '[Â°C']]]-Table3[[#This Row],[580F]]</f>
        <v>0</v>
      </c>
      <c r="Z732">
        <f>DataLog_T717420_Aug11_4_59_37pm[[#This Row],[HPFP PRES. '[BAR']]]-Table3[[#This Row],[58F0]]</f>
        <v>0</v>
      </c>
      <c r="AA732">
        <f>DataLog_T717420_Aug11_4_59_37pm[[#This Row],[COOLANT TEMP '[Â°C']]]-Table3[[#This Row],[5805]]</f>
        <v>0</v>
      </c>
      <c r="AB732">
        <f>DataLog_T717420_Aug11_4_59_37pm[[#This Row],[BOOST '[BAR']]]-Table3[[#This Row],[58DD]]</f>
        <v>0</v>
      </c>
    </row>
    <row r="733" spans="2:28" x14ac:dyDescent="0.25">
      <c r="B733" s="2" t="s">
        <v>183</v>
      </c>
      <c r="C733" s="2" t="s">
        <v>30</v>
      </c>
      <c r="D733" s="2" t="s">
        <v>151</v>
      </c>
      <c r="E733" s="2" t="s">
        <v>93</v>
      </c>
      <c r="F733" s="2" t="s">
        <v>26</v>
      </c>
      <c r="G733" s="2" t="s">
        <v>191</v>
      </c>
      <c r="I733">
        <f>HEX2DEC(_0811_173439[[#This Row],[580C]])*B$4/B$5+B$6</f>
        <v>800</v>
      </c>
      <c r="J733">
        <f>HEX2DEC(_0811_173439[[#This Row],[4402]])*C$4/C$5+C$6</f>
        <v>36</v>
      </c>
      <c r="K733">
        <f>HEX2DEC(_0811_173439[[#This Row],[580F]])*D$4/D$5+D$6</f>
        <v>30</v>
      </c>
      <c r="L733">
        <f>ROUND(HEX2DEC(_0811_173439[[#This Row],[58F0]])*E$4/E$5+E$6,0)</f>
        <v>70</v>
      </c>
      <c r="M733">
        <f>ROUND(HEX2DEC(_0811_173439[[#This Row],[5805]])*F$4/F$5+F$6,0)</f>
        <v>42</v>
      </c>
      <c r="N733">
        <f>ROUND(HEX2DEC(_0811_173439[[#This Row],[58DD]])*G$4/G$5+G$6,2)</f>
        <v>-0.03</v>
      </c>
      <c r="P733">
        <v>800</v>
      </c>
      <c r="Q733">
        <v>36</v>
      </c>
      <c r="R733">
        <v>30</v>
      </c>
      <c r="S733">
        <v>70</v>
      </c>
      <c r="T733">
        <v>42</v>
      </c>
      <c r="U733">
        <v>-0.03</v>
      </c>
      <c r="W733">
        <f>DataLog_T717420_Aug11_4_59_37pm[[#This Row],[RPM '[1/MIN']]]-Table3[[#This Row],[580C]]</f>
        <v>0</v>
      </c>
      <c r="X733">
        <f>DataLog_T717420_Aug11_4_59_37pm[[#This Row],[OIL TEMP '[Â°C']]]-Table3[[#This Row],[4402]]</f>
        <v>0</v>
      </c>
      <c r="Y733">
        <f>DataLog_T717420_Aug11_4_59_37pm[[#This Row],[INTAKE TEMP '[Â°C']]]-Table3[[#This Row],[580F]]</f>
        <v>0</v>
      </c>
      <c r="Z733">
        <f>DataLog_T717420_Aug11_4_59_37pm[[#This Row],[HPFP PRES. '[BAR']]]-Table3[[#This Row],[58F0]]</f>
        <v>0</v>
      </c>
      <c r="AA733">
        <f>DataLog_T717420_Aug11_4_59_37pm[[#This Row],[COOLANT TEMP '[Â°C']]]-Table3[[#This Row],[5805]]</f>
        <v>0</v>
      </c>
      <c r="AB733">
        <f>DataLog_T717420_Aug11_4_59_37pm[[#This Row],[BOOST '[BAR']]]-Table3[[#This Row],[58DD]]</f>
        <v>0</v>
      </c>
    </row>
    <row r="734" spans="2:28" x14ac:dyDescent="0.25">
      <c r="B734" s="2" t="s">
        <v>183</v>
      </c>
      <c r="C734" s="2" t="s">
        <v>30</v>
      </c>
      <c r="D734" s="2" t="s">
        <v>151</v>
      </c>
      <c r="E734" s="2" t="s">
        <v>150</v>
      </c>
      <c r="F734" s="2" t="s">
        <v>26</v>
      </c>
      <c r="G734" s="2" t="s">
        <v>216</v>
      </c>
      <c r="I734">
        <f>HEX2DEC(_0811_173439[[#This Row],[580C]])*B$4/B$5+B$6</f>
        <v>800</v>
      </c>
      <c r="J734">
        <f>HEX2DEC(_0811_173439[[#This Row],[4402]])*C$4/C$5+C$6</f>
        <v>36</v>
      </c>
      <c r="K734">
        <f>HEX2DEC(_0811_173439[[#This Row],[580F]])*D$4/D$5+D$6</f>
        <v>30</v>
      </c>
      <c r="L734">
        <f>ROUND(HEX2DEC(_0811_173439[[#This Row],[58F0]])*E$4/E$5+E$6,0)</f>
        <v>70</v>
      </c>
      <c r="M734">
        <f>ROUND(HEX2DEC(_0811_173439[[#This Row],[5805]])*F$4/F$5+F$6,0)</f>
        <v>42</v>
      </c>
      <c r="N734">
        <f>ROUND(HEX2DEC(_0811_173439[[#This Row],[58DD]])*G$4/G$5+G$6,2)</f>
        <v>-0.03</v>
      </c>
      <c r="P734">
        <v>800</v>
      </c>
      <c r="Q734">
        <v>36</v>
      </c>
      <c r="R734">
        <v>30</v>
      </c>
      <c r="S734">
        <v>70</v>
      </c>
      <c r="T734">
        <v>42</v>
      </c>
      <c r="U734">
        <v>-0.03</v>
      </c>
      <c r="W734">
        <f>DataLog_T717420_Aug11_4_59_37pm[[#This Row],[RPM '[1/MIN']]]-Table3[[#This Row],[580C]]</f>
        <v>0</v>
      </c>
      <c r="X734">
        <f>DataLog_T717420_Aug11_4_59_37pm[[#This Row],[OIL TEMP '[Â°C']]]-Table3[[#This Row],[4402]]</f>
        <v>0</v>
      </c>
      <c r="Y734">
        <f>DataLog_T717420_Aug11_4_59_37pm[[#This Row],[INTAKE TEMP '[Â°C']]]-Table3[[#This Row],[580F]]</f>
        <v>0</v>
      </c>
      <c r="Z734">
        <f>DataLog_T717420_Aug11_4_59_37pm[[#This Row],[HPFP PRES. '[BAR']]]-Table3[[#This Row],[58F0]]</f>
        <v>0</v>
      </c>
      <c r="AA734">
        <f>DataLog_T717420_Aug11_4_59_37pm[[#This Row],[COOLANT TEMP '[Â°C']]]-Table3[[#This Row],[5805]]</f>
        <v>0</v>
      </c>
      <c r="AB734">
        <f>DataLog_T717420_Aug11_4_59_37pm[[#This Row],[BOOST '[BAR']]]-Table3[[#This Row],[58DD]]</f>
        <v>0</v>
      </c>
    </row>
    <row r="735" spans="2:28" x14ac:dyDescent="0.25">
      <c r="B735" s="2" t="s">
        <v>183</v>
      </c>
      <c r="C735" s="2" t="s">
        <v>30</v>
      </c>
      <c r="D735" s="2" t="s">
        <v>151</v>
      </c>
      <c r="E735" s="2" t="s">
        <v>127</v>
      </c>
      <c r="F735" s="2" t="s">
        <v>26</v>
      </c>
      <c r="G735" s="2" t="s">
        <v>96</v>
      </c>
      <c r="I735">
        <f>HEX2DEC(_0811_173439[[#This Row],[580C]])*B$4/B$5+B$6</f>
        <v>800</v>
      </c>
      <c r="J735">
        <f>HEX2DEC(_0811_173439[[#This Row],[4402]])*C$4/C$5+C$6</f>
        <v>36</v>
      </c>
      <c r="K735">
        <f>HEX2DEC(_0811_173439[[#This Row],[580F]])*D$4/D$5+D$6</f>
        <v>30</v>
      </c>
      <c r="L735">
        <f>ROUND(HEX2DEC(_0811_173439[[#This Row],[58F0]])*E$4/E$5+E$6,0)</f>
        <v>70</v>
      </c>
      <c r="M735">
        <f>ROUND(HEX2DEC(_0811_173439[[#This Row],[5805]])*F$4/F$5+F$6,0)</f>
        <v>42</v>
      </c>
      <c r="N735">
        <f>ROUND(HEX2DEC(_0811_173439[[#This Row],[58DD]])*G$4/G$5+G$6,2)</f>
        <v>-0.03</v>
      </c>
      <c r="P735">
        <v>800</v>
      </c>
      <c r="Q735">
        <v>36</v>
      </c>
      <c r="R735">
        <v>30</v>
      </c>
      <c r="S735">
        <v>70</v>
      </c>
      <c r="T735">
        <v>42</v>
      </c>
      <c r="U735">
        <v>-0.03</v>
      </c>
      <c r="W735">
        <f>DataLog_T717420_Aug11_4_59_37pm[[#This Row],[RPM '[1/MIN']]]-Table3[[#This Row],[580C]]</f>
        <v>0</v>
      </c>
      <c r="X735">
        <f>DataLog_T717420_Aug11_4_59_37pm[[#This Row],[OIL TEMP '[Â°C']]]-Table3[[#This Row],[4402]]</f>
        <v>0</v>
      </c>
      <c r="Y735">
        <f>DataLog_T717420_Aug11_4_59_37pm[[#This Row],[INTAKE TEMP '[Â°C']]]-Table3[[#This Row],[580F]]</f>
        <v>0</v>
      </c>
      <c r="Z735">
        <f>DataLog_T717420_Aug11_4_59_37pm[[#This Row],[HPFP PRES. '[BAR']]]-Table3[[#This Row],[58F0]]</f>
        <v>0</v>
      </c>
      <c r="AA735">
        <f>DataLog_T717420_Aug11_4_59_37pm[[#This Row],[COOLANT TEMP '[Â°C']]]-Table3[[#This Row],[5805]]</f>
        <v>0</v>
      </c>
      <c r="AB735">
        <f>DataLog_T717420_Aug11_4_59_37pm[[#This Row],[BOOST '[BAR']]]-Table3[[#This Row],[58DD]]</f>
        <v>0</v>
      </c>
    </row>
    <row r="736" spans="2:28" x14ac:dyDescent="0.25">
      <c r="B736" s="2" t="s">
        <v>183</v>
      </c>
      <c r="C736" s="2" t="s">
        <v>30</v>
      </c>
      <c r="D736" s="2" t="s">
        <v>151</v>
      </c>
      <c r="E736" s="2" t="s">
        <v>93</v>
      </c>
      <c r="F736" s="2" t="s">
        <v>26</v>
      </c>
      <c r="G736" s="2" t="s">
        <v>190</v>
      </c>
      <c r="I736">
        <f>HEX2DEC(_0811_173439[[#This Row],[580C]])*B$4/B$5+B$6</f>
        <v>800</v>
      </c>
      <c r="J736">
        <f>HEX2DEC(_0811_173439[[#This Row],[4402]])*C$4/C$5+C$6</f>
        <v>36</v>
      </c>
      <c r="K736">
        <f>HEX2DEC(_0811_173439[[#This Row],[580F]])*D$4/D$5+D$6</f>
        <v>30</v>
      </c>
      <c r="L736">
        <f>ROUND(HEX2DEC(_0811_173439[[#This Row],[58F0]])*E$4/E$5+E$6,0)</f>
        <v>70</v>
      </c>
      <c r="M736">
        <f>ROUND(HEX2DEC(_0811_173439[[#This Row],[5805]])*F$4/F$5+F$6,0)</f>
        <v>42</v>
      </c>
      <c r="N736">
        <f>ROUND(HEX2DEC(_0811_173439[[#This Row],[58DD]])*G$4/G$5+G$6,2)</f>
        <v>-0.03</v>
      </c>
      <c r="P736">
        <v>800</v>
      </c>
      <c r="Q736">
        <v>36</v>
      </c>
      <c r="R736">
        <v>30</v>
      </c>
      <c r="S736">
        <v>70</v>
      </c>
      <c r="T736">
        <v>42</v>
      </c>
      <c r="U736">
        <v>-0.03</v>
      </c>
      <c r="W736">
        <f>DataLog_T717420_Aug11_4_59_37pm[[#This Row],[RPM '[1/MIN']]]-Table3[[#This Row],[580C]]</f>
        <v>0</v>
      </c>
      <c r="X736">
        <f>DataLog_T717420_Aug11_4_59_37pm[[#This Row],[OIL TEMP '[Â°C']]]-Table3[[#This Row],[4402]]</f>
        <v>0</v>
      </c>
      <c r="Y736">
        <f>DataLog_T717420_Aug11_4_59_37pm[[#This Row],[INTAKE TEMP '[Â°C']]]-Table3[[#This Row],[580F]]</f>
        <v>0</v>
      </c>
      <c r="Z736">
        <f>DataLog_T717420_Aug11_4_59_37pm[[#This Row],[HPFP PRES. '[BAR']]]-Table3[[#This Row],[58F0]]</f>
        <v>0</v>
      </c>
      <c r="AA736">
        <f>DataLog_T717420_Aug11_4_59_37pm[[#This Row],[COOLANT TEMP '[Â°C']]]-Table3[[#This Row],[5805]]</f>
        <v>0</v>
      </c>
      <c r="AB736">
        <f>DataLog_T717420_Aug11_4_59_37pm[[#This Row],[BOOST '[BAR']]]-Table3[[#This Row],[58DD]]</f>
        <v>0</v>
      </c>
    </row>
    <row r="737" spans="2:28" x14ac:dyDescent="0.25">
      <c r="B737" s="2" t="s">
        <v>183</v>
      </c>
      <c r="C737" s="2" t="s">
        <v>30</v>
      </c>
      <c r="D737" s="2" t="s">
        <v>151</v>
      </c>
      <c r="E737" s="2" t="s">
        <v>125</v>
      </c>
      <c r="F737" s="2" t="s">
        <v>26</v>
      </c>
      <c r="G737" s="2" t="s">
        <v>190</v>
      </c>
      <c r="I737">
        <f>HEX2DEC(_0811_173439[[#This Row],[580C]])*B$4/B$5+B$6</f>
        <v>800</v>
      </c>
      <c r="J737">
        <f>HEX2DEC(_0811_173439[[#This Row],[4402]])*C$4/C$5+C$6</f>
        <v>36</v>
      </c>
      <c r="K737">
        <f>HEX2DEC(_0811_173439[[#This Row],[580F]])*D$4/D$5+D$6</f>
        <v>30</v>
      </c>
      <c r="L737">
        <f>ROUND(HEX2DEC(_0811_173439[[#This Row],[58F0]])*E$4/E$5+E$6,0)</f>
        <v>70</v>
      </c>
      <c r="M737">
        <f>ROUND(HEX2DEC(_0811_173439[[#This Row],[5805]])*F$4/F$5+F$6,0)</f>
        <v>42</v>
      </c>
      <c r="N737">
        <f>ROUND(HEX2DEC(_0811_173439[[#This Row],[58DD]])*G$4/G$5+G$6,2)</f>
        <v>-0.03</v>
      </c>
      <c r="P737">
        <v>800</v>
      </c>
      <c r="Q737">
        <v>36</v>
      </c>
      <c r="R737">
        <v>30</v>
      </c>
      <c r="S737">
        <v>70</v>
      </c>
      <c r="T737">
        <v>42</v>
      </c>
      <c r="U737">
        <v>-0.03</v>
      </c>
      <c r="W737">
        <f>DataLog_T717420_Aug11_4_59_37pm[[#This Row],[RPM '[1/MIN']]]-Table3[[#This Row],[580C]]</f>
        <v>0</v>
      </c>
      <c r="X737">
        <f>DataLog_T717420_Aug11_4_59_37pm[[#This Row],[OIL TEMP '[Â°C']]]-Table3[[#This Row],[4402]]</f>
        <v>0</v>
      </c>
      <c r="Y737">
        <f>DataLog_T717420_Aug11_4_59_37pm[[#This Row],[INTAKE TEMP '[Â°C']]]-Table3[[#This Row],[580F]]</f>
        <v>0</v>
      </c>
      <c r="Z737">
        <f>DataLog_T717420_Aug11_4_59_37pm[[#This Row],[HPFP PRES. '[BAR']]]-Table3[[#This Row],[58F0]]</f>
        <v>0</v>
      </c>
      <c r="AA737">
        <f>DataLog_T717420_Aug11_4_59_37pm[[#This Row],[COOLANT TEMP '[Â°C']]]-Table3[[#This Row],[5805]]</f>
        <v>0</v>
      </c>
      <c r="AB737">
        <f>DataLog_T717420_Aug11_4_59_37pm[[#This Row],[BOOST '[BAR']]]-Table3[[#This Row],[58DD]]</f>
        <v>0</v>
      </c>
    </row>
    <row r="738" spans="2:28" x14ac:dyDescent="0.25">
      <c r="B738" s="2" t="s">
        <v>183</v>
      </c>
      <c r="C738" s="2" t="s">
        <v>30</v>
      </c>
      <c r="D738" s="2" t="s">
        <v>151</v>
      </c>
      <c r="E738" s="2" t="s">
        <v>93</v>
      </c>
      <c r="F738" s="2" t="s">
        <v>26</v>
      </c>
      <c r="G738" s="2" t="s">
        <v>191</v>
      </c>
      <c r="I738">
        <f>HEX2DEC(_0811_173439[[#This Row],[580C]])*B$4/B$5+B$6</f>
        <v>800</v>
      </c>
      <c r="J738">
        <f>HEX2DEC(_0811_173439[[#This Row],[4402]])*C$4/C$5+C$6</f>
        <v>36</v>
      </c>
      <c r="K738">
        <f>HEX2DEC(_0811_173439[[#This Row],[580F]])*D$4/D$5+D$6</f>
        <v>30</v>
      </c>
      <c r="L738">
        <f>ROUND(HEX2DEC(_0811_173439[[#This Row],[58F0]])*E$4/E$5+E$6,0)</f>
        <v>70</v>
      </c>
      <c r="M738">
        <f>ROUND(HEX2DEC(_0811_173439[[#This Row],[5805]])*F$4/F$5+F$6,0)</f>
        <v>42</v>
      </c>
      <c r="N738">
        <f>ROUND(HEX2DEC(_0811_173439[[#This Row],[58DD]])*G$4/G$5+G$6,2)</f>
        <v>-0.03</v>
      </c>
      <c r="P738">
        <v>800</v>
      </c>
      <c r="Q738">
        <v>36</v>
      </c>
      <c r="R738">
        <v>30</v>
      </c>
      <c r="S738">
        <v>70</v>
      </c>
      <c r="T738">
        <v>42</v>
      </c>
      <c r="U738">
        <v>-0.03</v>
      </c>
      <c r="W738">
        <f>DataLog_T717420_Aug11_4_59_37pm[[#This Row],[RPM '[1/MIN']]]-Table3[[#This Row],[580C]]</f>
        <v>0</v>
      </c>
      <c r="X738">
        <f>DataLog_T717420_Aug11_4_59_37pm[[#This Row],[OIL TEMP '[Â°C']]]-Table3[[#This Row],[4402]]</f>
        <v>0</v>
      </c>
      <c r="Y738">
        <f>DataLog_T717420_Aug11_4_59_37pm[[#This Row],[INTAKE TEMP '[Â°C']]]-Table3[[#This Row],[580F]]</f>
        <v>0</v>
      </c>
      <c r="Z738">
        <f>DataLog_T717420_Aug11_4_59_37pm[[#This Row],[HPFP PRES. '[BAR']]]-Table3[[#This Row],[58F0]]</f>
        <v>0</v>
      </c>
      <c r="AA738">
        <f>DataLog_T717420_Aug11_4_59_37pm[[#This Row],[COOLANT TEMP '[Â°C']]]-Table3[[#This Row],[5805]]</f>
        <v>0</v>
      </c>
      <c r="AB738">
        <f>DataLog_T717420_Aug11_4_59_37pm[[#This Row],[BOOST '[BAR']]]-Table3[[#This Row],[58DD]]</f>
        <v>0</v>
      </c>
    </row>
    <row r="739" spans="2:28" x14ac:dyDescent="0.25">
      <c r="B739" s="2" t="s">
        <v>183</v>
      </c>
      <c r="C739" s="2" t="s">
        <v>30</v>
      </c>
      <c r="D739" s="2" t="s">
        <v>151</v>
      </c>
      <c r="E739" s="2" t="s">
        <v>118</v>
      </c>
      <c r="F739" s="2" t="s">
        <v>26</v>
      </c>
      <c r="G739" s="2" t="s">
        <v>96</v>
      </c>
      <c r="I739">
        <f>HEX2DEC(_0811_173439[[#This Row],[580C]])*B$4/B$5+B$6</f>
        <v>800</v>
      </c>
      <c r="J739">
        <f>HEX2DEC(_0811_173439[[#This Row],[4402]])*C$4/C$5+C$6</f>
        <v>36</v>
      </c>
      <c r="K739">
        <f>HEX2DEC(_0811_173439[[#This Row],[580F]])*D$4/D$5+D$6</f>
        <v>30</v>
      </c>
      <c r="L739">
        <f>ROUND(HEX2DEC(_0811_173439[[#This Row],[58F0]])*E$4/E$5+E$6,0)</f>
        <v>70</v>
      </c>
      <c r="M739">
        <f>ROUND(HEX2DEC(_0811_173439[[#This Row],[5805]])*F$4/F$5+F$6,0)</f>
        <v>42</v>
      </c>
      <c r="N739">
        <f>ROUND(HEX2DEC(_0811_173439[[#This Row],[58DD]])*G$4/G$5+G$6,2)</f>
        <v>-0.03</v>
      </c>
      <c r="P739">
        <v>800</v>
      </c>
      <c r="Q739">
        <v>36</v>
      </c>
      <c r="R739">
        <v>30</v>
      </c>
      <c r="S739">
        <v>70</v>
      </c>
      <c r="T739">
        <v>42</v>
      </c>
      <c r="U739">
        <v>-0.03</v>
      </c>
      <c r="W739">
        <f>DataLog_T717420_Aug11_4_59_37pm[[#This Row],[RPM '[1/MIN']]]-Table3[[#This Row],[580C]]</f>
        <v>0</v>
      </c>
      <c r="X739">
        <f>DataLog_T717420_Aug11_4_59_37pm[[#This Row],[OIL TEMP '[Â°C']]]-Table3[[#This Row],[4402]]</f>
        <v>0</v>
      </c>
      <c r="Y739">
        <f>DataLog_T717420_Aug11_4_59_37pm[[#This Row],[INTAKE TEMP '[Â°C']]]-Table3[[#This Row],[580F]]</f>
        <v>0</v>
      </c>
      <c r="Z739">
        <f>DataLog_T717420_Aug11_4_59_37pm[[#This Row],[HPFP PRES. '[BAR']]]-Table3[[#This Row],[58F0]]</f>
        <v>0</v>
      </c>
      <c r="AA739">
        <f>DataLog_T717420_Aug11_4_59_37pm[[#This Row],[COOLANT TEMP '[Â°C']]]-Table3[[#This Row],[5805]]</f>
        <v>0</v>
      </c>
      <c r="AB739">
        <f>DataLog_T717420_Aug11_4_59_37pm[[#This Row],[BOOST '[BAR']]]-Table3[[#This Row],[58DD]]</f>
        <v>0</v>
      </c>
    </row>
    <row r="740" spans="2:28" x14ac:dyDescent="0.25">
      <c r="B740" s="2" t="s">
        <v>189</v>
      </c>
      <c r="C740" s="2" t="s">
        <v>30</v>
      </c>
      <c r="D740" s="2" t="s">
        <v>151</v>
      </c>
      <c r="E740" s="2" t="s">
        <v>93</v>
      </c>
      <c r="F740" s="2" t="s">
        <v>26</v>
      </c>
      <c r="G740" s="2" t="s">
        <v>96</v>
      </c>
      <c r="I740">
        <f>HEX2DEC(_0811_173439[[#This Row],[580C]])*B$4/B$5+B$6</f>
        <v>760</v>
      </c>
      <c r="J740">
        <f>HEX2DEC(_0811_173439[[#This Row],[4402]])*C$4/C$5+C$6</f>
        <v>36</v>
      </c>
      <c r="K740">
        <f>HEX2DEC(_0811_173439[[#This Row],[580F]])*D$4/D$5+D$6</f>
        <v>30</v>
      </c>
      <c r="L740">
        <f>ROUND(HEX2DEC(_0811_173439[[#This Row],[58F0]])*E$4/E$5+E$6,0)</f>
        <v>70</v>
      </c>
      <c r="M740">
        <f>ROUND(HEX2DEC(_0811_173439[[#This Row],[5805]])*F$4/F$5+F$6,0)</f>
        <v>42</v>
      </c>
      <c r="N740">
        <f>ROUND(HEX2DEC(_0811_173439[[#This Row],[58DD]])*G$4/G$5+G$6,2)</f>
        <v>-0.03</v>
      </c>
      <c r="P740">
        <v>760</v>
      </c>
      <c r="Q740">
        <v>36</v>
      </c>
      <c r="R740">
        <v>30</v>
      </c>
      <c r="S740">
        <v>70</v>
      </c>
      <c r="T740">
        <v>42</v>
      </c>
      <c r="U740">
        <v>-0.03</v>
      </c>
      <c r="W740">
        <f>DataLog_T717420_Aug11_4_59_37pm[[#This Row],[RPM '[1/MIN']]]-Table3[[#This Row],[580C]]</f>
        <v>0</v>
      </c>
      <c r="X740">
        <f>DataLog_T717420_Aug11_4_59_37pm[[#This Row],[OIL TEMP '[Â°C']]]-Table3[[#This Row],[4402]]</f>
        <v>0</v>
      </c>
      <c r="Y740">
        <f>DataLog_T717420_Aug11_4_59_37pm[[#This Row],[INTAKE TEMP '[Â°C']]]-Table3[[#This Row],[580F]]</f>
        <v>0</v>
      </c>
      <c r="Z740">
        <f>DataLog_T717420_Aug11_4_59_37pm[[#This Row],[HPFP PRES. '[BAR']]]-Table3[[#This Row],[58F0]]</f>
        <v>0</v>
      </c>
      <c r="AA740">
        <f>DataLog_T717420_Aug11_4_59_37pm[[#This Row],[COOLANT TEMP '[Â°C']]]-Table3[[#This Row],[5805]]</f>
        <v>0</v>
      </c>
      <c r="AB740">
        <f>DataLog_T717420_Aug11_4_59_37pm[[#This Row],[BOOST '[BAR']]]-Table3[[#This Row],[58DD]]</f>
        <v>0</v>
      </c>
    </row>
    <row r="741" spans="2:28" x14ac:dyDescent="0.25">
      <c r="B741" s="2" t="s">
        <v>189</v>
      </c>
      <c r="C741" s="2" t="s">
        <v>30</v>
      </c>
      <c r="D741" s="2" t="s">
        <v>151</v>
      </c>
      <c r="E741" s="2" t="s">
        <v>157</v>
      </c>
      <c r="F741" s="2" t="s">
        <v>26</v>
      </c>
      <c r="G741" s="2" t="s">
        <v>190</v>
      </c>
      <c r="I741">
        <f>HEX2DEC(_0811_173439[[#This Row],[580C]])*B$4/B$5+B$6</f>
        <v>760</v>
      </c>
      <c r="J741">
        <f>HEX2DEC(_0811_173439[[#This Row],[4402]])*C$4/C$5+C$6</f>
        <v>36</v>
      </c>
      <c r="K741">
        <f>HEX2DEC(_0811_173439[[#This Row],[580F]])*D$4/D$5+D$6</f>
        <v>30</v>
      </c>
      <c r="L741">
        <f>ROUND(HEX2DEC(_0811_173439[[#This Row],[58F0]])*E$4/E$5+E$6,0)</f>
        <v>70</v>
      </c>
      <c r="M741">
        <f>ROUND(HEX2DEC(_0811_173439[[#This Row],[5805]])*F$4/F$5+F$6,0)</f>
        <v>42</v>
      </c>
      <c r="N741">
        <f>ROUND(HEX2DEC(_0811_173439[[#This Row],[58DD]])*G$4/G$5+G$6,2)</f>
        <v>-0.03</v>
      </c>
      <c r="P741">
        <v>760</v>
      </c>
      <c r="Q741">
        <v>36</v>
      </c>
      <c r="R741">
        <v>30</v>
      </c>
      <c r="S741">
        <v>70</v>
      </c>
      <c r="T741">
        <v>42</v>
      </c>
      <c r="U741">
        <v>-0.03</v>
      </c>
      <c r="W741">
        <f>DataLog_T717420_Aug11_4_59_37pm[[#This Row],[RPM '[1/MIN']]]-Table3[[#This Row],[580C]]</f>
        <v>0</v>
      </c>
      <c r="X741">
        <f>DataLog_T717420_Aug11_4_59_37pm[[#This Row],[OIL TEMP '[Â°C']]]-Table3[[#This Row],[4402]]</f>
        <v>0</v>
      </c>
      <c r="Y741">
        <f>DataLog_T717420_Aug11_4_59_37pm[[#This Row],[INTAKE TEMP '[Â°C']]]-Table3[[#This Row],[580F]]</f>
        <v>0</v>
      </c>
      <c r="Z741">
        <f>DataLog_T717420_Aug11_4_59_37pm[[#This Row],[HPFP PRES. '[BAR']]]-Table3[[#This Row],[58F0]]</f>
        <v>0</v>
      </c>
      <c r="AA741">
        <f>DataLog_T717420_Aug11_4_59_37pm[[#This Row],[COOLANT TEMP '[Â°C']]]-Table3[[#This Row],[5805]]</f>
        <v>0</v>
      </c>
      <c r="AB741">
        <f>DataLog_T717420_Aug11_4_59_37pm[[#This Row],[BOOST '[BAR']]]-Table3[[#This Row],[58DD]]</f>
        <v>0</v>
      </c>
    </row>
    <row r="742" spans="2:28" x14ac:dyDescent="0.25">
      <c r="B742" s="2" t="s">
        <v>189</v>
      </c>
      <c r="C742" s="2" t="s">
        <v>30</v>
      </c>
      <c r="D742" s="2" t="s">
        <v>151</v>
      </c>
      <c r="E742" s="2" t="s">
        <v>93</v>
      </c>
      <c r="F742" s="2" t="s">
        <v>26</v>
      </c>
      <c r="G742" s="2" t="s">
        <v>213</v>
      </c>
      <c r="I742">
        <f>HEX2DEC(_0811_173439[[#This Row],[580C]])*B$4/B$5+B$6</f>
        <v>760</v>
      </c>
      <c r="J742">
        <f>HEX2DEC(_0811_173439[[#This Row],[4402]])*C$4/C$5+C$6</f>
        <v>36</v>
      </c>
      <c r="K742">
        <f>HEX2DEC(_0811_173439[[#This Row],[580F]])*D$4/D$5+D$6</f>
        <v>30</v>
      </c>
      <c r="L742">
        <f>ROUND(HEX2DEC(_0811_173439[[#This Row],[58F0]])*E$4/E$5+E$6,0)</f>
        <v>70</v>
      </c>
      <c r="M742">
        <f>ROUND(HEX2DEC(_0811_173439[[#This Row],[5805]])*F$4/F$5+F$6,0)</f>
        <v>42</v>
      </c>
      <c r="N742">
        <f>ROUND(HEX2DEC(_0811_173439[[#This Row],[58DD]])*G$4/G$5+G$6,2)</f>
        <v>-0.03</v>
      </c>
      <c r="P742">
        <v>760</v>
      </c>
      <c r="Q742">
        <v>36</v>
      </c>
      <c r="R742">
        <v>30</v>
      </c>
      <c r="S742">
        <v>70</v>
      </c>
      <c r="T742">
        <v>42</v>
      </c>
      <c r="U742">
        <v>-0.03</v>
      </c>
      <c r="W742">
        <f>DataLog_T717420_Aug11_4_59_37pm[[#This Row],[RPM '[1/MIN']]]-Table3[[#This Row],[580C]]</f>
        <v>0</v>
      </c>
      <c r="X742">
        <f>DataLog_T717420_Aug11_4_59_37pm[[#This Row],[OIL TEMP '[Â°C']]]-Table3[[#This Row],[4402]]</f>
        <v>0</v>
      </c>
      <c r="Y742">
        <f>DataLog_T717420_Aug11_4_59_37pm[[#This Row],[INTAKE TEMP '[Â°C']]]-Table3[[#This Row],[580F]]</f>
        <v>0</v>
      </c>
      <c r="Z742">
        <f>DataLog_T717420_Aug11_4_59_37pm[[#This Row],[HPFP PRES. '[BAR']]]-Table3[[#This Row],[58F0]]</f>
        <v>0</v>
      </c>
      <c r="AA742">
        <f>DataLog_T717420_Aug11_4_59_37pm[[#This Row],[COOLANT TEMP '[Â°C']]]-Table3[[#This Row],[5805]]</f>
        <v>0</v>
      </c>
      <c r="AB742">
        <f>DataLog_T717420_Aug11_4_59_37pm[[#This Row],[BOOST '[BAR']]]-Table3[[#This Row],[58DD]]</f>
        <v>0</v>
      </c>
    </row>
    <row r="743" spans="2:28" x14ac:dyDescent="0.25">
      <c r="B743" s="2" t="s">
        <v>189</v>
      </c>
      <c r="C743" s="2" t="s">
        <v>30</v>
      </c>
      <c r="D743" s="2" t="s">
        <v>151</v>
      </c>
      <c r="E743" s="2" t="s">
        <v>165</v>
      </c>
      <c r="F743" s="2" t="s">
        <v>26</v>
      </c>
      <c r="G743" s="2" t="s">
        <v>190</v>
      </c>
      <c r="I743">
        <f>HEX2DEC(_0811_173439[[#This Row],[580C]])*B$4/B$5+B$6</f>
        <v>760</v>
      </c>
      <c r="J743">
        <f>HEX2DEC(_0811_173439[[#This Row],[4402]])*C$4/C$5+C$6</f>
        <v>36</v>
      </c>
      <c r="K743">
        <f>HEX2DEC(_0811_173439[[#This Row],[580F]])*D$4/D$5+D$6</f>
        <v>30</v>
      </c>
      <c r="L743">
        <f>ROUND(HEX2DEC(_0811_173439[[#This Row],[58F0]])*E$4/E$5+E$6,0)</f>
        <v>70</v>
      </c>
      <c r="M743">
        <f>ROUND(HEX2DEC(_0811_173439[[#This Row],[5805]])*F$4/F$5+F$6,0)</f>
        <v>42</v>
      </c>
      <c r="N743">
        <f>ROUND(HEX2DEC(_0811_173439[[#This Row],[58DD]])*G$4/G$5+G$6,2)</f>
        <v>-0.03</v>
      </c>
      <c r="P743">
        <v>760</v>
      </c>
      <c r="Q743">
        <v>36</v>
      </c>
      <c r="R743">
        <v>30</v>
      </c>
      <c r="S743">
        <v>70</v>
      </c>
      <c r="T743">
        <v>42</v>
      </c>
      <c r="U743">
        <v>-0.03</v>
      </c>
      <c r="W743">
        <f>DataLog_T717420_Aug11_4_59_37pm[[#This Row],[RPM '[1/MIN']]]-Table3[[#This Row],[580C]]</f>
        <v>0</v>
      </c>
      <c r="X743">
        <f>DataLog_T717420_Aug11_4_59_37pm[[#This Row],[OIL TEMP '[Â°C']]]-Table3[[#This Row],[4402]]</f>
        <v>0</v>
      </c>
      <c r="Y743">
        <f>DataLog_T717420_Aug11_4_59_37pm[[#This Row],[INTAKE TEMP '[Â°C']]]-Table3[[#This Row],[580F]]</f>
        <v>0</v>
      </c>
      <c r="Z743">
        <f>DataLog_T717420_Aug11_4_59_37pm[[#This Row],[HPFP PRES. '[BAR']]]-Table3[[#This Row],[58F0]]</f>
        <v>0</v>
      </c>
      <c r="AA743">
        <f>DataLog_T717420_Aug11_4_59_37pm[[#This Row],[COOLANT TEMP '[Â°C']]]-Table3[[#This Row],[5805]]</f>
        <v>0</v>
      </c>
      <c r="AB743">
        <f>DataLog_T717420_Aug11_4_59_37pm[[#This Row],[BOOST '[BAR']]]-Table3[[#This Row],[58DD]]</f>
        <v>0</v>
      </c>
    </row>
    <row r="744" spans="2:28" x14ac:dyDescent="0.25">
      <c r="B744" s="2" t="s">
        <v>189</v>
      </c>
      <c r="C744" s="2" t="s">
        <v>30</v>
      </c>
      <c r="D744" s="2" t="s">
        <v>151</v>
      </c>
      <c r="E744" s="2" t="s">
        <v>127</v>
      </c>
      <c r="F744" s="2" t="s">
        <v>26</v>
      </c>
      <c r="G744" s="2" t="s">
        <v>190</v>
      </c>
      <c r="I744">
        <f>HEX2DEC(_0811_173439[[#This Row],[580C]])*B$4/B$5+B$6</f>
        <v>760</v>
      </c>
      <c r="J744">
        <f>HEX2DEC(_0811_173439[[#This Row],[4402]])*C$4/C$5+C$6</f>
        <v>36</v>
      </c>
      <c r="K744">
        <f>HEX2DEC(_0811_173439[[#This Row],[580F]])*D$4/D$5+D$6</f>
        <v>30</v>
      </c>
      <c r="L744">
        <f>ROUND(HEX2DEC(_0811_173439[[#This Row],[58F0]])*E$4/E$5+E$6,0)</f>
        <v>70</v>
      </c>
      <c r="M744">
        <f>ROUND(HEX2DEC(_0811_173439[[#This Row],[5805]])*F$4/F$5+F$6,0)</f>
        <v>42</v>
      </c>
      <c r="N744">
        <f>ROUND(HEX2DEC(_0811_173439[[#This Row],[58DD]])*G$4/G$5+G$6,2)</f>
        <v>-0.03</v>
      </c>
      <c r="P744">
        <v>760</v>
      </c>
      <c r="Q744">
        <v>36</v>
      </c>
      <c r="R744">
        <v>30</v>
      </c>
      <c r="S744">
        <v>70</v>
      </c>
      <c r="T744">
        <v>42</v>
      </c>
      <c r="U744">
        <v>-0.03</v>
      </c>
      <c r="W744">
        <f>DataLog_T717420_Aug11_4_59_37pm[[#This Row],[RPM '[1/MIN']]]-Table3[[#This Row],[580C]]</f>
        <v>0</v>
      </c>
      <c r="X744">
        <f>DataLog_T717420_Aug11_4_59_37pm[[#This Row],[OIL TEMP '[Â°C']]]-Table3[[#This Row],[4402]]</f>
        <v>0</v>
      </c>
      <c r="Y744">
        <f>DataLog_T717420_Aug11_4_59_37pm[[#This Row],[INTAKE TEMP '[Â°C']]]-Table3[[#This Row],[580F]]</f>
        <v>0</v>
      </c>
      <c r="Z744">
        <f>DataLog_T717420_Aug11_4_59_37pm[[#This Row],[HPFP PRES. '[BAR']]]-Table3[[#This Row],[58F0]]</f>
        <v>0</v>
      </c>
      <c r="AA744">
        <f>DataLog_T717420_Aug11_4_59_37pm[[#This Row],[COOLANT TEMP '[Â°C']]]-Table3[[#This Row],[5805]]</f>
        <v>0</v>
      </c>
      <c r="AB744">
        <f>DataLog_T717420_Aug11_4_59_37pm[[#This Row],[BOOST '[BAR']]]-Table3[[#This Row],[58DD]]</f>
        <v>0</v>
      </c>
    </row>
    <row r="745" spans="2:28" x14ac:dyDescent="0.25">
      <c r="B745" s="2" t="s">
        <v>189</v>
      </c>
      <c r="C745" s="2" t="s">
        <v>30</v>
      </c>
      <c r="D745" s="2" t="s">
        <v>151</v>
      </c>
      <c r="E745" s="2" t="s">
        <v>207</v>
      </c>
      <c r="F745" s="2" t="s">
        <v>26</v>
      </c>
      <c r="G745" s="2" t="s">
        <v>98</v>
      </c>
      <c r="I745">
        <f>HEX2DEC(_0811_173439[[#This Row],[580C]])*B$4/B$5+B$6</f>
        <v>760</v>
      </c>
      <c r="J745">
        <f>HEX2DEC(_0811_173439[[#This Row],[4402]])*C$4/C$5+C$6</f>
        <v>36</v>
      </c>
      <c r="K745">
        <f>HEX2DEC(_0811_173439[[#This Row],[580F]])*D$4/D$5+D$6</f>
        <v>30</v>
      </c>
      <c r="L745">
        <f>ROUND(HEX2DEC(_0811_173439[[#This Row],[58F0]])*E$4/E$5+E$6,0)</f>
        <v>70</v>
      </c>
      <c r="M745">
        <f>ROUND(HEX2DEC(_0811_173439[[#This Row],[5805]])*F$4/F$5+F$6,0)</f>
        <v>42</v>
      </c>
      <c r="N745">
        <f>ROUND(HEX2DEC(_0811_173439[[#This Row],[58DD]])*G$4/G$5+G$6,2)</f>
        <v>-0.03</v>
      </c>
      <c r="P745">
        <v>760</v>
      </c>
      <c r="Q745">
        <v>36</v>
      </c>
      <c r="R745">
        <v>30</v>
      </c>
      <c r="S745">
        <v>70</v>
      </c>
      <c r="T745">
        <v>42</v>
      </c>
      <c r="U745">
        <v>-0.03</v>
      </c>
      <c r="W745">
        <f>DataLog_T717420_Aug11_4_59_37pm[[#This Row],[RPM '[1/MIN']]]-Table3[[#This Row],[580C]]</f>
        <v>0</v>
      </c>
      <c r="X745">
        <f>DataLog_T717420_Aug11_4_59_37pm[[#This Row],[OIL TEMP '[Â°C']]]-Table3[[#This Row],[4402]]</f>
        <v>0</v>
      </c>
      <c r="Y745">
        <f>DataLog_T717420_Aug11_4_59_37pm[[#This Row],[INTAKE TEMP '[Â°C']]]-Table3[[#This Row],[580F]]</f>
        <v>0</v>
      </c>
      <c r="Z745">
        <f>DataLog_T717420_Aug11_4_59_37pm[[#This Row],[HPFP PRES. '[BAR']]]-Table3[[#This Row],[58F0]]</f>
        <v>0</v>
      </c>
      <c r="AA745">
        <f>DataLog_T717420_Aug11_4_59_37pm[[#This Row],[COOLANT TEMP '[Â°C']]]-Table3[[#This Row],[5805]]</f>
        <v>0</v>
      </c>
      <c r="AB745">
        <f>DataLog_T717420_Aug11_4_59_37pm[[#This Row],[BOOST '[BAR']]]-Table3[[#This Row],[58DD]]</f>
        <v>0</v>
      </c>
    </row>
    <row r="746" spans="2:28" x14ac:dyDescent="0.25">
      <c r="B746" s="2" t="s">
        <v>183</v>
      </c>
      <c r="C746" s="2" t="s">
        <v>30</v>
      </c>
      <c r="D746" s="2" t="s">
        <v>151</v>
      </c>
      <c r="E746" s="2" t="s">
        <v>221</v>
      </c>
      <c r="F746" s="2" t="s">
        <v>26</v>
      </c>
      <c r="G746" s="2" t="s">
        <v>53</v>
      </c>
      <c r="I746">
        <f>HEX2DEC(_0811_173439[[#This Row],[580C]])*B$4/B$5+B$6</f>
        <v>800</v>
      </c>
      <c r="J746">
        <f>HEX2DEC(_0811_173439[[#This Row],[4402]])*C$4/C$5+C$6</f>
        <v>36</v>
      </c>
      <c r="K746">
        <f>HEX2DEC(_0811_173439[[#This Row],[580F]])*D$4/D$5+D$6</f>
        <v>30</v>
      </c>
      <c r="L746">
        <f>ROUND(HEX2DEC(_0811_173439[[#This Row],[58F0]])*E$4/E$5+E$6,0)</f>
        <v>70</v>
      </c>
      <c r="M746">
        <f>ROUND(HEX2DEC(_0811_173439[[#This Row],[5805]])*F$4/F$5+F$6,0)</f>
        <v>42</v>
      </c>
      <c r="N746">
        <f>ROUND(HEX2DEC(_0811_173439[[#This Row],[58DD]])*G$4/G$5+G$6,2)</f>
        <v>-0.03</v>
      </c>
      <c r="P746">
        <v>800</v>
      </c>
      <c r="Q746">
        <v>36</v>
      </c>
      <c r="R746">
        <v>30</v>
      </c>
      <c r="S746">
        <v>70</v>
      </c>
      <c r="T746">
        <v>42</v>
      </c>
      <c r="U746">
        <v>-0.03</v>
      </c>
      <c r="W746">
        <f>DataLog_T717420_Aug11_4_59_37pm[[#This Row],[RPM '[1/MIN']]]-Table3[[#This Row],[580C]]</f>
        <v>0</v>
      </c>
      <c r="X746">
        <f>DataLog_T717420_Aug11_4_59_37pm[[#This Row],[OIL TEMP '[Â°C']]]-Table3[[#This Row],[4402]]</f>
        <v>0</v>
      </c>
      <c r="Y746">
        <f>DataLog_T717420_Aug11_4_59_37pm[[#This Row],[INTAKE TEMP '[Â°C']]]-Table3[[#This Row],[580F]]</f>
        <v>0</v>
      </c>
      <c r="Z746">
        <f>DataLog_T717420_Aug11_4_59_37pm[[#This Row],[HPFP PRES. '[BAR']]]-Table3[[#This Row],[58F0]]</f>
        <v>0</v>
      </c>
      <c r="AA746">
        <f>DataLog_T717420_Aug11_4_59_37pm[[#This Row],[COOLANT TEMP '[Â°C']]]-Table3[[#This Row],[5805]]</f>
        <v>0</v>
      </c>
      <c r="AB746">
        <f>DataLog_T717420_Aug11_4_59_37pm[[#This Row],[BOOST '[BAR']]]-Table3[[#This Row],[58DD]]</f>
        <v>0</v>
      </c>
    </row>
    <row r="747" spans="2:28" x14ac:dyDescent="0.25">
      <c r="B747" s="2" t="s">
        <v>183</v>
      </c>
      <c r="C747" s="2" t="s">
        <v>30</v>
      </c>
      <c r="D747" s="2" t="s">
        <v>151</v>
      </c>
      <c r="E747" s="2" t="s">
        <v>127</v>
      </c>
      <c r="F747" s="2" t="s">
        <v>26</v>
      </c>
      <c r="G747" s="2" t="s">
        <v>216</v>
      </c>
      <c r="I747">
        <f>HEX2DEC(_0811_173439[[#This Row],[580C]])*B$4/B$5+B$6</f>
        <v>800</v>
      </c>
      <c r="J747">
        <f>HEX2DEC(_0811_173439[[#This Row],[4402]])*C$4/C$5+C$6</f>
        <v>36</v>
      </c>
      <c r="K747">
        <f>HEX2DEC(_0811_173439[[#This Row],[580F]])*D$4/D$5+D$6</f>
        <v>30</v>
      </c>
      <c r="L747">
        <f>ROUND(HEX2DEC(_0811_173439[[#This Row],[58F0]])*E$4/E$5+E$6,0)</f>
        <v>70</v>
      </c>
      <c r="M747">
        <f>ROUND(HEX2DEC(_0811_173439[[#This Row],[5805]])*F$4/F$5+F$6,0)</f>
        <v>42</v>
      </c>
      <c r="N747">
        <f>ROUND(HEX2DEC(_0811_173439[[#This Row],[58DD]])*G$4/G$5+G$6,2)</f>
        <v>-0.03</v>
      </c>
      <c r="P747">
        <v>800</v>
      </c>
      <c r="Q747">
        <v>36</v>
      </c>
      <c r="R747">
        <v>30</v>
      </c>
      <c r="S747">
        <v>70</v>
      </c>
      <c r="T747">
        <v>42</v>
      </c>
      <c r="U747">
        <v>-0.03</v>
      </c>
      <c r="W747">
        <f>DataLog_T717420_Aug11_4_59_37pm[[#This Row],[RPM '[1/MIN']]]-Table3[[#This Row],[580C]]</f>
        <v>0</v>
      </c>
      <c r="X747">
        <f>DataLog_T717420_Aug11_4_59_37pm[[#This Row],[OIL TEMP '[Â°C']]]-Table3[[#This Row],[4402]]</f>
        <v>0</v>
      </c>
      <c r="Y747">
        <f>DataLog_T717420_Aug11_4_59_37pm[[#This Row],[INTAKE TEMP '[Â°C']]]-Table3[[#This Row],[580F]]</f>
        <v>0</v>
      </c>
      <c r="Z747">
        <f>DataLog_T717420_Aug11_4_59_37pm[[#This Row],[HPFP PRES. '[BAR']]]-Table3[[#This Row],[58F0]]</f>
        <v>0</v>
      </c>
      <c r="AA747">
        <f>DataLog_T717420_Aug11_4_59_37pm[[#This Row],[COOLANT TEMP '[Â°C']]]-Table3[[#This Row],[5805]]</f>
        <v>0</v>
      </c>
      <c r="AB747">
        <f>DataLog_T717420_Aug11_4_59_37pm[[#This Row],[BOOST '[BAR']]]-Table3[[#This Row],[58DD]]</f>
        <v>0</v>
      </c>
    </row>
    <row r="748" spans="2:28" x14ac:dyDescent="0.25">
      <c r="B748" s="2" t="s">
        <v>183</v>
      </c>
      <c r="C748" s="2" t="s">
        <v>30</v>
      </c>
      <c r="D748" s="2" t="s">
        <v>151</v>
      </c>
      <c r="E748" s="2" t="s">
        <v>153</v>
      </c>
      <c r="F748" s="2" t="s">
        <v>26</v>
      </c>
      <c r="G748" s="2" t="s">
        <v>186</v>
      </c>
      <c r="I748">
        <f>HEX2DEC(_0811_173439[[#This Row],[580C]])*B$4/B$5+B$6</f>
        <v>800</v>
      </c>
      <c r="J748">
        <f>HEX2DEC(_0811_173439[[#This Row],[4402]])*C$4/C$5+C$6</f>
        <v>36</v>
      </c>
      <c r="K748">
        <f>HEX2DEC(_0811_173439[[#This Row],[580F]])*D$4/D$5+D$6</f>
        <v>30</v>
      </c>
      <c r="L748">
        <f>ROUND(HEX2DEC(_0811_173439[[#This Row],[58F0]])*E$4/E$5+E$6,0)</f>
        <v>70</v>
      </c>
      <c r="M748">
        <f>ROUND(HEX2DEC(_0811_173439[[#This Row],[5805]])*F$4/F$5+F$6,0)</f>
        <v>42</v>
      </c>
      <c r="N748">
        <f>ROUND(HEX2DEC(_0811_173439[[#This Row],[58DD]])*G$4/G$5+G$6,2)</f>
        <v>-0.03</v>
      </c>
      <c r="P748">
        <v>800</v>
      </c>
      <c r="Q748">
        <v>36</v>
      </c>
      <c r="R748">
        <v>30</v>
      </c>
      <c r="S748">
        <v>70</v>
      </c>
      <c r="T748">
        <v>42</v>
      </c>
      <c r="U748">
        <v>-0.03</v>
      </c>
      <c r="W748">
        <f>DataLog_T717420_Aug11_4_59_37pm[[#This Row],[RPM '[1/MIN']]]-Table3[[#This Row],[580C]]</f>
        <v>0</v>
      </c>
      <c r="X748">
        <f>DataLog_T717420_Aug11_4_59_37pm[[#This Row],[OIL TEMP '[Â°C']]]-Table3[[#This Row],[4402]]</f>
        <v>0</v>
      </c>
      <c r="Y748">
        <f>DataLog_T717420_Aug11_4_59_37pm[[#This Row],[INTAKE TEMP '[Â°C']]]-Table3[[#This Row],[580F]]</f>
        <v>0</v>
      </c>
      <c r="Z748">
        <f>DataLog_T717420_Aug11_4_59_37pm[[#This Row],[HPFP PRES. '[BAR']]]-Table3[[#This Row],[58F0]]</f>
        <v>0</v>
      </c>
      <c r="AA748">
        <f>DataLog_T717420_Aug11_4_59_37pm[[#This Row],[COOLANT TEMP '[Â°C']]]-Table3[[#This Row],[5805]]</f>
        <v>0</v>
      </c>
      <c r="AB748">
        <f>DataLog_T717420_Aug11_4_59_37pm[[#This Row],[BOOST '[BAR']]]-Table3[[#This Row],[58DD]]</f>
        <v>0</v>
      </c>
    </row>
    <row r="749" spans="2:28" x14ac:dyDescent="0.25">
      <c r="B749" s="2" t="s">
        <v>183</v>
      </c>
      <c r="C749" s="2" t="s">
        <v>30</v>
      </c>
      <c r="D749" s="2" t="s">
        <v>151</v>
      </c>
      <c r="E749" s="2" t="s">
        <v>221</v>
      </c>
      <c r="F749" s="2" t="s">
        <v>26</v>
      </c>
      <c r="G749" s="2" t="s">
        <v>98</v>
      </c>
      <c r="I749">
        <f>HEX2DEC(_0811_173439[[#This Row],[580C]])*B$4/B$5+B$6</f>
        <v>800</v>
      </c>
      <c r="J749">
        <f>HEX2DEC(_0811_173439[[#This Row],[4402]])*C$4/C$5+C$6</f>
        <v>36</v>
      </c>
      <c r="K749">
        <f>HEX2DEC(_0811_173439[[#This Row],[580F]])*D$4/D$5+D$6</f>
        <v>30</v>
      </c>
      <c r="L749">
        <f>ROUND(HEX2DEC(_0811_173439[[#This Row],[58F0]])*E$4/E$5+E$6,0)</f>
        <v>70</v>
      </c>
      <c r="M749">
        <f>ROUND(HEX2DEC(_0811_173439[[#This Row],[5805]])*F$4/F$5+F$6,0)</f>
        <v>42</v>
      </c>
      <c r="N749">
        <f>ROUND(HEX2DEC(_0811_173439[[#This Row],[58DD]])*G$4/G$5+G$6,2)</f>
        <v>-0.03</v>
      </c>
      <c r="P749">
        <v>800</v>
      </c>
      <c r="Q749">
        <v>36</v>
      </c>
      <c r="R749">
        <v>30</v>
      </c>
      <c r="S749">
        <v>70</v>
      </c>
      <c r="T749">
        <v>42</v>
      </c>
      <c r="U749">
        <v>-0.03</v>
      </c>
      <c r="W749">
        <f>DataLog_T717420_Aug11_4_59_37pm[[#This Row],[RPM '[1/MIN']]]-Table3[[#This Row],[580C]]</f>
        <v>0</v>
      </c>
      <c r="X749">
        <f>DataLog_T717420_Aug11_4_59_37pm[[#This Row],[OIL TEMP '[Â°C']]]-Table3[[#This Row],[4402]]</f>
        <v>0</v>
      </c>
      <c r="Y749">
        <f>DataLog_T717420_Aug11_4_59_37pm[[#This Row],[INTAKE TEMP '[Â°C']]]-Table3[[#This Row],[580F]]</f>
        <v>0</v>
      </c>
      <c r="Z749">
        <f>DataLog_T717420_Aug11_4_59_37pm[[#This Row],[HPFP PRES. '[BAR']]]-Table3[[#This Row],[58F0]]</f>
        <v>0</v>
      </c>
      <c r="AA749">
        <f>DataLog_T717420_Aug11_4_59_37pm[[#This Row],[COOLANT TEMP '[Â°C']]]-Table3[[#This Row],[5805]]</f>
        <v>0</v>
      </c>
      <c r="AB749">
        <f>DataLog_T717420_Aug11_4_59_37pm[[#This Row],[BOOST '[BAR']]]-Table3[[#This Row],[58DD]]</f>
        <v>0</v>
      </c>
    </row>
    <row r="750" spans="2:28" x14ac:dyDescent="0.25">
      <c r="B750" s="2" t="s">
        <v>183</v>
      </c>
      <c r="C750" s="2" t="s">
        <v>30</v>
      </c>
      <c r="D750" s="2" t="s">
        <v>151</v>
      </c>
      <c r="E750" s="2" t="s">
        <v>127</v>
      </c>
      <c r="F750" s="2" t="s">
        <v>26</v>
      </c>
      <c r="G750" s="2" t="s">
        <v>191</v>
      </c>
      <c r="I750">
        <f>HEX2DEC(_0811_173439[[#This Row],[580C]])*B$4/B$5+B$6</f>
        <v>800</v>
      </c>
      <c r="J750">
        <f>HEX2DEC(_0811_173439[[#This Row],[4402]])*C$4/C$5+C$6</f>
        <v>36</v>
      </c>
      <c r="K750">
        <f>HEX2DEC(_0811_173439[[#This Row],[580F]])*D$4/D$5+D$6</f>
        <v>30</v>
      </c>
      <c r="L750">
        <f>ROUND(HEX2DEC(_0811_173439[[#This Row],[58F0]])*E$4/E$5+E$6,0)</f>
        <v>70</v>
      </c>
      <c r="M750">
        <f>ROUND(HEX2DEC(_0811_173439[[#This Row],[5805]])*F$4/F$5+F$6,0)</f>
        <v>42</v>
      </c>
      <c r="N750">
        <f>ROUND(HEX2DEC(_0811_173439[[#This Row],[58DD]])*G$4/G$5+G$6,2)</f>
        <v>-0.03</v>
      </c>
      <c r="P750">
        <v>800</v>
      </c>
      <c r="Q750">
        <v>36</v>
      </c>
      <c r="R750">
        <v>30</v>
      </c>
      <c r="S750">
        <v>70</v>
      </c>
      <c r="T750">
        <v>42</v>
      </c>
      <c r="U750">
        <v>-0.03</v>
      </c>
      <c r="W750">
        <f>DataLog_T717420_Aug11_4_59_37pm[[#This Row],[RPM '[1/MIN']]]-Table3[[#This Row],[580C]]</f>
        <v>0</v>
      </c>
      <c r="X750">
        <f>DataLog_T717420_Aug11_4_59_37pm[[#This Row],[OIL TEMP '[Â°C']]]-Table3[[#This Row],[4402]]</f>
        <v>0</v>
      </c>
      <c r="Y750">
        <f>DataLog_T717420_Aug11_4_59_37pm[[#This Row],[INTAKE TEMP '[Â°C']]]-Table3[[#This Row],[580F]]</f>
        <v>0</v>
      </c>
      <c r="Z750">
        <f>DataLog_T717420_Aug11_4_59_37pm[[#This Row],[HPFP PRES. '[BAR']]]-Table3[[#This Row],[58F0]]</f>
        <v>0</v>
      </c>
      <c r="AA750">
        <f>DataLog_T717420_Aug11_4_59_37pm[[#This Row],[COOLANT TEMP '[Â°C']]]-Table3[[#This Row],[5805]]</f>
        <v>0</v>
      </c>
      <c r="AB750">
        <f>DataLog_T717420_Aug11_4_59_37pm[[#This Row],[BOOST '[BAR']]]-Table3[[#This Row],[58DD]]</f>
        <v>0</v>
      </c>
    </row>
    <row r="751" spans="2:28" x14ac:dyDescent="0.25">
      <c r="B751" s="2" t="s">
        <v>183</v>
      </c>
      <c r="C751" s="2" t="s">
        <v>30</v>
      </c>
      <c r="D751" s="2" t="s">
        <v>151</v>
      </c>
      <c r="E751" s="2" t="s">
        <v>93</v>
      </c>
      <c r="F751" s="2" t="s">
        <v>26</v>
      </c>
      <c r="G751" s="2" t="s">
        <v>190</v>
      </c>
      <c r="I751">
        <f>HEX2DEC(_0811_173439[[#This Row],[580C]])*B$4/B$5+B$6</f>
        <v>800</v>
      </c>
      <c r="J751">
        <f>HEX2DEC(_0811_173439[[#This Row],[4402]])*C$4/C$5+C$6</f>
        <v>36</v>
      </c>
      <c r="K751">
        <f>HEX2DEC(_0811_173439[[#This Row],[580F]])*D$4/D$5+D$6</f>
        <v>30</v>
      </c>
      <c r="L751">
        <f>ROUND(HEX2DEC(_0811_173439[[#This Row],[58F0]])*E$4/E$5+E$6,0)</f>
        <v>70</v>
      </c>
      <c r="M751">
        <f>ROUND(HEX2DEC(_0811_173439[[#This Row],[5805]])*F$4/F$5+F$6,0)</f>
        <v>42</v>
      </c>
      <c r="N751">
        <f>ROUND(HEX2DEC(_0811_173439[[#This Row],[58DD]])*G$4/G$5+G$6,2)</f>
        <v>-0.03</v>
      </c>
      <c r="P751">
        <v>800</v>
      </c>
      <c r="Q751">
        <v>36</v>
      </c>
      <c r="R751">
        <v>30</v>
      </c>
      <c r="S751">
        <v>70</v>
      </c>
      <c r="T751">
        <v>42</v>
      </c>
      <c r="U751">
        <v>-0.03</v>
      </c>
      <c r="W751">
        <f>DataLog_T717420_Aug11_4_59_37pm[[#This Row],[RPM '[1/MIN']]]-Table3[[#This Row],[580C]]</f>
        <v>0</v>
      </c>
      <c r="X751">
        <f>DataLog_T717420_Aug11_4_59_37pm[[#This Row],[OIL TEMP '[Â°C']]]-Table3[[#This Row],[4402]]</f>
        <v>0</v>
      </c>
      <c r="Y751">
        <f>DataLog_T717420_Aug11_4_59_37pm[[#This Row],[INTAKE TEMP '[Â°C']]]-Table3[[#This Row],[580F]]</f>
        <v>0</v>
      </c>
      <c r="Z751">
        <f>DataLog_T717420_Aug11_4_59_37pm[[#This Row],[HPFP PRES. '[BAR']]]-Table3[[#This Row],[58F0]]</f>
        <v>0</v>
      </c>
      <c r="AA751">
        <f>DataLog_T717420_Aug11_4_59_37pm[[#This Row],[COOLANT TEMP '[Â°C']]]-Table3[[#This Row],[5805]]</f>
        <v>0</v>
      </c>
      <c r="AB751">
        <f>DataLog_T717420_Aug11_4_59_37pm[[#This Row],[BOOST '[BAR']]]-Table3[[#This Row],[58DD]]</f>
        <v>0</v>
      </c>
    </row>
    <row r="752" spans="2:28" x14ac:dyDescent="0.25">
      <c r="B752" s="2" t="s">
        <v>183</v>
      </c>
      <c r="C752" s="2" t="s">
        <v>30</v>
      </c>
      <c r="D752" s="2" t="s">
        <v>151</v>
      </c>
      <c r="E752" s="2" t="s">
        <v>150</v>
      </c>
      <c r="F752" s="2" t="s">
        <v>26</v>
      </c>
      <c r="G752" s="2" t="s">
        <v>213</v>
      </c>
      <c r="I752">
        <f>HEX2DEC(_0811_173439[[#This Row],[580C]])*B$4/B$5+B$6</f>
        <v>800</v>
      </c>
      <c r="J752">
        <f>HEX2DEC(_0811_173439[[#This Row],[4402]])*C$4/C$5+C$6</f>
        <v>36</v>
      </c>
      <c r="K752">
        <f>HEX2DEC(_0811_173439[[#This Row],[580F]])*D$4/D$5+D$6</f>
        <v>30</v>
      </c>
      <c r="L752">
        <f>ROUND(HEX2DEC(_0811_173439[[#This Row],[58F0]])*E$4/E$5+E$6,0)</f>
        <v>70</v>
      </c>
      <c r="M752">
        <f>ROUND(HEX2DEC(_0811_173439[[#This Row],[5805]])*F$4/F$5+F$6,0)</f>
        <v>42</v>
      </c>
      <c r="N752">
        <f>ROUND(HEX2DEC(_0811_173439[[#This Row],[58DD]])*G$4/G$5+G$6,2)</f>
        <v>-0.03</v>
      </c>
      <c r="P752">
        <v>800</v>
      </c>
      <c r="Q752">
        <v>36</v>
      </c>
      <c r="R752">
        <v>30</v>
      </c>
      <c r="S752">
        <v>70</v>
      </c>
      <c r="T752">
        <v>42</v>
      </c>
      <c r="U752">
        <v>-0.03</v>
      </c>
      <c r="W752">
        <f>DataLog_T717420_Aug11_4_59_37pm[[#This Row],[RPM '[1/MIN']]]-Table3[[#This Row],[580C]]</f>
        <v>0</v>
      </c>
      <c r="X752">
        <f>DataLog_T717420_Aug11_4_59_37pm[[#This Row],[OIL TEMP '[Â°C']]]-Table3[[#This Row],[4402]]</f>
        <v>0</v>
      </c>
      <c r="Y752">
        <f>DataLog_T717420_Aug11_4_59_37pm[[#This Row],[INTAKE TEMP '[Â°C']]]-Table3[[#This Row],[580F]]</f>
        <v>0</v>
      </c>
      <c r="Z752">
        <f>DataLog_T717420_Aug11_4_59_37pm[[#This Row],[HPFP PRES. '[BAR']]]-Table3[[#This Row],[58F0]]</f>
        <v>0</v>
      </c>
      <c r="AA752">
        <f>DataLog_T717420_Aug11_4_59_37pm[[#This Row],[COOLANT TEMP '[Â°C']]]-Table3[[#This Row],[5805]]</f>
        <v>0</v>
      </c>
      <c r="AB752">
        <f>DataLog_T717420_Aug11_4_59_37pm[[#This Row],[BOOST '[BAR']]]-Table3[[#This Row],[58DD]]</f>
        <v>0</v>
      </c>
    </row>
    <row r="753" spans="2:28" x14ac:dyDescent="0.25">
      <c r="B753" s="2" t="s">
        <v>183</v>
      </c>
      <c r="C753" s="2" t="s">
        <v>30</v>
      </c>
      <c r="D753" s="2" t="s">
        <v>151</v>
      </c>
      <c r="E753" s="2" t="s">
        <v>93</v>
      </c>
      <c r="F753" s="2" t="s">
        <v>26</v>
      </c>
      <c r="G753" s="2" t="s">
        <v>96</v>
      </c>
      <c r="I753">
        <f>HEX2DEC(_0811_173439[[#This Row],[580C]])*B$4/B$5+B$6</f>
        <v>800</v>
      </c>
      <c r="J753">
        <f>HEX2DEC(_0811_173439[[#This Row],[4402]])*C$4/C$5+C$6</f>
        <v>36</v>
      </c>
      <c r="K753">
        <f>HEX2DEC(_0811_173439[[#This Row],[580F]])*D$4/D$5+D$6</f>
        <v>30</v>
      </c>
      <c r="L753">
        <f>ROUND(HEX2DEC(_0811_173439[[#This Row],[58F0]])*E$4/E$5+E$6,0)</f>
        <v>70</v>
      </c>
      <c r="M753">
        <f>ROUND(HEX2DEC(_0811_173439[[#This Row],[5805]])*F$4/F$5+F$6,0)</f>
        <v>42</v>
      </c>
      <c r="N753">
        <f>ROUND(HEX2DEC(_0811_173439[[#This Row],[58DD]])*G$4/G$5+G$6,2)</f>
        <v>-0.03</v>
      </c>
      <c r="P753">
        <v>800</v>
      </c>
      <c r="Q753">
        <v>36</v>
      </c>
      <c r="R753">
        <v>30</v>
      </c>
      <c r="S753">
        <v>70</v>
      </c>
      <c r="T753">
        <v>42</v>
      </c>
      <c r="U753">
        <v>-0.03</v>
      </c>
      <c r="W753">
        <f>DataLog_T717420_Aug11_4_59_37pm[[#This Row],[RPM '[1/MIN']]]-Table3[[#This Row],[580C]]</f>
        <v>0</v>
      </c>
      <c r="X753">
        <f>DataLog_T717420_Aug11_4_59_37pm[[#This Row],[OIL TEMP '[Â°C']]]-Table3[[#This Row],[4402]]</f>
        <v>0</v>
      </c>
      <c r="Y753">
        <f>DataLog_T717420_Aug11_4_59_37pm[[#This Row],[INTAKE TEMP '[Â°C']]]-Table3[[#This Row],[580F]]</f>
        <v>0</v>
      </c>
      <c r="Z753">
        <f>DataLog_T717420_Aug11_4_59_37pm[[#This Row],[HPFP PRES. '[BAR']]]-Table3[[#This Row],[58F0]]</f>
        <v>0</v>
      </c>
      <c r="AA753">
        <f>DataLog_T717420_Aug11_4_59_37pm[[#This Row],[COOLANT TEMP '[Â°C']]]-Table3[[#This Row],[5805]]</f>
        <v>0</v>
      </c>
      <c r="AB753">
        <f>DataLog_T717420_Aug11_4_59_37pm[[#This Row],[BOOST '[BAR']]]-Table3[[#This Row],[58DD]]</f>
        <v>0</v>
      </c>
    </row>
    <row r="754" spans="2:28" x14ac:dyDescent="0.25">
      <c r="B754" s="2" t="s">
        <v>183</v>
      </c>
      <c r="C754" s="2" t="s">
        <v>30</v>
      </c>
      <c r="D754" s="2" t="s">
        <v>151</v>
      </c>
      <c r="E754" s="2" t="s">
        <v>93</v>
      </c>
      <c r="F754" s="2" t="s">
        <v>26</v>
      </c>
      <c r="G754" s="2" t="s">
        <v>96</v>
      </c>
      <c r="I754">
        <f>HEX2DEC(_0811_173439[[#This Row],[580C]])*B$4/B$5+B$6</f>
        <v>800</v>
      </c>
      <c r="J754">
        <f>HEX2DEC(_0811_173439[[#This Row],[4402]])*C$4/C$5+C$6</f>
        <v>36</v>
      </c>
      <c r="K754">
        <f>HEX2DEC(_0811_173439[[#This Row],[580F]])*D$4/D$5+D$6</f>
        <v>30</v>
      </c>
      <c r="L754">
        <f>ROUND(HEX2DEC(_0811_173439[[#This Row],[58F0]])*E$4/E$5+E$6,0)</f>
        <v>70</v>
      </c>
      <c r="M754">
        <f>ROUND(HEX2DEC(_0811_173439[[#This Row],[5805]])*F$4/F$5+F$6,0)</f>
        <v>42</v>
      </c>
      <c r="N754">
        <f>ROUND(HEX2DEC(_0811_173439[[#This Row],[58DD]])*G$4/G$5+G$6,2)</f>
        <v>-0.03</v>
      </c>
      <c r="P754">
        <v>800</v>
      </c>
      <c r="Q754">
        <v>36</v>
      </c>
      <c r="R754">
        <v>30</v>
      </c>
      <c r="S754">
        <v>70</v>
      </c>
      <c r="T754">
        <v>42</v>
      </c>
      <c r="U754">
        <v>-0.03</v>
      </c>
      <c r="W754">
        <f>DataLog_T717420_Aug11_4_59_37pm[[#This Row],[RPM '[1/MIN']]]-Table3[[#This Row],[580C]]</f>
        <v>0</v>
      </c>
      <c r="X754">
        <f>DataLog_T717420_Aug11_4_59_37pm[[#This Row],[OIL TEMP '[Â°C']]]-Table3[[#This Row],[4402]]</f>
        <v>0</v>
      </c>
      <c r="Y754">
        <f>DataLog_T717420_Aug11_4_59_37pm[[#This Row],[INTAKE TEMP '[Â°C']]]-Table3[[#This Row],[580F]]</f>
        <v>0</v>
      </c>
      <c r="Z754">
        <f>DataLog_T717420_Aug11_4_59_37pm[[#This Row],[HPFP PRES. '[BAR']]]-Table3[[#This Row],[58F0]]</f>
        <v>0</v>
      </c>
      <c r="AA754">
        <f>DataLog_T717420_Aug11_4_59_37pm[[#This Row],[COOLANT TEMP '[Â°C']]]-Table3[[#This Row],[5805]]</f>
        <v>0</v>
      </c>
      <c r="AB754">
        <f>DataLog_T717420_Aug11_4_59_37pm[[#This Row],[BOOST '[BAR']]]-Table3[[#This Row],[58DD]]</f>
        <v>0</v>
      </c>
    </row>
    <row r="755" spans="2:28" x14ac:dyDescent="0.25">
      <c r="B755" s="2" t="s">
        <v>183</v>
      </c>
      <c r="C755" s="2" t="s">
        <v>30</v>
      </c>
      <c r="D755" s="2" t="s">
        <v>151</v>
      </c>
      <c r="E755" s="2" t="s">
        <v>172</v>
      </c>
      <c r="F755" s="2" t="s">
        <v>26</v>
      </c>
      <c r="G755" s="2" t="s">
        <v>236</v>
      </c>
      <c r="I755">
        <f>HEX2DEC(_0811_173439[[#This Row],[580C]])*B$4/B$5+B$6</f>
        <v>800</v>
      </c>
      <c r="J755">
        <f>HEX2DEC(_0811_173439[[#This Row],[4402]])*C$4/C$5+C$6</f>
        <v>36</v>
      </c>
      <c r="K755">
        <f>HEX2DEC(_0811_173439[[#This Row],[580F]])*D$4/D$5+D$6</f>
        <v>30</v>
      </c>
      <c r="L755">
        <f>ROUND(HEX2DEC(_0811_173439[[#This Row],[58F0]])*E$4/E$5+E$6,0)</f>
        <v>70</v>
      </c>
      <c r="M755">
        <f>ROUND(HEX2DEC(_0811_173439[[#This Row],[5805]])*F$4/F$5+F$6,0)</f>
        <v>42</v>
      </c>
      <c r="N755">
        <f>ROUND(HEX2DEC(_0811_173439[[#This Row],[58DD]])*G$4/G$5+G$6,2)</f>
        <v>-0.03</v>
      </c>
      <c r="P755">
        <v>800</v>
      </c>
      <c r="Q755">
        <v>36</v>
      </c>
      <c r="R755">
        <v>30</v>
      </c>
      <c r="S755">
        <v>70</v>
      </c>
      <c r="T755">
        <v>42</v>
      </c>
      <c r="U755">
        <v>-0.03</v>
      </c>
      <c r="W755">
        <f>DataLog_T717420_Aug11_4_59_37pm[[#This Row],[RPM '[1/MIN']]]-Table3[[#This Row],[580C]]</f>
        <v>0</v>
      </c>
      <c r="X755">
        <f>DataLog_T717420_Aug11_4_59_37pm[[#This Row],[OIL TEMP '[Â°C']]]-Table3[[#This Row],[4402]]</f>
        <v>0</v>
      </c>
      <c r="Y755">
        <f>DataLog_T717420_Aug11_4_59_37pm[[#This Row],[INTAKE TEMP '[Â°C']]]-Table3[[#This Row],[580F]]</f>
        <v>0</v>
      </c>
      <c r="Z755">
        <f>DataLog_T717420_Aug11_4_59_37pm[[#This Row],[HPFP PRES. '[BAR']]]-Table3[[#This Row],[58F0]]</f>
        <v>0</v>
      </c>
      <c r="AA755">
        <f>DataLog_T717420_Aug11_4_59_37pm[[#This Row],[COOLANT TEMP '[Â°C']]]-Table3[[#This Row],[5805]]</f>
        <v>0</v>
      </c>
      <c r="AB755">
        <f>DataLog_T717420_Aug11_4_59_37pm[[#This Row],[BOOST '[BAR']]]-Table3[[#This Row],[58DD]]</f>
        <v>0</v>
      </c>
    </row>
    <row r="756" spans="2:28" x14ac:dyDescent="0.25">
      <c r="B756" s="2" t="s">
        <v>189</v>
      </c>
      <c r="C756" s="2" t="s">
        <v>30</v>
      </c>
      <c r="D756" s="2" t="s">
        <v>151</v>
      </c>
      <c r="E756" s="2" t="s">
        <v>93</v>
      </c>
      <c r="F756" s="2" t="s">
        <v>26</v>
      </c>
      <c r="G756" s="2" t="s">
        <v>191</v>
      </c>
      <c r="I756">
        <f>HEX2DEC(_0811_173439[[#This Row],[580C]])*B$4/B$5+B$6</f>
        <v>760</v>
      </c>
      <c r="J756">
        <f>HEX2DEC(_0811_173439[[#This Row],[4402]])*C$4/C$5+C$6</f>
        <v>36</v>
      </c>
      <c r="K756">
        <f>HEX2DEC(_0811_173439[[#This Row],[580F]])*D$4/D$5+D$6</f>
        <v>30</v>
      </c>
      <c r="L756">
        <f>ROUND(HEX2DEC(_0811_173439[[#This Row],[58F0]])*E$4/E$5+E$6,0)</f>
        <v>70</v>
      </c>
      <c r="M756">
        <f>ROUND(HEX2DEC(_0811_173439[[#This Row],[5805]])*F$4/F$5+F$6,0)</f>
        <v>42</v>
      </c>
      <c r="N756">
        <f>ROUND(HEX2DEC(_0811_173439[[#This Row],[58DD]])*G$4/G$5+G$6,2)</f>
        <v>-0.03</v>
      </c>
      <c r="P756">
        <v>760</v>
      </c>
      <c r="Q756">
        <v>36</v>
      </c>
      <c r="R756">
        <v>30</v>
      </c>
      <c r="S756">
        <v>70</v>
      </c>
      <c r="T756">
        <v>42</v>
      </c>
      <c r="U756">
        <v>-0.03</v>
      </c>
      <c r="W756">
        <f>DataLog_T717420_Aug11_4_59_37pm[[#This Row],[RPM '[1/MIN']]]-Table3[[#This Row],[580C]]</f>
        <v>0</v>
      </c>
      <c r="X756">
        <f>DataLog_T717420_Aug11_4_59_37pm[[#This Row],[OIL TEMP '[Â°C']]]-Table3[[#This Row],[4402]]</f>
        <v>0</v>
      </c>
      <c r="Y756">
        <f>DataLog_T717420_Aug11_4_59_37pm[[#This Row],[INTAKE TEMP '[Â°C']]]-Table3[[#This Row],[580F]]</f>
        <v>0</v>
      </c>
      <c r="Z756">
        <f>DataLog_T717420_Aug11_4_59_37pm[[#This Row],[HPFP PRES. '[BAR']]]-Table3[[#This Row],[58F0]]</f>
        <v>0</v>
      </c>
      <c r="AA756">
        <f>DataLog_T717420_Aug11_4_59_37pm[[#This Row],[COOLANT TEMP '[Â°C']]]-Table3[[#This Row],[5805]]</f>
        <v>0</v>
      </c>
      <c r="AB756">
        <f>DataLog_T717420_Aug11_4_59_37pm[[#This Row],[BOOST '[BAR']]]-Table3[[#This Row],[58DD]]</f>
        <v>0</v>
      </c>
    </row>
    <row r="757" spans="2:28" x14ac:dyDescent="0.25">
      <c r="B757" s="2" t="s">
        <v>189</v>
      </c>
      <c r="C757" s="2" t="s">
        <v>30</v>
      </c>
      <c r="D757" s="2" t="s">
        <v>151</v>
      </c>
      <c r="E757" s="2" t="s">
        <v>122</v>
      </c>
      <c r="F757" s="2" t="s">
        <v>26</v>
      </c>
      <c r="G757" s="2" t="s">
        <v>53</v>
      </c>
      <c r="I757">
        <f>HEX2DEC(_0811_173439[[#This Row],[580C]])*B$4/B$5+B$6</f>
        <v>760</v>
      </c>
      <c r="J757">
        <f>HEX2DEC(_0811_173439[[#This Row],[4402]])*C$4/C$5+C$6</f>
        <v>36</v>
      </c>
      <c r="K757">
        <f>HEX2DEC(_0811_173439[[#This Row],[580F]])*D$4/D$5+D$6</f>
        <v>30</v>
      </c>
      <c r="L757">
        <f>ROUND(HEX2DEC(_0811_173439[[#This Row],[58F0]])*E$4/E$5+E$6,0)</f>
        <v>71</v>
      </c>
      <c r="M757">
        <f>ROUND(HEX2DEC(_0811_173439[[#This Row],[5805]])*F$4/F$5+F$6,0)</f>
        <v>42</v>
      </c>
      <c r="N757">
        <f>ROUND(HEX2DEC(_0811_173439[[#This Row],[58DD]])*G$4/G$5+G$6,2)</f>
        <v>-0.03</v>
      </c>
      <c r="P757">
        <v>760</v>
      </c>
      <c r="Q757">
        <v>36</v>
      </c>
      <c r="R757">
        <v>30</v>
      </c>
      <c r="S757">
        <v>71</v>
      </c>
      <c r="T757">
        <v>42</v>
      </c>
      <c r="U757">
        <v>-0.03</v>
      </c>
      <c r="W757">
        <f>DataLog_T717420_Aug11_4_59_37pm[[#This Row],[RPM '[1/MIN']]]-Table3[[#This Row],[580C]]</f>
        <v>0</v>
      </c>
      <c r="X757">
        <f>DataLog_T717420_Aug11_4_59_37pm[[#This Row],[OIL TEMP '[Â°C']]]-Table3[[#This Row],[4402]]</f>
        <v>0</v>
      </c>
      <c r="Y757">
        <f>DataLog_T717420_Aug11_4_59_37pm[[#This Row],[INTAKE TEMP '[Â°C']]]-Table3[[#This Row],[580F]]</f>
        <v>0</v>
      </c>
      <c r="Z757">
        <f>DataLog_T717420_Aug11_4_59_37pm[[#This Row],[HPFP PRES. '[BAR']]]-Table3[[#This Row],[58F0]]</f>
        <v>0</v>
      </c>
      <c r="AA757">
        <f>DataLog_T717420_Aug11_4_59_37pm[[#This Row],[COOLANT TEMP '[Â°C']]]-Table3[[#This Row],[5805]]</f>
        <v>0</v>
      </c>
      <c r="AB757">
        <f>DataLog_T717420_Aug11_4_59_37pm[[#This Row],[BOOST '[BAR']]]-Table3[[#This Row],[58DD]]</f>
        <v>0</v>
      </c>
    </row>
    <row r="758" spans="2:28" x14ac:dyDescent="0.25">
      <c r="B758" s="2" t="s">
        <v>183</v>
      </c>
      <c r="C758" s="2" t="s">
        <v>30</v>
      </c>
      <c r="D758" s="2" t="s">
        <v>151</v>
      </c>
      <c r="E758" s="2" t="s">
        <v>125</v>
      </c>
      <c r="F758" s="2" t="s">
        <v>26</v>
      </c>
      <c r="G758" s="2" t="s">
        <v>216</v>
      </c>
      <c r="I758">
        <f>HEX2DEC(_0811_173439[[#This Row],[580C]])*B$4/B$5+B$6</f>
        <v>800</v>
      </c>
      <c r="J758">
        <f>HEX2DEC(_0811_173439[[#This Row],[4402]])*C$4/C$5+C$6</f>
        <v>36</v>
      </c>
      <c r="K758">
        <f>HEX2DEC(_0811_173439[[#This Row],[580F]])*D$4/D$5+D$6</f>
        <v>30</v>
      </c>
      <c r="L758">
        <f>ROUND(HEX2DEC(_0811_173439[[#This Row],[58F0]])*E$4/E$5+E$6,0)</f>
        <v>70</v>
      </c>
      <c r="M758">
        <f>ROUND(HEX2DEC(_0811_173439[[#This Row],[5805]])*F$4/F$5+F$6,0)</f>
        <v>42</v>
      </c>
      <c r="N758">
        <f>ROUND(HEX2DEC(_0811_173439[[#This Row],[58DD]])*G$4/G$5+G$6,2)</f>
        <v>-0.03</v>
      </c>
      <c r="P758">
        <v>800</v>
      </c>
      <c r="Q758">
        <v>36</v>
      </c>
      <c r="R758">
        <v>30</v>
      </c>
      <c r="S758">
        <v>70</v>
      </c>
      <c r="T758">
        <v>42</v>
      </c>
      <c r="U758">
        <v>-0.03</v>
      </c>
      <c r="W758">
        <f>DataLog_T717420_Aug11_4_59_37pm[[#This Row],[RPM '[1/MIN']]]-Table3[[#This Row],[580C]]</f>
        <v>0</v>
      </c>
      <c r="X758">
        <f>DataLog_T717420_Aug11_4_59_37pm[[#This Row],[OIL TEMP '[Â°C']]]-Table3[[#This Row],[4402]]</f>
        <v>0</v>
      </c>
      <c r="Y758">
        <f>DataLog_T717420_Aug11_4_59_37pm[[#This Row],[INTAKE TEMP '[Â°C']]]-Table3[[#This Row],[580F]]</f>
        <v>0</v>
      </c>
      <c r="Z758">
        <f>DataLog_T717420_Aug11_4_59_37pm[[#This Row],[HPFP PRES. '[BAR']]]-Table3[[#This Row],[58F0]]</f>
        <v>0</v>
      </c>
      <c r="AA758">
        <f>DataLog_T717420_Aug11_4_59_37pm[[#This Row],[COOLANT TEMP '[Â°C']]]-Table3[[#This Row],[5805]]</f>
        <v>0</v>
      </c>
      <c r="AB758">
        <f>DataLog_T717420_Aug11_4_59_37pm[[#This Row],[BOOST '[BAR']]]-Table3[[#This Row],[58DD]]</f>
        <v>0</v>
      </c>
    </row>
    <row r="759" spans="2:28" x14ac:dyDescent="0.25">
      <c r="B759" s="2" t="s">
        <v>183</v>
      </c>
      <c r="C759" s="2" t="s">
        <v>30</v>
      </c>
      <c r="D759" s="2" t="s">
        <v>151</v>
      </c>
      <c r="E759" s="2" t="s">
        <v>93</v>
      </c>
      <c r="F759" s="2" t="s">
        <v>26</v>
      </c>
      <c r="G759" s="2" t="s">
        <v>90</v>
      </c>
      <c r="I759">
        <f>HEX2DEC(_0811_173439[[#This Row],[580C]])*B$4/B$5+B$6</f>
        <v>800</v>
      </c>
      <c r="J759">
        <f>HEX2DEC(_0811_173439[[#This Row],[4402]])*C$4/C$5+C$6</f>
        <v>36</v>
      </c>
      <c r="K759">
        <f>HEX2DEC(_0811_173439[[#This Row],[580F]])*D$4/D$5+D$6</f>
        <v>30</v>
      </c>
      <c r="L759">
        <f>ROUND(HEX2DEC(_0811_173439[[#This Row],[58F0]])*E$4/E$5+E$6,0)</f>
        <v>70</v>
      </c>
      <c r="M759">
        <f>ROUND(HEX2DEC(_0811_173439[[#This Row],[5805]])*F$4/F$5+F$6,0)</f>
        <v>42</v>
      </c>
      <c r="N759">
        <f>ROUND(HEX2DEC(_0811_173439[[#This Row],[58DD]])*G$4/G$5+G$6,2)</f>
        <v>-0.03</v>
      </c>
      <c r="P759">
        <v>800</v>
      </c>
      <c r="Q759">
        <v>36</v>
      </c>
      <c r="R759">
        <v>30</v>
      </c>
      <c r="S759">
        <v>70</v>
      </c>
      <c r="T759">
        <v>42</v>
      </c>
      <c r="U759">
        <v>-0.03</v>
      </c>
      <c r="W759">
        <f>DataLog_T717420_Aug11_4_59_37pm[[#This Row],[RPM '[1/MIN']]]-Table3[[#This Row],[580C]]</f>
        <v>0</v>
      </c>
      <c r="X759">
        <f>DataLog_T717420_Aug11_4_59_37pm[[#This Row],[OIL TEMP '[Â°C']]]-Table3[[#This Row],[4402]]</f>
        <v>0</v>
      </c>
      <c r="Y759">
        <f>DataLog_T717420_Aug11_4_59_37pm[[#This Row],[INTAKE TEMP '[Â°C']]]-Table3[[#This Row],[580F]]</f>
        <v>0</v>
      </c>
      <c r="Z759">
        <f>DataLog_T717420_Aug11_4_59_37pm[[#This Row],[HPFP PRES. '[BAR']]]-Table3[[#This Row],[58F0]]</f>
        <v>0</v>
      </c>
      <c r="AA759">
        <f>DataLog_T717420_Aug11_4_59_37pm[[#This Row],[COOLANT TEMP '[Â°C']]]-Table3[[#This Row],[5805]]</f>
        <v>0</v>
      </c>
      <c r="AB759">
        <f>DataLog_T717420_Aug11_4_59_37pm[[#This Row],[BOOST '[BAR']]]-Table3[[#This Row],[58DD]]</f>
        <v>0</v>
      </c>
    </row>
    <row r="760" spans="2:28" x14ac:dyDescent="0.25">
      <c r="B760" s="2" t="s">
        <v>183</v>
      </c>
      <c r="C760" s="2" t="s">
        <v>30</v>
      </c>
      <c r="D760" s="2" t="s">
        <v>151</v>
      </c>
      <c r="E760" s="2" t="s">
        <v>93</v>
      </c>
      <c r="F760" s="2" t="s">
        <v>26</v>
      </c>
      <c r="G760" s="2" t="s">
        <v>216</v>
      </c>
      <c r="I760">
        <f>HEX2DEC(_0811_173439[[#This Row],[580C]])*B$4/B$5+B$6</f>
        <v>800</v>
      </c>
      <c r="J760">
        <f>HEX2DEC(_0811_173439[[#This Row],[4402]])*C$4/C$5+C$6</f>
        <v>36</v>
      </c>
      <c r="K760">
        <f>HEX2DEC(_0811_173439[[#This Row],[580F]])*D$4/D$5+D$6</f>
        <v>30</v>
      </c>
      <c r="L760">
        <f>ROUND(HEX2DEC(_0811_173439[[#This Row],[58F0]])*E$4/E$5+E$6,0)</f>
        <v>70</v>
      </c>
      <c r="M760">
        <f>ROUND(HEX2DEC(_0811_173439[[#This Row],[5805]])*F$4/F$5+F$6,0)</f>
        <v>42</v>
      </c>
      <c r="N760">
        <f>ROUND(HEX2DEC(_0811_173439[[#This Row],[58DD]])*G$4/G$5+G$6,2)</f>
        <v>-0.03</v>
      </c>
      <c r="P760">
        <v>800</v>
      </c>
      <c r="Q760">
        <v>36</v>
      </c>
      <c r="R760">
        <v>30</v>
      </c>
      <c r="S760">
        <v>70</v>
      </c>
      <c r="T760">
        <v>42</v>
      </c>
      <c r="U760">
        <v>-0.03</v>
      </c>
      <c r="W760">
        <f>DataLog_T717420_Aug11_4_59_37pm[[#This Row],[RPM '[1/MIN']]]-Table3[[#This Row],[580C]]</f>
        <v>0</v>
      </c>
      <c r="X760">
        <f>DataLog_T717420_Aug11_4_59_37pm[[#This Row],[OIL TEMP '[Â°C']]]-Table3[[#This Row],[4402]]</f>
        <v>0</v>
      </c>
      <c r="Y760">
        <f>DataLog_T717420_Aug11_4_59_37pm[[#This Row],[INTAKE TEMP '[Â°C']]]-Table3[[#This Row],[580F]]</f>
        <v>0</v>
      </c>
      <c r="Z760">
        <f>DataLog_T717420_Aug11_4_59_37pm[[#This Row],[HPFP PRES. '[BAR']]]-Table3[[#This Row],[58F0]]</f>
        <v>0</v>
      </c>
      <c r="AA760">
        <f>DataLog_T717420_Aug11_4_59_37pm[[#This Row],[COOLANT TEMP '[Â°C']]]-Table3[[#This Row],[5805]]</f>
        <v>0</v>
      </c>
      <c r="AB760">
        <f>DataLog_T717420_Aug11_4_59_37pm[[#This Row],[BOOST '[BAR']]]-Table3[[#This Row],[58DD]]</f>
        <v>0</v>
      </c>
    </row>
    <row r="761" spans="2:28" x14ac:dyDescent="0.25">
      <c r="B761" s="2" t="s">
        <v>183</v>
      </c>
      <c r="C761" s="2" t="s">
        <v>30</v>
      </c>
      <c r="D761" s="2" t="s">
        <v>151</v>
      </c>
      <c r="E761" s="2" t="s">
        <v>153</v>
      </c>
      <c r="F761" s="2" t="s">
        <v>26</v>
      </c>
      <c r="G761" s="2" t="s">
        <v>236</v>
      </c>
      <c r="I761">
        <f>HEX2DEC(_0811_173439[[#This Row],[580C]])*B$4/B$5+B$6</f>
        <v>800</v>
      </c>
      <c r="J761">
        <f>HEX2DEC(_0811_173439[[#This Row],[4402]])*C$4/C$5+C$6</f>
        <v>36</v>
      </c>
      <c r="K761">
        <f>HEX2DEC(_0811_173439[[#This Row],[580F]])*D$4/D$5+D$6</f>
        <v>30</v>
      </c>
      <c r="L761">
        <f>ROUND(HEX2DEC(_0811_173439[[#This Row],[58F0]])*E$4/E$5+E$6,0)</f>
        <v>70</v>
      </c>
      <c r="M761">
        <f>ROUND(HEX2DEC(_0811_173439[[#This Row],[5805]])*F$4/F$5+F$6,0)</f>
        <v>42</v>
      </c>
      <c r="N761">
        <f>ROUND(HEX2DEC(_0811_173439[[#This Row],[58DD]])*G$4/G$5+G$6,2)</f>
        <v>-0.03</v>
      </c>
      <c r="P761">
        <v>800</v>
      </c>
      <c r="Q761">
        <v>36</v>
      </c>
      <c r="R761">
        <v>30</v>
      </c>
      <c r="S761">
        <v>70</v>
      </c>
      <c r="T761">
        <v>42</v>
      </c>
      <c r="U761">
        <v>-0.03</v>
      </c>
      <c r="W761">
        <f>DataLog_T717420_Aug11_4_59_37pm[[#This Row],[RPM '[1/MIN']]]-Table3[[#This Row],[580C]]</f>
        <v>0</v>
      </c>
      <c r="X761">
        <f>DataLog_T717420_Aug11_4_59_37pm[[#This Row],[OIL TEMP '[Â°C']]]-Table3[[#This Row],[4402]]</f>
        <v>0</v>
      </c>
      <c r="Y761">
        <f>DataLog_T717420_Aug11_4_59_37pm[[#This Row],[INTAKE TEMP '[Â°C']]]-Table3[[#This Row],[580F]]</f>
        <v>0</v>
      </c>
      <c r="Z761">
        <f>DataLog_T717420_Aug11_4_59_37pm[[#This Row],[HPFP PRES. '[BAR']]]-Table3[[#This Row],[58F0]]</f>
        <v>0</v>
      </c>
      <c r="AA761">
        <f>DataLog_T717420_Aug11_4_59_37pm[[#This Row],[COOLANT TEMP '[Â°C']]]-Table3[[#This Row],[5805]]</f>
        <v>0</v>
      </c>
      <c r="AB761">
        <f>DataLog_T717420_Aug11_4_59_37pm[[#This Row],[BOOST '[BAR']]]-Table3[[#This Row],[58DD]]</f>
        <v>0</v>
      </c>
    </row>
    <row r="762" spans="2:28" x14ac:dyDescent="0.25">
      <c r="B762" s="2" t="s">
        <v>189</v>
      </c>
      <c r="C762" s="2" t="s">
        <v>30</v>
      </c>
      <c r="D762" s="2" t="s">
        <v>151</v>
      </c>
      <c r="E762" s="2" t="s">
        <v>127</v>
      </c>
      <c r="F762" s="2" t="s">
        <v>26</v>
      </c>
      <c r="G762" s="2" t="s">
        <v>216</v>
      </c>
      <c r="I762">
        <f>HEX2DEC(_0811_173439[[#This Row],[580C]])*B$4/B$5+B$6</f>
        <v>760</v>
      </c>
      <c r="J762">
        <f>HEX2DEC(_0811_173439[[#This Row],[4402]])*C$4/C$5+C$6</f>
        <v>36</v>
      </c>
      <c r="K762">
        <f>HEX2DEC(_0811_173439[[#This Row],[580F]])*D$4/D$5+D$6</f>
        <v>30</v>
      </c>
      <c r="L762">
        <f>ROUND(HEX2DEC(_0811_173439[[#This Row],[58F0]])*E$4/E$5+E$6,0)</f>
        <v>70</v>
      </c>
      <c r="M762">
        <f>ROUND(HEX2DEC(_0811_173439[[#This Row],[5805]])*F$4/F$5+F$6,0)</f>
        <v>42</v>
      </c>
      <c r="N762">
        <f>ROUND(HEX2DEC(_0811_173439[[#This Row],[58DD]])*G$4/G$5+G$6,2)</f>
        <v>-0.03</v>
      </c>
      <c r="P762">
        <v>760</v>
      </c>
      <c r="Q762">
        <v>36</v>
      </c>
      <c r="R762">
        <v>30</v>
      </c>
      <c r="S762">
        <v>70</v>
      </c>
      <c r="T762">
        <v>42</v>
      </c>
      <c r="U762">
        <v>-0.03</v>
      </c>
      <c r="W762">
        <f>DataLog_T717420_Aug11_4_59_37pm[[#This Row],[RPM '[1/MIN']]]-Table3[[#This Row],[580C]]</f>
        <v>0</v>
      </c>
      <c r="X762">
        <f>DataLog_T717420_Aug11_4_59_37pm[[#This Row],[OIL TEMP '[Â°C']]]-Table3[[#This Row],[4402]]</f>
        <v>0</v>
      </c>
      <c r="Y762">
        <f>DataLog_T717420_Aug11_4_59_37pm[[#This Row],[INTAKE TEMP '[Â°C']]]-Table3[[#This Row],[580F]]</f>
        <v>0</v>
      </c>
      <c r="Z762">
        <f>DataLog_T717420_Aug11_4_59_37pm[[#This Row],[HPFP PRES. '[BAR']]]-Table3[[#This Row],[58F0]]</f>
        <v>0</v>
      </c>
      <c r="AA762">
        <f>DataLog_T717420_Aug11_4_59_37pm[[#This Row],[COOLANT TEMP '[Â°C']]]-Table3[[#This Row],[5805]]</f>
        <v>0</v>
      </c>
      <c r="AB762">
        <f>DataLog_T717420_Aug11_4_59_37pm[[#This Row],[BOOST '[BAR']]]-Table3[[#This Row],[58DD]]</f>
        <v>0</v>
      </c>
    </row>
    <row r="763" spans="2:28" x14ac:dyDescent="0.25">
      <c r="B763" s="2" t="s">
        <v>183</v>
      </c>
      <c r="C763" s="2" t="s">
        <v>30</v>
      </c>
      <c r="D763" s="2" t="s">
        <v>151</v>
      </c>
      <c r="E763" s="2" t="s">
        <v>93</v>
      </c>
      <c r="F763" s="2" t="s">
        <v>26</v>
      </c>
      <c r="G763" s="2" t="s">
        <v>190</v>
      </c>
      <c r="I763">
        <f>HEX2DEC(_0811_173439[[#This Row],[580C]])*B$4/B$5+B$6</f>
        <v>800</v>
      </c>
      <c r="J763">
        <f>HEX2DEC(_0811_173439[[#This Row],[4402]])*C$4/C$5+C$6</f>
        <v>36</v>
      </c>
      <c r="K763">
        <f>HEX2DEC(_0811_173439[[#This Row],[580F]])*D$4/D$5+D$6</f>
        <v>30</v>
      </c>
      <c r="L763">
        <f>ROUND(HEX2DEC(_0811_173439[[#This Row],[58F0]])*E$4/E$5+E$6,0)</f>
        <v>70</v>
      </c>
      <c r="M763">
        <f>ROUND(HEX2DEC(_0811_173439[[#This Row],[5805]])*F$4/F$5+F$6,0)</f>
        <v>42</v>
      </c>
      <c r="N763">
        <f>ROUND(HEX2DEC(_0811_173439[[#This Row],[58DD]])*G$4/G$5+G$6,2)</f>
        <v>-0.03</v>
      </c>
      <c r="P763">
        <v>800</v>
      </c>
      <c r="Q763">
        <v>36</v>
      </c>
      <c r="R763">
        <v>30</v>
      </c>
      <c r="S763">
        <v>70</v>
      </c>
      <c r="T763">
        <v>42</v>
      </c>
      <c r="U763">
        <v>-0.03</v>
      </c>
      <c r="W763">
        <f>DataLog_T717420_Aug11_4_59_37pm[[#This Row],[RPM '[1/MIN']]]-Table3[[#This Row],[580C]]</f>
        <v>0</v>
      </c>
      <c r="X763">
        <f>DataLog_T717420_Aug11_4_59_37pm[[#This Row],[OIL TEMP '[Â°C']]]-Table3[[#This Row],[4402]]</f>
        <v>0</v>
      </c>
      <c r="Y763">
        <f>DataLog_T717420_Aug11_4_59_37pm[[#This Row],[INTAKE TEMP '[Â°C']]]-Table3[[#This Row],[580F]]</f>
        <v>0</v>
      </c>
      <c r="Z763">
        <f>DataLog_T717420_Aug11_4_59_37pm[[#This Row],[HPFP PRES. '[BAR']]]-Table3[[#This Row],[58F0]]</f>
        <v>0</v>
      </c>
      <c r="AA763">
        <f>DataLog_T717420_Aug11_4_59_37pm[[#This Row],[COOLANT TEMP '[Â°C']]]-Table3[[#This Row],[5805]]</f>
        <v>0</v>
      </c>
      <c r="AB763">
        <f>DataLog_T717420_Aug11_4_59_37pm[[#This Row],[BOOST '[BAR']]]-Table3[[#This Row],[58DD]]</f>
        <v>0</v>
      </c>
    </row>
    <row r="764" spans="2:28" x14ac:dyDescent="0.25">
      <c r="B764" s="2" t="s">
        <v>183</v>
      </c>
      <c r="C764" s="2" t="s">
        <v>30</v>
      </c>
      <c r="D764" s="2" t="s">
        <v>151</v>
      </c>
      <c r="E764" s="2" t="s">
        <v>153</v>
      </c>
      <c r="F764" s="2" t="s">
        <v>26</v>
      </c>
      <c r="G764" s="2" t="s">
        <v>53</v>
      </c>
      <c r="I764">
        <f>HEX2DEC(_0811_173439[[#This Row],[580C]])*B$4/B$5+B$6</f>
        <v>800</v>
      </c>
      <c r="J764">
        <f>HEX2DEC(_0811_173439[[#This Row],[4402]])*C$4/C$5+C$6</f>
        <v>36</v>
      </c>
      <c r="K764">
        <f>HEX2DEC(_0811_173439[[#This Row],[580F]])*D$4/D$5+D$6</f>
        <v>30</v>
      </c>
      <c r="L764">
        <f>ROUND(HEX2DEC(_0811_173439[[#This Row],[58F0]])*E$4/E$5+E$6,0)</f>
        <v>70</v>
      </c>
      <c r="M764">
        <f>ROUND(HEX2DEC(_0811_173439[[#This Row],[5805]])*F$4/F$5+F$6,0)</f>
        <v>42</v>
      </c>
      <c r="N764">
        <f>ROUND(HEX2DEC(_0811_173439[[#This Row],[58DD]])*G$4/G$5+G$6,2)</f>
        <v>-0.03</v>
      </c>
      <c r="P764">
        <v>800</v>
      </c>
      <c r="Q764">
        <v>36</v>
      </c>
      <c r="R764">
        <v>30</v>
      </c>
      <c r="S764">
        <v>70</v>
      </c>
      <c r="T764">
        <v>42</v>
      </c>
      <c r="U764">
        <v>-0.03</v>
      </c>
      <c r="W764">
        <f>DataLog_T717420_Aug11_4_59_37pm[[#This Row],[RPM '[1/MIN']]]-Table3[[#This Row],[580C]]</f>
        <v>0</v>
      </c>
      <c r="X764">
        <f>DataLog_T717420_Aug11_4_59_37pm[[#This Row],[OIL TEMP '[Â°C']]]-Table3[[#This Row],[4402]]</f>
        <v>0</v>
      </c>
      <c r="Y764">
        <f>DataLog_T717420_Aug11_4_59_37pm[[#This Row],[INTAKE TEMP '[Â°C']]]-Table3[[#This Row],[580F]]</f>
        <v>0</v>
      </c>
      <c r="Z764">
        <f>DataLog_T717420_Aug11_4_59_37pm[[#This Row],[HPFP PRES. '[BAR']]]-Table3[[#This Row],[58F0]]</f>
        <v>0</v>
      </c>
      <c r="AA764">
        <f>DataLog_T717420_Aug11_4_59_37pm[[#This Row],[COOLANT TEMP '[Â°C']]]-Table3[[#This Row],[5805]]</f>
        <v>0</v>
      </c>
      <c r="AB764">
        <f>DataLog_T717420_Aug11_4_59_37pm[[#This Row],[BOOST '[BAR']]]-Table3[[#This Row],[58DD]]</f>
        <v>0</v>
      </c>
    </row>
    <row r="765" spans="2:28" x14ac:dyDescent="0.25">
      <c r="B765" s="2" t="s">
        <v>183</v>
      </c>
      <c r="C765" s="2" t="s">
        <v>30</v>
      </c>
      <c r="D765" s="2" t="s">
        <v>151</v>
      </c>
      <c r="E765" s="2" t="s">
        <v>127</v>
      </c>
      <c r="F765" s="2" t="s">
        <v>26</v>
      </c>
      <c r="G765" s="2" t="s">
        <v>191</v>
      </c>
      <c r="I765">
        <f>HEX2DEC(_0811_173439[[#This Row],[580C]])*B$4/B$5+B$6</f>
        <v>800</v>
      </c>
      <c r="J765">
        <f>HEX2DEC(_0811_173439[[#This Row],[4402]])*C$4/C$5+C$6</f>
        <v>36</v>
      </c>
      <c r="K765">
        <f>HEX2DEC(_0811_173439[[#This Row],[580F]])*D$4/D$5+D$6</f>
        <v>30</v>
      </c>
      <c r="L765">
        <f>ROUND(HEX2DEC(_0811_173439[[#This Row],[58F0]])*E$4/E$5+E$6,0)</f>
        <v>70</v>
      </c>
      <c r="M765">
        <f>ROUND(HEX2DEC(_0811_173439[[#This Row],[5805]])*F$4/F$5+F$6,0)</f>
        <v>42</v>
      </c>
      <c r="N765">
        <f>ROUND(HEX2DEC(_0811_173439[[#This Row],[58DD]])*G$4/G$5+G$6,2)</f>
        <v>-0.03</v>
      </c>
      <c r="P765">
        <v>800</v>
      </c>
      <c r="Q765">
        <v>36</v>
      </c>
      <c r="R765">
        <v>30</v>
      </c>
      <c r="S765">
        <v>70</v>
      </c>
      <c r="T765">
        <v>42</v>
      </c>
      <c r="U765">
        <v>-0.03</v>
      </c>
      <c r="W765">
        <f>DataLog_T717420_Aug11_4_59_37pm[[#This Row],[RPM '[1/MIN']]]-Table3[[#This Row],[580C]]</f>
        <v>0</v>
      </c>
      <c r="X765">
        <f>DataLog_T717420_Aug11_4_59_37pm[[#This Row],[OIL TEMP '[Â°C']]]-Table3[[#This Row],[4402]]</f>
        <v>0</v>
      </c>
      <c r="Y765">
        <f>DataLog_T717420_Aug11_4_59_37pm[[#This Row],[INTAKE TEMP '[Â°C']]]-Table3[[#This Row],[580F]]</f>
        <v>0</v>
      </c>
      <c r="Z765">
        <f>DataLog_T717420_Aug11_4_59_37pm[[#This Row],[HPFP PRES. '[BAR']]]-Table3[[#This Row],[58F0]]</f>
        <v>0</v>
      </c>
      <c r="AA765">
        <f>DataLog_T717420_Aug11_4_59_37pm[[#This Row],[COOLANT TEMP '[Â°C']]]-Table3[[#This Row],[5805]]</f>
        <v>0</v>
      </c>
      <c r="AB765">
        <f>DataLog_T717420_Aug11_4_59_37pm[[#This Row],[BOOST '[BAR']]]-Table3[[#This Row],[58DD]]</f>
        <v>0</v>
      </c>
    </row>
    <row r="766" spans="2:28" x14ac:dyDescent="0.25">
      <c r="B766" s="2" t="s">
        <v>183</v>
      </c>
      <c r="C766" s="2" t="s">
        <v>30</v>
      </c>
      <c r="D766" s="2" t="s">
        <v>151</v>
      </c>
      <c r="E766" s="2" t="s">
        <v>93</v>
      </c>
      <c r="F766" s="2" t="s">
        <v>26</v>
      </c>
      <c r="G766" s="2" t="s">
        <v>190</v>
      </c>
      <c r="I766">
        <f>HEX2DEC(_0811_173439[[#This Row],[580C]])*B$4/B$5+B$6</f>
        <v>800</v>
      </c>
      <c r="J766">
        <f>HEX2DEC(_0811_173439[[#This Row],[4402]])*C$4/C$5+C$6</f>
        <v>36</v>
      </c>
      <c r="K766">
        <f>HEX2DEC(_0811_173439[[#This Row],[580F]])*D$4/D$5+D$6</f>
        <v>30</v>
      </c>
      <c r="L766">
        <f>ROUND(HEX2DEC(_0811_173439[[#This Row],[58F0]])*E$4/E$5+E$6,0)</f>
        <v>70</v>
      </c>
      <c r="M766">
        <f>ROUND(HEX2DEC(_0811_173439[[#This Row],[5805]])*F$4/F$5+F$6,0)</f>
        <v>42</v>
      </c>
      <c r="N766">
        <f>ROUND(HEX2DEC(_0811_173439[[#This Row],[58DD]])*G$4/G$5+G$6,2)</f>
        <v>-0.03</v>
      </c>
      <c r="P766">
        <v>800</v>
      </c>
      <c r="Q766">
        <v>36</v>
      </c>
      <c r="R766">
        <v>30</v>
      </c>
      <c r="S766">
        <v>70</v>
      </c>
      <c r="T766">
        <v>42</v>
      </c>
      <c r="U766">
        <v>-0.03</v>
      </c>
      <c r="W766">
        <f>DataLog_T717420_Aug11_4_59_37pm[[#This Row],[RPM '[1/MIN']]]-Table3[[#This Row],[580C]]</f>
        <v>0</v>
      </c>
      <c r="X766">
        <f>DataLog_T717420_Aug11_4_59_37pm[[#This Row],[OIL TEMP '[Â°C']]]-Table3[[#This Row],[4402]]</f>
        <v>0</v>
      </c>
      <c r="Y766">
        <f>DataLog_T717420_Aug11_4_59_37pm[[#This Row],[INTAKE TEMP '[Â°C']]]-Table3[[#This Row],[580F]]</f>
        <v>0</v>
      </c>
      <c r="Z766">
        <f>DataLog_T717420_Aug11_4_59_37pm[[#This Row],[HPFP PRES. '[BAR']]]-Table3[[#This Row],[58F0]]</f>
        <v>0</v>
      </c>
      <c r="AA766">
        <f>DataLog_T717420_Aug11_4_59_37pm[[#This Row],[COOLANT TEMP '[Â°C']]]-Table3[[#This Row],[5805]]</f>
        <v>0</v>
      </c>
      <c r="AB766">
        <f>DataLog_T717420_Aug11_4_59_37pm[[#This Row],[BOOST '[BAR']]]-Table3[[#This Row],[58DD]]</f>
        <v>0</v>
      </c>
    </row>
    <row r="767" spans="2:28" x14ac:dyDescent="0.25">
      <c r="B767" s="2" t="s">
        <v>183</v>
      </c>
      <c r="C767" s="2" t="s">
        <v>30</v>
      </c>
      <c r="D767" s="2" t="s">
        <v>151</v>
      </c>
      <c r="E767" s="2" t="s">
        <v>148</v>
      </c>
      <c r="F767" s="2" t="s">
        <v>26</v>
      </c>
      <c r="G767" s="2" t="s">
        <v>90</v>
      </c>
      <c r="I767">
        <f>HEX2DEC(_0811_173439[[#This Row],[580C]])*B$4/B$5+B$6</f>
        <v>800</v>
      </c>
      <c r="J767">
        <f>HEX2DEC(_0811_173439[[#This Row],[4402]])*C$4/C$5+C$6</f>
        <v>36</v>
      </c>
      <c r="K767">
        <f>HEX2DEC(_0811_173439[[#This Row],[580F]])*D$4/D$5+D$6</f>
        <v>30</v>
      </c>
      <c r="L767">
        <f>ROUND(HEX2DEC(_0811_173439[[#This Row],[58F0]])*E$4/E$5+E$6,0)</f>
        <v>70</v>
      </c>
      <c r="M767">
        <f>ROUND(HEX2DEC(_0811_173439[[#This Row],[5805]])*F$4/F$5+F$6,0)</f>
        <v>42</v>
      </c>
      <c r="N767">
        <f>ROUND(HEX2DEC(_0811_173439[[#This Row],[58DD]])*G$4/G$5+G$6,2)</f>
        <v>-0.03</v>
      </c>
      <c r="P767">
        <v>800</v>
      </c>
      <c r="Q767">
        <v>36</v>
      </c>
      <c r="R767">
        <v>30</v>
      </c>
      <c r="S767">
        <v>70</v>
      </c>
      <c r="T767">
        <v>42</v>
      </c>
      <c r="U767">
        <v>-0.03</v>
      </c>
      <c r="W767">
        <f>DataLog_T717420_Aug11_4_59_37pm[[#This Row],[RPM '[1/MIN']]]-Table3[[#This Row],[580C]]</f>
        <v>0</v>
      </c>
      <c r="X767">
        <f>DataLog_T717420_Aug11_4_59_37pm[[#This Row],[OIL TEMP '[Â°C']]]-Table3[[#This Row],[4402]]</f>
        <v>0</v>
      </c>
      <c r="Y767">
        <f>DataLog_T717420_Aug11_4_59_37pm[[#This Row],[INTAKE TEMP '[Â°C']]]-Table3[[#This Row],[580F]]</f>
        <v>0</v>
      </c>
      <c r="Z767">
        <f>DataLog_T717420_Aug11_4_59_37pm[[#This Row],[HPFP PRES. '[BAR']]]-Table3[[#This Row],[58F0]]</f>
        <v>0</v>
      </c>
      <c r="AA767">
        <f>DataLog_T717420_Aug11_4_59_37pm[[#This Row],[COOLANT TEMP '[Â°C']]]-Table3[[#This Row],[5805]]</f>
        <v>0</v>
      </c>
      <c r="AB767">
        <f>DataLog_T717420_Aug11_4_59_37pm[[#This Row],[BOOST '[BAR']]]-Table3[[#This Row],[58DD]]</f>
        <v>0</v>
      </c>
    </row>
    <row r="768" spans="2:28" x14ac:dyDescent="0.25">
      <c r="B768" s="2" t="s">
        <v>189</v>
      </c>
      <c r="C768" s="2" t="s">
        <v>30</v>
      </c>
      <c r="D768" s="2" t="s">
        <v>151</v>
      </c>
      <c r="E768" s="2" t="s">
        <v>152</v>
      </c>
      <c r="F768" s="2" t="s">
        <v>26</v>
      </c>
      <c r="G768" s="2" t="s">
        <v>216</v>
      </c>
      <c r="I768">
        <f>HEX2DEC(_0811_173439[[#This Row],[580C]])*B$4/B$5+B$6</f>
        <v>760</v>
      </c>
      <c r="J768">
        <f>HEX2DEC(_0811_173439[[#This Row],[4402]])*C$4/C$5+C$6</f>
        <v>36</v>
      </c>
      <c r="K768">
        <f>HEX2DEC(_0811_173439[[#This Row],[580F]])*D$4/D$5+D$6</f>
        <v>30</v>
      </c>
      <c r="L768">
        <f>ROUND(HEX2DEC(_0811_173439[[#This Row],[58F0]])*E$4/E$5+E$6,0)</f>
        <v>70</v>
      </c>
      <c r="M768">
        <f>ROUND(HEX2DEC(_0811_173439[[#This Row],[5805]])*F$4/F$5+F$6,0)</f>
        <v>42</v>
      </c>
      <c r="N768">
        <f>ROUND(HEX2DEC(_0811_173439[[#This Row],[58DD]])*G$4/G$5+G$6,2)</f>
        <v>-0.03</v>
      </c>
      <c r="P768">
        <v>760</v>
      </c>
      <c r="Q768">
        <v>36</v>
      </c>
      <c r="R768">
        <v>30</v>
      </c>
      <c r="S768">
        <v>70</v>
      </c>
      <c r="T768">
        <v>42</v>
      </c>
      <c r="U768">
        <v>-0.03</v>
      </c>
      <c r="W768">
        <f>DataLog_T717420_Aug11_4_59_37pm[[#This Row],[RPM '[1/MIN']]]-Table3[[#This Row],[580C]]</f>
        <v>0</v>
      </c>
      <c r="X768">
        <f>DataLog_T717420_Aug11_4_59_37pm[[#This Row],[OIL TEMP '[Â°C']]]-Table3[[#This Row],[4402]]</f>
        <v>0</v>
      </c>
      <c r="Y768">
        <f>DataLog_T717420_Aug11_4_59_37pm[[#This Row],[INTAKE TEMP '[Â°C']]]-Table3[[#This Row],[580F]]</f>
        <v>0</v>
      </c>
      <c r="Z768">
        <f>DataLog_T717420_Aug11_4_59_37pm[[#This Row],[HPFP PRES. '[BAR']]]-Table3[[#This Row],[58F0]]</f>
        <v>0</v>
      </c>
      <c r="AA768">
        <f>DataLog_T717420_Aug11_4_59_37pm[[#This Row],[COOLANT TEMP '[Â°C']]]-Table3[[#This Row],[5805]]</f>
        <v>0</v>
      </c>
      <c r="AB768">
        <f>DataLog_T717420_Aug11_4_59_37pm[[#This Row],[BOOST '[BAR']]]-Table3[[#This Row],[58DD]]</f>
        <v>0</v>
      </c>
    </row>
    <row r="769" spans="2:28" x14ac:dyDescent="0.25">
      <c r="B769" s="2" t="s">
        <v>189</v>
      </c>
      <c r="C769" s="2" t="s">
        <v>30</v>
      </c>
      <c r="D769" s="2" t="s">
        <v>151</v>
      </c>
      <c r="E769" s="2" t="s">
        <v>93</v>
      </c>
      <c r="F769" s="2" t="s">
        <v>26</v>
      </c>
      <c r="G769" s="2" t="s">
        <v>96</v>
      </c>
      <c r="I769">
        <f>HEX2DEC(_0811_173439[[#This Row],[580C]])*B$4/B$5+B$6</f>
        <v>760</v>
      </c>
      <c r="J769">
        <f>HEX2DEC(_0811_173439[[#This Row],[4402]])*C$4/C$5+C$6</f>
        <v>36</v>
      </c>
      <c r="K769">
        <f>HEX2DEC(_0811_173439[[#This Row],[580F]])*D$4/D$5+D$6</f>
        <v>30</v>
      </c>
      <c r="L769">
        <f>ROUND(HEX2DEC(_0811_173439[[#This Row],[58F0]])*E$4/E$5+E$6,0)</f>
        <v>70</v>
      </c>
      <c r="M769">
        <f>ROUND(HEX2DEC(_0811_173439[[#This Row],[5805]])*F$4/F$5+F$6,0)</f>
        <v>42</v>
      </c>
      <c r="N769">
        <f>ROUND(HEX2DEC(_0811_173439[[#This Row],[58DD]])*G$4/G$5+G$6,2)</f>
        <v>-0.03</v>
      </c>
      <c r="P769">
        <v>760</v>
      </c>
      <c r="Q769">
        <v>36</v>
      </c>
      <c r="R769">
        <v>30</v>
      </c>
      <c r="S769">
        <v>70</v>
      </c>
      <c r="T769">
        <v>42</v>
      </c>
      <c r="U769">
        <v>-0.03</v>
      </c>
      <c r="W769">
        <f>DataLog_T717420_Aug11_4_59_37pm[[#This Row],[RPM '[1/MIN']]]-Table3[[#This Row],[580C]]</f>
        <v>0</v>
      </c>
      <c r="X769">
        <f>DataLog_T717420_Aug11_4_59_37pm[[#This Row],[OIL TEMP '[Â°C']]]-Table3[[#This Row],[4402]]</f>
        <v>0</v>
      </c>
      <c r="Y769">
        <f>DataLog_T717420_Aug11_4_59_37pm[[#This Row],[INTAKE TEMP '[Â°C']]]-Table3[[#This Row],[580F]]</f>
        <v>0</v>
      </c>
      <c r="Z769">
        <f>DataLog_T717420_Aug11_4_59_37pm[[#This Row],[HPFP PRES. '[BAR']]]-Table3[[#This Row],[58F0]]</f>
        <v>0</v>
      </c>
      <c r="AA769">
        <f>DataLog_T717420_Aug11_4_59_37pm[[#This Row],[COOLANT TEMP '[Â°C']]]-Table3[[#This Row],[5805]]</f>
        <v>0</v>
      </c>
      <c r="AB769">
        <f>DataLog_T717420_Aug11_4_59_37pm[[#This Row],[BOOST '[BAR']]]-Table3[[#This Row],[58DD]]</f>
        <v>0</v>
      </c>
    </row>
    <row r="770" spans="2:28" x14ac:dyDescent="0.25">
      <c r="B770" s="2" t="s">
        <v>183</v>
      </c>
      <c r="C770" s="2" t="s">
        <v>30</v>
      </c>
      <c r="D770" s="2" t="s">
        <v>151</v>
      </c>
      <c r="E770" s="2" t="s">
        <v>252</v>
      </c>
      <c r="F770" s="2" t="s">
        <v>26</v>
      </c>
      <c r="G770" s="2" t="s">
        <v>96</v>
      </c>
      <c r="I770">
        <f>HEX2DEC(_0811_173439[[#This Row],[580C]])*B$4/B$5+B$6</f>
        <v>800</v>
      </c>
      <c r="J770">
        <f>HEX2DEC(_0811_173439[[#This Row],[4402]])*C$4/C$5+C$6</f>
        <v>36</v>
      </c>
      <c r="K770">
        <f>HEX2DEC(_0811_173439[[#This Row],[580F]])*D$4/D$5+D$6</f>
        <v>30</v>
      </c>
      <c r="L770">
        <f>ROUND(HEX2DEC(_0811_173439[[#This Row],[58F0]])*E$4/E$5+E$6,0)</f>
        <v>70</v>
      </c>
      <c r="M770">
        <f>ROUND(HEX2DEC(_0811_173439[[#This Row],[5805]])*F$4/F$5+F$6,0)</f>
        <v>42</v>
      </c>
      <c r="N770">
        <f>ROUND(HEX2DEC(_0811_173439[[#This Row],[58DD]])*G$4/G$5+G$6,2)</f>
        <v>-0.03</v>
      </c>
      <c r="P770">
        <v>800</v>
      </c>
      <c r="Q770">
        <v>36</v>
      </c>
      <c r="R770">
        <v>30</v>
      </c>
      <c r="S770">
        <v>70</v>
      </c>
      <c r="T770">
        <v>42</v>
      </c>
      <c r="U770">
        <v>-0.03</v>
      </c>
      <c r="W770">
        <f>DataLog_T717420_Aug11_4_59_37pm[[#This Row],[RPM '[1/MIN']]]-Table3[[#This Row],[580C]]</f>
        <v>0</v>
      </c>
      <c r="X770">
        <f>DataLog_T717420_Aug11_4_59_37pm[[#This Row],[OIL TEMP '[Â°C']]]-Table3[[#This Row],[4402]]</f>
        <v>0</v>
      </c>
      <c r="Y770">
        <f>DataLog_T717420_Aug11_4_59_37pm[[#This Row],[INTAKE TEMP '[Â°C']]]-Table3[[#This Row],[580F]]</f>
        <v>0</v>
      </c>
      <c r="Z770">
        <f>DataLog_T717420_Aug11_4_59_37pm[[#This Row],[HPFP PRES. '[BAR']]]-Table3[[#This Row],[58F0]]</f>
        <v>0</v>
      </c>
      <c r="AA770">
        <f>DataLog_T717420_Aug11_4_59_37pm[[#This Row],[COOLANT TEMP '[Â°C']]]-Table3[[#This Row],[5805]]</f>
        <v>0</v>
      </c>
      <c r="AB770">
        <f>DataLog_T717420_Aug11_4_59_37pm[[#This Row],[BOOST '[BAR']]]-Table3[[#This Row],[58DD]]</f>
        <v>0</v>
      </c>
    </row>
    <row r="771" spans="2:28" x14ac:dyDescent="0.25">
      <c r="B771" s="2" t="s">
        <v>183</v>
      </c>
      <c r="C771" s="2" t="s">
        <v>30</v>
      </c>
      <c r="D771" s="2" t="s">
        <v>151</v>
      </c>
      <c r="E771" s="2" t="s">
        <v>93</v>
      </c>
      <c r="F771" s="2" t="s">
        <v>253</v>
      </c>
      <c r="G771" s="2" t="s">
        <v>53</v>
      </c>
      <c r="I771">
        <f>HEX2DEC(_0811_173439[[#This Row],[580C]])*B$4/B$5+B$6</f>
        <v>800</v>
      </c>
      <c r="J771">
        <f>HEX2DEC(_0811_173439[[#This Row],[4402]])*C$4/C$5+C$6</f>
        <v>36</v>
      </c>
      <c r="K771">
        <f>HEX2DEC(_0811_173439[[#This Row],[580F]])*D$4/D$5+D$6</f>
        <v>30</v>
      </c>
      <c r="L771">
        <f>ROUND(HEX2DEC(_0811_173439[[#This Row],[58F0]])*E$4/E$5+E$6,0)</f>
        <v>70</v>
      </c>
      <c r="M771">
        <f>ROUND(HEX2DEC(_0811_173439[[#This Row],[5805]])*F$4/F$5+F$6,0)</f>
        <v>43</v>
      </c>
      <c r="N771">
        <f>ROUND(HEX2DEC(_0811_173439[[#This Row],[58DD]])*G$4/G$5+G$6,2)</f>
        <v>-0.03</v>
      </c>
      <c r="P771">
        <v>800</v>
      </c>
      <c r="Q771">
        <v>36</v>
      </c>
      <c r="R771">
        <v>30</v>
      </c>
      <c r="S771">
        <v>70</v>
      </c>
      <c r="T771">
        <v>43</v>
      </c>
      <c r="U771">
        <v>-0.03</v>
      </c>
      <c r="W771">
        <f>DataLog_T717420_Aug11_4_59_37pm[[#This Row],[RPM '[1/MIN']]]-Table3[[#This Row],[580C]]</f>
        <v>0</v>
      </c>
      <c r="X771">
        <f>DataLog_T717420_Aug11_4_59_37pm[[#This Row],[OIL TEMP '[Â°C']]]-Table3[[#This Row],[4402]]</f>
        <v>0</v>
      </c>
      <c r="Y771">
        <f>DataLog_T717420_Aug11_4_59_37pm[[#This Row],[INTAKE TEMP '[Â°C']]]-Table3[[#This Row],[580F]]</f>
        <v>0</v>
      </c>
      <c r="Z771">
        <f>DataLog_T717420_Aug11_4_59_37pm[[#This Row],[HPFP PRES. '[BAR']]]-Table3[[#This Row],[58F0]]</f>
        <v>0</v>
      </c>
      <c r="AA771">
        <f>DataLog_T717420_Aug11_4_59_37pm[[#This Row],[COOLANT TEMP '[Â°C']]]-Table3[[#This Row],[5805]]</f>
        <v>0</v>
      </c>
      <c r="AB771">
        <f>DataLog_T717420_Aug11_4_59_37pm[[#This Row],[BOOST '[BAR']]]-Table3[[#This Row],[58DD]]</f>
        <v>0</v>
      </c>
    </row>
    <row r="772" spans="2:28" x14ac:dyDescent="0.25">
      <c r="B772" s="2" t="s">
        <v>183</v>
      </c>
      <c r="C772" s="2" t="s">
        <v>30</v>
      </c>
      <c r="D772" s="2" t="s">
        <v>151</v>
      </c>
      <c r="E772" s="2" t="s">
        <v>93</v>
      </c>
      <c r="F772" s="2" t="s">
        <v>253</v>
      </c>
      <c r="G772" s="2" t="s">
        <v>96</v>
      </c>
      <c r="I772">
        <f>HEX2DEC(_0811_173439[[#This Row],[580C]])*B$4/B$5+B$6</f>
        <v>800</v>
      </c>
      <c r="J772">
        <f>HEX2DEC(_0811_173439[[#This Row],[4402]])*C$4/C$5+C$6</f>
        <v>36</v>
      </c>
      <c r="K772">
        <f>HEX2DEC(_0811_173439[[#This Row],[580F]])*D$4/D$5+D$6</f>
        <v>30</v>
      </c>
      <c r="L772">
        <f>ROUND(HEX2DEC(_0811_173439[[#This Row],[58F0]])*E$4/E$5+E$6,0)</f>
        <v>70</v>
      </c>
      <c r="M772">
        <f>ROUND(HEX2DEC(_0811_173439[[#This Row],[5805]])*F$4/F$5+F$6,0)</f>
        <v>43</v>
      </c>
      <c r="N772">
        <f>ROUND(HEX2DEC(_0811_173439[[#This Row],[58DD]])*G$4/G$5+G$6,2)</f>
        <v>-0.03</v>
      </c>
      <c r="P772">
        <v>800</v>
      </c>
      <c r="Q772">
        <v>36</v>
      </c>
      <c r="R772">
        <v>30</v>
      </c>
      <c r="S772">
        <v>70</v>
      </c>
      <c r="T772">
        <v>43</v>
      </c>
      <c r="U772">
        <v>-0.03</v>
      </c>
      <c r="W772">
        <f>DataLog_T717420_Aug11_4_59_37pm[[#This Row],[RPM '[1/MIN']]]-Table3[[#This Row],[580C]]</f>
        <v>0</v>
      </c>
      <c r="X772">
        <f>DataLog_T717420_Aug11_4_59_37pm[[#This Row],[OIL TEMP '[Â°C']]]-Table3[[#This Row],[4402]]</f>
        <v>0</v>
      </c>
      <c r="Y772">
        <f>DataLog_T717420_Aug11_4_59_37pm[[#This Row],[INTAKE TEMP '[Â°C']]]-Table3[[#This Row],[580F]]</f>
        <v>0</v>
      </c>
      <c r="Z772">
        <f>DataLog_T717420_Aug11_4_59_37pm[[#This Row],[HPFP PRES. '[BAR']]]-Table3[[#This Row],[58F0]]</f>
        <v>0</v>
      </c>
      <c r="AA772">
        <f>DataLog_T717420_Aug11_4_59_37pm[[#This Row],[COOLANT TEMP '[Â°C']]]-Table3[[#This Row],[5805]]</f>
        <v>0</v>
      </c>
      <c r="AB772">
        <f>DataLog_T717420_Aug11_4_59_37pm[[#This Row],[BOOST '[BAR']]]-Table3[[#This Row],[58DD]]</f>
        <v>0</v>
      </c>
    </row>
    <row r="773" spans="2:28" x14ac:dyDescent="0.25">
      <c r="B773" s="2" t="s">
        <v>183</v>
      </c>
      <c r="C773" s="2" t="s">
        <v>30</v>
      </c>
      <c r="D773" s="2" t="s">
        <v>151</v>
      </c>
      <c r="E773" s="2" t="s">
        <v>254</v>
      </c>
      <c r="F773" s="2" t="s">
        <v>253</v>
      </c>
      <c r="G773" s="2" t="s">
        <v>96</v>
      </c>
      <c r="I773">
        <f>HEX2DEC(_0811_173439[[#This Row],[580C]])*B$4/B$5+B$6</f>
        <v>800</v>
      </c>
      <c r="J773">
        <f>HEX2DEC(_0811_173439[[#This Row],[4402]])*C$4/C$5+C$6</f>
        <v>36</v>
      </c>
      <c r="K773">
        <f>HEX2DEC(_0811_173439[[#This Row],[580F]])*D$4/D$5+D$6</f>
        <v>30</v>
      </c>
      <c r="L773">
        <f>ROUND(HEX2DEC(_0811_173439[[#This Row],[58F0]])*E$4/E$5+E$6,0)</f>
        <v>70</v>
      </c>
      <c r="M773">
        <f>ROUND(HEX2DEC(_0811_173439[[#This Row],[5805]])*F$4/F$5+F$6,0)</f>
        <v>43</v>
      </c>
      <c r="N773">
        <f>ROUND(HEX2DEC(_0811_173439[[#This Row],[58DD]])*G$4/G$5+G$6,2)</f>
        <v>-0.03</v>
      </c>
      <c r="P773">
        <v>800</v>
      </c>
      <c r="Q773">
        <v>36</v>
      </c>
      <c r="R773">
        <v>30</v>
      </c>
      <c r="S773">
        <v>70</v>
      </c>
      <c r="T773">
        <v>43</v>
      </c>
      <c r="U773">
        <v>-0.03</v>
      </c>
      <c r="W773">
        <f>DataLog_T717420_Aug11_4_59_37pm[[#This Row],[RPM '[1/MIN']]]-Table3[[#This Row],[580C]]</f>
        <v>0</v>
      </c>
      <c r="X773">
        <f>DataLog_T717420_Aug11_4_59_37pm[[#This Row],[OIL TEMP '[Â°C']]]-Table3[[#This Row],[4402]]</f>
        <v>0</v>
      </c>
      <c r="Y773">
        <f>DataLog_T717420_Aug11_4_59_37pm[[#This Row],[INTAKE TEMP '[Â°C']]]-Table3[[#This Row],[580F]]</f>
        <v>0</v>
      </c>
      <c r="Z773">
        <f>DataLog_T717420_Aug11_4_59_37pm[[#This Row],[HPFP PRES. '[BAR']]]-Table3[[#This Row],[58F0]]</f>
        <v>0</v>
      </c>
      <c r="AA773">
        <f>DataLog_T717420_Aug11_4_59_37pm[[#This Row],[COOLANT TEMP '[Â°C']]]-Table3[[#This Row],[5805]]</f>
        <v>0</v>
      </c>
      <c r="AB773">
        <f>DataLog_T717420_Aug11_4_59_37pm[[#This Row],[BOOST '[BAR']]]-Table3[[#This Row],[58DD]]</f>
        <v>0</v>
      </c>
    </row>
    <row r="774" spans="2:28" x14ac:dyDescent="0.25">
      <c r="B774" s="2" t="s">
        <v>189</v>
      </c>
      <c r="C774" s="2" t="s">
        <v>30</v>
      </c>
      <c r="D774" s="2" t="s">
        <v>151</v>
      </c>
      <c r="E774" s="2" t="s">
        <v>141</v>
      </c>
      <c r="F774" s="2" t="s">
        <v>253</v>
      </c>
      <c r="G774" s="2" t="s">
        <v>53</v>
      </c>
      <c r="I774">
        <f>HEX2DEC(_0811_173439[[#This Row],[580C]])*B$4/B$5+B$6</f>
        <v>760</v>
      </c>
      <c r="J774">
        <f>HEX2DEC(_0811_173439[[#This Row],[4402]])*C$4/C$5+C$6</f>
        <v>36</v>
      </c>
      <c r="K774">
        <f>HEX2DEC(_0811_173439[[#This Row],[580F]])*D$4/D$5+D$6</f>
        <v>30</v>
      </c>
      <c r="L774">
        <f>ROUND(HEX2DEC(_0811_173439[[#This Row],[58F0]])*E$4/E$5+E$6,0)</f>
        <v>70</v>
      </c>
      <c r="M774">
        <f>ROUND(HEX2DEC(_0811_173439[[#This Row],[5805]])*F$4/F$5+F$6,0)</f>
        <v>43</v>
      </c>
      <c r="N774">
        <f>ROUND(HEX2DEC(_0811_173439[[#This Row],[58DD]])*G$4/G$5+G$6,2)</f>
        <v>-0.03</v>
      </c>
      <c r="P774">
        <v>760</v>
      </c>
      <c r="Q774">
        <v>36</v>
      </c>
      <c r="R774">
        <v>30</v>
      </c>
      <c r="S774">
        <v>70</v>
      </c>
      <c r="T774">
        <v>43</v>
      </c>
      <c r="U774">
        <v>-0.03</v>
      </c>
      <c r="W774">
        <f>DataLog_T717420_Aug11_4_59_37pm[[#This Row],[RPM '[1/MIN']]]-Table3[[#This Row],[580C]]</f>
        <v>0</v>
      </c>
      <c r="X774">
        <f>DataLog_T717420_Aug11_4_59_37pm[[#This Row],[OIL TEMP '[Â°C']]]-Table3[[#This Row],[4402]]</f>
        <v>0</v>
      </c>
      <c r="Y774">
        <f>DataLog_T717420_Aug11_4_59_37pm[[#This Row],[INTAKE TEMP '[Â°C']]]-Table3[[#This Row],[580F]]</f>
        <v>0</v>
      </c>
      <c r="Z774">
        <f>DataLog_T717420_Aug11_4_59_37pm[[#This Row],[HPFP PRES. '[BAR']]]-Table3[[#This Row],[58F0]]</f>
        <v>0</v>
      </c>
      <c r="AA774">
        <f>DataLog_T717420_Aug11_4_59_37pm[[#This Row],[COOLANT TEMP '[Â°C']]]-Table3[[#This Row],[5805]]</f>
        <v>0</v>
      </c>
      <c r="AB774">
        <f>DataLog_T717420_Aug11_4_59_37pm[[#This Row],[BOOST '[BAR']]]-Table3[[#This Row],[58DD]]</f>
        <v>0</v>
      </c>
    </row>
    <row r="775" spans="2:28" x14ac:dyDescent="0.25">
      <c r="B775" s="2" t="s">
        <v>183</v>
      </c>
      <c r="C775" s="2" t="s">
        <v>30</v>
      </c>
      <c r="D775" s="2" t="s">
        <v>151</v>
      </c>
      <c r="E775" s="2" t="s">
        <v>93</v>
      </c>
      <c r="F775" s="2" t="s">
        <v>253</v>
      </c>
      <c r="G775" s="2" t="s">
        <v>216</v>
      </c>
      <c r="I775">
        <f>HEX2DEC(_0811_173439[[#This Row],[580C]])*B$4/B$5+B$6</f>
        <v>800</v>
      </c>
      <c r="J775">
        <f>HEX2DEC(_0811_173439[[#This Row],[4402]])*C$4/C$5+C$6</f>
        <v>36</v>
      </c>
      <c r="K775">
        <f>HEX2DEC(_0811_173439[[#This Row],[580F]])*D$4/D$5+D$6</f>
        <v>30</v>
      </c>
      <c r="L775">
        <f>ROUND(HEX2DEC(_0811_173439[[#This Row],[58F0]])*E$4/E$5+E$6,0)</f>
        <v>70</v>
      </c>
      <c r="M775">
        <f>ROUND(HEX2DEC(_0811_173439[[#This Row],[5805]])*F$4/F$5+F$6,0)</f>
        <v>43</v>
      </c>
      <c r="N775">
        <f>ROUND(HEX2DEC(_0811_173439[[#This Row],[58DD]])*G$4/G$5+G$6,2)</f>
        <v>-0.03</v>
      </c>
      <c r="P775">
        <v>800</v>
      </c>
      <c r="Q775">
        <v>36</v>
      </c>
      <c r="R775">
        <v>30</v>
      </c>
      <c r="S775">
        <v>70</v>
      </c>
      <c r="T775">
        <v>43</v>
      </c>
      <c r="U775">
        <v>-0.03</v>
      </c>
      <c r="W775">
        <f>DataLog_T717420_Aug11_4_59_37pm[[#This Row],[RPM '[1/MIN']]]-Table3[[#This Row],[580C]]</f>
        <v>0</v>
      </c>
      <c r="X775">
        <f>DataLog_T717420_Aug11_4_59_37pm[[#This Row],[OIL TEMP '[Â°C']]]-Table3[[#This Row],[4402]]</f>
        <v>0</v>
      </c>
      <c r="Y775">
        <f>DataLog_T717420_Aug11_4_59_37pm[[#This Row],[INTAKE TEMP '[Â°C']]]-Table3[[#This Row],[580F]]</f>
        <v>0</v>
      </c>
      <c r="Z775">
        <f>DataLog_T717420_Aug11_4_59_37pm[[#This Row],[HPFP PRES. '[BAR']]]-Table3[[#This Row],[58F0]]</f>
        <v>0</v>
      </c>
      <c r="AA775">
        <f>DataLog_T717420_Aug11_4_59_37pm[[#This Row],[COOLANT TEMP '[Â°C']]]-Table3[[#This Row],[5805]]</f>
        <v>0</v>
      </c>
      <c r="AB775">
        <f>DataLog_T717420_Aug11_4_59_37pm[[#This Row],[BOOST '[BAR']]]-Table3[[#This Row],[58DD]]</f>
        <v>0</v>
      </c>
    </row>
    <row r="776" spans="2:28" x14ac:dyDescent="0.25">
      <c r="B776" s="2" t="s">
        <v>183</v>
      </c>
      <c r="C776" s="2" t="s">
        <v>30</v>
      </c>
      <c r="D776" s="2" t="s">
        <v>151</v>
      </c>
      <c r="E776" s="2" t="s">
        <v>155</v>
      </c>
      <c r="F776" s="2" t="s">
        <v>253</v>
      </c>
      <c r="G776" s="2" t="s">
        <v>90</v>
      </c>
      <c r="I776">
        <f>HEX2DEC(_0811_173439[[#This Row],[580C]])*B$4/B$5+B$6</f>
        <v>800</v>
      </c>
      <c r="J776">
        <f>HEX2DEC(_0811_173439[[#This Row],[4402]])*C$4/C$5+C$6</f>
        <v>36</v>
      </c>
      <c r="K776">
        <f>HEX2DEC(_0811_173439[[#This Row],[580F]])*D$4/D$5+D$6</f>
        <v>30</v>
      </c>
      <c r="L776">
        <f>ROUND(HEX2DEC(_0811_173439[[#This Row],[58F0]])*E$4/E$5+E$6,0)</f>
        <v>70</v>
      </c>
      <c r="M776">
        <f>ROUND(HEX2DEC(_0811_173439[[#This Row],[5805]])*F$4/F$5+F$6,0)</f>
        <v>43</v>
      </c>
      <c r="N776">
        <f>ROUND(HEX2DEC(_0811_173439[[#This Row],[58DD]])*G$4/G$5+G$6,2)</f>
        <v>-0.03</v>
      </c>
      <c r="P776">
        <v>800</v>
      </c>
      <c r="Q776">
        <v>36</v>
      </c>
      <c r="R776">
        <v>30</v>
      </c>
      <c r="S776">
        <v>70</v>
      </c>
      <c r="T776">
        <v>43</v>
      </c>
      <c r="U776">
        <v>-0.03</v>
      </c>
      <c r="W776">
        <f>DataLog_T717420_Aug11_4_59_37pm[[#This Row],[RPM '[1/MIN']]]-Table3[[#This Row],[580C]]</f>
        <v>0</v>
      </c>
      <c r="X776">
        <f>DataLog_T717420_Aug11_4_59_37pm[[#This Row],[OIL TEMP '[Â°C']]]-Table3[[#This Row],[4402]]</f>
        <v>0</v>
      </c>
      <c r="Y776">
        <f>DataLog_T717420_Aug11_4_59_37pm[[#This Row],[INTAKE TEMP '[Â°C']]]-Table3[[#This Row],[580F]]</f>
        <v>0</v>
      </c>
      <c r="Z776">
        <f>DataLog_T717420_Aug11_4_59_37pm[[#This Row],[HPFP PRES. '[BAR']]]-Table3[[#This Row],[58F0]]</f>
        <v>0</v>
      </c>
      <c r="AA776">
        <f>DataLog_T717420_Aug11_4_59_37pm[[#This Row],[COOLANT TEMP '[Â°C']]]-Table3[[#This Row],[5805]]</f>
        <v>0</v>
      </c>
      <c r="AB776">
        <f>DataLog_T717420_Aug11_4_59_37pm[[#This Row],[BOOST '[BAR']]]-Table3[[#This Row],[58DD]]</f>
        <v>0</v>
      </c>
    </row>
    <row r="777" spans="2:28" x14ac:dyDescent="0.25">
      <c r="B777" s="2" t="s">
        <v>183</v>
      </c>
      <c r="C777" s="2" t="s">
        <v>30</v>
      </c>
      <c r="D777" s="2" t="s">
        <v>151</v>
      </c>
      <c r="E777" s="2" t="s">
        <v>119</v>
      </c>
      <c r="F777" s="2" t="s">
        <v>253</v>
      </c>
      <c r="G777" s="2" t="s">
        <v>71</v>
      </c>
      <c r="I777">
        <f>HEX2DEC(_0811_173439[[#This Row],[580C]])*B$4/B$5+B$6</f>
        <v>800</v>
      </c>
      <c r="J777">
        <f>HEX2DEC(_0811_173439[[#This Row],[4402]])*C$4/C$5+C$6</f>
        <v>36</v>
      </c>
      <c r="K777">
        <f>HEX2DEC(_0811_173439[[#This Row],[580F]])*D$4/D$5+D$6</f>
        <v>30</v>
      </c>
      <c r="L777">
        <f>ROUND(HEX2DEC(_0811_173439[[#This Row],[58F0]])*E$4/E$5+E$6,0)</f>
        <v>71</v>
      </c>
      <c r="M777">
        <f>ROUND(HEX2DEC(_0811_173439[[#This Row],[5805]])*F$4/F$5+F$6,0)</f>
        <v>43</v>
      </c>
      <c r="N777">
        <f>ROUND(HEX2DEC(_0811_173439[[#This Row],[58DD]])*G$4/G$5+G$6,2)</f>
        <v>-0.03</v>
      </c>
      <c r="P777">
        <v>800</v>
      </c>
      <c r="Q777">
        <v>36</v>
      </c>
      <c r="R777">
        <v>30</v>
      </c>
      <c r="S777">
        <v>71</v>
      </c>
      <c r="T777">
        <v>43</v>
      </c>
      <c r="U777">
        <v>-0.03</v>
      </c>
      <c r="W777">
        <f>DataLog_T717420_Aug11_4_59_37pm[[#This Row],[RPM '[1/MIN']]]-Table3[[#This Row],[580C]]</f>
        <v>0</v>
      </c>
      <c r="X777">
        <f>DataLog_T717420_Aug11_4_59_37pm[[#This Row],[OIL TEMP '[Â°C']]]-Table3[[#This Row],[4402]]</f>
        <v>0</v>
      </c>
      <c r="Y777">
        <f>DataLog_T717420_Aug11_4_59_37pm[[#This Row],[INTAKE TEMP '[Â°C']]]-Table3[[#This Row],[580F]]</f>
        <v>0</v>
      </c>
      <c r="Z777">
        <f>DataLog_T717420_Aug11_4_59_37pm[[#This Row],[HPFP PRES. '[BAR']]]-Table3[[#This Row],[58F0]]</f>
        <v>0</v>
      </c>
      <c r="AA777">
        <f>DataLog_T717420_Aug11_4_59_37pm[[#This Row],[COOLANT TEMP '[Â°C']]]-Table3[[#This Row],[5805]]</f>
        <v>0</v>
      </c>
      <c r="AB777">
        <f>DataLog_T717420_Aug11_4_59_37pm[[#This Row],[BOOST '[BAR']]]-Table3[[#This Row],[58DD]]</f>
        <v>0</v>
      </c>
    </row>
    <row r="778" spans="2:28" x14ac:dyDescent="0.25">
      <c r="B778" s="2" t="s">
        <v>183</v>
      </c>
      <c r="C778" s="2" t="s">
        <v>30</v>
      </c>
      <c r="D778" s="2" t="s">
        <v>151</v>
      </c>
      <c r="E778" s="2" t="s">
        <v>93</v>
      </c>
      <c r="F778" s="2" t="s">
        <v>253</v>
      </c>
      <c r="G778" s="2" t="s">
        <v>190</v>
      </c>
      <c r="I778">
        <f>HEX2DEC(_0811_173439[[#This Row],[580C]])*B$4/B$5+B$6</f>
        <v>800</v>
      </c>
      <c r="J778">
        <f>HEX2DEC(_0811_173439[[#This Row],[4402]])*C$4/C$5+C$6</f>
        <v>36</v>
      </c>
      <c r="K778">
        <f>HEX2DEC(_0811_173439[[#This Row],[580F]])*D$4/D$5+D$6</f>
        <v>30</v>
      </c>
      <c r="L778">
        <f>ROUND(HEX2DEC(_0811_173439[[#This Row],[58F0]])*E$4/E$5+E$6,0)</f>
        <v>70</v>
      </c>
      <c r="M778">
        <f>ROUND(HEX2DEC(_0811_173439[[#This Row],[5805]])*F$4/F$5+F$6,0)</f>
        <v>43</v>
      </c>
      <c r="N778">
        <f>ROUND(HEX2DEC(_0811_173439[[#This Row],[58DD]])*G$4/G$5+G$6,2)</f>
        <v>-0.03</v>
      </c>
      <c r="P778">
        <v>800</v>
      </c>
      <c r="Q778">
        <v>36</v>
      </c>
      <c r="R778">
        <v>30</v>
      </c>
      <c r="S778">
        <v>70</v>
      </c>
      <c r="T778">
        <v>43</v>
      </c>
      <c r="U778">
        <v>-0.03</v>
      </c>
      <c r="W778">
        <f>DataLog_T717420_Aug11_4_59_37pm[[#This Row],[RPM '[1/MIN']]]-Table3[[#This Row],[580C]]</f>
        <v>0</v>
      </c>
      <c r="X778">
        <f>DataLog_T717420_Aug11_4_59_37pm[[#This Row],[OIL TEMP '[Â°C']]]-Table3[[#This Row],[4402]]</f>
        <v>0</v>
      </c>
      <c r="Y778">
        <f>DataLog_T717420_Aug11_4_59_37pm[[#This Row],[INTAKE TEMP '[Â°C']]]-Table3[[#This Row],[580F]]</f>
        <v>0</v>
      </c>
      <c r="Z778">
        <f>DataLog_T717420_Aug11_4_59_37pm[[#This Row],[HPFP PRES. '[BAR']]]-Table3[[#This Row],[58F0]]</f>
        <v>0</v>
      </c>
      <c r="AA778">
        <f>DataLog_T717420_Aug11_4_59_37pm[[#This Row],[COOLANT TEMP '[Â°C']]]-Table3[[#This Row],[5805]]</f>
        <v>0</v>
      </c>
      <c r="AB778">
        <f>DataLog_T717420_Aug11_4_59_37pm[[#This Row],[BOOST '[BAR']]]-Table3[[#This Row],[58DD]]</f>
        <v>0</v>
      </c>
    </row>
    <row r="779" spans="2:28" x14ac:dyDescent="0.25">
      <c r="B779" s="2" t="s">
        <v>183</v>
      </c>
      <c r="C779" s="2" t="s">
        <v>30</v>
      </c>
      <c r="D779" s="2" t="s">
        <v>151</v>
      </c>
      <c r="E779" s="2" t="s">
        <v>205</v>
      </c>
      <c r="F779" s="2" t="s">
        <v>253</v>
      </c>
      <c r="G779" s="2" t="s">
        <v>53</v>
      </c>
      <c r="I779">
        <f>HEX2DEC(_0811_173439[[#This Row],[580C]])*B$4/B$5+B$6</f>
        <v>800</v>
      </c>
      <c r="J779">
        <f>HEX2DEC(_0811_173439[[#This Row],[4402]])*C$4/C$5+C$6</f>
        <v>36</v>
      </c>
      <c r="K779">
        <f>HEX2DEC(_0811_173439[[#This Row],[580F]])*D$4/D$5+D$6</f>
        <v>30</v>
      </c>
      <c r="L779">
        <f>ROUND(HEX2DEC(_0811_173439[[#This Row],[58F0]])*E$4/E$5+E$6,0)</f>
        <v>71</v>
      </c>
      <c r="M779">
        <f>ROUND(HEX2DEC(_0811_173439[[#This Row],[5805]])*F$4/F$5+F$6,0)</f>
        <v>43</v>
      </c>
      <c r="N779">
        <f>ROUND(HEX2DEC(_0811_173439[[#This Row],[58DD]])*G$4/G$5+G$6,2)</f>
        <v>-0.03</v>
      </c>
      <c r="P779">
        <v>800</v>
      </c>
      <c r="Q779">
        <v>36</v>
      </c>
      <c r="R779">
        <v>30</v>
      </c>
      <c r="S779">
        <v>71</v>
      </c>
      <c r="T779">
        <v>43</v>
      </c>
      <c r="U779">
        <v>-0.03</v>
      </c>
      <c r="W779">
        <f>DataLog_T717420_Aug11_4_59_37pm[[#This Row],[RPM '[1/MIN']]]-Table3[[#This Row],[580C]]</f>
        <v>0</v>
      </c>
      <c r="X779">
        <f>DataLog_T717420_Aug11_4_59_37pm[[#This Row],[OIL TEMP '[Â°C']]]-Table3[[#This Row],[4402]]</f>
        <v>0</v>
      </c>
      <c r="Y779">
        <f>DataLog_T717420_Aug11_4_59_37pm[[#This Row],[INTAKE TEMP '[Â°C']]]-Table3[[#This Row],[580F]]</f>
        <v>0</v>
      </c>
      <c r="Z779">
        <f>DataLog_T717420_Aug11_4_59_37pm[[#This Row],[HPFP PRES. '[BAR']]]-Table3[[#This Row],[58F0]]</f>
        <v>0</v>
      </c>
      <c r="AA779">
        <f>DataLog_T717420_Aug11_4_59_37pm[[#This Row],[COOLANT TEMP '[Â°C']]]-Table3[[#This Row],[5805]]</f>
        <v>0</v>
      </c>
      <c r="AB779">
        <f>DataLog_T717420_Aug11_4_59_37pm[[#This Row],[BOOST '[BAR']]]-Table3[[#This Row],[58DD]]</f>
        <v>0</v>
      </c>
    </row>
    <row r="780" spans="2:28" x14ac:dyDescent="0.25">
      <c r="B780" s="2" t="s">
        <v>183</v>
      </c>
      <c r="C780" s="2" t="s">
        <v>30</v>
      </c>
      <c r="D780" s="2" t="s">
        <v>151</v>
      </c>
      <c r="E780" s="2" t="s">
        <v>165</v>
      </c>
      <c r="F780" s="2" t="s">
        <v>253</v>
      </c>
      <c r="G780" s="2" t="s">
        <v>235</v>
      </c>
      <c r="I780">
        <f>HEX2DEC(_0811_173439[[#This Row],[580C]])*B$4/B$5+B$6</f>
        <v>800</v>
      </c>
      <c r="J780">
        <f>HEX2DEC(_0811_173439[[#This Row],[4402]])*C$4/C$5+C$6</f>
        <v>36</v>
      </c>
      <c r="K780">
        <f>HEX2DEC(_0811_173439[[#This Row],[580F]])*D$4/D$5+D$6</f>
        <v>30</v>
      </c>
      <c r="L780">
        <f>ROUND(HEX2DEC(_0811_173439[[#This Row],[58F0]])*E$4/E$5+E$6,0)</f>
        <v>70</v>
      </c>
      <c r="M780">
        <f>ROUND(HEX2DEC(_0811_173439[[#This Row],[5805]])*F$4/F$5+F$6,0)</f>
        <v>43</v>
      </c>
      <c r="N780">
        <f>ROUND(HEX2DEC(_0811_173439[[#This Row],[58DD]])*G$4/G$5+G$6,2)</f>
        <v>-0.03</v>
      </c>
      <c r="P780">
        <v>800</v>
      </c>
      <c r="Q780">
        <v>36</v>
      </c>
      <c r="R780">
        <v>30</v>
      </c>
      <c r="S780">
        <v>70</v>
      </c>
      <c r="T780">
        <v>43</v>
      </c>
      <c r="U780">
        <v>-0.03</v>
      </c>
      <c r="W780">
        <f>DataLog_T717420_Aug11_4_59_37pm[[#This Row],[RPM '[1/MIN']]]-Table3[[#This Row],[580C]]</f>
        <v>0</v>
      </c>
      <c r="X780">
        <f>DataLog_T717420_Aug11_4_59_37pm[[#This Row],[OIL TEMP '[Â°C']]]-Table3[[#This Row],[4402]]</f>
        <v>0</v>
      </c>
      <c r="Y780">
        <f>DataLog_T717420_Aug11_4_59_37pm[[#This Row],[INTAKE TEMP '[Â°C']]]-Table3[[#This Row],[580F]]</f>
        <v>0</v>
      </c>
      <c r="Z780">
        <f>DataLog_T717420_Aug11_4_59_37pm[[#This Row],[HPFP PRES. '[BAR']]]-Table3[[#This Row],[58F0]]</f>
        <v>0</v>
      </c>
      <c r="AA780">
        <f>DataLog_T717420_Aug11_4_59_37pm[[#This Row],[COOLANT TEMP '[Â°C']]]-Table3[[#This Row],[5805]]</f>
        <v>0</v>
      </c>
      <c r="AB780">
        <f>DataLog_T717420_Aug11_4_59_37pm[[#This Row],[BOOST '[BAR']]]-Table3[[#This Row],[58DD]]</f>
        <v>0</v>
      </c>
    </row>
    <row r="781" spans="2:28" x14ac:dyDescent="0.25">
      <c r="B781" s="2" t="s">
        <v>183</v>
      </c>
      <c r="C781" s="2" t="s">
        <v>30</v>
      </c>
      <c r="D781" s="2" t="s">
        <v>151</v>
      </c>
      <c r="E781" s="2" t="s">
        <v>93</v>
      </c>
      <c r="F781" s="2" t="s">
        <v>253</v>
      </c>
      <c r="G781" s="2" t="s">
        <v>53</v>
      </c>
      <c r="I781">
        <f>HEX2DEC(_0811_173439[[#This Row],[580C]])*B$4/B$5+B$6</f>
        <v>800</v>
      </c>
      <c r="J781">
        <f>HEX2DEC(_0811_173439[[#This Row],[4402]])*C$4/C$5+C$6</f>
        <v>36</v>
      </c>
      <c r="K781">
        <f>HEX2DEC(_0811_173439[[#This Row],[580F]])*D$4/D$5+D$6</f>
        <v>30</v>
      </c>
      <c r="L781">
        <f>ROUND(HEX2DEC(_0811_173439[[#This Row],[58F0]])*E$4/E$5+E$6,0)</f>
        <v>70</v>
      </c>
      <c r="M781">
        <f>ROUND(HEX2DEC(_0811_173439[[#This Row],[5805]])*F$4/F$5+F$6,0)</f>
        <v>43</v>
      </c>
      <c r="N781">
        <f>ROUND(HEX2DEC(_0811_173439[[#This Row],[58DD]])*G$4/G$5+G$6,2)</f>
        <v>-0.03</v>
      </c>
      <c r="P781">
        <v>800</v>
      </c>
      <c r="Q781">
        <v>36</v>
      </c>
      <c r="R781">
        <v>30</v>
      </c>
      <c r="S781">
        <v>70</v>
      </c>
      <c r="T781">
        <v>43</v>
      </c>
      <c r="U781">
        <v>-0.03</v>
      </c>
      <c r="W781">
        <f>DataLog_T717420_Aug11_4_59_37pm[[#This Row],[RPM '[1/MIN']]]-Table3[[#This Row],[580C]]</f>
        <v>0</v>
      </c>
      <c r="X781">
        <f>DataLog_T717420_Aug11_4_59_37pm[[#This Row],[OIL TEMP '[Â°C']]]-Table3[[#This Row],[4402]]</f>
        <v>0</v>
      </c>
      <c r="Y781">
        <f>DataLog_T717420_Aug11_4_59_37pm[[#This Row],[INTAKE TEMP '[Â°C']]]-Table3[[#This Row],[580F]]</f>
        <v>0</v>
      </c>
      <c r="Z781">
        <f>DataLog_T717420_Aug11_4_59_37pm[[#This Row],[HPFP PRES. '[BAR']]]-Table3[[#This Row],[58F0]]</f>
        <v>0</v>
      </c>
      <c r="AA781">
        <f>DataLog_T717420_Aug11_4_59_37pm[[#This Row],[COOLANT TEMP '[Â°C']]]-Table3[[#This Row],[5805]]</f>
        <v>0</v>
      </c>
      <c r="AB781">
        <f>DataLog_T717420_Aug11_4_59_37pm[[#This Row],[BOOST '[BAR']]]-Table3[[#This Row],[58DD]]</f>
        <v>0</v>
      </c>
    </row>
    <row r="782" spans="2:28" x14ac:dyDescent="0.25">
      <c r="B782" s="2" t="s">
        <v>183</v>
      </c>
      <c r="C782" s="2" t="s">
        <v>30</v>
      </c>
      <c r="D782" s="2" t="s">
        <v>151</v>
      </c>
      <c r="E782" s="2" t="s">
        <v>93</v>
      </c>
      <c r="F782" s="2" t="s">
        <v>253</v>
      </c>
      <c r="G782" s="2" t="s">
        <v>98</v>
      </c>
      <c r="I782">
        <f>HEX2DEC(_0811_173439[[#This Row],[580C]])*B$4/B$5+B$6</f>
        <v>800</v>
      </c>
      <c r="J782">
        <f>HEX2DEC(_0811_173439[[#This Row],[4402]])*C$4/C$5+C$6</f>
        <v>36</v>
      </c>
      <c r="K782">
        <f>HEX2DEC(_0811_173439[[#This Row],[580F]])*D$4/D$5+D$6</f>
        <v>30</v>
      </c>
      <c r="L782">
        <f>ROUND(HEX2DEC(_0811_173439[[#This Row],[58F0]])*E$4/E$5+E$6,0)</f>
        <v>70</v>
      </c>
      <c r="M782">
        <f>ROUND(HEX2DEC(_0811_173439[[#This Row],[5805]])*F$4/F$5+F$6,0)</f>
        <v>43</v>
      </c>
      <c r="N782">
        <f>ROUND(HEX2DEC(_0811_173439[[#This Row],[58DD]])*G$4/G$5+G$6,2)</f>
        <v>-0.03</v>
      </c>
      <c r="P782">
        <v>800</v>
      </c>
      <c r="Q782">
        <v>36</v>
      </c>
      <c r="R782">
        <v>30</v>
      </c>
      <c r="S782">
        <v>70</v>
      </c>
      <c r="T782">
        <v>43</v>
      </c>
      <c r="U782">
        <v>-0.03</v>
      </c>
      <c r="W782">
        <f>DataLog_T717420_Aug11_4_59_37pm[[#This Row],[RPM '[1/MIN']]]-Table3[[#This Row],[580C]]</f>
        <v>0</v>
      </c>
      <c r="X782">
        <f>DataLog_T717420_Aug11_4_59_37pm[[#This Row],[OIL TEMP '[Â°C']]]-Table3[[#This Row],[4402]]</f>
        <v>0</v>
      </c>
      <c r="Y782">
        <f>DataLog_T717420_Aug11_4_59_37pm[[#This Row],[INTAKE TEMP '[Â°C']]]-Table3[[#This Row],[580F]]</f>
        <v>0</v>
      </c>
      <c r="Z782">
        <f>DataLog_T717420_Aug11_4_59_37pm[[#This Row],[HPFP PRES. '[BAR']]]-Table3[[#This Row],[58F0]]</f>
        <v>0</v>
      </c>
      <c r="AA782">
        <f>DataLog_T717420_Aug11_4_59_37pm[[#This Row],[COOLANT TEMP '[Â°C']]]-Table3[[#This Row],[5805]]</f>
        <v>0</v>
      </c>
      <c r="AB782">
        <f>DataLog_T717420_Aug11_4_59_37pm[[#This Row],[BOOST '[BAR']]]-Table3[[#This Row],[58DD]]</f>
        <v>0</v>
      </c>
    </row>
    <row r="783" spans="2:28" x14ac:dyDescent="0.25">
      <c r="B783" s="2" t="s">
        <v>183</v>
      </c>
      <c r="C783" s="2" t="s">
        <v>30</v>
      </c>
      <c r="D783" s="2" t="s">
        <v>151</v>
      </c>
      <c r="E783" s="2" t="s">
        <v>249</v>
      </c>
      <c r="F783" s="2" t="s">
        <v>253</v>
      </c>
      <c r="G783" s="2" t="s">
        <v>190</v>
      </c>
      <c r="I783">
        <f>HEX2DEC(_0811_173439[[#This Row],[580C]])*B$4/B$5+B$6</f>
        <v>800</v>
      </c>
      <c r="J783">
        <f>HEX2DEC(_0811_173439[[#This Row],[4402]])*C$4/C$5+C$6</f>
        <v>36</v>
      </c>
      <c r="K783">
        <f>HEX2DEC(_0811_173439[[#This Row],[580F]])*D$4/D$5+D$6</f>
        <v>30</v>
      </c>
      <c r="L783">
        <f>ROUND(HEX2DEC(_0811_173439[[#This Row],[58F0]])*E$4/E$5+E$6,0)</f>
        <v>70</v>
      </c>
      <c r="M783">
        <f>ROUND(HEX2DEC(_0811_173439[[#This Row],[5805]])*F$4/F$5+F$6,0)</f>
        <v>43</v>
      </c>
      <c r="N783">
        <f>ROUND(HEX2DEC(_0811_173439[[#This Row],[58DD]])*G$4/G$5+G$6,2)</f>
        <v>-0.03</v>
      </c>
      <c r="P783">
        <v>800</v>
      </c>
      <c r="Q783">
        <v>36</v>
      </c>
      <c r="R783">
        <v>30</v>
      </c>
      <c r="S783">
        <v>70</v>
      </c>
      <c r="T783">
        <v>43</v>
      </c>
      <c r="U783">
        <v>-0.03</v>
      </c>
      <c r="W783">
        <f>DataLog_T717420_Aug11_4_59_37pm[[#This Row],[RPM '[1/MIN']]]-Table3[[#This Row],[580C]]</f>
        <v>0</v>
      </c>
      <c r="X783">
        <f>DataLog_T717420_Aug11_4_59_37pm[[#This Row],[OIL TEMP '[Â°C']]]-Table3[[#This Row],[4402]]</f>
        <v>0</v>
      </c>
      <c r="Y783">
        <f>DataLog_T717420_Aug11_4_59_37pm[[#This Row],[INTAKE TEMP '[Â°C']]]-Table3[[#This Row],[580F]]</f>
        <v>0</v>
      </c>
      <c r="Z783">
        <f>DataLog_T717420_Aug11_4_59_37pm[[#This Row],[HPFP PRES. '[BAR']]]-Table3[[#This Row],[58F0]]</f>
        <v>0</v>
      </c>
      <c r="AA783">
        <f>DataLog_T717420_Aug11_4_59_37pm[[#This Row],[COOLANT TEMP '[Â°C']]]-Table3[[#This Row],[5805]]</f>
        <v>0</v>
      </c>
      <c r="AB783">
        <f>DataLog_T717420_Aug11_4_59_37pm[[#This Row],[BOOST '[BAR']]]-Table3[[#This Row],[58DD]]</f>
        <v>0</v>
      </c>
    </row>
    <row r="784" spans="2:28" x14ac:dyDescent="0.25">
      <c r="B784" s="2" t="s">
        <v>183</v>
      </c>
      <c r="C784" s="2" t="s">
        <v>30</v>
      </c>
      <c r="D784" s="2" t="s">
        <v>151</v>
      </c>
      <c r="E784" s="2" t="s">
        <v>127</v>
      </c>
      <c r="F784" s="2" t="s">
        <v>253</v>
      </c>
      <c r="G784" s="2" t="s">
        <v>53</v>
      </c>
      <c r="I784">
        <f>HEX2DEC(_0811_173439[[#This Row],[580C]])*B$4/B$5+B$6</f>
        <v>800</v>
      </c>
      <c r="J784">
        <f>HEX2DEC(_0811_173439[[#This Row],[4402]])*C$4/C$5+C$6</f>
        <v>36</v>
      </c>
      <c r="K784">
        <f>HEX2DEC(_0811_173439[[#This Row],[580F]])*D$4/D$5+D$6</f>
        <v>30</v>
      </c>
      <c r="L784">
        <f>ROUND(HEX2DEC(_0811_173439[[#This Row],[58F0]])*E$4/E$5+E$6,0)</f>
        <v>70</v>
      </c>
      <c r="M784">
        <f>ROUND(HEX2DEC(_0811_173439[[#This Row],[5805]])*F$4/F$5+F$6,0)</f>
        <v>43</v>
      </c>
      <c r="N784">
        <f>ROUND(HEX2DEC(_0811_173439[[#This Row],[58DD]])*G$4/G$5+G$6,2)</f>
        <v>-0.03</v>
      </c>
      <c r="P784">
        <v>800</v>
      </c>
      <c r="Q784">
        <v>36</v>
      </c>
      <c r="R784">
        <v>30</v>
      </c>
      <c r="S784">
        <v>70</v>
      </c>
      <c r="T784">
        <v>43</v>
      </c>
      <c r="U784">
        <v>-0.03</v>
      </c>
      <c r="W784">
        <f>DataLog_T717420_Aug11_4_59_37pm[[#This Row],[RPM '[1/MIN']]]-Table3[[#This Row],[580C]]</f>
        <v>0</v>
      </c>
      <c r="X784">
        <f>DataLog_T717420_Aug11_4_59_37pm[[#This Row],[OIL TEMP '[Â°C']]]-Table3[[#This Row],[4402]]</f>
        <v>0</v>
      </c>
      <c r="Y784">
        <f>DataLog_T717420_Aug11_4_59_37pm[[#This Row],[INTAKE TEMP '[Â°C']]]-Table3[[#This Row],[580F]]</f>
        <v>0</v>
      </c>
      <c r="Z784">
        <f>DataLog_T717420_Aug11_4_59_37pm[[#This Row],[HPFP PRES. '[BAR']]]-Table3[[#This Row],[58F0]]</f>
        <v>0</v>
      </c>
      <c r="AA784">
        <f>DataLog_T717420_Aug11_4_59_37pm[[#This Row],[COOLANT TEMP '[Â°C']]]-Table3[[#This Row],[5805]]</f>
        <v>0</v>
      </c>
      <c r="AB784">
        <f>DataLog_T717420_Aug11_4_59_37pm[[#This Row],[BOOST '[BAR']]]-Table3[[#This Row],[58DD]]</f>
        <v>0</v>
      </c>
    </row>
    <row r="785" spans="2:28" x14ac:dyDescent="0.25">
      <c r="B785" s="2" t="s">
        <v>183</v>
      </c>
      <c r="C785" s="2" t="s">
        <v>30</v>
      </c>
      <c r="D785" s="2" t="s">
        <v>151</v>
      </c>
      <c r="E785" s="2" t="s">
        <v>181</v>
      </c>
      <c r="F785" s="2" t="s">
        <v>253</v>
      </c>
      <c r="G785" s="2" t="s">
        <v>190</v>
      </c>
      <c r="I785">
        <f>HEX2DEC(_0811_173439[[#This Row],[580C]])*B$4/B$5+B$6</f>
        <v>800</v>
      </c>
      <c r="J785">
        <f>HEX2DEC(_0811_173439[[#This Row],[4402]])*C$4/C$5+C$6</f>
        <v>36</v>
      </c>
      <c r="K785">
        <f>HEX2DEC(_0811_173439[[#This Row],[580F]])*D$4/D$5+D$6</f>
        <v>30</v>
      </c>
      <c r="L785">
        <f>ROUND(HEX2DEC(_0811_173439[[#This Row],[58F0]])*E$4/E$5+E$6,0)</f>
        <v>70</v>
      </c>
      <c r="M785">
        <f>ROUND(HEX2DEC(_0811_173439[[#This Row],[5805]])*F$4/F$5+F$6,0)</f>
        <v>43</v>
      </c>
      <c r="N785">
        <f>ROUND(HEX2DEC(_0811_173439[[#This Row],[58DD]])*G$4/G$5+G$6,2)</f>
        <v>-0.03</v>
      </c>
      <c r="P785">
        <v>800</v>
      </c>
      <c r="Q785">
        <v>36</v>
      </c>
      <c r="R785">
        <v>30</v>
      </c>
      <c r="S785">
        <v>70</v>
      </c>
      <c r="T785">
        <v>43</v>
      </c>
      <c r="U785">
        <v>-0.03</v>
      </c>
      <c r="W785">
        <f>DataLog_T717420_Aug11_4_59_37pm[[#This Row],[RPM '[1/MIN']]]-Table3[[#This Row],[580C]]</f>
        <v>0</v>
      </c>
      <c r="X785">
        <f>DataLog_T717420_Aug11_4_59_37pm[[#This Row],[OIL TEMP '[Â°C']]]-Table3[[#This Row],[4402]]</f>
        <v>0</v>
      </c>
      <c r="Y785">
        <f>DataLog_T717420_Aug11_4_59_37pm[[#This Row],[INTAKE TEMP '[Â°C']]]-Table3[[#This Row],[580F]]</f>
        <v>0</v>
      </c>
      <c r="Z785">
        <f>DataLog_T717420_Aug11_4_59_37pm[[#This Row],[HPFP PRES. '[BAR']]]-Table3[[#This Row],[58F0]]</f>
        <v>0</v>
      </c>
      <c r="AA785">
        <f>DataLog_T717420_Aug11_4_59_37pm[[#This Row],[COOLANT TEMP '[Â°C']]]-Table3[[#This Row],[5805]]</f>
        <v>0</v>
      </c>
      <c r="AB785">
        <f>DataLog_T717420_Aug11_4_59_37pm[[#This Row],[BOOST '[BAR']]]-Table3[[#This Row],[58DD]]</f>
        <v>0</v>
      </c>
    </row>
    <row r="786" spans="2:28" x14ac:dyDescent="0.25">
      <c r="B786" s="2" t="s">
        <v>183</v>
      </c>
      <c r="C786" s="2" t="s">
        <v>30</v>
      </c>
      <c r="D786" s="2" t="s">
        <v>151</v>
      </c>
      <c r="E786" s="2" t="s">
        <v>214</v>
      </c>
      <c r="F786" s="2" t="s">
        <v>253</v>
      </c>
      <c r="G786" s="2" t="s">
        <v>71</v>
      </c>
      <c r="I786">
        <f>HEX2DEC(_0811_173439[[#This Row],[580C]])*B$4/B$5+B$6</f>
        <v>800</v>
      </c>
      <c r="J786">
        <f>HEX2DEC(_0811_173439[[#This Row],[4402]])*C$4/C$5+C$6</f>
        <v>36</v>
      </c>
      <c r="K786">
        <f>HEX2DEC(_0811_173439[[#This Row],[580F]])*D$4/D$5+D$6</f>
        <v>30</v>
      </c>
      <c r="L786">
        <f>ROUND(HEX2DEC(_0811_173439[[#This Row],[58F0]])*E$4/E$5+E$6,0)</f>
        <v>70</v>
      </c>
      <c r="M786">
        <f>ROUND(HEX2DEC(_0811_173439[[#This Row],[5805]])*F$4/F$5+F$6,0)</f>
        <v>43</v>
      </c>
      <c r="N786">
        <f>ROUND(HEX2DEC(_0811_173439[[#This Row],[58DD]])*G$4/G$5+G$6,2)</f>
        <v>-0.03</v>
      </c>
      <c r="P786">
        <v>800</v>
      </c>
      <c r="Q786">
        <v>36</v>
      </c>
      <c r="R786">
        <v>30</v>
      </c>
      <c r="S786">
        <v>70</v>
      </c>
      <c r="T786">
        <v>43</v>
      </c>
      <c r="U786">
        <v>-0.03</v>
      </c>
      <c r="W786">
        <f>DataLog_T717420_Aug11_4_59_37pm[[#This Row],[RPM '[1/MIN']]]-Table3[[#This Row],[580C]]</f>
        <v>0</v>
      </c>
      <c r="X786">
        <f>DataLog_T717420_Aug11_4_59_37pm[[#This Row],[OIL TEMP '[Â°C']]]-Table3[[#This Row],[4402]]</f>
        <v>0</v>
      </c>
      <c r="Y786">
        <f>DataLog_T717420_Aug11_4_59_37pm[[#This Row],[INTAKE TEMP '[Â°C']]]-Table3[[#This Row],[580F]]</f>
        <v>0</v>
      </c>
      <c r="Z786">
        <f>DataLog_T717420_Aug11_4_59_37pm[[#This Row],[HPFP PRES. '[BAR']]]-Table3[[#This Row],[58F0]]</f>
        <v>0</v>
      </c>
      <c r="AA786">
        <f>DataLog_T717420_Aug11_4_59_37pm[[#This Row],[COOLANT TEMP '[Â°C']]]-Table3[[#This Row],[5805]]</f>
        <v>0</v>
      </c>
      <c r="AB786">
        <f>DataLog_T717420_Aug11_4_59_37pm[[#This Row],[BOOST '[BAR']]]-Table3[[#This Row],[58DD]]</f>
        <v>0</v>
      </c>
    </row>
    <row r="787" spans="2:28" x14ac:dyDescent="0.25">
      <c r="B787" s="2" t="s">
        <v>183</v>
      </c>
      <c r="C787" s="2" t="s">
        <v>30</v>
      </c>
      <c r="D787" s="2" t="s">
        <v>151</v>
      </c>
      <c r="E787" s="2" t="s">
        <v>141</v>
      </c>
      <c r="F787" s="2" t="s">
        <v>253</v>
      </c>
      <c r="G787" s="2" t="s">
        <v>96</v>
      </c>
      <c r="I787">
        <f>HEX2DEC(_0811_173439[[#This Row],[580C]])*B$4/B$5+B$6</f>
        <v>800</v>
      </c>
      <c r="J787">
        <f>HEX2DEC(_0811_173439[[#This Row],[4402]])*C$4/C$5+C$6</f>
        <v>36</v>
      </c>
      <c r="K787">
        <f>HEX2DEC(_0811_173439[[#This Row],[580F]])*D$4/D$5+D$6</f>
        <v>30</v>
      </c>
      <c r="L787">
        <f>ROUND(HEX2DEC(_0811_173439[[#This Row],[58F0]])*E$4/E$5+E$6,0)</f>
        <v>70</v>
      </c>
      <c r="M787">
        <f>ROUND(HEX2DEC(_0811_173439[[#This Row],[5805]])*F$4/F$5+F$6,0)</f>
        <v>43</v>
      </c>
      <c r="N787">
        <f>ROUND(HEX2DEC(_0811_173439[[#This Row],[58DD]])*G$4/G$5+G$6,2)</f>
        <v>-0.03</v>
      </c>
      <c r="P787">
        <v>800</v>
      </c>
      <c r="Q787">
        <v>36</v>
      </c>
      <c r="R787">
        <v>30</v>
      </c>
      <c r="S787">
        <v>70</v>
      </c>
      <c r="T787">
        <v>43</v>
      </c>
      <c r="U787">
        <v>-0.03</v>
      </c>
      <c r="W787">
        <f>DataLog_T717420_Aug11_4_59_37pm[[#This Row],[RPM '[1/MIN']]]-Table3[[#This Row],[580C]]</f>
        <v>0</v>
      </c>
      <c r="X787">
        <f>DataLog_T717420_Aug11_4_59_37pm[[#This Row],[OIL TEMP '[Â°C']]]-Table3[[#This Row],[4402]]</f>
        <v>0</v>
      </c>
      <c r="Y787">
        <f>DataLog_T717420_Aug11_4_59_37pm[[#This Row],[INTAKE TEMP '[Â°C']]]-Table3[[#This Row],[580F]]</f>
        <v>0</v>
      </c>
      <c r="Z787">
        <f>DataLog_T717420_Aug11_4_59_37pm[[#This Row],[HPFP PRES. '[BAR']]]-Table3[[#This Row],[58F0]]</f>
        <v>0</v>
      </c>
      <c r="AA787">
        <f>DataLog_T717420_Aug11_4_59_37pm[[#This Row],[COOLANT TEMP '[Â°C']]]-Table3[[#This Row],[5805]]</f>
        <v>0</v>
      </c>
      <c r="AB787">
        <f>DataLog_T717420_Aug11_4_59_37pm[[#This Row],[BOOST '[BAR']]]-Table3[[#This Row],[58DD]]</f>
        <v>0</v>
      </c>
    </row>
    <row r="788" spans="2:28" x14ac:dyDescent="0.25">
      <c r="B788" s="2" t="s">
        <v>183</v>
      </c>
      <c r="C788" s="2" t="s">
        <v>30</v>
      </c>
      <c r="D788" s="2" t="s">
        <v>151</v>
      </c>
      <c r="E788" s="2" t="s">
        <v>93</v>
      </c>
      <c r="F788" s="2" t="s">
        <v>253</v>
      </c>
      <c r="G788" s="2" t="s">
        <v>255</v>
      </c>
      <c r="I788">
        <f>HEX2DEC(_0811_173439[[#This Row],[580C]])*B$4/B$5+B$6</f>
        <v>800</v>
      </c>
      <c r="J788">
        <f>HEX2DEC(_0811_173439[[#This Row],[4402]])*C$4/C$5+C$6</f>
        <v>36</v>
      </c>
      <c r="K788">
        <f>HEX2DEC(_0811_173439[[#This Row],[580F]])*D$4/D$5+D$6</f>
        <v>30</v>
      </c>
      <c r="L788">
        <f>ROUND(HEX2DEC(_0811_173439[[#This Row],[58F0]])*E$4/E$5+E$6,0)</f>
        <v>70</v>
      </c>
      <c r="M788">
        <f>ROUND(HEX2DEC(_0811_173439[[#This Row],[5805]])*F$4/F$5+F$6,0)</f>
        <v>43</v>
      </c>
      <c r="N788">
        <f>ROUND(HEX2DEC(_0811_173439[[#This Row],[58DD]])*G$4/G$5+G$6,2)</f>
        <v>-0.03</v>
      </c>
      <c r="P788">
        <v>800</v>
      </c>
      <c r="Q788">
        <v>36</v>
      </c>
      <c r="R788">
        <v>30</v>
      </c>
      <c r="S788">
        <v>70</v>
      </c>
      <c r="T788">
        <v>43</v>
      </c>
      <c r="U788">
        <v>-0.03</v>
      </c>
      <c r="W788">
        <f>DataLog_T717420_Aug11_4_59_37pm[[#This Row],[RPM '[1/MIN']]]-Table3[[#This Row],[580C]]</f>
        <v>0</v>
      </c>
      <c r="X788">
        <f>DataLog_T717420_Aug11_4_59_37pm[[#This Row],[OIL TEMP '[Â°C']]]-Table3[[#This Row],[4402]]</f>
        <v>0</v>
      </c>
      <c r="Y788">
        <f>DataLog_T717420_Aug11_4_59_37pm[[#This Row],[INTAKE TEMP '[Â°C']]]-Table3[[#This Row],[580F]]</f>
        <v>0</v>
      </c>
      <c r="Z788">
        <f>DataLog_T717420_Aug11_4_59_37pm[[#This Row],[HPFP PRES. '[BAR']]]-Table3[[#This Row],[58F0]]</f>
        <v>0</v>
      </c>
      <c r="AA788">
        <f>DataLog_T717420_Aug11_4_59_37pm[[#This Row],[COOLANT TEMP '[Â°C']]]-Table3[[#This Row],[5805]]</f>
        <v>0</v>
      </c>
      <c r="AB788">
        <f>DataLog_T717420_Aug11_4_59_37pm[[#This Row],[BOOST '[BAR']]]-Table3[[#This Row],[58DD]]</f>
        <v>0</v>
      </c>
    </row>
    <row r="789" spans="2:28" x14ac:dyDescent="0.25">
      <c r="B789" s="2" t="s">
        <v>183</v>
      </c>
      <c r="C789" s="2" t="s">
        <v>30</v>
      </c>
      <c r="D789" s="2" t="s">
        <v>151</v>
      </c>
      <c r="E789" s="2" t="s">
        <v>222</v>
      </c>
      <c r="F789" s="2" t="s">
        <v>253</v>
      </c>
      <c r="G789" s="2" t="s">
        <v>245</v>
      </c>
      <c r="I789">
        <f>HEX2DEC(_0811_173439[[#This Row],[580C]])*B$4/B$5+B$6</f>
        <v>800</v>
      </c>
      <c r="J789">
        <f>HEX2DEC(_0811_173439[[#This Row],[4402]])*C$4/C$5+C$6</f>
        <v>36</v>
      </c>
      <c r="K789">
        <f>HEX2DEC(_0811_173439[[#This Row],[580F]])*D$4/D$5+D$6</f>
        <v>30</v>
      </c>
      <c r="L789">
        <f>ROUND(HEX2DEC(_0811_173439[[#This Row],[58F0]])*E$4/E$5+E$6,0)</f>
        <v>70</v>
      </c>
      <c r="M789">
        <f>ROUND(HEX2DEC(_0811_173439[[#This Row],[5805]])*F$4/F$5+F$6,0)</f>
        <v>43</v>
      </c>
      <c r="N789">
        <f>ROUND(HEX2DEC(_0811_173439[[#This Row],[58DD]])*G$4/G$5+G$6,2)</f>
        <v>-0.03</v>
      </c>
      <c r="P789">
        <v>800</v>
      </c>
      <c r="Q789">
        <v>36</v>
      </c>
      <c r="R789">
        <v>30</v>
      </c>
      <c r="S789">
        <v>70</v>
      </c>
      <c r="T789">
        <v>43</v>
      </c>
      <c r="U789">
        <v>-0.03</v>
      </c>
      <c r="W789">
        <f>DataLog_T717420_Aug11_4_59_37pm[[#This Row],[RPM '[1/MIN']]]-Table3[[#This Row],[580C]]</f>
        <v>0</v>
      </c>
      <c r="X789">
        <f>DataLog_T717420_Aug11_4_59_37pm[[#This Row],[OIL TEMP '[Â°C']]]-Table3[[#This Row],[4402]]</f>
        <v>0</v>
      </c>
      <c r="Y789">
        <f>DataLog_T717420_Aug11_4_59_37pm[[#This Row],[INTAKE TEMP '[Â°C']]]-Table3[[#This Row],[580F]]</f>
        <v>0</v>
      </c>
      <c r="Z789">
        <f>DataLog_T717420_Aug11_4_59_37pm[[#This Row],[HPFP PRES. '[BAR']]]-Table3[[#This Row],[58F0]]</f>
        <v>0</v>
      </c>
      <c r="AA789">
        <f>DataLog_T717420_Aug11_4_59_37pm[[#This Row],[COOLANT TEMP '[Â°C']]]-Table3[[#This Row],[5805]]</f>
        <v>0</v>
      </c>
      <c r="AB789">
        <f>DataLog_T717420_Aug11_4_59_37pm[[#This Row],[BOOST '[BAR']]]-Table3[[#This Row],[58DD]]</f>
        <v>0</v>
      </c>
    </row>
    <row r="790" spans="2:28" x14ac:dyDescent="0.25">
      <c r="B790" s="2" t="s">
        <v>183</v>
      </c>
      <c r="C790" s="2" t="s">
        <v>30</v>
      </c>
      <c r="D790" s="2" t="s">
        <v>151</v>
      </c>
      <c r="E790" s="2" t="s">
        <v>93</v>
      </c>
      <c r="F790" s="2" t="s">
        <v>253</v>
      </c>
      <c r="G790" s="2" t="s">
        <v>96</v>
      </c>
      <c r="I790">
        <f>HEX2DEC(_0811_173439[[#This Row],[580C]])*B$4/B$5+B$6</f>
        <v>800</v>
      </c>
      <c r="J790">
        <f>HEX2DEC(_0811_173439[[#This Row],[4402]])*C$4/C$5+C$6</f>
        <v>36</v>
      </c>
      <c r="K790">
        <f>HEX2DEC(_0811_173439[[#This Row],[580F]])*D$4/D$5+D$6</f>
        <v>30</v>
      </c>
      <c r="L790">
        <f>ROUND(HEX2DEC(_0811_173439[[#This Row],[58F0]])*E$4/E$5+E$6,0)</f>
        <v>70</v>
      </c>
      <c r="M790">
        <f>ROUND(HEX2DEC(_0811_173439[[#This Row],[5805]])*F$4/F$5+F$6,0)</f>
        <v>43</v>
      </c>
      <c r="N790">
        <f>ROUND(HEX2DEC(_0811_173439[[#This Row],[58DD]])*G$4/G$5+G$6,2)</f>
        <v>-0.03</v>
      </c>
      <c r="P790">
        <v>800</v>
      </c>
      <c r="Q790">
        <v>36</v>
      </c>
      <c r="R790">
        <v>30</v>
      </c>
      <c r="S790">
        <v>70</v>
      </c>
      <c r="T790">
        <v>43</v>
      </c>
      <c r="U790">
        <v>-0.03</v>
      </c>
      <c r="W790">
        <f>DataLog_T717420_Aug11_4_59_37pm[[#This Row],[RPM '[1/MIN']]]-Table3[[#This Row],[580C]]</f>
        <v>0</v>
      </c>
      <c r="X790">
        <f>DataLog_T717420_Aug11_4_59_37pm[[#This Row],[OIL TEMP '[Â°C']]]-Table3[[#This Row],[4402]]</f>
        <v>0</v>
      </c>
      <c r="Y790">
        <f>DataLog_T717420_Aug11_4_59_37pm[[#This Row],[INTAKE TEMP '[Â°C']]]-Table3[[#This Row],[580F]]</f>
        <v>0</v>
      </c>
      <c r="Z790">
        <f>DataLog_T717420_Aug11_4_59_37pm[[#This Row],[HPFP PRES. '[BAR']]]-Table3[[#This Row],[58F0]]</f>
        <v>0</v>
      </c>
      <c r="AA790">
        <f>DataLog_T717420_Aug11_4_59_37pm[[#This Row],[COOLANT TEMP '[Â°C']]]-Table3[[#This Row],[5805]]</f>
        <v>0</v>
      </c>
      <c r="AB790">
        <f>DataLog_T717420_Aug11_4_59_37pm[[#This Row],[BOOST '[BAR']]]-Table3[[#This Row],[58DD]]</f>
        <v>0</v>
      </c>
    </row>
    <row r="791" spans="2:28" x14ac:dyDescent="0.25">
      <c r="B791" s="2" t="s">
        <v>183</v>
      </c>
      <c r="C791" s="2" t="s">
        <v>30</v>
      </c>
      <c r="D791" s="2" t="s">
        <v>151</v>
      </c>
      <c r="E791" s="2" t="s">
        <v>121</v>
      </c>
      <c r="F791" s="2" t="s">
        <v>253</v>
      </c>
      <c r="G791" s="2" t="s">
        <v>191</v>
      </c>
      <c r="I791">
        <f>HEX2DEC(_0811_173439[[#This Row],[580C]])*B$4/B$5+B$6</f>
        <v>800</v>
      </c>
      <c r="J791">
        <f>HEX2DEC(_0811_173439[[#This Row],[4402]])*C$4/C$5+C$6</f>
        <v>36</v>
      </c>
      <c r="K791">
        <f>HEX2DEC(_0811_173439[[#This Row],[580F]])*D$4/D$5+D$6</f>
        <v>30</v>
      </c>
      <c r="L791">
        <f>ROUND(HEX2DEC(_0811_173439[[#This Row],[58F0]])*E$4/E$5+E$6,0)</f>
        <v>71</v>
      </c>
      <c r="M791">
        <f>ROUND(HEX2DEC(_0811_173439[[#This Row],[5805]])*F$4/F$5+F$6,0)</f>
        <v>43</v>
      </c>
      <c r="N791">
        <f>ROUND(HEX2DEC(_0811_173439[[#This Row],[58DD]])*G$4/G$5+G$6,2)</f>
        <v>-0.03</v>
      </c>
      <c r="P791">
        <v>800</v>
      </c>
      <c r="Q791">
        <v>36</v>
      </c>
      <c r="R791">
        <v>30</v>
      </c>
      <c r="S791">
        <v>71</v>
      </c>
      <c r="T791">
        <v>43</v>
      </c>
      <c r="U791">
        <v>-0.03</v>
      </c>
      <c r="W791">
        <f>DataLog_T717420_Aug11_4_59_37pm[[#This Row],[RPM '[1/MIN']]]-Table3[[#This Row],[580C]]</f>
        <v>0</v>
      </c>
      <c r="X791">
        <f>DataLog_T717420_Aug11_4_59_37pm[[#This Row],[OIL TEMP '[Â°C']]]-Table3[[#This Row],[4402]]</f>
        <v>0</v>
      </c>
      <c r="Y791">
        <f>DataLog_T717420_Aug11_4_59_37pm[[#This Row],[INTAKE TEMP '[Â°C']]]-Table3[[#This Row],[580F]]</f>
        <v>0</v>
      </c>
      <c r="Z791">
        <f>DataLog_T717420_Aug11_4_59_37pm[[#This Row],[HPFP PRES. '[BAR']]]-Table3[[#This Row],[58F0]]</f>
        <v>0</v>
      </c>
      <c r="AA791">
        <f>DataLog_T717420_Aug11_4_59_37pm[[#This Row],[COOLANT TEMP '[Â°C']]]-Table3[[#This Row],[5805]]</f>
        <v>0</v>
      </c>
      <c r="AB791">
        <f>DataLog_T717420_Aug11_4_59_37pm[[#This Row],[BOOST '[BAR']]]-Table3[[#This Row],[58DD]]</f>
        <v>0</v>
      </c>
    </row>
    <row r="792" spans="2:28" x14ac:dyDescent="0.25">
      <c r="B792" s="2" t="s">
        <v>183</v>
      </c>
      <c r="C792" s="2" t="s">
        <v>30</v>
      </c>
      <c r="D792" s="2" t="s">
        <v>151</v>
      </c>
      <c r="E792" s="2" t="s">
        <v>163</v>
      </c>
      <c r="F792" s="2" t="s">
        <v>253</v>
      </c>
      <c r="G792" s="2" t="s">
        <v>236</v>
      </c>
      <c r="I792">
        <f>HEX2DEC(_0811_173439[[#This Row],[580C]])*B$4/B$5+B$6</f>
        <v>800</v>
      </c>
      <c r="J792">
        <f>HEX2DEC(_0811_173439[[#This Row],[4402]])*C$4/C$5+C$6</f>
        <v>36</v>
      </c>
      <c r="K792">
        <f>HEX2DEC(_0811_173439[[#This Row],[580F]])*D$4/D$5+D$6</f>
        <v>30</v>
      </c>
      <c r="L792">
        <f>ROUND(HEX2DEC(_0811_173439[[#This Row],[58F0]])*E$4/E$5+E$6,0)</f>
        <v>70</v>
      </c>
      <c r="M792">
        <f>ROUND(HEX2DEC(_0811_173439[[#This Row],[5805]])*F$4/F$5+F$6,0)</f>
        <v>43</v>
      </c>
      <c r="N792">
        <f>ROUND(HEX2DEC(_0811_173439[[#This Row],[58DD]])*G$4/G$5+G$6,2)</f>
        <v>-0.03</v>
      </c>
      <c r="P792">
        <v>800</v>
      </c>
      <c r="Q792">
        <v>36</v>
      </c>
      <c r="R792">
        <v>30</v>
      </c>
      <c r="S792">
        <v>70</v>
      </c>
      <c r="T792">
        <v>43</v>
      </c>
      <c r="U792">
        <v>-0.03</v>
      </c>
      <c r="W792">
        <f>DataLog_T717420_Aug11_4_59_37pm[[#This Row],[RPM '[1/MIN']]]-Table3[[#This Row],[580C]]</f>
        <v>0</v>
      </c>
      <c r="X792">
        <f>DataLog_T717420_Aug11_4_59_37pm[[#This Row],[OIL TEMP '[Â°C']]]-Table3[[#This Row],[4402]]</f>
        <v>0</v>
      </c>
      <c r="Y792">
        <f>DataLog_T717420_Aug11_4_59_37pm[[#This Row],[INTAKE TEMP '[Â°C']]]-Table3[[#This Row],[580F]]</f>
        <v>0</v>
      </c>
      <c r="Z792">
        <f>DataLog_T717420_Aug11_4_59_37pm[[#This Row],[HPFP PRES. '[BAR']]]-Table3[[#This Row],[58F0]]</f>
        <v>0</v>
      </c>
      <c r="AA792">
        <f>DataLog_T717420_Aug11_4_59_37pm[[#This Row],[COOLANT TEMP '[Â°C']]]-Table3[[#This Row],[5805]]</f>
        <v>0</v>
      </c>
      <c r="AB792">
        <f>DataLog_T717420_Aug11_4_59_37pm[[#This Row],[BOOST '[BAR']]]-Table3[[#This Row],[58DD]]</f>
        <v>0</v>
      </c>
    </row>
    <row r="793" spans="2:28" x14ac:dyDescent="0.25">
      <c r="B793" s="2" t="s">
        <v>183</v>
      </c>
      <c r="C793" s="2" t="s">
        <v>30</v>
      </c>
      <c r="D793" s="2" t="s">
        <v>151</v>
      </c>
      <c r="E793" s="2" t="s">
        <v>122</v>
      </c>
      <c r="F793" s="2" t="s">
        <v>253</v>
      </c>
      <c r="G793" s="2" t="s">
        <v>53</v>
      </c>
      <c r="I793">
        <f>HEX2DEC(_0811_173439[[#This Row],[580C]])*B$4/B$5+B$6</f>
        <v>800</v>
      </c>
      <c r="J793">
        <f>HEX2DEC(_0811_173439[[#This Row],[4402]])*C$4/C$5+C$6</f>
        <v>36</v>
      </c>
      <c r="K793">
        <f>HEX2DEC(_0811_173439[[#This Row],[580F]])*D$4/D$5+D$6</f>
        <v>30</v>
      </c>
      <c r="L793">
        <f>ROUND(HEX2DEC(_0811_173439[[#This Row],[58F0]])*E$4/E$5+E$6,0)</f>
        <v>71</v>
      </c>
      <c r="M793">
        <f>ROUND(HEX2DEC(_0811_173439[[#This Row],[5805]])*F$4/F$5+F$6,0)</f>
        <v>43</v>
      </c>
      <c r="N793">
        <f>ROUND(HEX2DEC(_0811_173439[[#This Row],[58DD]])*G$4/G$5+G$6,2)</f>
        <v>-0.03</v>
      </c>
      <c r="P793">
        <v>800</v>
      </c>
      <c r="Q793">
        <v>36</v>
      </c>
      <c r="R793">
        <v>30</v>
      </c>
      <c r="S793">
        <v>71</v>
      </c>
      <c r="T793">
        <v>43</v>
      </c>
      <c r="U793">
        <v>-0.03</v>
      </c>
      <c r="W793">
        <f>DataLog_T717420_Aug11_4_59_37pm[[#This Row],[RPM '[1/MIN']]]-Table3[[#This Row],[580C]]</f>
        <v>0</v>
      </c>
      <c r="X793">
        <f>DataLog_T717420_Aug11_4_59_37pm[[#This Row],[OIL TEMP '[Â°C']]]-Table3[[#This Row],[4402]]</f>
        <v>0</v>
      </c>
      <c r="Y793">
        <f>DataLog_T717420_Aug11_4_59_37pm[[#This Row],[INTAKE TEMP '[Â°C']]]-Table3[[#This Row],[580F]]</f>
        <v>0</v>
      </c>
      <c r="Z793">
        <f>DataLog_T717420_Aug11_4_59_37pm[[#This Row],[HPFP PRES. '[BAR']]]-Table3[[#This Row],[58F0]]</f>
        <v>0</v>
      </c>
      <c r="AA793">
        <f>DataLog_T717420_Aug11_4_59_37pm[[#This Row],[COOLANT TEMP '[Â°C']]]-Table3[[#This Row],[5805]]</f>
        <v>0</v>
      </c>
      <c r="AB793">
        <f>DataLog_T717420_Aug11_4_59_37pm[[#This Row],[BOOST '[BAR']]]-Table3[[#This Row],[58DD]]</f>
        <v>0</v>
      </c>
    </row>
    <row r="794" spans="2:28" x14ac:dyDescent="0.25">
      <c r="B794" s="2" t="s">
        <v>183</v>
      </c>
      <c r="C794" s="2" t="s">
        <v>30</v>
      </c>
      <c r="D794" s="2" t="s">
        <v>151</v>
      </c>
      <c r="E794" s="2" t="s">
        <v>165</v>
      </c>
      <c r="F794" s="2" t="s">
        <v>253</v>
      </c>
      <c r="G794" s="2" t="s">
        <v>53</v>
      </c>
      <c r="I794">
        <f>HEX2DEC(_0811_173439[[#This Row],[580C]])*B$4/B$5+B$6</f>
        <v>800</v>
      </c>
      <c r="J794">
        <f>HEX2DEC(_0811_173439[[#This Row],[4402]])*C$4/C$5+C$6</f>
        <v>36</v>
      </c>
      <c r="K794">
        <f>HEX2DEC(_0811_173439[[#This Row],[580F]])*D$4/D$5+D$6</f>
        <v>30</v>
      </c>
      <c r="L794">
        <f>ROUND(HEX2DEC(_0811_173439[[#This Row],[58F0]])*E$4/E$5+E$6,0)</f>
        <v>70</v>
      </c>
      <c r="M794">
        <f>ROUND(HEX2DEC(_0811_173439[[#This Row],[5805]])*F$4/F$5+F$6,0)</f>
        <v>43</v>
      </c>
      <c r="N794">
        <f>ROUND(HEX2DEC(_0811_173439[[#This Row],[58DD]])*G$4/G$5+G$6,2)</f>
        <v>-0.03</v>
      </c>
      <c r="P794">
        <v>800</v>
      </c>
      <c r="Q794">
        <v>36</v>
      </c>
      <c r="R794">
        <v>30</v>
      </c>
      <c r="S794">
        <v>70</v>
      </c>
      <c r="T794">
        <v>43</v>
      </c>
      <c r="U794">
        <v>-0.03</v>
      </c>
      <c r="W794">
        <f>DataLog_T717420_Aug11_4_59_37pm[[#This Row],[RPM '[1/MIN']]]-Table3[[#This Row],[580C]]</f>
        <v>0</v>
      </c>
      <c r="X794">
        <f>DataLog_T717420_Aug11_4_59_37pm[[#This Row],[OIL TEMP '[Â°C']]]-Table3[[#This Row],[4402]]</f>
        <v>0</v>
      </c>
      <c r="Y794">
        <f>DataLog_T717420_Aug11_4_59_37pm[[#This Row],[INTAKE TEMP '[Â°C']]]-Table3[[#This Row],[580F]]</f>
        <v>0</v>
      </c>
      <c r="Z794">
        <f>DataLog_T717420_Aug11_4_59_37pm[[#This Row],[HPFP PRES. '[BAR']]]-Table3[[#This Row],[58F0]]</f>
        <v>0</v>
      </c>
      <c r="AA794">
        <f>DataLog_T717420_Aug11_4_59_37pm[[#This Row],[COOLANT TEMP '[Â°C']]]-Table3[[#This Row],[5805]]</f>
        <v>0</v>
      </c>
      <c r="AB794">
        <f>DataLog_T717420_Aug11_4_59_37pm[[#This Row],[BOOST '[BAR']]]-Table3[[#This Row],[58DD]]</f>
        <v>0</v>
      </c>
    </row>
    <row r="795" spans="2:28" x14ac:dyDescent="0.25">
      <c r="B795" s="2" t="s">
        <v>183</v>
      </c>
      <c r="C795" s="2" t="s">
        <v>30</v>
      </c>
      <c r="D795" s="2" t="s">
        <v>151</v>
      </c>
      <c r="E795" s="2" t="s">
        <v>194</v>
      </c>
      <c r="F795" s="2" t="s">
        <v>253</v>
      </c>
      <c r="G795" s="2" t="s">
        <v>236</v>
      </c>
      <c r="I795">
        <f>HEX2DEC(_0811_173439[[#This Row],[580C]])*B$4/B$5+B$6</f>
        <v>800</v>
      </c>
      <c r="J795">
        <f>HEX2DEC(_0811_173439[[#This Row],[4402]])*C$4/C$5+C$6</f>
        <v>36</v>
      </c>
      <c r="K795">
        <f>HEX2DEC(_0811_173439[[#This Row],[580F]])*D$4/D$5+D$6</f>
        <v>30</v>
      </c>
      <c r="L795">
        <f>ROUND(HEX2DEC(_0811_173439[[#This Row],[58F0]])*E$4/E$5+E$6,0)</f>
        <v>70</v>
      </c>
      <c r="M795">
        <f>ROUND(HEX2DEC(_0811_173439[[#This Row],[5805]])*F$4/F$5+F$6,0)</f>
        <v>43</v>
      </c>
      <c r="N795">
        <f>ROUND(HEX2DEC(_0811_173439[[#This Row],[58DD]])*G$4/G$5+G$6,2)</f>
        <v>-0.03</v>
      </c>
      <c r="P795">
        <v>800</v>
      </c>
      <c r="Q795">
        <v>36</v>
      </c>
      <c r="R795">
        <v>30</v>
      </c>
      <c r="S795">
        <v>70</v>
      </c>
      <c r="T795">
        <v>43</v>
      </c>
      <c r="U795">
        <v>-0.03</v>
      </c>
      <c r="W795">
        <f>DataLog_T717420_Aug11_4_59_37pm[[#This Row],[RPM '[1/MIN']]]-Table3[[#This Row],[580C]]</f>
        <v>0</v>
      </c>
      <c r="X795">
        <f>DataLog_T717420_Aug11_4_59_37pm[[#This Row],[OIL TEMP '[Â°C']]]-Table3[[#This Row],[4402]]</f>
        <v>0</v>
      </c>
      <c r="Y795">
        <f>DataLog_T717420_Aug11_4_59_37pm[[#This Row],[INTAKE TEMP '[Â°C']]]-Table3[[#This Row],[580F]]</f>
        <v>0</v>
      </c>
      <c r="Z795">
        <f>DataLog_T717420_Aug11_4_59_37pm[[#This Row],[HPFP PRES. '[BAR']]]-Table3[[#This Row],[58F0]]</f>
        <v>0</v>
      </c>
      <c r="AA795">
        <f>DataLog_T717420_Aug11_4_59_37pm[[#This Row],[COOLANT TEMP '[Â°C']]]-Table3[[#This Row],[5805]]</f>
        <v>0</v>
      </c>
      <c r="AB795">
        <f>DataLog_T717420_Aug11_4_59_37pm[[#This Row],[BOOST '[BAR']]]-Table3[[#This Row],[58DD]]</f>
        <v>0</v>
      </c>
    </row>
    <row r="796" spans="2:28" x14ac:dyDescent="0.25">
      <c r="B796" s="2" t="s">
        <v>189</v>
      </c>
      <c r="C796" s="2" t="s">
        <v>30</v>
      </c>
      <c r="D796" s="2" t="s">
        <v>151</v>
      </c>
      <c r="E796" s="2" t="s">
        <v>93</v>
      </c>
      <c r="F796" s="2" t="s">
        <v>253</v>
      </c>
      <c r="G796" s="2" t="s">
        <v>71</v>
      </c>
      <c r="I796">
        <f>HEX2DEC(_0811_173439[[#This Row],[580C]])*B$4/B$5+B$6</f>
        <v>760</v>
      </c>
      <c r="J796">
        <f>HEX2DEC(_0811_173439[[#This Row],[4402]])*C$4/C$5+C$6</f>
        <v>36</v>
      </c>
      <c r="K796">
        <f>HEX2DEC(_0811_173439[[#This Row],[580F]])*D$4/D$5+D$6</f>
        <v>30</v>
      </c>
      <c r="L796">
        <f>ROUND(HEX2DEC(_0811_173439[[#This Row],[58F0]])*E$4/E$5+E$6,0)</f>
        <v>70</v>
      </c>
      <c r="M796">
        <f>ROUND(HEX2DEC(_0811_173439[[#This Row],[5805]])*F$4/F$5+F$6,0)</f>
        <v>43</v>
      </c>
      <c r="N796">
        <f>ROUND(HEX2DEC(_0811_173439[[#This Row],[58DD]])*G$4/G$5+G$6,2)</f>
        <v>-0.03</v>
      </c>
      <c r="P796">
        <v>760</v>
      </c>
      <c r="Q796">
        <v>36</v>
      </c>
      <c r="R796">
        <v>30</v>
      </c>
      <c r="S796">
        <v>70</v>
      </c>
      <c r="T796">
        <v>43</v>
      </c>
      <c r="U796">
        <v>-0.03</v>
      </c>
      <c r="W796">
        <f>DataLog_T717420_Aug11_4_59_37pm[[#This Row],[RPM '[1/MIN']]]-Table3[[#This Row],[580C]]</f>
        <v>0</v>
      </c>
      <c r="X796">
        <f>DataLog_T717420_Aug11_4_59_37pm[[#This Row],[OIL TEMP '[Â°C']]]-Table3[[#This Row],[4402]]</f>
        <v>0</v>
      </c>
      <c r="Y796">
        <f>DataLog_T717420_Aug11_4_59_37pm[[#This Row],[INTAKE TEMP '[Â°C']]]-Table3[[#This Row],[580F]]</f>
        <v>0</v>
      </c>
      <c r="Z796">
        <f>DataLog_T717420_Aug11_4_59_37pm[[#This Row],[HPFP PRES. '[BAR']]]-Table3[[#This Row],[58F0]]</f>
        <v>0</v>
      </c>
      <c r="AA796">
        <f>DataLog_T717420_Aug11_4_59_37pm[[#This Row],[COOLANT TEMP '[Â°C']]]-Table3[[#This Row],[5805]]</f>
        <v>0</v>
      </c>
      <c r="AB796">
        <f>DataLog_T717420_Aug11_4_59_37pm[[#This Row],[BOOST '[BAR']]]-Table3[[#This Row],[58DD]]</f>
        <v>0</v>
      </c>
    </row>
    <row r="797" spans="2:28" x14ac:dyDescent="0.25">
      <c r="B797" s="2" t="s">
        <v>189</v>
      </c>
      <c r="C797" s="2" t="s">
        <v>30</v>
      </c>
      <c r="D797" s="2" t="s">
        <v>151</v>
      </c>
      <c r="E797" s="2" t="s">
        <v>248</v>
      </c>
      <c r="F797" s="2" t="s">
        <v>253</v>
      </c>
      <c r="G797" s="2" t="s">
        <v>53</v>
      </c>
      <c r="I797">
        <f>HEX2DEC(_0811_173439[[#This Row],[580C]])*B$4/B$5+B$6</f>
        <v>760</v>
      </c>
      <c r="J797">
        <f>HEX2DEC(_0811_173439[[#This Row],[4402]])*C$4/C$5+C$6</f>
        <v>36</v>
      </c>
      <c r="K797">
        <f>HEX2DEC(_0811_173439[[#This Row],[580F]])*D$4/D$5+D$6</f>
        <v>30</v>
      </c>
      <c r="L797">
        <f>ROUND(HEX2DEC(_0811_173439[[#This Row],[58F0]])*E$4/E$5+E$6,0)</f>
        <v>70</v>
      </c>
      <c r="M797">
        <f>ROUND(HEX2DEC(_0811_173439[[#This Row],[5805]])*F$4/F$5+F$6,0)</f>
        <v>43</v>
      </c>
      <c r="N797">
        <f>ROUND(HEX2DEC(_0811_173439[[#This Row],[58DD]])*G$4/G$5+G$6,2)</f>
        <v>-0.03</v>
      </c>
      <c r="P797">
        <v>760</v>
      </c>
      <c r="Q797">
        <v>36</v>
      </c>
      <c r="R797">
        <v>30</v>
      </c>
      <c r="S797">
        <v>70</v>
      </c>
      <c r="T797">
        <v>43</v>
      </c>
      <c r="U797">
        <v>-0.03</v>
      </c>
      <c r="W797">
        <f>DataLog_T717420_Aug11_4_59_37pm[[#This Row],[RPM '[1/MIN']]]-Table3[[#This Row],[580C]]</f>
        <v>0</v>
      </c>
      <c r="X797">
        <f>DataLog_T717420_Aug11_4_59_37pm[[#This Row],[OIL TEMP '[Â°C']]]-Table3[[#This Row],[4402]]</f>
        <v>0</v>
      </c>
      <c r="Y797">
        <f>DataLog_T717420_Aug11_4_59_37pm[[#This Row],[INTAKE TEMP '[Â°C']]]-Table3[[#This Row],[580F]]</f>
        <v>0</v>
      </c>
      <c r="Z797">
        <f>DataLog_T717420_Aug11_4_59_37pm[[#This Row],[HPFP PRES. '[BAR']]]-Table3[[#This Row],[58F0]]</f>
        <v>0</v>
      </c>
      <c r="AA797">
        <f>DataLog_T717420_Aug11_4_59_37pm[[#This Row],[COOLANT TEMP '[Â°C']]]-Table3[[#This Row],[5805]]</f>
        <v>0</v>
      </c>
      <c r="AB797">
        <f>DataLog_T717420_Aug11_4_59_37pm[[#This Row],[BOOST '[BAR']]]-Table3[[#This Row],[58DD]]</f>
        <v>0</v>
      </c>
    </row>
    <row r="798" spans="2:28" x14ac:dyDescent="0.25">
      <c r="B798" s="2" t="s">
        <v>189</v>
      </c>
      <c r="C798" s="2" t="s">
        <v>30</v>
      </c>
      <c r="D798" s="2" t="s">
        <v>151</v>
      </c>
      <c r="E798" s="2" t="s">
        <v>138</v>
      </c>
      <c r="F798" s="2" t="s">
        <v>253</v>
      </c>
      <c r="G798" s="2" t="s">
        <v>90</v>
      </c>
      <c r="I798">
        <f>HEX2DEC(_0811_173439[[#This Row],[580C]])*B$4/B$5+B$6</f>
        <v>760</v>
      </c>
      <c r="J798">
        <f>HEX2DEC(_0811_173439[[#This Row],[4402]])*C$4/C$5+C$6</f>
        <v>36</v>
      </c>
      <c r="K798">
        <f>HEX2DEC(_0811_173439[[#This Row],[580F]])*D$4/D$5+D$6</f>
        <v>30</v>
      </c>
      <c r="L798">
        <f>ROUND(HEX2DEC(_0811_173439[[#This Row],[58F0]])*E$4/E$5+E$6,0)</f>
        <v>70</v>
      </c>
      <c r="M798">
        <f>ROUND(HEX2DEC(_0811_173439[[#This Row],[5805]])*F$4/F$5+F$6,0)</f>
        <v>43</v>
      </c>
      <c r="N798">
        <f>ROUND(HEX2DEC(_0811_173439[[#This Row],[58DD]])*G$4/G$5+G$6,2)</f>
        <v>-0.03</v>
      </c>
      <c r="P798">
        <v>760</v>
      </c>
      <c r="Q798">
        <v>36</v>
      </c>
      <c r="R798">
        <v>30</v>
      </c>
      <c r="S798">
        <v>70</v>
      </c>
      <c r="T798">
        <v>43</v>
      </c>
      <c r="U798">
        <v>-0.03</v>
      </c>
      <c r="W798">
        <f>DataLog_T717420_Aug11_4_59_37pm[[#This Row],[RPM '[1/MIN']]]-Table3[[#This Row],[580C]]</f>
        <v>0</v>
      </c>
      <c r="X798">
        <f>DataLog_T717420_Aug11_4_59_37pm[[#This Row],[OIL TEMP '[Â°C']]]-Table3[[#This Row],[4402]]</f>
        <v>0</v>
      </c>
      <c r="Y798">
        <f>DataLog_T717420_Aug11_4_59_37pm[[#This Row],[INTAKE TEMP '[Â°C']]]-Table3[[#This Row],[580F]]</f>
        <v>0</v>
      </c>
      <c r="Z798">
        <f>DataLog_T717420_Aug11_4_59_37pm[[#This Row],[HPFP PRES. '[BAR']]]-Table3[[#This Row],[58F0]]</f>
        <v>0</v>
      </c>
      <c r="AA798">
        <f>DataLog_T717420_Aug11_4_59_37pm[[#This Row],[COOLANT TEMP '[Â°C']]]-Table3[[#This Row],[5805]]</f>
        <v>0</v>
      </c>
      <c r="AB798">
        <f>DataLog_T717420_Aug11_4_59_37pm[[#This Row],[BOOST '[BAR']]]-Table3[[#This Row],[58DD]]</f>
        <v>0</v>
      </c>
    </row>
    <row r="799" spans="2:28" x14ac:dyDescent="0.25">
      <c r="B799" s="2" t="s">
        <v>189</v>
      </c>
      <c r="C799" s="2" t="s">
        <v>30</v>
      </c>
      <c r="D799" s="2" t="s">
        <v>151</v>
      </c>
      <c r="E799" s="2" t="s">
        <v>152</v>
      </c>
      <c r="F799" s="2" t="s">
        <v>253</v>
      </c>
      <c r="G799" s="2" t="s">
        <v>53</v>
      </c>
      <c r="I799">
        <f>HEX2DEC(_0811_173439[[#This Row],[580C]])*B$4/B$5+B$6</f>
        <v>760</v>
      </c>
      <c r="J799">
        <f>HEX2DEC(_0811_173439[[#This Row],[4402]])*C$4/C$5+C$6</f>
        <v>36</v>
      </c>
      <c r="K799">
        <f>HEX2DEC(_0811_173439[[#This Row],[580F]])*D$4/D$5+D$6</f>
        <v>30</v>
      </c>
      <c r="L799">
        <f>ROUND(HEX2DEC(_0811_173439[[#This Row],[58F0]])*E$4/E$5+E$6,0)</f>
        <v>70</v>
      </c>
      <c r="M799">
        <f>ROUND(HEX2DEC(_0811_173439[[#This Row],[5805]])*F$4/F$5+F$6,0)</f>
        <v>43</v>
      </c>
      <c r="N799">
        <f>ROUND(HEX2DEC(_0811_173439[[#This Row],[58DD]])*G$4/G$5+G$6,2)</f>
        <v>-0.03</v>
      </c>
      <c r="P799">
        <v>760</v>
      </c>
      <c r="Q799">
        <v>36</v>
      </c>
      <c r="R799">
        <v>30</v>
      </c>
      <c r="S799">
        <v>70</v>
      </c>
      <c r="T799">
        <v>43</v>
      </c>
      <c r="U799">
        <v>-0.03</v>
      </c>
      <c r="W799">
        <f>DataLog_T717420_Aug11_4_59_37pm[[#This Row],[RPM '[1/MIN']]]-Table3[[#This Row],[580C]]</f>
        <v>0</v>
      </c>
      <c r="X799">
        <f>DataLog_T717420_Aug11_4_59_37pm[[#This Row],[OIL TEMP '[Â°C']]]-Table3[[#This Row],[4402]]</f>
        <v>0</v>
      </c>
      <c r="Y799">
        <f>DataLog_T717420_Aug11_4_59_37pm[[#This Row],[INTAKE TEMP '[Â°C']]]-Table3[[#This Row],[580F]]</f>
        <v>0</v>
      </c>
      <c r="Z799">
        <f>DataLog_T717420_Aug11_4_59_37pm[[#This Row],[HPFP PRES. '[BAR']]]-Table3[[#This Row],[58F0]]</f>
        <v>0</v>
      </c>
      <c r="AA799">
        <f>DataLog_T717420_Aug11_4_59_37pm[[#This Row],[COOLANT TEMP '[Â°C']]]-Table3[[#This Row],[5805]]</f>
        <v>0</v>
      </c>
      <c r="AB799">
        <f>DataLog_T717420_Aug11_4_59_37pm[[#This Row],[BOOST '[BAR']]]-Table3[[#This Row],[58DD]]</f>
        <v>0</v>
      </c>
    </row>
    <row r="800" spans="2:28" x14ac:dyDescent="0.25">
      <c r="B800" s="2" t="s">
        <v>189</v>
      </c>
      <c r="C800" s="2" t="s">
        <v>30</v>
      </c>
      <c r="D800" s="2" t="s">
        <v>151</v>
      </c>
      <c r="E800" s="2" t="s">
        <v>248</v>
      </c>
      <c r="F800" s="2" t="s">
        <v>253</v>
      </c>
      <c r="G800" s="2" t="s">
        <v>71</v>
      </c>
      <c r="I800">
        <f>HEX2DEC(_0811_173439[[#This Row],[580C]])*B$4/B$5+B$6</f>
        <v>760</v>
      </c>
      <c r="J800">
        <f>HEX2DEC(_0811_173439[[#This Row],[4402]])*C$4/C$5+C$6</f>
        <v>36</v>
      </c>
      <c r="K800">
        <f>HEX2DEC(_0811_173439[[#This Row],[580F]])*D$4/D$5+D$6</f>
        <v>30</v>
      </c>
      <c r="L800">
        <f>ROUND(HEX2DEC(_0811_173439[[#This Row],[58F0]])*E$4/E$5+E$6,0)</f>
        <v>70</v>
      </c>
      <c r="M800">
        <f>ROUND(HEX2DEC(_0811_173439[[#This Row],[5805]])*F$4/F$5+F$6,0)</f>
        <v>43</v>
      </c>
      <c r="N800">
        <f>ROUND(HEX2DEC(_0811_173439[[#This Row],[58DD]])*G$4/G$5+G$6,2)</f>
        <v>-0.03</v>
      </c>
      <c r="P800">
        <v>760</v>
      </c>
      <c r="Q800">
        <v>36</v>
      </c>
      <c r="R800">
        <v>30</v>
      </c>
      <c r="S800">
        <v>70</v>
      </c>
      <c r="T800">
        <v>43</v>
      </c>
      <c r="U800">
        <v>-0.03</v>
      </c>
      <c r="W800">
        <f>DataLog_T717420_Aug11_4_59_37pm[[#This Row],[RPM '[1/MIN']]]-Table3[[#This Row],[580C]]</f>
        <v>0</v>
      </c>
      <c r="X800">
        <f>DataLog_T717420_Aug11_4_59_37pm[[#This Row],[OIL TEMP '[Â°C']]]-Table3[[#This Row],[4402]]</f>
        <v>0</v>
      </c>
      <c r="Y800">
        <f>DataLog_T717420_Aug11_4_59_37pm[[#This Row],[INTAKE TEMP '[Â°C']]]-Table3[[#This Row],[580F]]</f>
        <v>0</v>
      </c>
      <c r="Z800">
        <f>DataLog_T717420_Aug11_4_59_37pm[[#This Row],[HPFP PRES. '[BAR']]]-Table3[[#This Row],[58F0]]</f>
        <v>0</v>
      </c>
      <c r="AA800">
        <f>DataLog_T717420_Aug11_4_59_37pm[[#This Row],[COOLANT TEMP '[Â°C']]]-Table3[[#This Row],[5805]]</f>
        <v>0</v>
      </c>
      <c r="AB800">
        <f>DataLog_T717420_Aug11_4_59_37pm[[#This Row],[BOOST '[BAR']]]-Table3[[#This Row],[58DD]]</f>
        <v>0</v>
      </c>
    </row>
    <row r="801" spans="2:28" x14ac:dyDescent="0.25">
      <c r="B801" s="2" t="s">
        <v>189</v>
      </c>
      <c r="C801" s="2" t="s">
        <v>30</v>
      </c>
      <c r="D801" s="2" t="s">
        <v>151</v>
      </c>
      <c r="E801" s="2" t="s">
        <v>159</v>
      </c>
      <c r="F801" s="2" t="s">
        <v>253</v>
      </c>
      <c r="G801" s="2" t="s">
        <v>236</v>
      </c>
      <c r="I801">
        <f>HEX2DEC(_0811_173439[[#This Row],[580C]])*B$4/B$5+B$6</f>
        <v>760</v>
      </c>
      <c r="J801">
        <f>HEX2DEC(_0811_173439[[#This Row],[4402]])*C$4/C$5+C$6</f>
        <v>36</v>
      </c>
      <c r="K801">
        <f>HEX2DEC(_0811_173439[[#This Row],[580F]])*D$4/D$5+D$6</f>
        <v>30</v>
      </c>
      <c r="L801">
        <f>ROUND(HEX2DEC(_0811_173439[[#This Row],[58F0]])*E$4/E$5+E$6,0)</f>
        <v>70</v>
      </c>
      <c r="M801">
        <f>ROUND(HEX2DEC(_0811_173439[[#This Row],[5805]])*F$4/F$5+F$6,0)</f>
        <v>43</v>
      </c>
      <c r="N801">
        <f>ROUND(HEX2DEC(_0811_173439[[#This Row],[58DD]])*G$4/G$5+G$6,2)</f>
        <v>-0.03</v>
      </c>
      <c r="P801">
        <v>760</v>
      </c>
      <c r="Q801">
        <v>36</v>
      </c>
      <c r="R801">
        <v>30</v>
      </c>
      <c r="S801">
        <v>70</v>
      </c>
      <c r="T801">
        <v>43</v>
      </c>
      <c r="U801">
        <v>-0.03</v>
      </c>
      <c r="W801">
        <f>DataLog_T717420_Aug11_4_59_37pm[[#This Row],[RPM '[1/MIN']]]-Table3[[#This Row],[580C]]</f>
        <v>0</v>
      </c>
      <c r="X801">
        <f>DataLog_T717420_Aug11_4_59_37pm[[#This Row],[OIL TEMP '[Â°C']]]-Table3[[#This Row],[4402]]</f>
        <v>0</v>
      </c>
      <c r="Y801">
        <f>DataLog_T717420_Aug11_4_59_37pm[[#This Row],[INTAKE TEMP '[Â°C']]]-Table3[[#This Row],[580F]]</f>
        <v>0</v>
      </c>
      <c r="Z801">
        <f>DataLog_T717420_Aug11_4_59_37pm[[#This Row],[HPFP PRES. '[BAR']]]-Table3[[#This Row],[58F0]]</f>
        <v>0</v>
      </c>
      <c r="AA801">
        <f>DataLog_T717420_Aug11_4_59_37pm[[#This Row],[COOLANT TEMP '[Â°C']]]-Table3[[#This Row],[5805]]</f>
        <v>0</v>
      </c>
      <c r="AB801">
        <f>DataLog_T717420_Aug11_4_59_37pm[[#This Row],[BOOST '[BAR']]]-Table3[[#This Row],[58DD]]</f>
        <v>0</v>
      </c>
    </row>
    <row r="802" spans="2:28" x14ac:dyDescent="0.25">
      <c r="B802" s="2" t="s">
        <v>189</v>
      </c>
      <c r="C802" s="2" t="s">
        <v>30</v>
      </c>
      <c r="D802" s="2" t="s">
        <v>151</v>
      </c>
      <c r="E802" s="2" t="s">
        <v>127</v>
      </c>
      <c r="F802" s="2" t="s">
        <v>253</v>
      </c>
      <c r="G802" s="2" t="s">
        <v>71</v>
      </c>
      <c r="I802">
        <f>HEX2DEC(_0811_173439[[#This Row],[580C]])*B$4/B$5+B$6</f>
        <v>760</v>
      </c>
      <c r="J802">
        <f>HEX2DEC(_0811_173439[[#This Row],[4402]])*C$4/C$5+C$6</f>
        <v>36</v>
      </c>
      <c r="K802">
        <f>HEX2DEC(_0811_173439[[#This Row],[580F]])*D$4/D$5+D$6</f>
        <v>30</v>
      </c>
      <c r="L802">
        <f>ROUND(HEX2DEC(_0811_173439[[#This Row],[58F0]])*E$4/E$5+E$6,0)</f>
        <v>70</v>
      </c>
      <c r="M802">
        <f>ROUND(HEX2DEC(_0811_173439[[#This Row],[5805]])*F$4/F$5+F$6,0)</f>
        <v>43</v>
      </c>
      <c r="N802">
        <f>ROUND(HEX2DEC(_0811_173439[[#This Row],[58DD]])*G$4/G$5+G$6,2)</f>
        <v>-0.03</v>
      </c>
      <c r="P802">
        <v>760</v>
      </c>
      <c r="Q802">
        <v>36</v>
      </c>
      <c r="R802">
        <v>30</v>
      </c>
      <c r="S802">
        <v>70</v>
      </c>
      <c r="T802">
        <v>43</v>
      </c>
      <c r="U802">
        <v>-0.03</v>
      </c>
      <c r="W802">
        <f>DataLog_T717420_Aug11_4_59_37pm[[#This Row],[RPM '[1/MIN']]]-Table3[[#This Row],[580C]]</f>
        <v>0</v>
      </c>
      <c r="X802">
        <f>DataLog_T717420_Aug11_4_59_37pm[[#This Row],[OIL TEMP '[Â°C']]]-Table3[[#This Row],[4402]]</f>
        <v>0</v>
      </c>
      <c r="Y802">
        <f>DataLog_T717420_Aug11_4_59_37pm[[#This Row],[INTAKE TEMP '[Â°C']]]-Table3[[#This Row],[580F]]</f>
        <v>0</v>
      </c>
      <c r="Z802">
        <f>DataLog_T717420_Aug11_4_59_37pm[[#This Row],[HPFP PRES. '[BAR']]]-Table3[[#This Row],[58F0]]</f>
        <v>0</v>
      </c>
      <c r="AA802">
        <f>DataLog_T717420_Aug11_4_59_37pm[[#This Row],[COOLANT TEMP '[Â°C']]]-Table3[[#This Row],[5805]]</f>
        <v>0</v>
      </c>
      <c r="AB802">
        <f>DataLog_T717420_Aug11_4_59_37pm[[#This Row],[BOOST '[BAR']]]-Table3[[#This Row],[58DD]]</f>
        <v>0</v>
      </c>
    </row>
    <row r="803" spans="2:28" x14ac:dyDescent="0.25">
      <c r="B803" s="2" t="s">
        <v>189</v>
      </c>
      <c r="C803" s="2" t="s">
        <v>30</v>
      </c>
      <c r="D803" s="2" t="s">
        <v>151</v>
      </c>
      <c r="E803" s="2" t="s">
        <v>148</v>
      </c>
      <c r="F803" s="2" t="s">
        <v>253</v>
      </c>
      <c r="G803" s="2" t="s">
        <v>236</v>
      </c>
      <c r="I803">
        <f>HEX2DEC(_0811_173439[[#This Row],[580C]])*B$4/B$5+B$6</f>
        <v>760</v>
      </c>
      <c r="J803">
        <f>HEX2DEC(_0811_173439[[#This Row],[4402]])*C$4/C$5+C$6</f>
        <v>36</v>
      </c>
      <c r="K803">
        <f>HEX2DEC(_0811_173439[[#This Row],[580F]])*D$4/D$5+D$6</f>
        <v>30</v>
      </c>
      <c r="L803">
        <f>ROUND(HEX2DEC(_0811_173439[[#This Row],[58F0]])*E$4/E$5+E$6,0)</f>
        <v>70</v>
      </c>
      <c r="M803">
        <f>ROUND(HEX2DEC(_0811_173439[[#This Row],[5805]])*F$4/F$5+F$6,0)</f>
        <v>43</v>
      </c>
      <c r="N803">
        <f>ROUND(HEX2DEC(_0811_173439[[#This Row],[58DD]])*G$4/G$5+G$6,2)</f>
        <v>-0.03</v>
      </c>
      <c r="P803">
        <v>760</v>
      </c>
      <c r="Q803">
        <v>36</v>
      </c>
      <c r="R803">
        <v>30</v>
      </c>
      <c r="S803">
        <v>70</v>
      </c>
      <c r="T803">
        <v>43</v>
      </c>
      <c r="U803">
        <v>-0.03</v>
      </c>
      <c r="W803">
        <f>DataLog_T717420_Aug11_4_59_37pm[[#This Row],[RPM '[1/MIN']]]-Table3[[#This Row],[580C]]</f>
        <v>0</v>
      </c>
      <c r="X803">
        <f>DataLog_T717420_Aug11_4_59_37pm[[#This Row],[OIL TEMP '[Â°C']]]-Table3[[#This Row],[4402]]</f>
        <v>0</v>
      </c>
      <c r="Y803">
        <f>DataLog_T717420_Aug11_4_59_37pm[[#This Row],[INTAKE TEMP '[Â°C']]]-Table3[[#This Row],[580F]]</f>
        <v>0</v>
      </c>
      <c r="Z803">
        <f>DataLog_T717420_Aug11_4_59_37pm[[#This Row],[HPFP PRES. '[BAR']]]-Table3[[#This Row],[58F0]]</f>
        <v>0</v>
      </c>
      <c r="AA803">
        <f>DataLog_T717420_Aug11_4_59_37pm[[#This Row],[COOLANT TEMP '[Â°C']]]-Table3[[#This Row],[5805]]</f>
        <v>0</v>
      </c>
      <c r="AB803">
        <f>DataLog_T717420_Aug11_4_59_37pm[[#This Row],[BOOST '[BAR']]]-Table3[[#This Row],[58DD]]</f>
        <v>0</v>
      </c>
    </row>
    <row r="804" spans="2:28" x14ac:dyDescent="0.25">
      <c r="B804" s="2" t="s">
        <v>189</v>
      </c>
      <c r="C804" s="2" t="s">
        <v>30</v>
      </c>
      <c r="D804" s="2" t="s">
        <v>151</v>
      </c>
      <c r="E804" s="2" t="s">
        <v>159</v>
      </c>
      <c r="F804" s="2" t="s">
        <v>253</v>
      </c>
      <c r="G804" s="2" t="s">
        <v>53</v>
      </c>
      <c r="I804">
        <f>HEX2DEC(_0811_173439[[#This Row],[580C]])*B$4/B$5+B$6</f>
        <v>760</v>
      </c>
      <c r="J804">
        <f>HEX2DEC(_0811_173439[[#This Row],[4402]])*C$4/C$5+C$6</f>
        <v>36</v>
      </c>
      <c r="K804">
        <f>HEX2DEC(_0811_173439[[#This Row],[580F]])*D$4/D$5+D$6</f>
        <v>30</v>
      </c>
      <c r="L804">
        <f>ROUND(HEX2DEC(_0811_173439[[#This Row],[58F0]])*E$4/E$5+E$6,0)</f>
        <v>70</v>
      </c>
      <c r="M804">
        <f>ROUND(HEX2DEC(_0811_173439[[#This Row],[5805]])*F$4/F$5+F$6,0)</f>
        <v>43</v>
      </c>
      <c r="N804">
        <f>ROUND(HEX2DEC(_0811_173439[[#This Row],[58DD]])*G$4/G$5+G$6,2)</f>
        <v>-0.03</v>
      </c>
      <c r="P804">
        <v>760</v>
      </c>
      <c r="Q804">
        <v>36</v>
      </c>
      <c r="R804">
        <v>30</v>
      </c>
      <c r="S804">
        <v>70</v>
      </c>
      <c r="T804">
        <v>43</v>
      </c>
      <c r="U804">
        <v>-0.03</v>
      </c>
      <c r="W804">
        <f>DataLog_T717420_Aug11_4_59_37pm[[#This Row],[RPM '[1/MIN']]]-Table3[[#This Row],[580C]]</f>
        <v>0</v>
      </c>
      <c r="X804">
        <f>DataLog_T717420_Aug11_4_59_37pm[[#This Row],[OIL TEMP '[Â°C']]]-Table3[[#This Row],[4402]]</f>
        <v>0</v>
      </c>
      <c r="Y804">
        <f>DataLog_T717420_Aug11_4_59_37pm[[#This Row],[INTAKE TEMP '[Â°C']]]-Table3[[#This Row],[580F]]</f>
        <v>0</v>
      </c>
      <c r="Z804">
        <f>DataLog_T717420_Aug11_4_59_37pm[[#This Row],[HPFP PRES. '[BAR']]]-Table3[[#This Row],[58F0]]</f>
        <v>0</v>
      </c>
      <c r="AA804">
        <f>DataLog_T717420_Aug11_4_59_37pm[[#This Row],[COOLANT TEMP '[Â°C']]]-Table3[[#This Row],[5805]]</f>
        <v>0</v>
      </c>
      <c r="AB804">
        <f>DataLog_T717420_Aug11_4_59_37pm[[#This Row],[BOOST '[BAR']]]-Table3[[#This Row],[58DD]]</f>
        <v>0</v>
      </c>
    </row>
    <row r="805" spans="2:28" x14ac:dyDescent="0.25">
      <c r="B805" s="2" t="s">
        <v>189</v>
      </c>
      <c r="C805" s="2" t="s">
        <v>30</v>
      </c>
      <c r="D805" s="2" t="s">
        <v>151</v>
      </c>
      <c r="E805" s="2" t="s">
        <v>127</v>
      </c>
      <c r="F805" s="2" t="s">
        <v>253</v>
      </c>
      <c r="G805" s="2" t="s">
        <v>98</v>
      </c>
      <c r="I805">
        <f>HEX2DEC(_0811_173439[[#This Row],[580C]])*B$4/B$5+B$6</f>
        <v>760</v>
      </c>
      <c r="J805">
        <f>HEX2DEC(_0811_173439[[#This Row],[4402]])*C$4/C$5+C$6</f>
        <v>36</v>
      </c>
      <c r="K805">
        <f>HEX2DEC(_0811_173439[[#This Row],[580F]])*D$4/D$5+D$6</f>
        <v>30</v>
      </c>
      <c r="L805">
        <f>ROUND(HEX2DEC(_0811_173439[[#This Row],[58F0]])*E$4/E$5+E$6,0)</f>
        <v>70</v>
      </c>
      <c r="M805">
        <f>ROUND(HEX2DEC(_0811_173439[[#This Row],[5805]])*F$4/F$5+F$6,0)</f>
        <v>43</v>
      </c>
      <c r="N805">
        <f>ROUND(HEX2DEC(_0811_173439[[#This Row],[58DD]])*G$4/G$5+G$6,2)</f>
        <v>-0.03</v>
      </c>
      <c r="P805">
        <v>760</v>
      </c>
      <c r="Q805">
        <v>36</v>
      </c>
      <c r="R805">
        <v>30</v>
      </c>
      <c r="S805">
        <v>70</v>
      </c>
      <c r="T805">
        <v>43</v>
      </c>
      <c r="U805">
        <v>-0.03</v>
      </c>
      <c r="W805">
        <f>DataLog_T717420_Aug11_4_59_37pm[[#This Row],[RPM '[1/MIN']]]-Table3[[#This Row],[580C]]</f>
        <v>0</v>
      </c>
      <c r="X805">
        <f>DataLog_T717420_Aug11_4_59_37pm[[#This Row],[OIL TEMP '[Â°C']]]-Table3[[#This Row],[4402]]</f>
        <v>0</v>
      </c>
      <c r="Y805">
        <f>DataLog_T717420_Aug11_4_59_37pm[[#This Row],[INTAKE TEMP '[Â°C']]]-Table3[[#This Row],[580F]]</f>
        <v>0</v>
      </c>
      <c r="Z805">
        <f>DataLog_T717420_Aug11_4_59_37pm[[#This Row],[HPFP PRES. '[BAR']]]-Table3[[#This Row],[58F0]]</f>
        <v>0</v>
      </c>
      <c r="AA805">
        <f>DataLog_T717420_Aug11_4_59_37pm[[#This Row],[COOLANT TEMP '[Â°C']]]-Table3[[#This Row],[5805]]</f>
        <v>0</v>
      </c>
      <c r="AB805">
        <f>DataLog_T717420_Aug11_4_59_37pm[[#This Row],[BOOST '[BAR']]]-Table3[[#This Row],[58DD]]</f>
        <v>0</v>
      </c>
    </row>
    <row r="806" spans="2:28" x14ac:dyDescent="0.25">
      <c r="B806" s="2" t="s">
        <v>189</v>
      </c>
      <c r="C806" s="2" t="s">
        <v>30</v>
      </c>
      <c r="D806" s="2" t="s">
        <v>151</v>
      </c>
      <c r="E806" s="2" t="s">
        <v>248</v>
      </c>
      <c r="F806" s="2" t="s">
        <v>253</v>
      </c>
      <c r="G806" s="2" t="s">
        <v>186</v>
      </c>
      <c r="I806">
        <f>HEX2DEC(_0811_173439[[#This Row],[580C]])*B$4/B$5+B$6</f>
        <v>760</v>
      </c>
      <c r="J806">
        <f>HEX2DEC(_0811_173439[[#This Row],[4402]])*C$4/C$5+C$6</f>
        <v>36</v>
      </c>
      <c r="K806">
        <f>HEX2DEC(_0811_173439[[#This Row],[580F]])*D$4/D$5+D$6</f>
        <v>30</v>
      </c>
      <c r="L806">
        <f>ROUND(HEX2DEC(_0811_173439[[#This Row],[58F0]])*E$4/E$5+E$6,0)</f>
        <v>70</v>
      </c>
      <c r="M806">
        <f>ROUND(HEX2DEC(_0811_173439[[#This Row],[5805]])*F$4/F$5+F$6,0)</f>
        <v>43</v>
      </c>
      <c r="N806">
        <f>ROUND(HEX2DEC(_0811_173439[[#This Row],[58DD]])*G$4/G$5+G$6,2)</f>
        <v>-0.03</v>
      </c>
      <c r="P806">
        <v>760</v>
      </c>
      <c r="Q806">
        <v>36</v>
      </c>
      <c r="R806">
        <v>30</v>
      </c>
      <c r="S806">
        <v>70</v>
      </c>
      <c r="T806">
        <v>43</v>
      </c>
      <c r="U806">
        <v>-0.03</v>
      </c>
      <c r="W806">
        <f>DataLog_T717420_Aug11_4_59_37pm[[#This Row],[RPM '[1/MIN']]]-Table3[[#This Row],[580C]]</f>
        <v>0</v>
      </c>
      <c r="X806">
        <f>DataLog_T717420_Aug11_4_59_37pm[[#This Row],[OIL TEMP '[Â°C']]]-Table3[[#This Row],[4402]]</f>
        <v>0</v>
      </c>
      <c r="Y806">
        <f>DataLog_T717420_Aug11_4_59_37pm[[#This Row],[INTAKE TEMP '[Â°C']]]-Table3[[#This Row],[580F]]</f>
        <v>0</v>
      </c>
      <c r="Z806">
        <f>DataLog_T717420_Aug11_4_59_37pm[[#This Row],[HPFP PRES. '[BAR']]]-Table3[[#This Row],[58F0]]</f>
        <v>0</v>
      </c>
      <c r="AA806">
        <f>DataLog_T717420_Aug11_4_59_37pm[[#This Row],[COOLANT TEMP '[Â°C']]]-Table3[[#This Row],[5805]]</f>
        <v>0</v>
      </c>
      <c r="AB806">
        <f>DataLog_T717420_Aug11_4_59_37pm[[#This Row],[BOOST '[BAR']]]-Table3[[#This Row],[58DD]]</f>
        <v>0</v>
      </c>
    </row>
    <row r="807" spans="2:28" x14ac:dyDescent="0.25">
      <c r="B807" s="2" t="s">
        <v>189</v>
      </c>
      <c r="C807" s="2" t="s">
        <v>30</v>
      </c>
      <c r="D807" s="2" t="s">
        <v>151</v>
      </c>
      <c r="E807" s="2" t="s">
        <v>159</v>
      </c>
      <c r="F807" s="2" t="s">
        <v>253</v>
      </c>
      <c r="G807" s="2" t="s">
        <v>203</v>
      </c>
      <c r="I807">
        <f>HEX2DEC(_0811_173439[[#This Row],[580C]])*B$4/B$5+B$6</f>
        <v>760</v>
      </c>
      <c r="J807">
        <f>HEX2DEC(_0811_173439[[#This Row],[4402]])*C$4/C$5+C$6</f>
        <v>36</v>
      </c>
      <c r="K807">
        <f>HEX2DEC(_0811_173439[[#This Row],[580F]])*D$4/D$5+D$6</f>
        <v>30</v>
      </c>
      <c r="L807">
        <f>ROUND(HEX2DEC(_0811_173439[[#This Row],[58F0]])*E$4/E$5+E$6,0)</f>
        <v>70</v>
      </c>
      <c r="M807">
        <f>ROUND(HEX2DEC(_0811_173439[[#This Row],[5805]])*F$4/F$5+F$6,0)</f>
        <v>43</v>
      </c>
      <c r="N807">
        <f>ROUND(HEX2DEC(_0811_173439[[#This Row],[58DD]])*G$4/G$5+G$6,2)</f>
        <v>-0.03</v>
      </c>
      <c r="P807">
        <v>760</v>
      </c>
      <c r="Q807">
        <v>36</v>
      </c>
      <c r="R807">
        <v>30</v>
      </c>
      <c r="S807">
        <v>70</v>
      </c>
      <c r="T807">
        <v>43</v>
      </c>
      <c r="U807">
        <v>-0.03</v>
      </c>
      <c r="W807">
        <f>DataLog_T717420_Aug11_4_59_37pm[[#This Row],[RPM '[1/MIN']]]-Table3[[#This Row],[580C]]</f>
        <v>0</v>
      </c>
      <c r="X807">
        <f>DataLog_T717420_Aug11_4_59_37pm[[#This Row],[OIL TEMP '[Â°C']]]-Table3[[#This Row],[4402]]</f>
        <v>0</v>
      </c>
      <c r="Y807">
        <f>DataLog_T717420_Aug11_4_59_37pm[[#This Row],[INTAKE TEMP '[Â°C']]]-Table3[[#This Row],[580F]]</f>
        <v>0</v>
      </c>
      <c r="Z807">
        <f>DataLog_T717420_Aug11_4_59_37pm[[#This Row],[HPFP PRES. '[BAR']]]-Table3[[#This Row],[58F0]]</f>
        <v>0</v>
      </c>
      <c r="AA807">
        <f>DataLog_T717420_Aug11_4_59_37pm[[#This Row],[COOLANT TEMP '[Â°C']]]-Table3[[#This Row],[5805]]</f>
        <v>0</v>
      </c>
      <c r="AB807">
        <f>DataLog_T717420_Aug11_4_59_37pm[[#This Row],[BOOST '[BAR']]]-Table3[[#This Row],[58DD]]</f>
        <v>0</v>
      </c>
    </row>
    <row r="808" spans="2:28" x14ac:dyDescent="0.25">
      <c r="B808" s="2" t="s">
        <v>189</v>
      </c>
      <c r="C808" s="2" t="s">
        <v>30</v>
      </c>
      <c r="D808" s="2" t="s">
        <v>151</v>
      </c>
      <c r="E808" s="2" t="s">
        <v>165</v>
      </c>
      <c r="F808" s="2" t="s">
        <v>253</v>
      </c>
      <c r="G808" s="2" t="s">
        <v>186</v>
      </c>
      <c r="I808">
        <f>HEX2DEC(_0811_173439[[#This Row],[580C]])*B$4/B$5+B$6</f>
        <v>760</v>
      </c>
      <c r="J808">
        <f>HEX2DEC(_0811_173439[[#This Row],[4402]])*C$4/C$5+C$6</f>
        <v>36</v>
      </c>
      <c r="K808">
        <f>HEX2DEC(_0811_173439[[#This Row],[580F]])*D$4/D$5+D$6</f>
        <v>30</v>
      </c>
      <c r="L808">
        <f>ROUND(HEX2DEC(_0811_173439[[#This Row],[58F0]])*E$4/E$5+E$6,0)</f>
        <v>70</v>
      </c>
      <c r="M808">
        <f>ROUND(HEX2DEC(_0811_173439[[#This Row],[5805]])*F$4/F$5+F$6,0)</f>
        <v>43</v>
      </c>
      <c r="N808">
        <f>ROUND(HEX2DEC(_0811_173439[[#This Row],[58DD]])*G$4/G$5+G$6,2)</f>
        <v>-0.03</v>
      </c>
      <c r="P808">
        <v>760</v>
      </c>
      <c r="Q808">
        <v>36</v>
      </c>
      <c r="R808">
        <v>30</v>
      </c>
      <c r="S808">
        <v>70</v>
      </c>
      <c r="T808">
        <v>43</v>
      </c>
      <c r="U808">
        <v>-0.03</v>
      </c>
      <c r="W808">
        <f>DataLog_T717420_Aug11_4_59_37pm[[#This Row],[RPM '[1/MIN']]]-Table3[[#This Row],[580C]]</f>
        <v>0</v>
      </c>
      <c r="X808">
        <f>DataLog_T717420_Aug11_4_59_37pm[[#This Row],[OIL TEMP '[Â°C']]]-Table3[[#This Row],[4402]]</f>
        <v>0</v>
      </c>
      <c r="Y808">
        <f>DataLog_T717420_Aug11_4_59_37pm[[#This Row],[INTAKE TEMP '[Â°C']]]-Table3[[#This Row],[580F]]</f>
        <v>0</v>
      </c>
      <c r="Z808">
        <f>DataLog_T717420_Aug11_4_59_37pm[[#This Row],[HPFP PRES. '[BAR']]]-Table3[[#This Row],[58F0]]</f>
        <v>0</v>
      </c>
      <c r="AA808">
        <f>DataLog_T717420_Aug11_4_59_37pm[[#This Row],[COOLANT TEMP '[Â°C']]]-Table3[[#This Row],[5805]]</f>
        <v>0</v>
      </c>
      <c r="AB808">
        <f>DataLog_T717420_Aug11_4_59_37pm[[#This Row],[BOOST '[BAR']]]-Table3[[#This Row],[58DD]]</f>
        <v>0</v>
      </c>
    </row>
    <row r="809" spans="2:28" x14ac:dyDescent="0.25">
      <c r="B809" s="2" t="s">
        <v>189</v>
      </c>
      <c r="C809" s="2" t="s">
        <v>30</v>
      </c>
      <c r="D809" s="2" t="s">
        <v>151</v>
      </c>
      <c r="E809" s="2" t="s">
        <v>93</v>
      </c>
      <c r="F809" s="2" t="s">
        <v>253</v>
      </c>
      <c r="G809" s="2" t="s">
        <v>213</v>
      </c>
      <c r="I809">
        <f>HEX2DEC(_0811_173439[[#This Row],[580C]])*B$4/B$5+B$6</f>
        <v>760</v>
      </c>
      <c r="J809">
        <f>HEX2DEC(_0811_173439[[#This Row],[4402]])*C$4/C$5+C$6</f>
        <v>36</v>
      </c>
      <c r="K809">
        <f>HEX2DEC(_0811_173439[[#This Row],[580F]])*D$4/D$5+D$6</f>
        <v>30</v>
      </c>
      <c r="L809">
        <f>ROUND(HEX2DEC(_0811_173439[[#This Row],[58F0]])*E$4/E$5+E$6,0)</f>
        <v>70</v>
      </c>
      <c r="M809">
        <f>ROUND(HEX2DEC(_0811_173439[[#This Row],[5805]])*F$4/F$5+F$6,0)</f>
        <v>43</v>
      </c>
      <c r="N809">
        <f>ROUND(HEX2DEC(_0811_173439[[#This Row],[58DD]])*G$4/G$5+G$6,2)</f>
        <v>-0.03</v>
      </c>
      <c r="P809">
        <v>760</v>
      </c>
      <c r="Q809">
        <v>36</v>
      </c>
      <c r="R809">
        <v>30</v>
      </c>
      <c r="S809">
        <v>70</v>
      </c>
      <c r="T809">
        <v>43</v>
      </c>
      <c r="U809">
        <v>-0.03</v>
      </c>
      <c r="W809">
        <f>DataLog_T717420_Aug11_4_59_37pm[[#This Row],[RPM '[1/MIN']]]-Table3[[#This Row],[580C]]</f>
        <v>0</v>
      </c>
      <c r="X809">
        <f>DataLog_T717420_Aug11_4_59_37pm[[#This Row],[OIL TEMP '[Â°C']]]-Table3[[#This Row],[4402]]</f>
        <v>0</v>
      </c>
      <c r="Y809">
        <f>DataLog_T717420_Aug11_4_59_37pm[[#This Row],[INTAKE TEMP '[Â°C']]]-Table3[[#This Row],[580F]]</f>
        <v>0</v>
      </c>
      <c r="Z809">
        <f>DataLog_T717420_Aug11_4_59_37pm[[#This Row],[HPFP PRES. '[BAR']]]-Table3[[#This Row],[58F0]]</f>
        <v>0</v>
      </c>
      <c r="AA809">
        <f>DataLog_T717420_Aug11_4_59_37pm[[#This Row],[COOLANT TEMP '[Â°C']]]-Table3[[#This Row],[5805]]</f>
        <v>0</v>
      </c>
      <c r="AB809">
        <f>DataLog_T717420_Aug11_4_59_37pm[[#This Row],[BOOST '[BAR']]]-Table3[[#This Row],[58DD]]</f>
        <v>0</v>
      </c>
    </row>
    <row r="810" spans="2:28" x14ac:dyDescent="0.25">
      <c r="B810" s="2" t="s">
        <v>189</v>
      </c>
      <c r="C810" s="2" t="s">
        <v>30</v>
      </c>
      <c r="D810" s="2" t="s">
        <v>151</v>
      </c>
      <c r="E810" s="2" t="s">
        <v>135</v>
      </c>
      <c r="F810" s="2" t="s">
        <v>253</v>
      </c>
      <c r="G810" s="2" t="s">
        <v>191</v>
      </c>
      <c r="I810">
        <f>HEX2DEC(_0811_173439[[#This Row],[580C]])*B$4/B$5+B$6</f>
        <v>760</v>
      </c>
      <c r="J810">
        <f>HEX2DEC(_0811_173439[[#This Row],[4402]])*C$4/C$5+C$6</f>
        <v>36</v>
      </c>
      <c r="K810">
        <f>HEX2DEC(_0811_173439[[#This Row],[580F]])*D$4/D$5+D$6</f>
        <v>30</v>
      </c>
      <c r="L810">
        <f>ROUND(HEX2DEC(_0811_173439[[#This Row],[58F0]])*E$4/E$5+E$6,0)</f>
        <v>71</v>
      </c>
      <c r="M810">
        <f>ROUND(HEX2DEC(_0811_173439[[#This Row],[5805]])*F$4/F$5+F$6,0)</f>
        <v>43</v>
      </c>
      <c r="N810">
        <f>ROUND(HEX2DEC(_0811_173439[[#This Row],[58DD]])*G$4/G$5+G$6,2)</f>
        <v>-0.03</v>
      </c>
      <c r="P810">
        <v>760</v>
      </c>
      <c r="Q810">
        <v>36</v>
      </c>
      <c r="R810">
        <v>30</v>
      </c>
      <c r="S810">
        <v>71</v>
      </c>
      <c r="T810">
        <v>43</v>
      </c>
      <c r="U810">
        <v>-0.03</v>
      </c>
      <c r="W810">
        <f>DataLog_T717420_Aug11_4_59_37pm[[#This Row],[RPM '[1/MIN']]]-Table3[[#This Row],[580C]]</f>
        <v>0</v>
      </c>
      <c r="X810">
        <f>DataLog_T717420_Aug11_4_59_37pm[[#This Row],[OIL TEMP '[Â°C']]]-Table3[[#This Row],[4402]]</f>
        <v>0</v>
      </c>
      <c r="Y810">
        <f>DataLog_T717420_Aug11_4_59_37pm[[#This Row],[INTAKE TEMP '[Â°C']]]-Table3[[#This Row],[580F]]</f>
        <v>0</v>
      </c>
      <c r="Z810">
        <f>DataLog_T717420_Aug11_4_59_37pm[[#This Row],[HPFP PRES. '[BAR']]]-Table3[[#This Row],[58F0]]</f>
        <v>0</v>
      </c>
      <c r="AA810">
        <f>DataLog_T717420_Aug11_4_59_37pm[[#This Row],[COOLANT TEMP '[Â°C']]]-Table3[[#This Row],[5805]]</f>
        <v>0</v>
      </c>
      <c r="AB810">
        <f>DataLog_T717420_Aug11_4_59_37pm[[#This Row],[BOOST '[BAR']]]-Table3[[#This Row],[58DD]]</f>
        <v>0</v>
      </c>
    </row>
    <row r="811" spans="2:28" x14ac:dyDescent="0.25">
      <c r="B811" s="2" t="s">
        <v>189</v>
      </c>
      <c r="C811" s="2" t="s">
        <v>30</v>
      </c>
      <c r="D811" s="2" t="s">
        <v>151</v>
      </c>
      <c r="E811" s="2" t="s">
        <v>93</v>
      </c>
      <c r="F811" s="2" t="s">
        <v>253</v>
      </c>
      <c r="G811" s="2" t="s">
        <v>53</v>
      </c>
      <c r="I811">
        <f>HEX2DEC(_0811_173439[[#This Row],[580C]])*B$4/B$5+B$6</f>
        <v>760</v>
      </c>
      <c r="J811">
        <f>HEX2DEC(_0811_173439[[#This Row],[4402]])*C$4/C$5+C$6</f>
        <v>36</v>
      </c>
      <c r="K811">
        <f>HEX2DEC(_0811_173439[[#This Row],[580F]])*D$4/D$5+D$6</f>
        <v>30</v>
      </c>
      <c r="L811">
        <f>ROUND(HEX2DEC(_0811_173439[[#This Row],[58F0]])*E$4/E$5+E$6,0)</f>
        <v>70</v>
      </c>
      <c r="M811">
        <f>ROUND(HEX2DEC(_0811_173439[[#This Row],[5805]])*F$4/F$5+F$6,0)</f>
        <v>43</v>
      </c>
      <c r="N811">
        <f>ROUND(HEX2DEC(_0811_173439[[#This Row],[58DD]])*G$4/G$5+G$6,2)</f>
        <v>-0.03</v>
      </c>
      <c r="P811">
        <v>760</v>
      </c>
      <c r="Q811">
        <v>36</v>
      </c>
      <c r="R811">
        <v>30</v>
      </c>
      <c r="S811">
        <v>70</v>
      </c>
      <c r="T811">
        <v>43</v>
      </c>
      <c r="U811">
        <v>-0.03</v>
      </c>
      <c r="W811">
        <f>DataLog_T717420_Aug11_4_59_37pm[[#This Row],[RPM '[1/MIN']]]-Table3[[#This Row],[580C]]</f>
        <v>0</v>
      </c>
      <c r="X811">
        <f>DataLog_T717420_Aug11_4_59_37pm[[#This Row],[OIL TEMP '[Â°C']]]-Table3[[#This Row],[4402]]</f>
        <v>0</v>
      </c>
      <c r="Y811">
        <f>DataLog_T717420_Aug11_4_59_37pm[[#This Row],[INTAKE TEMP '[Â°C']]]-Table3[[#This Row],[580F]]</f>
        <v>0</v>
      </c>
      <c r="Z811">
        <f>DataLog_T717420_Aug11_4_59_37pm[[#This Row],[HPFP PRES. '[BAR']]]-Table3[[#This Row],[58F0]]</f>
        <v>0</v>
      </c>
      <c r="AA811">
        <f>DataLog_T717420_Aug11_4_59_37pm[[#This Row],[COOLANT TEMP '[Â°C']]]-Table3[[#This Row],[5805]]</f>
        <v>0</v>
      </c>
      <c r="AB811">
        <f>DataLog_T717420_Aug11_4_59_37pm[[#This Row],[BOOST '[BAR']]]-Table3[[#This Row],[58DD]]</f>
        <v>0</v>
      </c>
    </row>
    <row r="812" spans="2:28" x14ac:dyDescent="0.25">
      <c r="B812" s="2" t="s">
        <v>189</v>
      </c>
      <c r="C812" s="2" t="s">
        <v>30</v>
      </c>
      <c r="D812" s="2" t="s">
        <v>151</v>
      </c>
      <c r="E812" s="2" t="s">
        <v>93</v>
      </c>
      <c r="F812" s="2" t="s">
        <v>253</v>
      </c>
      <c r="G812" s="2" t="s">
        <v>190</v>
      </c>
      <c r="I812">
        <f>HEX2DEC(_0811_173439[[#This Row],[580C]])*B$4/B$5+B$6</f>
        <v>760</v>
      </c>
      <c r="J812">
        <f>HEX2DEC(_0811_173439[[#This Row],[4402]])*C$4/C$5+C$6</f>
        <v>36</v>
      </c>
      <c r="K812">
        <f>HEX2DEC(_0811_173439[[#This Row],[580F]])*D$4/D$5+D$6</f>
        <v>30</v>
      </c>
      <c r="L812">
        <f>ROUND(HEX2DEC(_0811_173439[[#This Row],[58F0]])*E$4/E$5+E$6,0)</f>
        <v>70</v>
      </c>
      <c r="M812">
        <f>ROUND(HEX2DEC(_0811_173439[[#This Row],[5805]])*F$4/F$5+F$6,0)</f>
        <v>43</v>
      </c>
      <c r="N812">
        <f>ROUND(HEX2DEC(_0811_173439[[#This Row],[58DD]])*G$4/G$5+G$6,2)</f>
        <v>-0.03</v>
      </c>
      <c r="P812">
        <v>760</v>
      </c>
      <c r="Q812">
        <v>36</v>
      </c>
      <c r="R812">
        <v>30</v>
      </c>
      <c r="S812">
        <v>70</v>
      </c>
      <c r="T812">
        <v>43</v>
      </c>
      <c r="U812">
        <v>-0.03</v>
      </c>
      <c r="W812">
        <f>DataLog_T717420_Aug11_4_59_37pm[[#This Row],[RPM '[1/MIN']]]-Table3[[#This Row],[580C]]</f>
        <v>0</v>
      </c>
      <c r="X812">
        <f>DataLog_T717420_Aug11_4_59_37pm[[#This Row],[OIL TEMP '[Â°C']]]-Table3[[#This Row],[4402]]</f>
        <v>0</v>
      </c>
      <c r="Y812">
        <f>DataLog_T717420_Aug11_4_59_37pm[[#This Row],[INTAKE TEMP '[Â°C']]]-Table3[[#This Row],[580F]]</f>
        <v>0</v>
      </c>
      <c r="Z812">
        <f>DataLog_T717420_Aug11_4_59_37pm[[#This Row],[HPFP PRES. '[BAR']]]-Table3[[#This Row],[58F0]]</f>
        <v>0</v>
      </c>
      <c r="AA812">
        <f>DataLog_T717420_Aug11_4_59_37pm[[#This Row],[COOLANT TEMP '[Â°C']]]-Table3[[#This Row],[5805]]</f>
        <v>0</v>
      </c>
      <c r="AB812">
        <f>DataLog_T717420_Aug11_4_59_37pm[[#This Row],[BOOST '[BAR']]]-Table3[[#This Row],[58DD]]</f>
        <v>0</v>
      </c>
    </row>
    <row r="813" spans="2:28" x14ac:dyDescent="0.25">
      <c r="B813" s="2" t="s">
        <v>189</v>
      </c>
      <c r="C813" s="2" t="s">
        <v>30</v>
      </c>
      <c r="D813" s="2" t="s">
        <v>151</v>
      </c>
      <c r="E813" s="2" t="s">
        <v>119</v>
      </c>
      <c r="F813" s="2" t="s">
        <v>253</v>
      </c>
      <c r="G813" s="2" t="s">
        <v>216</v>
      </c>
      <c r="I813">
        <f>HEX2DEC(_0811_173439[[#This Row],[580C]])*B$4/B$5+B$6</f>
        <v>760</v>
      </c>
      <c r="J813">
        <f>HEX2DEC(_0811_173439[[#This Row],[4402]])*C$4/C$5+C$6</f>
        <v>36</v>
      </c>
      <c r="K813">
        <f>HEX2DEC(_0811_173439[[#This Row],[580F]])*D$4/D$5+D$6</f>
        <v>30</v>
      </c>
      <c r="L813">
        <f>ROUND(HEX2DEC(_0811_173439[[#This Row],[58F0]])*E$4/E$5+E$6,0)</f>
        <v>71</v>
      </c>
      <c r="M813">
        <f>ROUND(HEX2DEC(_0811_173439[[#This Row],[5805]])*F$4/F$5+F$6,0)</f>
        <v>43</v>
      </c>
      <c r="N813">
        <f>ROUND(HEX2DEC(_0811_173439[[#This Row],[58DD]])*G$4/G$5+G$6,2)</f>
        <v>-0.03</v>
      </c>
      <c r="P813">
        <v>760</v>
      </c>
      <c r="Q813">
        <v>36</v>
      </c>
      <c r="R813">
        <v>30</v>
      </c>
      <c r="S813">
        <v>71</v>
      </c>
      <c r="T813">
        <v>43</v>
      </c>
      <c r="U813">
        <v>-0.03</v>
      </c>
      <c r="W813">
        <f>DataLog_T717420_Aug11_4_59_37pm[[#This Row],[RPM '[1/MIN']]]-Table3[[#This Row],[580C]]</f>
        <v>0</v>
      </c>
      <c r="X813">
        <f>DataLog_T717420_Aug11_4_59_37pm[[#This Row],[OIL TEMP '[Â°C']]]-Table3[[#This Row],[4402]]</f>
        <v>0</v>
      </c>
      <c r="Y813">
        <f>DataLog_T717420_Aug11_4_59_37pm[[#This Row],[INTAKE TEMP '[Â°C']]]-Table3[[#This Row],[580F]]</f>
        <v>0</v>
      </c>
      <c r="Z813">
        <f>DataLog_T717420_Aug11_4_59_37pm[[#This Row],[HPFP PRES. '[BAR']]]-Table3[[#This Row],[58F0]]</f>
        <v>0</v>
      </c>
      <c r="AA813">
        <f>DataLog_T717420_Aug11_4_59_37pm[[#This Row],[COOLANT TEMP '[Â°C']]]-Table3[[#This Row],[5805]]</f>
        <v>0</v>
      </c>
      <c r="AB813">
        <f>DataLog_T717420_Aug11_4_59_37pm[[#This Row],[BOOST '[BAR']]]-Table3[[#This Row],[58DD]]</f>
        <v>0</v>
      </c>
    </row>
    <row r="814" spans="2:28" x14ac:dyDescent="0.25">
      <c r="B814" s="2" t="s">
        <v>189</v>
      </c>
      <c r="C814" s="2" t="s">
        <v>30</v>
      </c>
      <c r="D814" s="2" t="s">
        <v>151</v>
      </c>
      <c r="E814" s="2" t="s">
        <v>127</v>
      </c>
      <c r="F814" s="2" t="s">
        <v>253</v>
      </c>
      <c r="G814" s="2" t="s">
        <v>191</v>
      </c>
      <c r="I814">
        <f>HEX2DEC(_0811_173439[[#This Row],[580C]])*B$4/B$5+B$6</f>
        <v>760</v>
      </c>
      <c r="J814">
        <f>HEX2DEC(_0811_173439[[#This Row],[4402]])*C$4/C$5+C$6</f>
        <v>36</v>
      </c>
      <c r="K814">
        <f>HEX2DEC(_0811_173439[[#This Row],[580F]])*D$4/D$5+D$6</f>
        <v>30</v>
      </c>
      <c r="L814">
        <f>ROUND(HEX2DEC(_0811_173439[[#This Row],[58F0]])*E$4/E$5+E$6,0)</f>
        <v>70</v>
      </c>
      <c r="M814">
        <f>ROUND(HEX2DEC(_0811_173439[[#This Row],[5805]])*F$4/F$5+F$6,0)</f>
        <v>43</v>
      </c>
      <c r="N814">
        <f>ROUND(HEX2DEC(_0811_173439[[#This Row],[58DD]])*G$4/G$5+G$6,2)</f>
        <v>-0.03</v>
      </c>
      <c r="P814">
        <v>760</v>
      </c>
      <c r="Q814">
        <v>36</v>
      </c>
      <c r="R814">
        <v>30</v>
      </c>
      <c r="S814">
        <v>70</v>
      </c>
      <c r="T814">
        <v>43</v>
      </c>
      <c r="U814">
        <v>-0.03</v>
      </c>
      <c r="W814">
        <f>DataLog_T717420_Aug11_4_59_37pm[[#This Row],[RPM '[1/MIN']]]-Table3[[#This Row],[580C]]</f>
        <v>0</v>
      </c>
      <c r="X814">
        <f>DataLog_T717420_Aug11_4_59_37pm[[#This Row],[OIL TEMP '[Â°C']]]-Table3[[#This Row],[4402]]</f>
        <v>0</v>
      </c>
      <c r="Y814">
        <f>DataLog_T717420_Aug11_4_59_37pm[[#This Row],[INTAKE TEMP '[Â°C']]]-Table3[[#This Row],[580F]]</f>
        <v>0</v>
      </c>
      <c r="Z814">
        <f>DataLog_T717420_Aug11_4_59_37pm[[#This Row],[HPFP PRES. '[BAR']]]-Table3[[#This Row],[58F0]]</f>
        <v>0</v>
      </c>
      <c r="AA814">
        <f>DataLog_T717420_Aug11_4_59_37pm[[#This Row],[COOLANT TEMP '[Â°C']]]-Table3[[#This Row],[5805]]</f>
        <v>0</v>
      </c>
      <c r="AB814">
        <f>DataLog_T717420_Aug11_4_59_37pm[[#This Row],[BOOST '[BAR']]]-Table3[[#This Row],[58DD]]</f>
        <v>0</v>
      </c>
    </row>
    <row r="815" spans="2:28" x14ac:dyDescent="0.25">
      <c r="B815" s="2" t="s">
        <v>189</v>
      </c>
      <c r="C815" s="2" t="s">
        <v>30</v>
      </c>
      <c r="D815" s="2" t="s">
        <v>151</v>
      </c>
      <c r="E815" s="2" t="s">
        <v>181</v>
      </c>
      <c r="F815" s="2" t="s">
        <v>253</v>
      </c>
      <c r="G815" s="2" t="s">
        <v>186</v>
      </c>
      <c r="I815">
        <f>HEX2DEC(_0811_173439[[#This Row],[580C]])*B$4/B$5+B$6</f>
        <v>760</v>
      </c>
      <c r="J815">
        <f>HEX2DEC(_0811_173439[[#This Row],[4402]])*C$4/C$5+C$6</f>
        <v>36</v>
      </c>
      <c r="K815">
        <f>HEX2DEC(_0811_173439[[#This Row],[580F]])*D$4/D$5+D$6</f>
        <v>30</v>
      </c>
      <c r="L815">
        <f>ROUND(HEX2DEC(_0811_173439[[#This Row],[58F0]])*E$4/E$5+E$6,0)</f>
        <v>70</v>
      </c>
      <c r="M815">
        <f>ROUND(HEX2DEC(_0811_173439[[#This Row],[5805]])*F$4/F$5+F$6,0)</f>
        <v>43</v>
      </c>
      <c r="N815">
        <f>ROUND(HEX2DEC(_0811_173439[[#This Row],[58DD]])*G$4/G$5+G$6,2)</f>
        <v>-0.03</v>
      </c>
      <c r="P815">
        <v>760</v>
      </c>
      <c r="Q815">
        <v>36</v>
      </c>
      <c r="R815">
        <v>30</v>
      </c>
      <c r="S815">
        <v>70</v>
      </c>
      <c r="T815">
        <v>43</v>
      </c>
      <c r="U815">
        <v>-0.03</v>
      </c>
      <c r="W815">
        <f>DataLog_T717420_Aug11_4_59_37pm[[#This Row],[RPM '[1/MIN']]]-Table3[[#This Row],[580C]]</f>
        <v>0</v>
      </c>
      <c r="X815">
        <f>DataLog_T717420_Aug11_4_59_37pm[[#This Row],[OIL TEMP '[Â°C']]]-Table3[[#This Row],[4402]]</f>
        <v>0</v>
      </c>
      <c r="Y815">
        <f>DataLog_T717420_Aug11_4_59_37pm[[#This Row],[INTAKE TEMP '[Â°C']]]-Table3[[#This Row],[580F]]</f>
        <v>0</v>
      </c>
      <c r="Z815">
        <f>DataLog_T717420_Aug11_4_59_37pm[[#This Row],[HPFP PRES. '[BAR']]]-Table3[[#This Row],[58F0]]</f>
        <v>0</v>
      </c>
      <c r="AA815">
        <f>DataLog_T717420_Aug11_4_59_37pm[[#This Row],[COOLANT TEMP '[Â°C']]]-Table3[[#This Row],[5805]]</f>
        <v>0</v>
      </c>
      <c r="AB815">
        <f>DataLog_T717420_Aug11_4_59_37pm[[#This Row],[BOOST '[BAR']]]-Table3[[#This Row],[58DD]]</f>
        <v>0</v>
      </c>
    </row>
    <row r="816" spans="2:28" x14ac:dyDescent="0.25">
      <c r="B816" s="2" t="s">
        <v>189</v>
      </c>
      <c r="C816" s="2" t="s">
        <v>30</v>
      </c>
      <c r="D816" s="2" t="s">
        <v>151</v>
      </c>
      <c r="E816" s="2" t="s">
        <v>162</v>
      </c>
      <c r="F816" s="2" t="s">
        <v>253</v>
      </c>
      <c r="G816" s="2" t="s">
        <v>213</v>
      </c>
      <c r="I816">
        <f>HEX2DEC(_0811_173439[[#This Row],[580C]])*B$4/B$5+B$6</f>
        <v>760</v>
      </c>
      <c r="J816">
        <f>HEX2DEC(_0811_173439[[#This Row],[4402]])*C$4/C$5+C$6</f>
        <v>36</v>
      </c>
      <c r="K816">
        <f>HEX2DEC(_0811_173439[[#This Row],[580F]])*D$4/D$5+D$6</f>
        <v>30</v>
      </c>
      <c r="L816">
        <f>ROUND(HEX2DEC(_0811_173439[[#This Row],[58F0]])*E$4/E$5+E$6,0)</f>
        <v>71</v>
      </c>
      <c r="M816">
        <f>ROUND(HEX2DEC(_0811_173439[[#This Row],[5805]])*F$4/F$5+F$6,0)</f>
        <v>43</v>
      </c>
      <c r="N816">
        <f>ROUND(HEX2DEC(_0811_173439[[#This Row],[58DD]])*G$4/G$5+G$6,2)</f>
        <v>-0.03</v>
      </c>
      <c r="P816">
        <v>760</v>
      </c>
      <c r="Q816">
        <v>36</v>
      </c>
      <c r="R816">
        <v>30</v>
      </c>
      <c r="S816">
        <v>71</v>
      </c>
      <c r="T816">
        <v>43</v>
      </c>
      <c r="U816">
        <v>-0.03</v>
      </c>
      <c r="W816">
        <f>DataLog_T717420_Aug11_4_59_37pm[[#This Row],[RPM '[1/MIN']]]-Table3[[#This Row],[580C]]</f>
        <v>0</v>
      </c>
      <c r="X816">
        <f>DataLog_T717420_Aug11_4_59_37pm[[#This Row],[OIL TEMP '[Â°C']]]-Table3[[#This Row],[4402]]</f>
        <v>0</v>
      </c>
      <c r="Y816">
        <f>DataLog_T717420_Aug11_4_59_37pm[[#This Row],[INTAKE TEMP '[Â°C']]]-Table3[[#This Row],[580F]]</f>
        <v>0</v>
      </c>
      <c r="Z816">
        <f>DataLog_T717420_Aug11_4_59_37pm[[#This Row],[HPFP PRES. '[BAR']]]-Table3[[#This Row],[58F0]]</f>
        <v>0</v>
      </c>
      <c r="AA816">
        <f>DataLog_T717420_Aug11_4_59_37pm[[#This Row],[COOLANT TEMP '[Â°C']]]-Table3[[#This Row],[5805]]</f>
        <v>0</v>
      </c>
      <c r="AB816">
        <f>DataLog_T717420_Aug11_4_59_37pm[[#This Row],[BOOST '[BAR']]]-Table3[[#This Row],[58DD]]</f>
        <v>0</v>
      </c>
    </row>
    <row r="817" spans="2:28" x14ac:dyDescent="0.25">
      <c r="B817" s="2" t="s">
        <v>189</v>
      </c>
      <c r="C817" s="2" t="s">
        <v>30</v>
      </c>
      <c r="D817" s="2" t="s">
        <v>151</v>
      </c>
      <c r="E817" s="2" t="s">
        <v>152</v>
      </c>
      <c r="F817" s="2" t="s">
        <v>253</v>
      </c>
      <c r="G817" s="2" t="s">
        <v>191</v>
      </c>
      <c r="I817">
        <f>HEX2DEC(_0811_173439[[#This Row],[580C]])*B$4/B$5+B$6</f>
        <v>760</v>
      </c>
      <c r="J817">
        <f>HEX2DEC(_0811_173439[[#This Row],[4402]])*C$4/C$5+C$6</f>
        <v>36</v>
      </c>
      <c r="K817">
        <f>HEX2DEC(_0811_173439[[#This Row],[580F]])*D$4/D$5+D$6</f>
        <v>30</v>
      </c>
      <c r="L817">
        <f>ROUND(HEX2DEC(_0811_173439[[#This Row],[58F0]])*E$4/E$5+E$6,0)</f>
        <v>70</v>
      </c>
      <c r="M817">
        <f>ROUND(HEX2DEC(_0811_173439[[#This Row],[5805]])*F$4/F$5+F$6,0)</f>
        <v>43</v>
      </c>
      <c r="N817">
        <f>ROUND(HEX2DEC(_0811_173439[[#This Row],[58DD]])*G$4/G$5+G$6,2)</f>
        <v>-0.03</v>
      </c>
      <c r="P817">
        <v>760</v>
      </c>
      <c r="Q817">
        <v>36</v>
      </c>
      <c r="R817">
        <v>30</v>
      </c>
      <c r="S817">
        <v>70</v>
      </c>
      <c r="T817">
        <v>43</v>
      </c>
      <c r="U817">
        <v>-0.03</v>
      </c>
      <c r="W817">
        <f>DataLog_T717420_Aug11_4_59_37pm[[#This Row],[RPM '[1/MIN']]]-Table3[[#This Row],[580C]]</f>
        <v>0</v>
      </c>
      <c r="X817">
        <f>DataLog_T717420_Aug11_4_59_37pm[[#This Row],[OIL TEMP '[Â°C']]]-Table3[[#This Row],[4402]]</f>
        <v>0</v>
      </c>
      <c r="Y817">
        <f>DataLog_T717420_Aug11_4_59_37pm[[#This Row],[INTAKE TEMP '[Â°C']]]-Table3[[#This Row],[580F]]</f>
        <v>0</v>
      </c>
      <c r="Z817">
        <f>DataLog_T717420_Aug11_4_59_37pm[[#This Row],[HPFP PRES. '[BAR']]]-Table3[[#This Row],[58F0]]</f>
        <v>0</v>
      </c>
      <c r="AA817">
        <f>DataLog_T717420_Aug11_4_59_37pm[[#This Row],[COOLANT TEMP '[Â°C']]]-Table3[[#This Row],[5805]]</f>
        <v>0</v>
      </c>
      <c r="AB817">
        <f>DataLog_T717420_Aug11_4_59_37pm[[#This Row],[BOOST '[BAR']]]-Table3[[#This Row],[58DD]]</f>
        <v>0</v>
      </c>
    </row>
    <row r="818" spans="2:28" x14ac:dyDescent="0.25">
      <c r="B818" s="2" t="s">
        <v>189</v>
      </c>
      <c r="C818" s="2" t="s">
        <v>30</v>
      </c>
      <c r="D818" s="2" t="s">
        <v>151</v>
      </c>
      <c r="E818" s="2" t="s">
        <v>122</v>
      </c>
      <c r="F818" s="2" t="s">
        <v>253</v>
      </c>
      <c r="G818" s="2" t="s">
        <v>191</v>
      </c>
      <c r="I818">
        <f>HEX2DEC(_0811_173439[[#This Row],[580C]])*B$4/B$5+B$6</f>
        <v>760</v>
      </c>
      <c r="J818">
        <f>HEX2DEC(_0811_173439[[#This Row],[4402]])*C$4/C$5+C$6</f>
        <v>36</v>
      </c>
      <c r="K818">
        <f>HEX2DEC(_0811_173439[[#This Row],[580F]])*D$4/D$5+D$6</f>
        <v>30</v>
      </c>
      <c r="L818">
        <f>ROUND(HEX2DEC(_0811_173439[[#This Row],[58F0]])*E$4/E$5+E$6,0)</f>
        <v>71</v>
      </c>
      <c r="M818">
        <f>ROUND(HEX2DEC(_0811_173439[[#This Row],[5805]])*F$4/F$5+F$6,0)</f>
        <v>43</v>
      </c>
      <c r="N818">
        <f>ROUND(HEX2DEC(_0811_173439[[#This Row],[58DD]])*G$4/G$5+G$6,2)</f>
        <v>-0.03</v>
      </c>
      <c r="P818">
        <v>760</v>
      </c>
      <c r="Q818">
        <v>36</v>
      </c>
      <c r="R818">
        <v>30</v>
      </c>
      <c r="S818">
        <v>71</v>
      </c>
      <c r="T818">
        <v>43</v>
      </c>
      <c r="U818">
        <v>-0.03</v>
      </c>
      <c r="W818">
        <f>DataLog_T717420_Aug11_4_59_37pm[[#This Row],[RPM '[1/MIN']]]-Table3[[#This Row],[580C]]</f>
        <v>0</v>
      </c>
      <c r="X818">
        <f>DataLog_T717420_Aug11_4_59_37pm[[#This Row],[OIL TEMP '[Â°C']]]-Table3[[#This Row],[4402]]</f>
        <v>0</v>
      </c>
      <c r="Y818">
        <f>DataLog_T717420_Aug11_4_59_37pm[[#This Row],[INTAKE TEMP '[Â°C']]]-Table3[[#This Row],[580F]]</f>
        <v>0</v>
      </c>
      <c r="Z818">
        <f>DataLog_T717420_Aug11_4_59_37pm[[#This Row],[HPFP PRES. '[BAR']]]-Table3[[#This Row],[58F0]]</f>
        <v>0</v>
      </c>
      <c r="AA818">
        <f>DataLog_T717420_Aug11_4_59_37pm[[#This Row],[COOLANT TEMP '[Â°C']]]-Table3[[#This Row],[5805]]</f>
        <v>0</v>
      </c>
      <c r="AB818">
        <f>DataLog_T717420_Aug11_4_59_37pm[[#This Row],[BOOST '[BAR']]]-Table3[[#This Row],[58DD]]</f>
        <v>0</v>
      </c>
    </row>
    <row r="819" spans="2:28" x14ac:dyDescent="0.25">
      <c r="B819" s="2" t="s">
        <v>189</v>
      </c>
      <c r="C819" s="2" t="s">
        <v>30</v>
      </c>
      <c r="D819" s="2" t="s">
        <v>151</v>
      </c>
      <c r="E819" s="2" t="s">
        <v>143</v>
      </c>
      <c r="F819" s="2" t="s">
        <v>253</v>
      </c>
      <c r="G819" s="2" t="s">
        <v>190</v>
      </c>
      <c r="I819">
        <f>HEX2DEC(_0811_173439[[#This Row],[580C]])*B$4/B$5+B$6</f>
        <v>760</v>
      </c>
      <c r="J819">
        <f>HEX2DEC(_0811_173439[[#This Row],[4402]])*C$4/C$5+C$6</f>
        <v>36</v>
      </c>
      <c r="K819">
        <f>HEX2DEC(_0811_173439[[#This Row],[580F]])*D$4/D$5+D$6</f>
        <v>30</v>
      </c>
      <c r="L819">
        <f>ROUND(HEX2DEC(_0811_173439[[#This Row],[58F0]])*E$4/E$5+E$6,0)</f>
        <v>71</v>
      </c>
      <c r="M819">
        <f>ROUND(HEX2DEC(_0811_173439[[#This Row],[5805]])*F$4/F$5+F$6,0)</f>
        <v>43</v>
      </c>
      <c r="N819">
        <f>ROUND(HEX2DEC(_0811_173439[[#This Row],[58DD]])*G$4/G$5+G$6,2)</f>
        <v>-0.03</v>
      </c>
      <c r="P819">
        <v>760</v>
      </c>
      <c r="Q819">
        <v>36</v>
      </c>
      <c r="R819">
        <v>30</v>
      </c>
      <c r="S819">
        <v>71</v>
      </c>
      <c r="T819">
        <v>43</v>
      </c>
      <c r="U819">
        <v>-0.03</v>
      </c>
      <c r="W819">
        <f>DataLog_T717420_Aug11_4_59_37pm[[#This Row],[RPM '[1/MIN']]]-Table3[[#This Row],[580C]]</f>
        <v>0</v>
      </c>
      <c r="X819">
        <f>DataLog_T717420_Aug11_4_59_37pm[[#This Row],[OIL TEMP '[Â°C']]]-Table3[[#This Row],[4402]]</f>
        <v>0</v>
      </c>
      <c r="Y819">
        <f>DataLog_T717420_Aug11_4_59_37pm[[#This Row],[INTAKE TEMP '[Â°C']]]-Table3[[#This Row],[580F]]</f>
        <v>0</v>
      </c>
      <c r="Z819">
        <f>DataLog_T717420_Aug11_4_59_37pm[[#This Row],[HPFP PRES. '[BAR']]]-Table3[[#This Row],[58F0]]</f>
        <v>0</v>
      </c>
      <c r="AA819">
        <f>DataLog_T717420_Aug11_4_59_37pm[[#This Row],[COOLANT TEMP '[Â°C']]]-Table3[[#This Row],[5805]]</f>
        <v>0</v>
      </c>
      <c r="AB819">
        <f>DataLog_T717420_Aug11_4_59_37pm[[#This Row],[BOOST '[BAR']]]-Table3[[#This Row],[58DD]]</f>
        <v>0</v>
      </c>
    </row>
    <row r="820" spans="2:28" x14ac:dyDescent="0.25">
      <c r="B820" s="2" t="s">
        <v>189</v>
      </c>
      <c r="C820" s="2" t="s">
        <v>30</v>
      </c>
      <c r="D820" s="2" t="s">
        <v>151</v>
      </c>
      <c r="E820" s="2" t="s">
        <v>139</v>
      </c>
      <c r="F820" s="2" t="s">
        <v>253</v>
      </c>
      <c r="G820" s="2" t="s">
        <v>191</v>
      </c>
      <c r="I820">
        <f>HEX2DEC(_0811_173439[[#This Row],[580C]])*B$4/B$5+B$6</f>
        <v>760</v>
      </c>
      <c r="J820">
        <f>HEX2DEC(_0811_173439[[#This Row],[4402]])*C$4/C$5+C$6</f>
        <v>36</v>
      </c>
      <c r="K820">
        <f>HEX2DEC(_0811_173439[[#This Row],[580F]])*D$4/D$5+D$6</f>
        <v>30</v>
      </c>
      <c r="L820">
        <f>ROUND(HEX2DEC(_0811_173439[[#This Row],[58F0]])*E$4/E$5+E$6,0)</f>
        <v>71</v>
      </c>
      <c r="M820">
        <f>ROUND(HEX2DEC(_0811_173439[[#This Row],[5805]])*F$4/F$5+F$6,0)</f>
        <v>43</v>
      </c>
      <c r="N820">
        <f>ROUND(HEX2DEC(_0811_173439[[#This Row],[58DD]])*G$4/G$5+G$6,2)</f>
        <v>-0.03</v>
      </c>
      <c r="P820">
        <v>760</v>
      </c>
      <c r="Q820">
        <v>36</v>
      </c>
      <c r="R820">
        <v>30</v>
      </c>
      <c r="S820">
        <v>71</v>
      </c>
      <c r="T820">
        <v>43</v>
      </c>
      <c r="U820">
        <v>-0.03</v>
      </c>
      <c r="W820">
        <f>DataLog_T717420_Aug11_4_59_37pm[[#This Row],[RPM '[1/MIN']]]-Table3[[#This Row],[580C]]</f>
        <v>0</v>
      </c>
      <c r="X820">
        <f>DataLog_T717420_Aug11_4_59_37pm[[#This Row],[OIL TEMP '[Â°C']]]-Table3[[#This Row],[4402]]</f>
        <v>0</v>
      </c>
      <c r="Y820">
        <f>DataLog_T717420_Aug11_4_59_37pm[[#This Row],[INTAKE TEMP '[Â°C']]]-Table3[[#This Row],[580F]]</f>
        <v>0</v>
      </c>
      <c r="Z820">
        <f>DataLog_T717420_Aug11_4_59_37pm[[#This Row],[HPFP PRES. '[BAR']]]-Table3[[#This Row],[58F0]]</f>
        <v>0</v>
      </c>
      <c r="AA820">
        <f>DataLog_T717420_Aug11_4_59_37pm[[#This Row],[COOLANT TEMP '[Â°C']]]-Table3[[#This Row],[5805]]</f>
        <v>0</v>
      </c>
      <c r="AB820">
        <f>DataLog_T717420_Aug11_4_59_37pm[[#This Row],[BOOST '[BAR']]]-Table3[[#This Row],[58DD]]</f>
        <v>0</v>
      </c>
    </row>
    <row r="821" spans="2:28" x14ac:dyDescent="0.25">
      <c r="B821" s="2" t="s">
        <v>189</v>
      </c>
      <c r="C821" s="2" t="s">
        <v>30</v>
      </c>
      <c r="D821" s="2" t="s">
        <v>151</v>
      </c>
      <c r="E821" s="2" t="s">
        <v>122</v>
      </c>
      <c r="F821" s="2" t="s">
        <v>253</v>
      </c>
      <c r="G821" s="2" t="s">
        <v>213</v>
      </c>
      <c r="I821">
        <f>HEX2DEC(_0811_173439[[#This Row],[580C]])*B$4/B$5+B$6</f>
        <v>760</v>
      </c>
      <c r="J821">
        <f>HEX2DEC(_0811_173439[[#This Row],[4402]])*C$4/C$5+C$6</f>
        <v>36</v>
      </c>
      <c r="K821">
        <f>HEX2DEC(_0811_173439[[#This Row],[580F]])*D$4/D$5+D$6</f>
        <v>30</v>
      </c>
      <c r="L821">
        <f>ROUND(HEX2DEC(_0811_173439[[#This Row],[58F0]])*E$4/E$5+E$6,0)</f>
        <v>71</v>
      </c>
      <c r="M821">
        <f>ROUND(HEX2DEC(_0811_173439[[#This Row],[5805]])*F$4/F$5+F$6,0)</f>
        <v>43</v>
      </c>
      <c r="N821">
        <f>ROUND(HEX2DEC(_0811_173439[[#This Row],[58DD]])*G$4/G$5+G$6,2)</f>
        <v>-0.03</v>
      </c>
      <c r="P821">
        <v>760</v>
      </c>
      <c r="Q821">
        <v>36</v>
      </c>
      <c r="R821">
        <v>30</v>
      </c>
      <c r="S821">
        <v>71</v>
      </c>
      <c r="T821">
        <v>43</v>
      </c>
      <c r="U821">
        <v>-0.03</v>
      </c>
      <c r="W821">
        <f>DataLog_T717420_Aug11_4_59_37pm[[#This Row],[RPM '[1/MIN']]]-Table3[[#This Row],[580C]]</f>
        <v>0</v>
      </c>
      <c r="X821">
        <f>DataLog_T717420_Aug11_4_59_37pm[[#This Row],[OIL TEMP '[Â°C']]]-Table3[[#This Row],[4402]]</f>
        <v>0</v>
      </c>
      <c r="Y821">
        <f>DataLog_T717420_Aug11_4_59_37pm[[#This Row],[INTAKE TEMP '[Â°C']]]-Table3[[#This Row],[580F]]</f>
        <v>0</v>
      </c>
      <c r="Z821">
        <f>DataLog_T717420_Aug11_4_59_37pm[[#This Row],[HPFP PRES. '[BAR']]]-Table3[[#This Row],[58F0]]</f>
        <v>0</v>
      </c>
      <c r="AA821">
        <f>DataLog_T717420_Aug11_4_59_37pm[[#This Row],[COOLANT TEMP '[Â°C']]]-Table3[[#This Row],[5805]]</f>
        <v>0</v>
      </c>
      <c r="AB821">
        <f>DataLog_T717420_Aug11_4_59_37pm[[#This Row],[BOOST '[BAR']]]-Table3[[#This Row],[58DD]]</f>
        <v>0</v>
      </c>
    </row>
    <row r="822" spans="2:28" x14ac:dyDescent="0.25">
      <c r="B822" s="2" t="s">
        <v>189</v>
      </c>
      <c r="C822" s="2" t="s">
        <v>30</v>
      </c>
      <c r="D822" s="2" t="s">
        <v>151</v>
      </c>
      <c r="E822" s="2" t="s">
        <v>124</v>
      </c>
      <c r="F822" s="2" t="s">
        <v>253</v>
      </c>
      <c r="G822" s="2" t="s">
        <v>96</v>
      </c>
      <c r="I822">
        <f>HEX2DEC(_0811_173439[[#This Row],[580C]])*B$4/B$5+B$6</f>
        <v>760</v>
      </c>
      <c r="J822">
        <f>HEX2DEC(_0811_173439[[#This Row],[4402]])*C$4/C$5+C$6</f>
        <v>36</v>
      </c>
      <c r="K822">
        <f>HEX2DEC(_0811_173439[[#This Row],[580F]])*D$4/D$5+D$6</f>
        <v>30</v>
      </c>
      <c r="L822">
        <f>ROUND(HEX2DEC(_0811_173439[[#This Row],[58F0]])*E$4/E$5+E$6,0)</f>
        <v>71</v>
      </c>
      <c r="M822">
        <f>ROUND(HEX2DEC(_0811_173439[[#This Row],[5805]])*F$4/F$5+F$6,0)</f>
        <v>43</v>
      </c>
      <c r="N822">
        <f>ROUND(HEX2DEC(_0811_173439[[#This Row],[58DD]])*G$4/G$5+G$6,2)</f>
        <v>-0.03</v>
      </c>
      <c r="P822">
        <v>760</v>
      </c>
      <c r="Q822">
        <v>36</v>
      </c>
      <c r="R822">
        <v>30</v>
      </c>
      <c r="S822">
        <v>71</v>
      </c>
      <c r="T822">
        <v>43</v>
      </c>
      <c r="U822">
        <v>-0.03</v>
      </c>
      <c r="W822">
        <f>DataLog_T717420_Aug11_4_59_37pm[[#This Row],[RPM '[1/MIN']]]-Table3[[#This Row],[580C]]</f>
        <v>0</v>
      </c>
      <c r="X822">
        <f>DataLog_T717420_Aug11_4_59_37pm[[#This Row],[OIL TEMP '[Â°C']]]-Table3[[#This Row],[4402]]</f>
        <v>0</v>
      </c>
      <c r="Y822">
        <f>DataLog_T717420_Aug11_4_59_37pm[[#This Row],[INTAKE TEMP '[Â°C']]]-Table3[[#This Row],[580F]]</f>
        <v>0</v>
      </c>
      <c r="Z822">
        <f>DataLog_T717420_Aug11_4_59_37pm[[#This Row],[HPFP PRES. '[BAR']]]-Table3[[#This Row],[58F0]]</f>
        <v>0</v>
      </c>
      <c r="AA822">
        <f>DataLog_T717420_Aug11_4_59_37pm[[#This Row],[COOLANT TEMP '[Â°C']]]-Table3[[#This Row],[5805]]</f>
        <v>0</v>
      </c>
      <c r="AB822">
        <f>DataLog_T717420_Aug11_4_59_37pm[[#This Row],[BOOST '[BAR']]]-Table3[[#This Row],[58DD]]</f>
        <v>0</v>
      </c>
    </row>
    <row r="823" spans="2:28" x14ac:dyDescent="0.25">
      <c r="B823" s="2" t="s">
        <v>189</v>
      </c>
      <c r="C823" s="2" t="s">
        <v>30</v>
      </c>
      <c r="D823" s="2" t="s">
        <v>151</v>
      </c>
      <c r="E823" s="2" t="s">
        <v>132</v>
      </c>
      <c r="F823" s="2" t="s">
        <v>253</v>
      </c>
      <c r="G823" s="2" t="s">
        <v>98</v>
      </c>
      <c r="I823">
        <f>HEX2DEC(_0811_173439[[#This Row],[580C]])*B$4/B$5+B$6</f>
        <v>760</v>
      </c>
      <c r="J823">
        <f>HEX2DEC(_0811_173439[[#This Row],[4402]])*C$4/C$5+C$6</f>
        <v>36</v>
      </c>
      <c r="K823">
        <f>HEX2DEC(_0811_173439[[#This Row],[580F]])*D$4/D$5+D$6</f>
        <v>30</v>
      </c>
      <c r="L823">
        <f>ROUND(HEX2DEC(_0811_173439[[#This Row],[58F0]])*E$4/E$5+E$6,0)</f>
        <v>70</v>
      </c>
      <c r="M823">
        <f>ROUND(HEX2DEC(_0811_173439[[#This Row],[5805]])*F$4/F$5+F$6,0)</f>
        <v>43</v>
      </c>
      <c r="N823">
        <f>ROUND(HEX2DEC(_0811_173439[[#This Row],[58DD]])*G$4/G$5+G$6,2)</f>
        <v>-0.03</v>
      </c>
      <c r="P823">
        <v>760</v>
      </c>
      <c r="Q823">
        <v>36</v>
      </c>
      <c r="R823">
        <v>30</v>
      </c>
      <c r="S823">
        <v>70</v>
      </c>
      <c r="T823">
        <v>43</v>
      </c>
      <c r="U823">
        <v>-0.03</v>
      </c>
      <c r="W823">
        <f>DataLog_T717420_Aug11_4_59_37pm[[#This Row],[RPM '[1/MIN']]]-Table3[[#This Row],[580C]]</f>
        <v>0</v>
      </c>
      <c r="X823">
        <f>DataLog_T717420_Aug11_4_59_37pm[[#This Row],[OIL TEMP '[Â°C']]]-Table3[[#This Row],[4402]]</f>
        <v>0</v>
      </c>
      <c r="Y823">
        <f>DataLog_T717420_Aug11_4_59_37pm[[#This Row],[INTAKE TEMP '[Â°C']]]-Table3[[#This Row],[580F]]</f>
        <v>0</v>
      </c>
      <c r="Z823">
        <f>DataLog_T717420_Aug11_4_59_37pm[[#This Row],[HPFP PRES. '[BAR']]]-Table3[[#This Row],[58F0]]</f>
        <v>0</v>
      </c>
      <c r="AA823">
        <f>DataLog_T717420_Aug11_4_59_37pm[[#This Row],[COOLANT TEMP '[Â°C']]]-Table3[[#This Row],[5805]]</f>
        <v>0</v>
      </c>
      <c r="AB823">
        <f>DataLog_T717420_Aug11_4_59_37pm[[#This Row],[BOOST '[BAR']]]-Table3[[#This Row],[58DD]]</f>
        <v>0</v>
      </c>
    </row>
    <row r="824" spans="2:28" x14ac:dyDescent="0.25">
      <c r="B824" s="2" t="s">
        <v>189</v>
      </c>
      <c r="C824" s="2" t="s">
        <v>30</v>
      </c>
      <c r="D824" s="2" t="s">
        <v>151</v>
      </c>
      <c r="E824" s="2" t="s">
        <v>172</v>
      </c>
      <c r="F824" s="2" t="s">
        <v>253</v>
      </c>
      <c r="G824" s="2" t="s">
        <v>216</v>
      </c>
      <c r="I824">
        <f>HEX2DEC(_0811_173439[[#This Row],[580C]])*B$4/B$5+B$6</f>
        <v>760</v>
      </c>
      <c r="J824">
        <f>HEX2DEC(_0811_173439[[#This Row],[4402]])*C$4/C$5+C$6</f>
        <v>36</v>
      </c>
      <c r="K824">
        <f>HEX2DEC(_0811_173439[[#This Row],[580F]])*D$4/D$5+D$6</f>
        <v>30</v>
      </c>
      <c r="L824">
        <f>ROUND(HEX2DEC(_0811_173439[[#This Row],[58F0]])*E$4/E$5+E$6,0)</f>
        <v>70</v>
      </c>
      <c r="M824">
        <f>ROUND(HEX2DEC(_0811_173439[[#This Row],[5805]])*F$4/F$5+F$6,0)</f>
        <v>43</v>
      </c>
      <c r="N824">
        <f>ROUND(HEX2DEC(_0811_173439[[#This Row],[58DD]])*G$4/G$5+G$6,2)</f>
        <v>-0.03</v>
      </c>
      <c r="P824">
        <v>760</v>
      </c>
      <c r="Q824">
        <v>36</v>
      </c>
      <c r="R824">
        <v>30</v>
      </c>
      <c r="S824">
        <v>70</v>
      </c>
      <c r="T824">
        <v>43</v>
      </c>
      <c r="U824">
        <v>-0.03</v>
      </c>
      <c r="W824">
        <f>DataLog_T717420_Aug11_4_59_37pm[[#This Row],[RPM '[1/MIN']]]-Table3[[#This Row],[580C]]</f>
        <v>0</v>
      </c>
      <c r="X824">
        <f>DataLog_T717420_Aug11_4_59_37pm[[#This Row],[OIL TEMP '[Â°C']]]-Table3[[#This Row],[4402]]</f>
        <v>0</v>
      </c>
      <c r="Y824">
        <f>DataLog_T717420_Aug11_4_59_37pm[[#This Row],[INTAKE TEMP '[Â°C']]]-Table3[[#This Row],[580F]]</f>
        <v>0</v>
      </c>
      <c r="Z824">
        <f>DataLog_T717420_Aug11_4_59_37pm[[#This Row],[HPFP PRES. '[BAR']]]-Table3[[#This Row],[58F0]]</f>
        <v>0</v>
      </c>
      <c r="AA824">
        <f>DataLog_T717420_Aug11_4_59_37pm[[#This Row],[COOLANT TEMP '[Â°C']]]-Table3[[#This Row],[5805]]</f>
        <v>0</v>
      </c>
      <c r="AB824">
        <f>DataLog_T717420_Aug11_4_59_37pm[[#This Row],[BOOST '[BAR']]]-Table3[[#This Row],[58DD]]</f>
        <v>0</v>
      </c>
    </row>
    <row r="825" spans="2:28" x14ac:dyDescent="0.25">
      <c r="B825" s="2" t="s">
        <v>189</v>
      </c>
      <c r="C825" s="2" t="s">
        <v>30</v>
      </c>
      <c r="D825" s="2" t="s">
        <v>151</v>
      </c>
      <c r="E825" s="2" t="s">
        <v>122</v>
      </c>
      <c r="F825" s="2" t="s">
        <v>253</v>
      </c>
      <c r="G825" s="2" t="s">
        <v>71</v>
      </c>
      <c r="I825">
        <f>HEX2DEC(_0811_173439[[#This Row],[580C]])*B$4/B$5+B$6</f>
        <v>760</v>
      </c>
      <c r="J825">
        <f>HEX2DEC(_0811_173439[[#This Row],[4402]])*C$4/C$5+C$6</f>
        <v>36</v>
      </c>
      <c r="K825">
        <f>HEX2DEC(_0811_173439[[#This Row],[580F]])*D$4/D$5+D$6</f>
        <v>30</v>
      </c>
      <c r="L825">
        <f>ROUND(HEX2DEC(_0811_173439[[#This Row],[58F0]])*E$4/E$5+E$6,0)</f>
        <v>71</v>
      </c>
      <c r="M825">
        <f>ROUND(HEX2DEC(_0811_173439[[#This Row],[5805]])*F$4/F$5+F$6,0)</f>
        <v>43</v>
      </c>
      <c r="N825">
        <f>ROUND(HEX2DEC(_0811_173439[[#This Row],[58DD]])*G$4/G$5+G$6,2)</f>
        <v>-0.03</v>
      </c>
      <c r="P825">
        <v>760</v>
      </c>
      <c r="Q825">
        <v>36</v>
      </c>
      <c r="R825">
        <v>30</v>
      </c>
      <c r="S825">
        <v>71</v>
      </c>
      <c r="T825">
        <v>43</v>
      </c>
      <c r="U825">
        <v>-0.03</v>
      </c>
      <c r="W825">
        <f>DataLog_T717420_Aug11_4_59_37pm[[#This Row],[RPM '[1/MIN']]]-Table3[[#This Row],[580C]]</f>
        <v>0</v>
      </c>
      <c r="X825">
        <f>DataLog_T717420_Aug11_4_59_37pm[[#This Row],[OIL TEMP '[Â°C']]]-Table3[[#This Row],[4402]]</f>
        <v>0</v>
      </c>
      <c r="Y825">
        <f>DataLog_T717420_Aug11_4_59_37pm[[#This Row],[INTAKE TEMP '[Â°C']]]-Table3[[#This Row],[580F]]</f>
        <v>0</v>
      </c>
      <c r="Z825">
        <f>DataLog_T717420_Aug11_4_59_37pm[[#This Row],[HPFP PRES. '[BAR']]]-Table3[[#This Row],[58F0]]</f>
        <v>0</v>
      </c>
      <c r="AA825">
        <f>DataLog_T717420_Aug11_4_59_37pm[[#This Row],[COOLANT TEMP '[Â°C']]]-Table3[[#This Row],[5805]]</f>
        <v>0</v>
      </c>
      <c r="AB825">
        <f>DataLog_T717420_Aug11_4_59_37pm[[#This Row],[BOOST '[BAR']]]-Table3[[#This Row],[58DD]]</f>
        <v>0</v>
      </c>
    </row>
    <row r="826" spans="2:28" x14ac:dyDescent="0.25">
      <c r="B826" s="2" t="s">
        <v>189</v>
      </c>
      <c r="C826" s="2" t="s">
        <v>30</v>
      </c>
      <c r="D826" s="2" t="s">
        <v>151</v>
      </c>
      <c r="E826" s="2" t="s">
        <v>152</v>
      </c>
      <c r="F826" s="2" t="s">
        <v>253</v>
      </c>
      <c r="G826" s="2" t="s">
        <v>190</v>
      </c>
      <c r="I826">
        <f>HEX2DEC(_0811_173439[[#This Row],[580C]])*B$4/B$5+B$6</f>
        <v>760</v>
      </c>
      <c r="J826">
        <f>HEX2DEC(_0811_173439[[#This Row],[4402]])*C$4/C$5+C$6</f>
        <v>36</v>
      </c>
      <c r="K826">
        <f>HEX2DEC(_0811_173439[[#This Row],[580F]])*D$4/D$5+D$6</f>
        <v>30</v>
      </c>
      <c r="L826">
        <f>ROUND(HEX2DEC(_0811_173439[[#This Row],[58F0]])*E$4/E$5+E$6,0)</f>
        <v>70</v>
      </c>
      <c r="M826">
        <f>ROUND(HEX2DEC(_0811_173439[[#This Row],[5805]])*F$4/F$5+F$6,0)</f>
        <v>43</v>
      </c>
      <c r="N826">
        <f>ROUND(HEX2DEC(_0811_173439[[#This Row],[58DD]])*G$4/G$5+G$6,2)</f>
        <v>-0.03</v>
      </c>
      <c r="P826">
        <v>760</v>
      </c>
      <c r="Q826">
        <v>36</v>
      </c>
      <c r="R826">
        <v>30</v>
      </c>
      <c r="S826">
        <v>70</v>
      </c>
      <c r="T826">
        <v>43</v>
      </c>
      <c r="U826">
        <v>-0.03</v>
      </c>
      <c r="W826">
        <f>DataLog_T717420_Aug11_4_59_37pm[[#This Row],[RPM '[1/MIN']]]-Table3[[#This Row],[580C]]</f>
        <v>0</v>
      </c>
      <c r="X826">
        <f>DataLog_T717420_Aug11_4_59_37pm[[#This Row],[OIL TEMP '[Â°C']]]-Table3[[#This Row],[4402]]</f>
        <v>0</v>
      </c>
      <c r="Y826">
        <f>DataLog_T717420_Aug11_4_59_37pm[[#This Row],[INTAKE TEMP '[Â°C']]]-Table3[[#This Row],[580F]]</f>
        <v>0</v>
      </c>
      <c r="Z826">
        <f>DataLog_T717420_Aug11_4_59_37pm[[#This Row],[HPFP PRES. '[BAR']]]-Table3[[#This Row],[58F0]]</f>
        <v>0</v>
      </c>
      <c r="AA826">
        <f>DataLog_T717420_Aug11_4_59_37pm[[#This Row],[COOLANT TEMP '[Â°C']]]-Table3[[#This Row],[5805]]</f>
        <v>0</v>
      </c>
      <c r="AB826">
        <f>DataLog_T717420_Aug11_4_59_37pm[[#This Row],[BOOST '[BAR']]]-Table3[[#This Row],[58DD]]</f>
        <v>0</v>
      </c>
    </row>
    <row r="827" spans="2:28" x14ac:dyDescent="0.25">
      <c r="B827" s="2" t="s">
        <v>183</v>
      </c>
      <c r="C827" s="2" t="s">
        <v>30</v>
      </c>
      <c r="D827" s="2" t="s">
        <v>151</v>
      </c>
      <c r="E827" s="2" t="s">
        <v>127</v>
      </c>
      <c r="F827" s="2" t="s">
        <v>253</v>
      </c>
      <c r="G827" s="2" t="s">
        <v>53</v>
      </c>
      <c r="I827">
        <f>HEX2DEC(_0811_173439[[#This Row],[580C]])*B$4/B$5+B$6</f>
        <v>800</v>
      </c>
      <c r="J827">
        <f>HEX2DEC(_0811_173439[[#This Row],[4402]])*C$4/C$5+C$6</f>
        <v>36</v>
      </c>
      <c r="K827">
        <f>HEX2DEC(_0811_173439[[#This Row],[580F]])*D$4/D$5+D$6</f>
        <v>30</v>
      </c>
      <c r="L827">
        <f>ROUND(HEX2DEC(_0811_173439[[#This Row],[58F0]])*E$4/E$5+E$6,0)</f>
        <v>70</v>
      </c>
      <c r="M827">
        <f>ROUND(HEX2DEC(_0811_173439[[#This Row],[5805]])*F$4/F$5+F$6,0)</f>
        <v>43</v>
      </c>
      <c r="N827">
        <f>ROUND(HEX2DEC(_0811_173439[[#This Row],[58DD]])*G$4/G$5+G$6,2)</f>
        <v>-0.03</v>
      </c>
      <c r="P827">
        <v>800</v>
      </c>
      <c r="Q827">
        <v>36</v>
      </c>
      <c r="R827">
        <v>30</v>
      </c>
      <c r="S827">
        <v>70</v>
      </c>
      <c r="T827">
        <v>43</v>
      </c>
      <c r="U827">
        <v>-0.03</v>
      </c>
      <c r="W827">
        <f>DataLog_T717420_Aug11_4_59_37pm[[#This Row],[RPM '[1/MIN']]]-Table3[[#This Row],[580C]]</f>
        <v>0</v>
      </c>
      <c r="X827">
        <f>DataLog_T717420_Aug11_4_59_37pm[[#This Row],[OIL TEMP '[Â°C']]]-Table3[[#This Row],[4402]]</f>
        <v>0</v>
      </c>
      <c r="Y827">
        <f>DataLog_T717420_Aug11_4_59_37pm[[#This Row],[INTAKE TEMP '[Â°C']]]-Table3[[#This Row],[580F]]</f>
        <v>0</v>
      </c>
      <c r="Z827">
        <f>DataLog_T717420_Aug11_4_59_37pm[[#This Row],[HPFP PRES. '[BAR']]]-Table3[[#This Row],[58F0]]</f>
        <v>0</v>
      </c>
      <c r="AA827">
        <f>DataLog_T717420_Aug11_4_59_37pm[[#This Row],[COOLANT TEMP '[Â°C']]]-Table3[[#This Row],[5805]]</f>
        <v>0</v>
      </c>
      <c r="AB827">
        <f>DataLog_T717420_Aug11_4_59_37pm[[#This Row],[BOOST '[BAR']]]-Table3[[#This Row],[58DD]]</f>
        <v>0</v>
      </c>
    </row>
    <row r="828" spans="2:28" x14ac:dyDescent="0.25">
      <c r="B828" s="2" t="s">
        <v>183</v>
      </c>
      <c r="C828" s="2" t="s">
        <v>30</v>
      </c>
      <c r="D828" s="2" t="s">
        <v>151</v>
      </c>
      <c r="E828" s="2" t="s">
        <v>205</v>
      </c>
      <c r="F828" s="2" t="s">
        <v>253</v>
      </c>
      <c r="G828" s="2" t="s">
        <v>191</v>
      </c>
      <c r="I828">
        <f>HEX2DEC(_0811_173439[[#This Row],[580C]])*B$4/B$5+B$6</f>
        <v>800</v>
      </c>
      <c r="J828">
        <f>HEX2DEC(_0811_173439[[#This Row],[4402]])*C$4/C$5+C$6</f>
        <v>36</v>
      </c>
      <c r="K828">
        <f>HEX2DEC(_0811_173439[[#This Row],[580F]])*D$4/D$5+D$6</f>
        <v>30</v>
      </c>
      <c r="L828">
        <f>ROUND(HEX2DEC(_0811_173439[[#This Row],[58F0]])*E$4/E$5+E$6,0)</f>
        <v>71</v>
      </c>
      <c r="M828">
        <f>ROUND(HEX2DEC(_0811_173439[[#This Row],[5805]])*F$4/F$5+F$6,0)</f>
        <v>43</v>
      </c>
      <c r="N828">
        <f>ROUND(HEX2DEC(_0811_173439[[#This Row],[58DD]])*G$4/G$5+G$6,2)</f>
        <v>-0.03</v>
      </c>
      <c r="P828">
        <v>800</v>
      </c>
      <c r="Q828">
        <v>36</v>
      </c>
      <c r="R828">
        <v>30</v>
      </c>
      <c r="S828">
        <v>71</v>
      </c>
      <c r="T828">
        <v>43</v>
      </c>
      <c r="U828">
        <v>-0.03</v>
      </c>
      <c r="W828">
        <f>DataLog_T717420_Aug11_4_59_37pm[[#This Row],[RPM '[1/MIN']]]-Table3[[#This Row],[580C]]</f>
        <v>0</v>
      </c>
      <c r="X828">
        <f>DataLog_T717420_Aug11_4_59_37pm[[#This Row],[OIL TEMP '[Â°C']]]-Table3[[#This Row],[4402]]</f>
        <v>0</v>
      </c>
      <c r="Y828">
        <f>DataLog_T717420_Aug11_4_59_37pm[[#This Row],[INTAKE TEMP '[Â°C']]]-Table3[[#This Row],[580F]]</f>
        <v>0</v>
      </c>
      <c r="Z828">
        <f>DataLog_T717420_Aug11_4_59_37pm[[#This Row],[HPFP PRES. '[BAR']]]-Table3[[#This Row],[58F0]]</f>
        <v>0</v>
      </c>
      <c r="AA828">
        <f>DataLog_T717420_Aug11_4_59_37pm[[#This Row],[COOLANT TEMP '[Â°C']]]-Table3[[#This Row],[5805]]</f>
        <v>0</v>
      </c>
      <c r="AB828">
        <f>DataLog_T717420_Aug11_4_59_37pm[[#This Row],[BOOST '[BAR']]]-Table3[[#This Row],[58DD]]</f>
        <v>0</v>
      </c>
    </row>
    <row r="829" spans="2:28" x14ac:dyDescent="0.25">
      <c r="B829" s="2" t="s">
        <v>189</v>
      </c>
      <c r="C829" s="2" t="s">
        <v>30</v>
      </c>
      <c r="D829" s="2" t="s">
        <v>151</v>
      </c>
      <c r="E829" s="2" t="s">
        <v>152</v>
      </c>
      <c r="F829" s="2" t="s">
        <v>253</v>
      </c>
      <c r="G829" s="2" t="s">
        <v>191</v>
      </c>
      <c r="I829">
        <f>HEX2DEC(_0811_173439[[#This Row],[580C]])*B$4/B$5+B$6</f>
        <v>760</v>
      </c>
      <c r="J829">
        <f>HEX2DEC(_0811_173439[[#This Row],[4402]])*C$4/C$5+C$6</f>
        <v>36</v>
      </c>
      <c r="K829">
        <f>HEX2DEC(_0811_173439[[#This Row],[580F]])*D$4/D$5+D$6</f>
        <v>30</v>
      </c>
      <c r="L829">
        <f>ROUND(HEX2DEC(_0811_173439[[#This Row],[58F0]])*E$4/E$5+E$6,0)</f>
        <v>70</v>
      </c>
      <c r="M829">
        <f>ROUND(HEX2DEC(_0811_173439[[#This Row],[5805]])*F$4/F$5+F$6,0)</f>
        <v>43</v>
      </c>
      <c r="N829">
        <f>ROUND(HEX2DEC(_0811_173439[[#This Row],[58DD]])*G$4/G$5+G$6,2)</f>
        <v>-0.03</v>
      </c>
      <c r="P829">
        <v>760</v>
      </c>
      <c r="Q829">
        <v>36</v>
      </c>
      <c r="R829">
        <v>30</v>
      </c>
      <c r="S829">
        <v>70</v>
      </c>
      <c r="T829">
        <v>43</v>
      </c>
      <c r="U829">
        <v>-0.03</v>
      </c>
      <c r="W829">
        <f>DataLog_T717420_Aug11_4_59_37pm[[#This Row],[RPM '[1/MIN']]]-Table3[[#This Row],[580C]]</f>
        <v>0</v>
      </c>
      <c r="X829">
        <f>DataLog_T717420_Aug11_4_59_37pm[[#This Row],[OIL TEMP '[Â°C']]]-Table3[[#This Row],[4402]]</f>
        <v>0</v>
      </c>
      <c r="Y829">
        <f>DataLog_T717420_Aug11_4_59_37pm[[#This Row],[INTAKE TEMP '[Â°C']]]-Table3[[#This Row],[580F]]</f>
        <v>0</v>
      </c>
      <c r="Z829">
        <f>DataLog_T717420_Aug11_4_59_37pm[[#This Row],[HPFP PRES. '[BAR']]]-Table3[[#This Row],[58F0]]</f>
        <v>0</v>
      </c>
      <c r="AA829">
        <f>DataLog_T717420_Aug11_4_59_37pm[[#This Row],[COOLANT TEMP '[Â°C']]]-Table3[[#This Row],[5805]]</f>
        <v>0</v>
      </c>
      <c r="AB829">
        <f>DataLog_T717420_Aug11_4_59_37pm[[#This Row],[BOOST '[BAR']]]-Table3[[#This Row],[58DD]]</f>
        <v>0</v>
      </c>
    </row>
    <row r="830" spans="2:28" x14ac:dyDescent="0.25">
      <c r="B830" s="2" t="s">
        <v>183</v>
      </c>
      <c r="C830" s="2" t="s">
        <v>30</v>
      </c>
      <c r="D830" s="2" t="s">
        <v>151</v>
      </c>
      <c r="E830" s="2" t="s">
        <v>127</v>
      </c>
      <c r="F830" s="2" t="s">
        <v>253</v>
      </c>
      <c r="G830" s="2" t="s">
        <v>213</v>
      </c>
      <c r="I830">
        <f>HEX2DEC(_0811_173439[[#This Row],[580C]])*B$4/B$5+B$6</f>
        <v>800</v>
      </c>
      <c r="J830">
        <f>HEX2DEC(_0811_173439[[#This Row],[4402]])*C$4/C$5+C$6</f>
        <v>36</v>
      </c>
      <c r="K830">
        <f>HEX2DEC(_0811_173439[[#This Row],[580F]])*D$4/D$5+D$6</f>
        <v>30</v>
      </c>
      <c r="L830">
        <f>ROUND(HEX2DEC(_0811_173439[[#This Row],[58F0]])*E$4/E$5+E$6,0)</f>
        <v>70</v>
      </c>
      <c r="M830">
        <f>ROUND(HEX2DEC(_0811_173439[[#This Row],[5805]])*F$4/F$5+F$6,0)</f>
        <v>43</v>
      </c>
      <c r="N830">
        <f>ROUND(HEX2DEC(_0811_173439[[#This Row],[58DD]])*G$4/G$5+G$6,2)</f>
        <v>-0.03</v>
      </c>
      <c r="P830">
        <v>800</v>
      </c>
      <c r="Q830">
        <v>36</v>
      </c>
      <c r="R830">
        <v>30</v>
      </c>
      <c r="S830">
        <v>70</v>
      </c>
      <c r="T830">
        <v>43</v>
      </c>
      <c r="U830">
        <v>-0.03</v>
      </c>
      <c r="W830">
        <f>DataLog_T717420_Aug11_4_59_37pm[[#This Row],[RPM '[1/MIN']]]-Table3[[#This Row],[580C]]</f>
        <v>0</v>
      </c>
      <c r="X830">
        <f>DataLog_T717420_Aug11_4_59_37pm[[#This Row],[OIL TEMP '[Â°C']]]-Table3[[#This Row],[4402]]</f>
        <v>0</v>
      </c>
      <c r="Y830">
        <f>DataLog_T717420_Aug11_4_59_37pm[[#This Row],[INTAKE TEMP '[Â°C']]]-Table3[[#This Row],[580F]]</f>
        <v>0</v>
      </c>
      <c r="Z830">
        <f>DataLog_T717420_Aug11_4_59_37pm[[#This Row],[HPFP PRES. '[BAR']]]-Table3[[#This Row],[58F0]]</f>
        <v>0</v>
      </c>
      <c r="AA830">
        <f>DataLog_T717420_Aug11_4_59_37pm[[#This Row],[COOLANT TEMP '[Â°C']]]-Table3[[#This Row],[5805]]</f>
        <v>0</v>
      </c>
      <c r="AB830">
        <f>DataLog_T717420_Aug11_4_59_37pm[[#This Row],[BOOST '[BAR']]]-Table3[[#This Row],[58DD]]</f>
        <v>0</v>
      </c>
    </row>
    <row r="831" spans="2:28" x14ac:dyDescent="0.25">
      <c r="B831" s="2" t="s">
        <v>183</v>
      </c>
      <c r="C831" s="2" t="s">
        <v>30</v>
      </c>
      <c r="D831" s="2" t="s">
        <v>151</v>
      </c>
      <c r="E831" s="2" t="s">
        <v>119</v>
      </c>
      <c r="F831" s="2" t="s">
        <v>253</v>
      </c>
      <c r="G831" s="2" t="s">
        <v>191</v>
      </c>
      <c r="I831">
        <f>HEX2DEC(_0811_173439[[#This Row],[580C]])*B$4/B$5+B$6</f>
        <v>800</v>
      </c>
      <c r="J831">
        <f>HEX2DEC(_0811_173439[[#This Row],[4402]])*C$4/C$5+C$6</f>
        <v>36</v>
      </c>
      <c r="K831">
        <f>HEX2DEC(_0811_173439[[#This Row],[580F]])*D$4/D$5+D$6</f>
        <v>30</v>
      </c>
      <c r="L831">
        <f>ROUND(HEX2DEC(_0811_173439[[#This Row],[58F0]])*E$4/E$5+E$6,0)</f>
        <v>71</v>
      </c>
      <c r="M831">
        <f>ROUND(HEX2DEC(_0811_173439[[#This Row],[5805]])*F$4/F$5+F$6,0)</f>
        <v>43</v>
      </c>
      <c r="N831">
        <f>ROUND(HEX2DEC(_0811_173439[[#This Row],[58DD]])*G$4/G$5+G$6,2)</f>
        <v>-0.03</v>
      </c>
      <c r="P831">
        <v>800</v>
      </c>
      <c r="Q831">
        <v>36</v>
      </c>
      <c r="R831">
        <v>30</v>
      </c>
      <c r="S831">
        <v>71</v>
      </c>
      <c r="T831">
        <v>43</v>
      </c>
      <c r="U831">
        <v>-0.03</v>
      </c>
      <c r="W831">
        <f>DataLog_T717420_Aug11_4_59_37pm[[#This Row],[RPM '[1/MIN']]]-Table3[[#This Row],[580C]]</f>
        <v>0</v>
      </c>
      <c r="X831">
        <f>DataLog_T717420_Aug11_4_59_37pm[[#This Row],[OIL TEMP '[Â°C']]]-Table3[[#This Row],[4402]]</f>
        <v>0</v>
      </c>
      <c r="Y831">
        <f>DataLog_T717420_Aug11_4_59_37pm[[#This Row],[INTAKE TEMP '[Â°C']]]-Table3[[#This Row],[580F]]</f>
        <v>0</v>
      </c>
      <c r="Z831">
        <f>DataLog_T717420_Aug11_4_59_37pm[[#This Row],[HPFP PRES. '[BAR']]]-Table3[[#This Row],[58F0]]</f>
        <v>0</v>
      </c>
      <c r="AA831">
        <f>DataLog_T717420_Aug11_4_59_37pm[[#This Row],[COOLANT TEMP '[Â°C']]]-Table3[[#This Row],[5805]]</f>
        <v>0</v>
      </c>
      <c r="AB831">
        <f>DataLog_T717420_Aug11_4_59_37pm[[#This Row],[BOOST '[BAR']]]-Table3[[#This Row],[58DD]]</f>
        <v>0</v>
      </c>
    </row>
    <row r="832" spans="2:28" x14ac:dyDescent="0.25">
      <c r="B832" s="2" t="s">
        <v>189</v>
      </c>
      <c r="C832" s="2" t="s">
        <v>30</v>
      </c>
      <c r="D832" s="2" t="s">
        <v>151</v>
      </c>
      <c r="E832" s="2" t="s">
        <v>207</v>
      </c>
      <c r="F832" s="2" t="s">
        <v>253</v>
      </c>
      <c r="G832" s="2" t="s">
        <v>96</v>
      </c>
      <c r="I832">
        <f>HEX2DEC(_0811_173439[[#This Row],[580C]])*B$4/B$5+B$6</f>
        <v>760</v>
      </c>
      <c r="J832">
        <f>HEX2DEC(_0811_173439[[#This Row],[4402]])*C$4/C$5+C$6</f>
        <v>36</v>
      </c>
      <c r="K832">
        <f>HEX2DEC(_0811_173439[[#This Row],[580F]])*D$4/D$5+D$6</f>
        <v>30</v>
      </c>
      <c r="L832">
        <f>ROUND(HEX2DEC(_0811_173439[[#This Row],[58F0]])*E$4/E$5+E$6,0)</f>
        <v>70</v>
      </c>
      <c r="M832">
        <f>ROUND(HEX2DEC(_0811_173439[[#This Row],[5805]])*F$4/F$5+F$6,0)</f>
        <v>43</v>
      </c>
      <c r="N832">
        <f>ROUND(HEX2DEC(_0811_173439[[#This Row],[58DD]])*G$4/G$5+G$6,2)</f>
        <v>-0.03</v>
      </c>
      <c r="P832">
        <v>760</v>
      </c>
      <c r="Q832">
        <v>36</v>
      </c>
      <c r="R832">
        <v>30</v>
      </c>
      <c r="S832">
        <v>70</v>
      </c>
      <c r="T832">
        <v>43</v>
      </c>
      <c r="U832">
        <v>-0.03</v>
      </c>
      <c r="W832">
        <f>DataLog_T717420_Aug11_4_59_37pm[[#This Row],[RPM '[1/MIN']]]-Table3[[#This Row],[580C]]</f>
        <v>0</v>
      </c>
      <c r="X832">
        <f>DataLog_T717420_Aug11_4_59_37pm[[#This Row],[OIL TEMP '[Â°C']]]-Table3[[#This Row],[4402]]</f>
        <v>0</v>
      </c>
      <c r="Y832">
        <f>DataLog_T717420_Aug11_4_59_37pm[[#This Row],[INTAKE TEMP '[Â°C']]]-Table3[[#This Row],[580F]]</f>
        <v>0</v>
      </c>
      <c r="Z832">
        <f>DataLog_T717420_Aug11_4_59_37pm[[#This Row],[HPFP PRES. '[BAR']]]-Table3[[#This Row],[58F0]]</f>
        <v>0</v>
      </c>
      <c r="AA832">
        <f>DataLog_T717420_Aug11_4_59_37pm[[#This Row],[COOLANT TEMP '[Â°C']]]-Table3[[#This Row],[5805]]</f>
        <v>0</v>
      </c>
      <c r="AB832">
        <f>DataLog_T717420_Aug11_4_59_37pm[[#This Row],[BOOST '[BAR']]]-Table3[[#This Row],[58DD]]</f>
        <v>0</v>
      </c>
    </row>
    <row r="833" spans="2:28" x14ac:dyDescent="0.25">
      <c r="B833" s="2" t="s">
        <v>183</v>
      </c>
      <c r="C833" s="2" t="s">
        <v>30</v>
      </c>
      <c r="D833" s="2" t="s">
        <v>151</v>
      </c>
      <c r="E833" s="2" t="s">
        <v>202</v>
      </c>
      <c r="F833" s="2" t="s">
        <v>253</v>
      </c>
      <c r="G833" s="2" t="s">
        <v>98</v>
      </c>
      <c r="I833">
        <f>HEX2DEC(_0811_173439[[#This Row],[580C]])*B$4/B$5+B$6</f>
        <v>800</v>
      </c>
      <c r="J833">
        <f>HEX2DEC(_0811_173439[[#This Row],[4402]])*C$4/C$5+C$6</f>
        <v>36</v>
      </c>
      <c r="K833">
        <f>HEX2DEC(_0811_173439[[#This Row],[580F]])*D$4/D$5+D$6</f>
        <v>30</v>
      </c>
      <c r="L833">
        <f>ROUND(HEX2DEC(_0811_173439[[#This Row],[58F0]])*E$4/E$5+E$6,0)</f>
        <v>71</v>
      </c>
      <c r="M833">
        <f>ROUND(HEX2DEC(_0811_173439[[#This Row],[5805]])*F$4/F$5+F$6,0)</f>
        <v>43</v>
      </c>
      <c r="N833">
        <f>ROUND(HEX2DEC(_0811_173439[[#This Row],[58DD]])*G$4/G$5+G$6,2)</f>
        <v>-0.03</v>
      </c>
      <c r="P833">
        <v>800</v>
      </c>
      <c r="Q833">
        <v>36</v>
      </c>
      <c r="R833">
        <v>30</v>
      </c>
      <c r="S833">
        <v>71</v>
      </c>
      <c r="T833">
        <v>43</v>
      </c>
      <c r="U833">
        <v>-0.03</v>
      </c>
      <c r="W833">
        <f>DataLog_T717420_Aug11_4_59_37pm[[#This Row],[RPM '[1/MIN']]]-Table3[[#This Row],[580C]]</f>
        <v>0</v>
      </c>
      <c r="X833">
        <f>DataLog_T717420_Aug11_4_59_37pm[[#This Row],[OIL TEMP '[Â°C']]]-Table3[[#This Row],[4402]]</f>
        <v>0</v>
      </c>
      <c r="Y833">
        <f>DataLog_T717420_Aug11_4_59_37pm[[#This Row],[INTAKE TEMP '[Â°C']]]-Table3[[#This Row],[580F]]</f>
        <v>0</v>
      </c>
      <c r="Z833">
        <f>DataLog_T717420_Aug11_4_59_37pm[[#This Row],[HPFP PRES. '[BAR']]]-Table3[[#This Row],[58F0]]</f>
        <v>0</v>
      </c>
      <c r="AA833">
        <f>DataLog_T717420_Aug11_4_59_37pm[[#This Row],[COOLANT TEMP '[Â°C']]]-Table3[[#This Row],[5805]]</f>
        <v>0</v>
      </c>
      <c r="AB833">
        <f>DataLog_T717420_Aug11_4_59_37pm[[#This Row],[BOOST '[BAR']]]-Table3[[#This Row],[58DD]]</f>
        <v>0</v>
      </c>
    </row>
    <row r="834" spans="2:28" x14ac:dyDescent="0.25">
      <c r="B834" s="2" t="s">
        <v>183</v>
      </c>
      <c r="C834" s="2" t="s">
        <v>30</v>
      </c>
      <c r="D834" s="2" t="s">
        <v>151</v>
      </c>
      <c r="E834" s="2" t="s">
        <v>93</v>
      </c>
      <c r="F834" s="2" t="s">
        <v>253</v>
      </c>
      <c r="G834" s="2" t="s">
        <v>53</v>
      </c>
      <c r="I834">
        <f>HEX2DEC(_0811_173439[[#This Row],[580C]])*B$4/B$5+B$6</f>
        <v>800</v>
      </c>
      <c r="J834">
        <f>HEX2DEC(_0811_173439[[#This Row],[4402]])*C$4/C$5+C$6</f>
        <v>36</v>
      </c>
      <c r="K834">
        <f>HEX2DEC(_0811_173439[[#This Row],[580F]])*D$4/D$5+D$6</f>
        <v>30</v>
      </c>
      <c r="L834">
        <f>ROUND(HEX2DEC(_0811_173439[[#This Row],[58F0]])*E$4/E$5+E$6,0)</f>
        <v>70</v>
      </c>
      <c r="M834">
        <f>ROUND(HEX2DEC(_0811_173439[[#This Row],[5805]])*F$4/F$5+F$6,0)</f>
        <v>43</v>
      </c>
      <c r="N834">
        <f>ROUND(HEX2DEC(_0811_173439[[#This Row],[58DD]])*G$4/G$5+G$6,2)</f>
        <v>-0.03</v>
      </c>
      <c r="P834">
        <v>800</v>
      </c>
      <c r="Q834">
        <v>36</v>
      </c>
      <c r="R834">
        <v>30</v>
      </c>
      <c r="S834">
        <v>70</v>
      </c>
      <c r="T834">
        <v>43</v>
      </c>
      <c r="U834">
        <v>-0.03</v>
      </c>
      <c r="W834">
        <f>DataLog_T717420_Aug11_4_59_37pm[[#This Row],[RPM '[1/MIN']]]-Table3[[#This Row],[580C]]</f>
        <v>0</v>
      </c>
      <c r="X834">
        <f>DataLog_T717420_Aug11_4_59_37pm[[#This Row],[OIL TEMP '[Â°C']]]-Table3[[#This Row],[4402]]</f>
        <v>0</v>
      </c>
      <c r="Y834">
        <f>DataLog_T717420_Aug11_4_59_37pm[[#This Row],[INTAKE TEMP '[Â°C']]]-Table3[[#This Row],[580F]]</f>
        <v>0</v>
      </c>
      <c r="Z834">
        <f>DataLog_T717420_Aug11_4_59_37pm[[#This Row],[HPFP PRES. '[BAR']]]-Table3[[#This Row],[58F0]]</f>
        <v>0</v>
      </c>
      <c r="AA834">
        <f>DataLog_T717420_Aug11_4_59_37pm[[#This Row],[COOLANT TEMP '[Â°C']]]-Table3[[#This Row],[5805]]</f>
        <v>0</v>
      </c>
      <c r="AB834">
        <f>DataLog_T717420_Aug11_4_59_37pm[[#This Row],[BOOST '[BAR']]]-Table3[[#This Row],[58DD]]</f>
        <v>0</v>
      </c>
    </row>
    <row r="835" spans="2:28" x14ac:dyDescent="0.25">
      <c r="B835" s="2" t="s">
        <v>183</v>
      </c>
      <c r="C835" s="2" t="s">
        <v>30</v>
      </c>
      <c r="D835" s="2" t="s">
        <v>151</v>
      </c>
      <c r="E835" s="2" t="s">
        <v>122</v>
      </c>
      <c r="F835" s="2" t="s">
        <v>253</v>
      </c>
      <c r="G835" s="2" t="s">
        <v>71</v>
      </c>
      <c r="I835">
        <f>HEX2DEC(_0811_173439[[#This Row],[580C]])*B$4/B$5+B$6</f>
        <v>800</v>
      </c>
      <c r="J835">
        <f>HEX2DEC(_0811_173439[[#This Row],[4402]])*C$4/C$5+C$6</f>
        <v>36</v>
      </c>
      <c r="K835">
        <f>HEX2DEC(_0811_173439[[#This Row],[580F]])*D$4/D$5+D$6</f>
        <v>30</v>
      </c>
      <c r="L835">
        <f>ROUND(HEX2DEC(_0811_173439[[#This Row],[58F0]])*E$4/E$5+E$6,0)</f>
        <v>71</v>
      </c>
      <c r="M835">
        <f>ROUND(HEX2DEC(_0811_173439[[#This Row],[5805]])*F$4/F$5+F$6,0)</f>
        <v>43</v>
      </c>
      <c r="N835">
        <f>ROUND(HEX2DEC(_0811_173439[[#This Row],[58DD]])*G$4/G$5+G$6,2)</f>
        <v>-0.03</v>
      </c>
      <c r="P835">
        <v>800</v>
      </c>
      <c r="Q835">
        <v>36</v>
      </c>
      <c r="R835">
        <v>30</v>
      </c>
      <c r="S835">
        <v>71</v>
      </c>
      <c r="T835">
        <v>43</v>
      </c>
      <c r="U835">
        <v>-0.03</v>
      </c>
      <c r="W835">
        <f>DataLog_T717420_Aug11_4_59_37pm[[#This Row],[RPM '[1/MIN']]]-Table3[[#This Row],[580C]]</f>
        <v>0</v>
      </c>
      <c r="X835">
        <f>DataLog_T717420_Aug11_4_59_37pm[[#This Row],[OIL TEMP '[Â°C']]]-Table3[[#This Row],[4402]]</f>
        <v>0</v>
      </c>
      <c r="Y835">
        <f>DataLog_T717420_Aug11_4_59_37pm[[#This Row],[INTAKE TEMP '[Â°C']]]-Table3[[#This Row],[580F]]</f>
        <v>0</v>
      </c>
      <c r="Z835">
        <f>DataLog_T717420_Aug11_4_59_37pm[[#This Row],[HPFP PRES. '[BAR']]]-Table3[[#This Row],[58F0]]</f>
        <v>0</v>
      </c>
      <c r="AA835">
        <f>DataLog_T717420_Aug11_4_59_37pm[[#This Row],[COOLANT TEMP '[Â°C']]]-Table3[[#This Row],[5805]]</f>
        <v>0</v>
      </c>
      <c r="AB835">
        <f>DataLog_T717420_Aug11_4_59_37pm[[#This Row],[BOOST '[BAR']]]-Table3[[#This Row],[58DD]]</f>
        <v>0</v>
      </c>
    </row>
    <row r="836" spans="2:28" x14ac:dyDescent="0.25">
      <c r="B836" s="2" t="s">
        <v>183</v>
      </c>
      <c r="C836" s="2" t="s">
        <v>30</v>
      </c>
      <c r="D836" s="2" t="s">
        <v>151</v>
      </c>
      <c r="E836" s="2" t="s">
        <v>150</v>
      </c>
      <c r="F836" s="2" t="s">
        <v>253</v>
      </c>
      <c r="G836" s="2" t="s">
        <v>190</v>
      </c>
      <c r="I836">
        <f>HEX2DEC(_0811_173439[[#This Row],[580C]])*B$4/B$5+B$6</f>
        <v>800</v>
      </c>
      <c r="J836">
        <f>HEX2DEC(_0811_173439[[#This Row],[4402]])*C$4/C$5+C$6</f>
        <v>36</v>
      </c>
      <c r="K836">
        <f>HEX2DEC(_0811_173439[[#This Row],[580F]])*D$4/D$5+D$6</f>
        <v>30</v>
      </c>
      <c r="L836">
        <f>ROUND(HEX2DEC(_0811_173439[[#This Row],[58F0]])*E$4/E$5+E$6,0)</f>
        <v>70</v>
      </c>
      <c r="M836">
        <f>ROUND(HEX2DEC(_0811_173439[[#This Row],[5805]])*F$4/F$5+F$6,0)</f>
        <v>43</v>
      </c>
      <c r="N836">
        <f>ROUND(HEX2DEC(_0811_173439[[#This Row],[58DD]])*G$4/G$5+G$6,2)</f>
        <v>-0.03</v>
      </c>
      <c r="P836">
        <v>800</v>
      </c>
      <c r="Q836">
        <v>36</v>
      </c>
      <c r="R836">
        <v>30</v>
      </c>
      <c r="S836">
        <v>70</v>
      </c>
      <c r="T836">
        <v>43</v>
      </c>
      <c r="U836">
        <v>-0.03</v>
      </c>
      <c r="W836">
        <f>DataLog_T717420_Aug11_4_59_37pm[[#This Row],[RPM '[1/MIN']]]-Table3[[#This Row],[580C]]</f>
        <v>0</v>
      </c>
      <c r="X836">
        <f>DataLog_T717420_Aug11_4_59_37pm[[#This Row],[OIL TEMP '[Â°C']]]-Table3[[#This Row],[4402]]</f>
        <v>0</v>
      </c>
      <c r="Y836">
        <f>DataLog_T717420_Aug11_4_59_37pm[[#This Row],[INTAKE TEMP '[Â°C']]]-Table3[[#This Row],[580F]]</f>
        <v>0</v>
      </c>
      <c r="Z836">
        <f>DataLog_T717420_Aug11_4_59_37pm[[#This Row],[HPFP PRES. '[BAR']]]-Table3[[#This Row],[58F0]]</f>
        <v>0</v>
      </c>
      <c r="AA836">
        <f>DataLog_T717420_Aug11_4_59_37pm[[#This Row],[COOLANT TEMP '[Â°C']]]-Table3[[#This Row],[5805]]</f>
        <v>0</v>
      </c>
      <c r="AB836">
        <f>DataLog_T717420_Aug11_4_59_37pm[[#This Row],[BOOST '[BAR']]]-Table3[[#This Row],[58DD]]</f>
        <v>0</v>
      </c>
    </row>
    <row r="837" spans="2:28" x14ac:dyDescent="0.25">
      <c r="B837" s="2" t="s">
        <v>183</v>
      </c>
      <c r="C837" s="2" t="s">
        <v>30</v>
      </c>
      <c r="D837" s="2" t="s">
        <v>151</v>
      </c>
      <c r="E837" s="2" t="s">
        <v>93</v>
      </c>
      <c r="F837" s="2" t="s">
        <v>253</v>
      </c>
      <c r="G837" s="2" t="s">
        <v>53</v>
      </c>
      <c r="I837">
        <f>HEX2DEC(_0811_173439[[#This Row],[580C]])*B$4/B$5+B$6</f>
        <v>800</v>
      </c>
      <c r="J837">
        <f>HEX2DEC(_0811_173439[[#This Row],[4402]])*C$4/C$5+C$6</f>
        <v>36</v>
      </c>
      <c r="K837">
        <f>HEX2DEC(_0811_173439[[#This Row],[580F]])*D$4/D$5+D$6</f>
        <v>30</v>
      </c>
      <c r="L837">
        <f>ROUND(HEX2DEC(_0811_173439[[#This Row],[58F0]])*E$4/E$5+E$6,0)</f>
        <v>70</v>
      </c>
      <c r="M837">
        <f>ROUND(HEX2DEC(_0811_173439[[#This Row],[5805]])*F$4/F$5+F$6,0)</f>
        <v>43</v>
      </c>
      <c r="N837">
        <f>ROUND(HEX2DEC(_0811_173439[[#This Row],[58DD]])*G$4/G$5+G$6,2)</f>
        <v>-0.03</v>
      </c>
      <c r="P837">
        <v>800</v>
      </c>
      <c r="Q837">
        <v>36</v>
      </c>
      <c r="R837">
        <v>30</v>
      </c>
      <c r="S837">
        <v>70</v>
      </c>
      <c r="T837">
        <v>43</v>
      </c>
      <c r="U837">
        <v>-0.03</v>
      </c>
      <c r="W837">
        <f>DataLog_T717420_Aug11_4_59_37pm[[#This Row],[RPM '[1/MIN']]]-Table3[[#This Row],[580C]]</f>
        <v>0</v>
      </c>
      <c r="X837">
        <f>DataLog_T717420_Aug11_4_59_37pm[[#This Row],[OIL TEMP '[Â°C']]]-Table3[[#This Row],[4402]]</f>
        <v>0</v>
      </c>
      <c r="Y837">
        <f>DataLog_T717420_Aug11_4_59_37pm[[#This Row],[INTAKE TEMP '[Â°C']]]-Table3[[#This Row],[580F]]</f>
        <v>0</v>
      </c>
      <c r="Z837">
        <f>DataLog_T717420_Aug11_4_59_37pm[[#This Row],[HPFP PRES. '[BAR']]]-Table3[[#This Row],[58F0]]</f>
        <v>0</v>
      </c>
      <c r="AA837">
        <f>DataLog_T717420_Aug11_4_59_37pm[[#This Row],[COOLANT TEMP '[Â°C']]]-Table3[[#This Row],[5805]]</f>
        <v>0</v>
      </c>
      <c r="AB837">
        <f>DataLog_T717420_Aug11_4_59_37pm[[#This Row],[BOOST '[BAR']]]-Table3[[#This Row],[58DD]]</f>
        <v>0</v>
      </c>
    </row>
    <row r="838" spans="2:28" x14ac:dyDescent="0.25">
      <c r="B838" s="2" t="s">
        <v>183</v>
      </c>
      <c r="C838" s="2" t="s">
        <v>30</v>
      </c>
      <c r="D838" s="2" t="s">
        <v>151</v>
      </c>
      <c r="E838" s="2" t="s">
        <v>124</v>
      </c>
      <c r="F838" s="2" t="s">
        <v>253</v>
      </c>
      <c r="G838" s="2" t="s">
        <v>53</v>
      </c>
      <c r="I838">
        <f>HEX2DEC(_0811_173439[[#This Row],[580C]])*B$4/B$5+B$6</f>
        <v>800</v>
      </c>
      <c r="J838">
        <f>HEX2DEC(_0811_173439[[#This Row],[4402]])*C$4/C$5+C$6</f>
        <v>36</v>
      </c>
      <c r="K838">
        <f>HEX2DEC(_0811_173439[[#This Row],[580F]])*D$4/D$5+D$6</f>
        <v>30</v>
      </c>
      <c r="L838">
        <f>ROUND(HEX2DEC(_0811_173439[[#This Row],[58F0]])*E$4/E$5+E$6,0)</f>
        <v>71</v>
      </c>
      <c r="M838">
        <f>ROUND(HEX2DEC(_0811_173439[[#This Row],[5805]])*F$4/F$5+F$6,0)</f>
        <v>43</v>
      </c>
      <c r="N838">
        <f>ROUND(HEX2DEC(_0811_173439[[#This Row],[58DD]])*G$4/G$5+G$6,2)</f>
        <v>-0.03</v>
      </c>
      <c r="P838">
        <v>800</v>
      </c>
      <c r="Q838">
        <v>36</v>
      </c>
      <c r="R838">
        <v>30</v>
      </c>
      <c r="S838">
        <v>71</v>
      </c>
      <c r="T838">
        <v>43</v>
      </c>
      <c r="U838">
        <v>-0.03</v>
      </c>
      <c r="W838">
        <f>DataLog_T717420_Aug11_4_59_37pm[[#This Row],[RPM '[1/MIN']]]-Table3[[#This Row],[580C]]</f>
        <v>0</v>
      </c>
      <c r="X838">
        <f>DataLog_T717420_Aug11_4_59_37pm[[#This Row],[OIL TEMP '[Â°C']]]-Table3[[#This Row],[4402]]</f>
        <v>0</v>
      </c>
      <c r="Y838">
        <f>DataLog_T717420_Aug11_4_59_37pm[[#This Row],[INTAKE TEMP '[Â°C']]]-Table3[[#This Row],[580F]]</f>
        <v>0</v>
      </c>
      <c r="Z838">
        <f>DataLog_T717420_Aug11_4_59_37pm[[#This Row],[HPFP PRES. '[BAR']]]-Table3[[#This Row],[58F0]]</f>
        <v>0</v>
      </c>
      <c r="AA838">
        <f>DataLog_T717420_Aug11_4_59_37pm[[#This Row],[COOLANT TEMP '[Â°C']]]-Table3[[#This Row],[5805]]</f>
        <v>0</v>
      </c>
      <c r="AB838">
        <f>DataLog_T717420_Aug11_4_59_37pm[[#This Row],[BOOST '[BAR']]]-Table3[[#This Row],[58DD]]</f>
        <v>0</v>
      </c>
    </row>
    <row r="839" spans="2:28" x14ac:dyDescent="0.25">
      <c r="B839" s="2" t="s">
        <v>189</v>
      </c>
      <c r="C839" s="2" t="s">
        <v>30</v>
      </c>
      <c r="D839" s="2" t="s">
        <v>151</v>
      </c>
      <c r="E839" s="2" t="s">
        <v>122</v>
      </c>
      <c r="F839" s="2" t="s">
        <v>253</v>
      </c>
      <c r="G839" s="2" t="s">
        <v>190</v>
      </c>
      <c r="I839">
        <f>HEX2DEC(_0811_173439[[#This Row],[580C]])*B$4/B$5+B$6</f>
        <v>760</v>
      </c>
      <c r="J839">
        <f>HEX2DEC(_0811_173439[[#This Row],[4402]])*C$4/C$5+C$6</f>
        <v>36</v>
      </c>
      <c r="K839">
        <f>HEX2DEC(_0811_173439[[#This Row],[580F]])*D$4/D$5+D$6</f>
        <v>30</v>
      </c>
      <c r="L839">
        <f>ROUND(HEX2DEC(_0811_173439[[#This Row],[58F0]])*E$4/E$5+E$6,0)</f>
        <v>71</v>
      </c>
      <c r="M839">
        <f>ROUND(HEX2DEC(_0811_173439[[#This Row],[5805]])*F$4/F$5+F$6,0)</f>
        <v>43</v>
      </c>
      <c r="N839">
        <f>ROUND(HEX2DEC(_0811_173439[[#This Row],[58DD]])*G$4/G$5+G$6,2)</f>
        <v>-0.03</v>
      </c>
      <c r="P839">
        <v>760</v>
      </c>
      <c r="Q839">
        <v>36</v>
      </c>
      <c r="R839">
        <v>30</v>
      </c>
      <c r="S839">
        <v>71</v>
      </c>
      <c r="T839">
        <v>43</v>
      </c>
      <c r="U839">
        <v>-0.03</v>
      </c>
      <c r="W839">
        <f>DataLog_T717420_Aug11_4_59_37pm[[#This Row],[RPM '[1/MIN']]]-Table3[[#This Row],[580C]]</f>
        <v>0</v>
      </c>
      <c r="X839">
        <f>DataLog_T717420_Aug11_4_59_37pm[[#This Row],[OIL TEMP '[Â°C']]]-Table3[[#This Row],[4402]]</f>
        <v>0</v>
      </c>
      <c r="Y839">
        <f>DataLog_T717420_Aug11_4_59_37pm[[#This Row],[INTAKE TEMP '[Â°C']]]-Table3[[#This Row],[580F]]</f>
        <v>0</v>
      </c>
      <c r="Z839">
        <f>DataLog_T717420_Aug11_4_59_37pm[[#This Row],[HPFP PRES. '[BAR']]]-Table3[[#This Row],[58F0]]</f>
        <v>0</v>
      </c>
      <c r="AA839">
        <f>DataLog_T717420_Aug11_4_59_37pm[[#This Row],[COOLANT TEMP '[Â°C']]]-Table3[[#This Row],[5805]]</f>
        <v>0</v>
      </c>
      <c r="AB839">
        <f>DataLog_T717420_Aug11_4_59_37pm[[#This Row],[BOOST '[BAR']]]-Table3[[#This Row],[58DD]]</f>
        <v>0</v>
      </c>
    </row>
    <row r="840" spans="2:28" x14ac:dyDescent="0.25">
      <c r="B840" s="2" t="s">
        <v>189</v>
      </c>
      <c r="C840" s="2" t="s">
        <v>30</v>
      </c>
      <c r="D840" s="2" t="s">
        <v>151</v>
      </c>
      <c r="E840" s="2" t="s">
        <v>122</v>
      </c>
      <c r="F840" s="2" t="s">
        <v>253</v>
      </c>
      <c r="G840" s="2" t="s">
        <v>191</v>
      </c>
      <c r="I840">
        <f>HEX2DEC(_0811_173439[[#This Row],[580C]])*B$4/B$5+B$6</f>
        <v>760</v>
      </c>
      <c r="J840">
        <f>HEX2DEC(_0811_173439[[#This Row],[4402]])*C$4/C$5+C$6</f>
        <v>36</v>
      </c>
      <c r="K840">
        <f>HEX2DEC(_0811_173439[[#This Row],[580F]])*D$4/D$5+D$6</f>
        <v>30</v>
      </c>
      <c r="L840">
        <f>ROUND(HEX2DEC(_0811_173439[[#This Row],[58F0]])*E$4/E$5+E$6,0)</f>
        <v>71</v>
      </c>
      <c r="M840">
        <f>ROUND(HEX2DEC(_0811_173439[[#This Row],[5805]])*F$4/F$5+F$6,0)</f>
        <v>43</v>
      </c>
      <c r="N840">
        <f>ROUND(HEX2DEC(_0811_173439[[#This Row],[58DD]])*G$4/G$5+G$6,2)</f>
        <v>-0.03</v>
      </c>
      <c r="P840">
        <v>760</v>
      </c>
      <c r="Q840">
        <v>36</v>
      </c>
      <c r="R840">
        <v>30</v>
      </c>
      <c r="S840">
        <v>71</v>
      </c>
      <c r="T840">
        <v>43</v>
      </c>
      <c r="U840">
        <v>-0.03</v>
      </c>
      <c r="W840">
        <f>DataLog_T717420_Aug11_4_59_37pm[[#This Row],[RPM '[1/MIN']]]-Table3[[#This Row],[580C]]</f>
        <v>0</v>
      </c>
      <c r="X840">
        <f>DataLog_T717420_Aug11_4_59_37pm[[#This Row],[OIL TEMP '[Â°C']]]-Table3[[#This Row],[4402]]</f>
        <v>0</v>
      </c>
      <c r="Y840">
        <f>DataLog_T717420_Aug11_4_59_37pm[[#This Row],[INTAKE TEMP '[Â°C']]]-Table3[[#This Row],[580F]]</f>
        <v>0</v>
      </c>
      <c r="Z840">
        <f>DataLog_T717420_Aug11_4_59_37pm[[#This Row],[HPFP PRES. '[BAR']]]-Table3[[#This Row],[58F0]]</f>
        <v>0</v>
      </c>
      <c r="AA840">
        <f>DataLog_T717420_Aug11_4_59_37pm[[#This Row],[COOLANT TEMP '[Â°C']]]-Table3[[#This Row],[5805]]</f>
        <v>0</v>
      </c>
      <c r="AB840">
        <f>DataLog_T717420_Aug11_4_59_37pm[[#This Row],[BOOST '[BAR']]]-Table3[[#This Row],[58DD]]</f>
        <v>0</v>
      </c>
    </row>
    <row r="841" spans="2:28" x14ac:dyDescent="0.25">
      <c r="B841" s="2" t="s">
        <v>183</v>
      </c>
      <c r="C841" s="2" t="s">
        <v>30</v>
      </c>
      <c r="D841" s="2" t="s">
        <v>151</v>
      </c>
      <c r="E841" s="2" t="s">
        <v>124</v>
      </c>
      <c r="F841" s="2" t="s">
        <v>253</v>
      </c>
      <c r="G841" s="2" t="s">
        <v>190</v>
      </c>
      <c r="I841">
        <f>HEX2DEC(_0811_173439[[#This Row],[580C]])*B$4/B$5+B$6</f>
        <v>800</v>
      </c>
      <c r="J841">
        <f>HEX2DEC(_0811_173439[[#This Row],[4402]])*C$4/C$5+C$6</f>
        <v>36</v>
      </c>
      <c r="K841">
        <f>HEX2DEC(_0811_173439[[#This Row],[580F]])*D$4/D$5+D$6</f>
        <v>30</v>
      </c>
      <c r="L841">
        <f>ROUND(HEX2DEC(_0811_173439[[#This Row],[58F0]])*E$4/E$5+E$6,0)</f>
        <v>71</v>
      </c>
      <c r="M841">
        <f>ROUND(HEX2DEC(_0811_173439[[#This Row],[5805]])*F$4/F$5+F$6,0)</f>
        <v>43</v>
      </c>
      <c r="N841">
        <f>ROUND(HEX2DEC(_0811_173439[[#This Row],[58DD]])*G$4/G$5+G$6,2)</f>
        <v>-0.03</v>
      </c>
      <c r="P841">
        <v>800</v>
      </c>
      <c r="Q841">
        <v>36</v>
      </c>
      <c r="R841">
        <v>30</v>
      </c>
      <c r="S841">
        <v>71</v>
      </c>
      <c r="T841">
        <v>43</v>
      </c>
      <c r="U841">
        <v>-0.03</v>
      </c>
      <c r="W841">
        <f>DataLog_T717420_Aug11_4_59_37pm[[#This Row],[RPM '[1/MIN']]]-Table3[[#This Row],[580C]]</f>
        <v>0</v>
      </c>
      <c r="X841">
        <f>DataLog_T717420_Aug11_4_59_37pm[[#This Row],[OIL TEMP '[Â°C']]]-Table3[[#This Row],[4402]]</f>
        <v>0</v>
      </c>
      <c r="Y841">
        <f>DataLog_T717420_Aug11_4_59_37pm[[#This Row],[INTAKE TEMP '[Â°C']]]-Table3[[#This Row],[580F]]</f>
        <v>0</v>
      </c>
      <c r="Z841">
        <f>DataLog_T717420_Aug11_4_59_37pm[[#This Row],[HPFP PRES. '[BAR']]]-Table3[[#This Row],[58F0]]</f>
        <v>0</v>
      </c>
      <c r="AA841">
        <f>DataLog_T717420_Aug11_4_59_37pm[[#This Row],[COOLANT TEMP '[Â°C']]]-Table3[[#This Row],[5805]]</f>
        <v>0</v>
      </c>
      <c r="AB841">
        <f>DataLog_T717420_Aug11_4_59_37pm[[#This Row],[BOOST '[BAR']]]-Table3[[#This Row],[58DD]]</f>
        <v>0</v>
      </c>
    </row>
    <row r="842" spans="2:28" x14ac:dyDescent="0.25">
      <c r="B842" s="2" t="s">
        <v>189</v>
      </c>
      <c r="C842" s="2" t="s">
        <v>30</v>
      </c>
      <c r="D842" s="2" t="s">
        <v>151</v>
      </c>
      <c r="E842" s="2" t="s">
        <v>118</v>
      </c>
      <c r="F842" s="2" t="s">
        <v>253</v>
      </c>
      <c r="G842" s="2" t="s">
        <v>98</v>
      </c>
      <c r="I842">
        <f>HEX2DEC(_0811_173439[[#This Row],[580C]])*B$4/B$5+B$6</f>
        <v>760</v>
      </c>
      <c r="J842">
        <f>HEX2DEC(_0811_173439[[#This Row],[4402]])*C$4/C$5+C$6</f>
        <v>36</v>
      </c>
      <c r="K842">
        <f>HEX2DEC(_0811_173439[[#This Row],[580F]])*D$4/D$5+D$6</f>
        <v>30</v>
      </c>
      <c r="L842">
        <f>ROUND(HEX2DEC(_0811_173439[[#This Row],[58F0]])*E$4/E$5+E$6,0)</f>
        <v>70</v>
      </c>
      <c r="M842">
        <f>ROUND(HEX2DEC(_0811_173439[[#This Row],[5805]])*F$4/F$5+F$6,0)</f>
        <v>43</v>
      </c>
      <c r="N842">
        <f>ROUND(HEX2DEC(_0811_173439[[#This Row],[58DD]])*G$4/G$5+G$6,2)</f>
        <v>-0.03</v>
      </c>
      <c r="P842">
        <v>760</v>
      </c>
      <c r="Q842">
        <v>36</v>
      </c>
      <c r="R842">
        <v>30</v>
      </c>
      <c r="S842">
        <v>70</v>
      </c>
      <c r="T842">
        <v>43</v>
      </c>
      <c r="U842">
        <v>-0.03</v>
      </c>
      <c r="W842">
        <f>DataLog_T717420_Aug11_4_59_37pm[[#This Row],[RPM '[1/MIN']]]-Table3[[#This Row],[580C]]</f>
        <v>0</v>
      </c>
      <c r="X842">
        <f>DataLog_T717420_Aug11_4_59_37pm[[#This Row],[OIL TEMP '[Â°C']]]-Table3[[#This Row],[4402]]</f>
        <v>0</v>
      </c>
      <c r="Y842">
        <f>DataLog_T717420_Aug11_4_59_37pm[[#This Row],[INTAKE TEMP '[Â°C']]]-Table3[[#This Row],[580F]]</f>
        <v>0</v>
      </c>
      <c r="Z842">
        <f>DataLog_T717420_Aug11_4_59_37pm[[#This Row],[HPFP PRES. '[BAR']]]-Table3[[#This Row],[58F0]]</f>
        <v>0</v>
      </c>
      <c r="AA842">
        <f>DataLog_T717420_Aug11_4_59_37pm[[#This Row],[COOLANT TEMP '[Â°C']]]-Table3[[#This Row],[5805]]</f>
        <v>0</v>
      </c>
      <c r="AB842">
        <f>DataLog_T717420_Aug11_4_59_37pm[[#This Row],[BOOST '[BAR']]]-Table3[[#This Row],[58DD]]</f>
        <v>0</v>
      </c>
    </row>
    <row r="843" spans="2:28" x14ac:dyDescent="0.25">
      <c r="B843" s="2" t="s">
        <v>183</v>
      </c>
      <c r="C843" s="2" t="s">
        <v>30</v>
      </c>
      <c r="D843" s="2" t="s">
        <v>151</v>
      </c>
      <c r="E843" s="2" t="s">
        <v>93</v>
      </c>
      <c r="F843" s="2" t="s">
        <v>253</v>
      </c>
      <c r="G843" s="2" t="s">
        <v>190</v>
      </c>
      <c r="I843">
        <f>HEX2DEC(_0811_173439[[#This Row],[580C]])*B$4/B$5+B$6</f>
        <v>800</v>
      </c>
      <c r="J843">
        <f>HEX2DEC(_0811_173439[[#This Row],[4402]])*C$4/C$5+C$6</f>
        <v>36</v>
      </c>
      <c r="K843">
        <f>HEX2DEC(_0811_173439[[#This Row],[580F]])*D$4/D$5+D$6</f>
        <v>30</v>
      </c>
      <c r="L843">
        <f>ROUND(HEX2DEC(_0811_173439[[#This Row],[58F0]])*E$4/E$5+E$6,0)</f>
        <v>70</v>
      </c>
      <c r="M843">
        <f>ROUND(HEX2DEC(_0811_173439[[#This Row],[5805]])*F$4/F$5+F$6,0)</f>
        <v>43</v>
      </c>
      <c r="N843">
        <f>ROUND(HEX2DEC(_0811_173439[[#This Row],[58DD]])*G$4/G$5+G$6,2)</f>
        <v>-0.03</v>
      </c>
      <c r="P843">
        <v>800</v>
      </c>
      <c r="Q843">
        <v>36</v>
      </c>
      <c r="R843">
        <v>30</v>
      </c>
      <c r="S843">
        <v>70</v>
      </c>
      <c r="T843">
        <v>43</v>
      </c>
      <c r="U843">
        <v>-0.03</v>
      </c>
      <c r="W843">
        <f>DataLog_T717420_Aug11_4_59_37pm[[#This Row],[RPM '[1/MIN']]]-Table3[[#This Row],[580C]]</f>
        <v>0</v>
      </c>
      <c r="X843">
        <f>DataLog_T717420_Aug11_4_59_37pm[[#This Row],[OIL TEMP '[Â°C']]]-Table3[[#This Row],[4402]]</f>
        <v>0</v>
      </c>
      <c r="Y843">
        <f>DataLog_T717420_Aug11_4_59_37pm[[#This Row],[INTAKE TEMP '[Â°C']]]-Table3[[#This Row],[580F]]</f>
        <v>0</v>
      </c>
      <c r="Z843">
        <f>DataLog_T717420_Aug11_4_59_37pm[[#This Row],[HPFP PRES. '[BAR']]]-Table3[[#This Row],[58F0]]</f>
        <v>0</v>
      </c>
      <c r="AA843">
        <f>DataLog_T717420_Aug11_4_59_37pm[[#This Row],[COOLANT TEMP '[Â°C']]]-Table3[[#This Row],[5805]]</f>
        <v>0</v>
      </c>
      <c r="AB843">
        <f>DataLog_T717420_Aug11_4_59_37pm[[#This Row],[BOOST '[BAR']]]-Table3[[#This Row],[58DD]]</f>
        <v>0</v>
      </c>
    </row>
    <row r="844" spans="2:28" x14ac:dyDescent="0.25">
      <c r="B844" s="2" t="s">
        <v>183</v>
      </c>
      <c r="C844" s="2" t="s">
        <v>30</v>
      </c>
      <c r="D844" s="2" t="s">
        <v>151</v>
      </c>
      <c r="E844" s="2" t="s">
        <v>122</v>
      </c>
      <c r="F844" s="2" t="s">
        <v>253</v>
      </c>
      <c r="G844" s="2" t="s">
        <v>190</v>
      </c>
      <c r="I844">
        <f>HEX2DEC(_0811_173439[[#This Row],[580C]])*B$4/B$5+B$6</f>
        <v>800</v>
      </c>
      <c r="J844">
        <f>HEX2DEC(_0811_173439[[#This Row],[4402]])*C$4/C$5+C$6</f>
        <v>36</v>
      </c>
      <c r="K844">
        <f>HEX2DEC(_0811_173439[[#This Row],[580F]])*D$4/D$5+D$6</f>
        <v>30</v>
      </c>
      <c r="L844">
        <f>ROUND(HEX2DEC(_0811_173439[[#This Row],[58F0]])*E$4/E$5+E$6,0)</f>
        <v>71</v>
      </c>
      <c r="M844">
        <f>ROUND(HEX2DEC(_0811_173439[[#This Row],[5805]])*F$4/F$5+F$6,0)</f>
        <v>43</v>
      </c>
      <c r="N844">
        <f>ROUND(HEX2DEC(_0811_173439[[#This Row],[58DD]])*G$4/G$5+G$6,2)</f>
        <v>-0.03</v>
      </c>
      <c r="P844">
        <v>800</v>
      </c>
      <c r="Q844">
        <v>36</v>
      </c>
      <c r="R844">
        <v>30</v>
      </c>
      <c r="S844">
        <v>71</v>
      </c>
      <c r="T844">
        <v>43</v>
      </c>
      <c r="U844">
        <v>-0.03</v>
      </c>
      <c r="W844">
        <f>DataLog_T717420_Aug11_4_59_37pm[[#This Row],[RPM '[1/MIN']]]-Table3[[#This Row],[580C]]</f>
        <v>0</v>
      </c>
      <c r="X844">
        <f>DataLog_T717420_Aug11_4_59_37pm[[#This Row],[OIL TEMP '[Â°C']]]-Table3[[#This Row],[4402]]</f>
        <v>0</v>
      </c>
      <c r="Y844">
        <f>DataLog_T717420_Aug11_4_59_37pm[[#This Row],[INTAKE TEMP '[Â°C']]]-Table3[[#This Row],[580F]]</f>
        <v>0</v>
      </c>
      <c r="Z844">
        <f>DataLog_T717420_Aug11_4_59_37pm[[#This Row],[HPFP PRES. '[BAR']]]-Table3[[#This Row],[58F0]]</f>
        <v>0</v>
      </c>
      <c r="AA844">
        <f>DataLog_T717420_Aug11_4_59_37pm[[#This Row],[COOLANT TEMP '[Â°C']]]-Table3[[#This Row],[5805]]</f>
        <v>0</v>
      </c>
      <c r="AB844">
        <f>DataLog_T717420_Aug11_4_59_37pm[[#This Row],[BOOST '[BAR']]]-Table3[[#This Row],[58DD]]</f>
        <v>0</v>
      </c>
    </row>
    <row r="845" spans="2:28" x14ac:dyDescent="0.25">
      <c r="B845" s="2" t="s">
        <v>183</v>
      </c>
      <c r="C845" s="2" t="s">
        <v>30</v>
      </c>
      <c r="D845" s="2" t="s">
        <v>151</v>
      </c>
      <c r="E845" s="2" t="s">
        <v>127</v>
      </c>
      <c r="F845" s="2" t="s">
        <v>253</v>
      </c>
      <c r="G845" s="2" t="s">
        <v>98</v>
      </c>
      <c r="I845">
        <f>HEX2DEC(_0811_173439[[#This Row],[580C]])*B$4/B$5+B$6</f>
        <v>800</v>
      </c>
      <c r="J845">
        <f>HEX2DEC(_0811_173439[[#This Row],[4402]])*C$4/C$5+C$6</f>
        <v>36</v>
      </c>
      <c r="K845">
        <f>HEX2DEC(_0811_173439[[#This Row],[580F]])*D$4/D$5+D$6</f>
        <v>30</v>
      </c>
      <c r="L845">
        <f>ROUND(HEX2DEC(_0811_173439[[#This Row],[58F0]])*E$4/E$5+E$6,0)</f>
        <v>70</v>
      </c>
      <c r="M845">
        <f>ROUND(HEX2DEC(_0811_173439[[#This Row],[5805]])*F$4/F$5+F$6,0)</f>
        <v>43</v>
      </c>
      <c r="N845">
        <f>ROUND(HEX2DEC(_0811_173439[[#This Row],[58DD]])*G$4/G$5+G$6,2)</f>
        <v>-0.03</v>
      </c>
      <c r="P845">
        <v>800</v>
      </c>
      <c r="Q845">
        <v>36</v>
      </c>
      <c r="R845">
        <v>30</v>
      </c>
      <c r="S845">
        <v>70</v>
      </c>
      <c r="T845">
        <v>43</v>
      </c>
      <c r="U845">
        <v>-0.03</v>
      </c>
      <c r="W845">
        <f>DataLog_T717420_Aug11_4_59_37pm[[#This Row],[RPM '[1/MIN']]]-Table3[[#This Row],[580C]]</f>
        <v>0</v>
      </c>
      <c r="X845">
        <f>DataLog_T717420_Aug11_4_59_37pm[[#This Row],[OIL TEMP '[Â°C']]]-Table3[[#This Row],[4402]]</f>
        <v>0</v>
      </c>
      <c r="Y845">
        <f>DataLog_T717420_Aug11_4_59_37pm[[#This Row],[INTAKE TEMP '[Â°C']]]-Table3[[#This Row],[580F]]</f>
        <v>0</v>
      </c>
      <c r="Z845">
        <f>DataLog_T717420_Aug11_4_59_37pm[[#This Row],[HPFP PRES. '[BAR']]]-Table3[[#This Row],[58F0]]</f>
        <v>0</v>
      </c>
      <c r="AA845">
        <f>DataLog_T717420_Aug11_4_59_37pm[[#This Row],[COOLANT TEMP '[Â°C']]]-Table3[[#This Row],[5805]]</f>
        <v>0</v>
      </c>
      <c r="AB845">
        <f>DataLog_T717420_Aug11_4_59_37pm[[#This Row],[BOOST '[BAR']]]-Table3[[#This Row],[58DD]]</f>
        <v>0</v>
      </c>
    </row>
    <row r="846" spans="2:28" x14ac:dyDescent="0.25">
      <c r="B846" s="2" t="s">
        <v>183</v>
      </c>
      <c r="C846" s="2" t="s">
        <v>30</v>
      </c>
      <c r="D846" s="2" t="s">
        <v>151</v>
      </c>
      <c r="E846" s="2" t="s">
        <v>127</v>
      </c>
      <c r="F846" s="2" t="s">
        <v>253</v>
      </c>
      <c r="G846" s="2" t="s">
        <v>71</v>
      </c>
      <c r="I846">
        <f>HEX2DEC(_0811_173439[[#This Row],[580C]])*B$4/B$5+B$6</f>
        <v>800</v>
      </c>
      <c r="J846">
        <f>HEX2DEC(_0811_173439[[#This Row],[4402]])*C$4/C$5+C$6</f>
        <v>36</v>
      </c>
      <c r="K846">
        <f>HEX2DEC(_0811_173439[[#This Row],[580F]])*D$4/D$5+D$6</f>
        <v>30</v>
      </c>
      <c r="L846">
        <f>ROUND(HEX2DEC(_0811_173439[[#This Row],[58F0]])*E$4/E$5+E$6,0)</f>
        <v>70</v>
      </c>
      <c r="M846">
        <f>ROUND(HEX2DEC(_0811_173439[[#This Row],[5805]])*F$4/F$5+F$6,0)</f>
        <v>43</v>
      </c>
      <c r="N846">
        <f>ROUND(HEX2DEC(_0811_173439[[#This Row],[58DD]])*G$4/G$5+G$6,2)</f>
        <v>-0.03</v>
      </c>
      <c r="P846">
        <v>800</v>
      </c>
      <c r="Q846">
        <v>36</v>
      </c>
      <c r="R846">
        <v>30</v>
      </c>
      <c r="S846">
        <v>70</v>
      </c>
      <c r="T846">
        <v>43</v>
      </c>
      <c r="U846">
        <v>-0.03</v>
      </c>
      <c r="W846">
        <f>DataLog_T717420_Aug11_4_59_37pm[[#This Row],[RPM '[1/MIN']]]-Table3[[#This Row],[580C]]</f>
        <v>0</v>
      </c>
      <c r="X846">
        <f>DataLog_T717420_Aug11_4_59_37pm[[#This Row],[OIL TEMP '[Â°C']]]-Table3[[#This Row],[4402]]</f>
        <v>0</v>
      </c>
      <c r="Y846">
        <f>DataLog_T717420_Aug11_4_59_37pm[[#This Row],[INTAKE TEMP '[Â°C']]]-Table3[[#This Row],[580F]]</f>
        <v>0</v>
      </c>
      <c r="Z846">
        <f>DataLog_T717420_Aug11_4_59_37pm[[#This Row],[HPFP PRES. '[BAR']]]-Table3[[#This Row],[58F0]]</f>
        <v>0</v>
      </c>
      <c r="AA846">
        <f>DataLog_T717420_Aug11_4_59_37pm[[#This Row],[COOLANT TEMP '[Â°C']]]-Table3[[#This Row],[5805]]</f>
        <v>0</v>
      </c>
      <c r="AB846">
        <f>DataLog_T717420_Aug11_4_59_37pm[[#This Row],[BOOST '[BAR']]]-Table3[[#This Row],[58DD]]</f>
        <v>0</v>
      </c>
    </row>
    <row r="847" spans="2:28" x14ac:dyDescent="0.25">
      <c r="B847" s="2" t="s">
        <v>183</v>
      </c>
      <c r="C847" s="2" t="s">
        <v>30</v>
      </c>
      <c r="D847" s="2" t="s">
        <v>151</v>
      </c>
      <c r="E847" s="2" t="s">
        <v>162</v>
      </c>
      <c r="F847" s="2" t="s">
        <v>253</v>
      </c>
      <c r="G847" s="2" t="s">
        <v>96</v>
      </c>
      <c r="I847">
        <f>HEX2DEC(_0811_173439[[#This Row],[580C]])*B$4/B$5+B$6</f>
        <v>800</v>
      </c>
      <c r="J847">
        <f>HEX2DEC(_0811_173439[[#This Row],[4402]])*C$4/C$5+C$6</f>
        <v>36</v>
      </c>
      <c r="K847">
        <f>HEX2DEC(_0811_173439[[#This Row],[580F]])*D$4/D$5+D$6</f>
        <v>30</v>
      </c>
      <c r="L847">
        <f>ROUND(HEX2DEC(_0811_173439[[#This Row],[58F0]])*E$4/E$5+E$6,0)</f>
        <v>71</v>
      </c>
      <c r="M847">
        <f>ROUND(HEX2DEC(_0811_173439[[#This Row],[5805]])*F$4/F$5+F$6,0)</f>
        <v>43</v>
      </c>
      <c r="N847">
        <f>ROUND(HEX2DEC(_0811_173439[[#This Row],[58DD]])*G$4/G$5+G$6,2)</f>
        <v>-0.03</v>
      </c>
      <c r="P847">
        <v>800</v>
      </c>
      <c r="Q847">
        <v>36</v>
      </c>
      <c r="R847">
        <v>30</v>
      </c>
      <c r="S847">
        <v>71</v>
      </c>
      <c r="T847">
        <v>43</v>
      </c>
      <c r="U847">
        <v>-0.03</v>
      </c>
      <c r="W847">
        <f>DataLog_T717420_Aug11_4_59_37pm[[#This Row],[RPM '[1/MIN']]]-Table3[[#This Row],[580C]]</f>
        <v>0</v>
      </c>
      <c r="X847">
        <f>DataLog_T717420_Aug11_4_59_37pm[[#This Row],[OIL TEMP '[Â°C']]]-Table3[[#This Row],[4402]]</f>
        <v>0</v>
      </c>
      <c r="Y847">
        <f>DataLog_T717420_Aug11_4_59_37pm[[#This Row],[INTAKE TEMP '[Â°C']]]-Table3[[#This Row],[580F]]</f>
        <v>0</v>
      </c>
      <c r="Z847">
        <f>DataLog_T717420_Aug11_4_59_37pm[[#This Row],[HPFP PRES. '[BAR']]]-Table3[[#This Row],[58F0]]</f>
        <v>0</v>
      </c>
      <c r="AA847">
        <f>DataLog_T717420_Aug11_4_59_37pm[[#This Row],[COOLANT TEMP '[Â°C']]]-Table3[[#This Row],[5805]]</f>
        <v>0</v>
      </c>
      <c r="AB847">
        <f>DataLog_T717420_Aug11_4_59_37pm[[#This Row],[BOOST '[BAR']]]-Table3[[#This Row],[58DD]]</f>
        <v>0</v>
      </c>
    </row>
    <row r="848" spans="2:28" x14ac:dyDescent="0.25">
      <c r="B848" s="2" t="s">
        <v>189</v>
      </c>
      <c r="C848" s="2" t="s">
        <v>30</v>
      </c>
      <c r="D848" s="2" t="s">
        <v>151</v>
      </c>
      <c r="E848" s="2" t="s">
        <v>127</v>
      </c>
      <c r="F848" s="2" t="s">
        <v>253</v>
      </c>
      <c r="G848" s="2" t="s">
        <v>191</v>
      </c>
      <c r="I848">
        <f>HEX2DEC(_0811_173439[[#This Row],[580C]])*B$4/B$5+B$6</f>
        <v>760</v>
      </c>
      <c r="J848">
        <f>HEX2DEC(_0811_173439[[#This Row],[4402]])*C$4/C$5+C$6</f>
        <v>36</v>
      </c>
      <c r="K848">
        <f>HEX2DEC(_0811_173439[[#This Row],[580F]])*D$4/D$5+D$6</f>
        <v>30</v>
      </c>
      <c r="L848">
        <f>ROUND(HEX2DEC(_0811_173439[[#This Row],[58F0]])*E$4/E$5+E$6,0)</f>
        <v>70</v>
      </c>
      <c r="M848">
        <f>ROUND(HEX2DEC(_0811_173439[[#This Row],[5805]])*F$4/F$5+F$6,0)</f>
        <v>43</v>
      </c>
      <c r="N848">
        <f>ROUND(HEX2DEC(_0811_173439[[#This Row],[58DD]])*G$4/G$5+G$6,2)</f>
        <v>-0.03</v>
      </c>
      <c r="P848">
        <v>760</v>
      </c>
      <c r="Q848">
        <v>36</v>
      </c>
      <c r="R848">
        <v>30</v>
      </c>
      <c r="S848">
        <v>70</v>
      </c>
      <c r="T848">
        <v>43</v>
      </c>
      <c r="U848">
        <v>-0.03</v>
      </c>
      <c r="W848">
        <f>DataLog_T717420_Aug11_4_59_37pm[[#This Row],[RPM '[1/MIN']]]-Table3[[#This Row],[580C]]</f>
        <v>0</v>
      </c>
      <c r="X848">
        <f>DataLog_T717420_Aug11_4_59_37pm[[#This Row],[OIL TEMP '[Â°C']]]-Table3[[#This Row],[4402]]</f>
        <v>0</v>
      </c>
      <c r="Y848">
        <f>DataLog_T717420_Aug11_4_59_37pm[[#This Row],[INTAKE TEMP '[Â°C']]]-Table3[[#This Row],[580F]]</f>
        <v>0</v>
      </c>
      <c r="Z848">
        <f>DataLog_T717420_Aug11_4_59_37pm[[#This Row],[HPFP PRES. '[BAR']]]-Table3[[#This Row],[58F0]]</f>
        <v>0</v>
      </c>
      <c r="AA848">
        <f>DataLog_T717420_Aug11_4_59_37pm[[#This Row],[COOLANT TEMP '[Â°C']]]-Table3[[#This Row],[5805]]</f>
        <v>0</v>
      </c>
      <c r="AB848">
        <f>DataLog_T717420_Aug11_4_59_37pm[[#This Row],[BOOST '[BAR']]]-Table3[[#This Row],[58DD]]</f>
        <v>0</v>
      </c>
    </row>
    <row r="849" spans="2:28" x14ac:dyDescent="0.25">
      <c r="B849" s="2" t="s">
        <v>189</v>
      </c>
      <c r="C849" s="2" t="s">
        <v>30</v>
      </c>
      <c r="D849" s="2" t="s">
        <v>151</v>
      </c>
      <c r="E849" s="2" t="s">
        <v>127</v>
      </c>
      <c r="F849" s="2" t="s">
        <v>253</v>
      </c>
      <c r="G849" s="2" t="s">
        <v>96</v>
      </c>
      <c r="I849">
        <f>HEX2DEC(_0811_173439[[#This Row],[580C]])*B$4/B$5+B$6</f>
        <v>760</v>
      </c>
      <c r="J849">
        <f>HEX2DEC(_0811_173439[[#This Row],[4402]])*C$4/C$5+C$6</f>
        <v>36</v>
      </c>
      <c r="K849">
        <f>HEX2DEC(_0811_173439[[#This Row],[580F]])*D$4/D$5+D$6</f>
        <v>30</v>
      </c>
      <c r="L849">
        <f>ROUND(HEX2DEC(_0811_173439[[#This Row],[58F0]])*E$4/E$5+E$6,0)</f>
        <v>70</v>
      </c>
      <c r="M849">
        <f>ROUND(HEX2DEC(_0811_173439[[#This Row],[5805]])*F$4/F$5+F$6,0)</f>
        <v>43</v>
      </c>
      <c r="N849">
        <f>ROUND(HEX2DEC(_0811_173439[[#This Row],[58DD]])*G$4/G$5+G$6,2)</f>
        <v>-0.03</v>
      </c>
      <c r="P849">
        <v>760</v>
      </c>
      <c r="Q849">
        <v>36</v>
      </c>
      <c r="R849">
        <v>30</v>
      </c>
      <c r="S849">
        <v>70</v>
      </c>
      <c r="T849">
        <v>43</v>
      </c>
      <c r="U849">
        <v>-0.03</v>
      </c>
      <c r="W849">
        <f>DataLog_T717420_Aug11_4_59_37pm[[#This Row],[RPM '[1/MIN']]]-Table3[[#This Row],[580C]]</f>
        <v>0</v>
      </c>
      <c r="X849">
        <f>DataLog_T717420_Aug11_4_59_37pm[[#This Row],[OIL TEMP '[Â°C']]]-Table3[[#This Row],[4402]]</f>
        <v>0</v>
      </c>
      <c r="Y849">
        <f>DataLog_T717420_Aug11_4_59_37pm[[#This Row],[INTAKE TEMP '[Â°C']]]-Table3[[#This Row],[580F]]</f>
        <v>0</v>
      </c>
      <c r="Z849">
        <f>DataLog_T717420_Aug11_4_59_37pm[[#This Row],[HPFP PRES. '[BAR']]]-Table3[[#This Row],[58F0]]</f>
        <v>0</v>
      </c>
      <c r="AA849">
        <f>DataLog_T717420_Aug11_4_59_37pm[[#This Row],[COOLANT TEMP '[Â°C']]]-Table3[[#This Row],[5805]]</f>
        <v>0</v>
      </c>
      <c r="AB849">
        <f>DataLog_T717420_Aug11_4_59_37pm[[#This Row],[BOOST '[BAR']]]-Table3[[#This Row],[58DD]]</f>
        <v>0</v>
      </c>
    </row>
    <row r="850" spans="2:28" x14ac:dyDescent="0.25">
      <c r="B850" s="2" t="s">
        <v>189</v>
      </c>
      <c r="C850" s="2" t="s">
        <v>30</v>
      </c>
      <c r="D850" s="2" t="s">
        <v>151</v>
      </c>
      <c r="E850" s="2" t="s">
        <v>119</v>
      </c>
      <c r="F850" s="2" t="s">
        <v>253</v>
      </c>
      <c r="G850" s="2" t="s">
        <v>71</v>
      </c>
      <c r="I850">
        <f>HEX2DEC(_0811_173439[[#This Row],[580C]])*B$4/B$5+B$6</f>
        <v>760</v>
      </c>
      <c r="J850">
        <f>HEX2DEC(_0811_173439[[#This Row],[4402]])*C$4/C$5+C$6</f>
        <v>36</v>
      </c>
      <c r="K850">
        <f>HEX2DEC(_0811_173439[[#This Row],[580F]])*D$4/D$5+D$6</f>
        <v>30</v>
      </c>
      <c r="L850">
        <f>ROUND(HEX2DEC(_0811_173439[[#This Row],[58F0]])*E$4/E$5+E$6,0)</f>
        <v>71</v>
      </c>
      <c r="M850">
        <f>ROUND(HEX2DEC(_0811_173439[[#This Row],[5805]])*F$4/F$5+F$6,0)</f>
        <v>43</v>
      </c>
      <c r="N850">
        <f>ROUND(HEX2DEC(_0811_173439[[#This Row],[58DD]])*G$4/G$5+G$6,2)</f>
        <v>-0.03</v>
      </c>
      <c r="P850">
        <v>760</v>
      </c>
      <c r="Q850">
        <v>36</v>
      </c>
      <c r="R850">
        <v>30</v>
      </c>
      <c r="S850">
        <v>71</v>
      </c>
      <c r="T850">
        <v>43</v>
      </c>
      <c r="U850">
        <v>-0.03</v>
      </c>
      <c r="W850">
        <f>DataLog_T717420_Aug11_4_59_37pm[[#This Row],[RPM '[1/MIN']]]-Table3[[#This Row],[580C]]</f>
        <v>0</v>
      </c>
      <c r="X850">
        <f>DataLog_T717420_Aug11_4_59_37pm[[#This Row],[OIL TEMP '[Â°C']]]-Table3[[#This Row],[4402]]</f>
        <v>0</v>
      </c>
      <c r="Y850">
        <f>DataLog_T717420_Aug11_4_59_37pm[[#This Row],[INTAKE TEMP '[Â°C']]]-Table3[[#This Row],[580F]]</f>
        <v>0</v>
      </c>
      <c r="Z850">
        <f>DataLog_T717420_Aug11_4_59_37pm[[#This Row],[HPFP PRES. '[BAR']]]-Table3[[#This Row],[58F0]]</f>
        <v>0</v>
      </c>
      <c r="AA850">
        <f>DataLog_T717420_Aug11_4_59_37pm[[#This Row],[COOLANT TEMP '[Â°C']]]-Table3[[#This Row],[5805]]</f>
        <v>0</v>
      </c>
      <c r="AB850">
        <f>DataLog_T717420_Aug11_4_59_37pm[[#This Row],[BOOST '[BAR']]]-Table3[[#This Row],[58DD]]</f>
        <v>0</v>
      </c>
    </row>
    <row r="851" spans="2:28" x14ac:dyDescent="0.25">
      <c r="B851" s="2" t="s">
        <v>183</v>
      </c>
      <c r="C851" s="2" t="s">
        <v>30</v>
      </c>
      <c r="D851" s="2" t="s">
        <v>151</v>
      </c>
      <c r="E851" s="2" t="s">
        <v>153</v>
      </c>
      <c r="F851" s="2" t="s">
        <v>253</v>
      </c>
      <c r="G851" s="2" t="s">
        <v>71</v>
      </c>
      <c r="I851">
        <f>HEX2DEC(_0811_173439[[#This Row],[580C]])*B$4/B$5+B$6</f>
        <v>800</v>
      </c>
      <c r="J851">
        <f>HEX2DEC(_0811_173439[[#This Row],[4402]])*C$4/C$5+C$6</f>
        <v>36</v>
      </c>
      <c r="K851">
        <f>HEX2DEC(_0811_173439[[#This Row],[580F]])*D$4/D$5+D$6</f>
        <v>30</v>
      </c>
      <c r="L851">
        <f>ROUND(HEX2DEC(_0811_173439[[#This Row],[58F0]])*E$4/E$5+E$6,0)</f>
        <v>70</v>
      </c>
      <c r="M851">
        <f>ROUND(HEX2DEC(_0811_173439[[#This Row],[5805]])*F$4/F$5+F$6,0)</f>
        <v>43</v>
      </c>
      <c r="N851">
        <f>ROUND(HEX2DEC(_0811_173439[[#This Row],[58DD]])*G$4/G$5+G$6,2)</f>
        <v>-0.03</v>
      </c>
      <c r="P851">
        <v>800</v>
      </c>
      <c r="Q851">
        <v>36</v>
      </c>
      <c r="R851">
        <v>30</v>
      </c>
      <c r="S851">
        <v>70</v>
      </c>
      <c r="T851">
        <v>43</v>
      </c>
      <c r="U851">
        <v>-0.03</v>
      </c>
      <c r="W851">
        <f>DataLog_T717420_Aug11_4_59_37pm[[#This Row],[RPM '[1/MIN']]]-Table3[[#This Row],[580C]]</f>
        <v>0</v>
      </c>
      <c r="X851">
        <f>DataLog_T717420_Aug11_4_59_37pm[[#This Row],[OIL TEMP '[Â°C']]]-Table3[[#This Row],[4402]]</f>
        <v>0</v>
      </c>
      <c r="Y851">
        <f>DataLog_T717420_Aug11_4_59_37pm[[#This Row],[INTAKE TEMP '[Â°C']]]-Table3[[#This Row],[580F]]</f>
        <v>0</v>
      </c>
      <c r="Z851">
        <f>DataLog_T717420_Aug11_4_59_37pm[[#This Row],[HPFP PRES. '[BAR']]]-Table3[[#This Row],[58F0]]</f>
        <v>0</v>
      </c>
      <c r="AA851">
        <f>DataLog_T717420_Aug11_4_59_37pm[[#This Row],[COOLANT TEMP '[Â°C']]]-Table3[[#This Row],[5805]]</f>
        <v>0</v>
      </c>
      <c r="AB851">
        <f>DataLog_T717420_Aug11_4_59_37pm[[#This Row],[BOOST '[BAR']]]-Table3[[#This Row],[58DD]]</f>
        <v>0</v>
      </c>
    </row>
    <row r="852" spans="2:28" x14ac:dyDescent="0.25">
      <c r="B852" s="2" t="s">
        <v>183</v>
      </c>
      <c r="C852" s="2" t="s">
        <v>30</v>
      </c>
      <c r="D852" s="2" t="s">
        <v>151</v>
      </c>
      <c r="E852" s="2" t="s">
        <v>93</v>
      </c>
      <c r="F852" s="2" t="s">
        <v>253</v>
      </c>
      <c r="G852" s="2" t="s">
        <v>236</v>
      </c>
      <c r="I852">
        <f>HEX2DEC(_0811_173439[[#This Row],[580C]])*B$4/B$5+B$6</f>
        <v>800</v>
      </c>
      <c r="J852">
        <f>HEX2DEC(_0811_173439[[#This Row],[4402]])*C$4/C$5+C$6</f>
        <v>36</v>
      </c>
      <c r="K852">
        <f>HEX2DEC(_0811_173439[[#This Row],[580F]])*D$4/D$5+D$6</f>
        <v>30</v>
      </c>
      <c r="L852">
        <f>ROUND(HEX2DEC(_0811_173439[[#This Row],[58F0]])*E$4/E$5+E$6,0)</f>
        <v>70</v>
      </c>
      <c r="M852">
        <f>ROUND(HEX2DEC(_0811_173439[[#This Row],[5805]])*F$4/F$5+F$6,0)</f>
        <v>43</v>
      </c>
      <c r="N852">
        <f>ROUND(HEX2DEC(_0811_173439[[#This Row],[58DD]])*G$4/G$5+G$6,2)</f>
        <v>-0.03</v>
      </c>
      <c r="P852">
        <v>800</v>
      </c>
      <c r="Q852">
        <v>36</v>
      </c>
      <c r="R852">
        <v>30</v>
      </c>
      <c r="S852">
        <v>70</v>
      </c>
      <c r="T852">
        <v>43</v>
      </c>
      <c r="U852">
        <v>-0.03</v>
      </c>
      <c r="W852">
        <f>DataLog_T717420_Aug11_4_59_37pm[[#This Row],[RPM '[1/MIN']]]-Table3[[#This Row],[580C]]</f>
        <v>0</v>
      </c>
      <c r="X852">
        <f>DataLog_T717420_Aug11_4_59_37pm[[#This Row],[OIL TEMP '[Â°C']]]-Table3[[#This Row],[4402]]</f>
        <v>0</v>
      </c>
      <c r="Y852">
        <f>DataLog_T717420_Aug11_4_59_37pm[[#This Row],[INTAKE TEMP '[Â°C']]]-Table3[[#This Row],[580F]]</f>
        <v>0</v>
      </c>
      <c r="Z852">
        <f>DataLog_T717420_Aug11_4_59_37pm[[#This Row],[HPFP PRES. '[BAR']]]-Table3[[#This Row],[58F0]]</f>
        <v>0</v>
      </c>
      <c r="AA852">
        <f>DataLog_T717420_Aug11_4_59_37pm[[#This Row],[COOLANT TEMP '[Â°C']]]-Table3[[#This Row],[5805]]</f>
        <v>0</v>
      </c>
      <c r="AB852">
        <f>DataLog_T717420_Aug11_4_59_37pm[[#This Row],[BOOST '[BAR']]]-Table3[[#This Row],[58DD]]</f>
        <v>0</v>
      </c>
    </row>
    <row r="853" spans="2:28" x14ac:dyDescent="0.25">
      <c r="B853" s="2" t="s">
        <v>183</v>
      </c>
      <c r="C853" s="2" t="s">
        <v>30</v>
      </c>
      <c r="D853" s="2" t="s">
        <v>151</v>
      </c>
      <c r="E853" s="2" t="s">
        <v>122</v>
      </c>
      <c r="F853" s="2" t="s">
        <v>253</v>
      </c>
      <c r="G853" s="2" t="s">
        <v>235</v>
      </c>
      <c r="I853">
        <f>HEX2DEC(_0811_173439[[#This Row],[580C]])*B$4/B$5+B$6</f>
        <v>800</v>
      </c>
      <c r="J853">
        <f>HEX2DEC(_0811_173439[[#This Row],[4402]])*C$4/C$5+C$6</f>
        <v>36</v>
      </c>
      <c r="K853">
        <f>HEX2DEC(_0811_173439[[#This Row],[580F]])*D$4/D$5+D$6</f>
        <v>30</v>
      </c>
      <c r="L853">
        <f>ROUND(HEX2DEC(_0811_173439[[#This Row],[58F0]])*E$4/E$5+E$6,0)</f>
        <v>71</v>
      </c>
      <c r="M853">
        <f>ROUND(HEX2DEC(_0811_173439[[#This Row],[5805]])*F$4/F$5+F$6,0)</f>
        <v>43</v>
      </c>
      <c r="N853">
        <f>ROUND(HEX2DEC(_0811_173439[[#This Row],[58DD]])*G$4/G$5+G$6,2)</f>
        <v>-0.03</v>
      </c>
      <c r="P853">
        <v>800</v>
      </c>
      <c r="Q853">
        <v>36</v>
      </c>
      <c r="R853">
        <v>30</v>
      </c>
      <c r="S853">
        <v>71</v>
      </c>
      <c r="T853">
        <v>43</v>
      </c>
      <c r="U853">
        <v>-0.03</v>
      </c>
      <c r="W853">
        <f>DataLog_T717420_Aug11_4_59_37pm[[#This Row],[RPM '[1/MIN']]]-Table3[[#This Row],[580C]]</f>
        <v>0</v>
      </c>
      <c r="X853">
        <f>DataLog_T717420_Aug11_4_59_37pm[[#This Row],[OIL TEMP '[Â°C']]]-Table3[[#This Row],[4402]]</f>
        <v>0</v>
      </c>
      <c r="Y853">
        <f>DataLog_T717420_Aug11_4_59_37pm[[#This Row],[INTAKE TEMP '[Â°C']]]-Table3[[#This Row],[580F]]</f>
        <v>0</v>
      </c>
      <c r="Z853">
        <f>DataLog_T717420_Aug11_4_59_37pm[[#This Row],[HPFP PRES. '[BAR']]]-Table3[[#This Row],[58F0]]</f>
        <v>0</v>
      </c>
      <c r="AA853">
        <f>DataLog_T717420_Aug11_4_59_37pm[[#This Row],[COOLANT TEMP '[Â°C']]]-Table3[[#This Row],[5805]]</f>
        <v>0</v>
      </c>
      <c r="AB853">
        <f>DataLog_T717420_Aug11_4_59_37pm[[#This Row],[BOOST '[BAR']]]-Table3[[#This Row],[58DD]]</f>
        <v>0</v>
      </c>
    </row>
    <row r="854" spans="2:28" x14ac:dyDescent="0.25">
      <c r="B854" s="2" t="s">
        <v>183</v>
      </c>
      <c r="C854" s="2" t="s">
        <v>30</v>
      </c>
      <c r="D854" s="2" t="s">
        <v>151</v>
      </c>
      <c r="E854" s="2" t="s">
        <v>157</v>
      </c>
      <c r="F854" s="2" t="s">
        <v>253</v>
      </c>
      <c r="G854" s="2" t="s">
        <v>236</v>
      </c>
      <c r="I854">
        <f>HEX2DEC(_0811_173439[[#This Row],[580C]])*B$4/B$5+B$6</f>
        <v>800</v>
      </c>
      <c r="J854">
        <f>HEX2DEC(_0811_173439[[#This Row],[4402]])*C$4/C$5+C$6</f>
        <v>36</v>
      </c>
      <c r="K854">
        <f>HEX2DEC(_0811_173439[[#This Row],[580F]])*D$4/D$5+D$6</f>
        <v>30</v>
      </c>
      <c r="L854">
        <f>ROUND(HEX2DEC(_0811_173439[[#This Row],[58F0]])*E$4/E$5+E$6,0)</f>
        <v>70</v>
      </c>
      <c r="M854">
        <f>ROUND(HEX2DEC(_0811_173439[[#This Row],[5805]])*F$4/F$5+F$6,0)</f>
        <v>43</v>
      </c>
      <c r="N854">
        <f>ROUND(HEX2DEC(_0811_173439[[#This Row],[58DD]])*G$4/G$5+G$6,2)</f>
        <v>-0.03</v>
      </c>
      <c r="P854">
        <v>800</v>
      </c>
      <c r="Q854">
        <v>36</v>
      </c>
      <c r="R854">
        <v>30</v>
      </c>
      <c r="S854">
        <v>70</v>
      </c>
      <c r="T854">
        <v>43</v>
      </c>
      <c r="U854">
        <v>-0.03</v>
      </c>
      <c r="W854">
        <f>DataLog_T717420_Aug11_4_59_37pm[[#This Row],[RPM '[1/MIN']]]-Table3[[#This Row],[580C]]</f>
        <v>0</v>
      </c>
      <c r="X854">
        <f>DataLog_T717420_Aug11_4_59_37pm[[#This Row],[OIL TEMP '[Â°C']]]-Table3[[#This Row],[4402]]</f>
        <v>0</v>
      </c>
      <c r="Y854">
        <f>DataLog_T717420_Aug11_4_59_37pm[[#This Row],[INTAKE TEMP '[Â°C']]]-Table3[[#This Row],[580F]]</f>
        <v>0</v>
      </c>
      <c r="Z854">
        <f>DataLog_T717420_Aug11_4_59_37pm[[#This Row],[HPFP PRES. '[BAR']]]-Table3[[#This Row],[58F0]]</f>
        <v>0</v>
      </c>
      <c r="AA854">
        <f>DataLog_T717420_Aug11_4_59_37pm[[#This Row],[COOLANT TEMP '[Â°C']]]-Table3[[#This Row],[5805]]</f>
        <v>0</v>
      </c>
      <c r="AB854">
        <f>DataLog_T717420_Aug11_4_59_37pm[[#This Row],[BOOST '[BAR']]]-Table3[[#This Row],[58DD]]</f>
        <v>0</v>
      </c>
    </row>
    <row r="855" spans="2:28" x14ac:dyDescent="0.25">
      <c r="B855" s="2" t="s">
        <v>183</v>
      </c>
      <c r="C855" s="2" t="s">
        <v>30</v>
      </c>
      <c r="D855" s="2" t="s">
        <v>151</v>
      </c>
      <c r="E855" s="2" t="s">
        <v>93</v>
      </c>
      <c r="F855" s="2" t="s">
        <v>253</v>
      </c>
      <c r="G855" s="2" t="s">
        <v>235</v>
      </c>
      <c r="I855">
        <f>HEX2DEC(_0811_173439[[#This Row],[580C]])*B$4/B$5+B$6</f>
        <v>800</v>
      </c>
      <c r="J855">
        <f>HEX2DEC(_0811_173439[[#This Row],[4402]])*C$4/C$5+C$6</f>
        <v>36</v>
      </c>
      <c r="K855">
        <f>HEX2DEC(_0811_173439[[#This Row],[580F]])*D$4/D$5+D$6</f>
        <v>30</v>
      </c>
      <c r="L855">
        <f>ROUND(HEX2DEC(_0811_173439[[#This Row],[58F0]])*E$4/E$5+E$6,0)</f>
        <v>70</v>
      </c>
      <c r="M855">
        <f>ROUND(HEX2DEC(_0811_173439[[#This Row],[5805]])*F$4/F$5+F$6,0)</f>
        <v>43</v>
      </c>
      <c r="N855">
        <f>ROUND(HEX2DEC(_0811_173439[[#This Row],[58DD]])*G$4/G$5+G$6,2)</f>
        <v>-0.03</v>
      </c>
      <c r="P855">
        <v>800</v>
      </c>
      <c r="Q855">
        <v>36</v>
      </c>
      <c r="R855">
        <v>30</v>
      </c>
      <c r="S855">
        <v>70</v>
      </c>
      <c r="T855">
        <v>43</v>
      </c>
      <c r="U855">
        <v>-0.03</v>
      </c>
      <c r="W855">
        <f>DataLog_T717420_Aug11_4_59_37pm[[#This Row],[RPM '[1/MIN']]]-Table3[[#This Row],[580C]]</f>
        <v>0</v>
      </c>
      <c r="X855">
        <f>DataLog_T717420_Aug11_4_59_37pm[[#This Row],[OIL TEMP '[Â°C']]]-Table3[[#This Row],[4402]]</f>
        <v>0</v>
      </c>
      <c r="Y855">
        <f>DataLog_T717420_Aug11_4_59_37pm[[#This Row],[INTAKE TEMP '[Â°C']]]-Table3[[#This Row],[580F]]</f>
        <v>0</v>
      </c>
      <c r="Z855">
        <f>DataLog_T717420_Aug11_4_59_37pm[[#This Row],[HPFP PRES. '[BAR']]]-Table3[[#This Row],[58F0]]</f>
        <v>0</v>
      </c>
      <c r="AA855">
        <f>DataLog_T717420_Aug11_4_59_37pm[[#This Row],[COOLANT TEMP '[Â°C']]]-Table3[[#This Row],[5805]]</f>
        <v>0</v>
      </c>
      <c r="AB855">
        <f>DataLog_T717420_Aug11_4_59_37pm[[#This Row],[BOOST '[BAR']]]-Table3[[#This Row],[58DD]]</f>
        <v>0</v>
      </c>
    </row>
    <row r="856" spans="2:28" x14ac:dyDescent="0.25">
      <c r="B856" s="2" t="s">
        <v>183</v>
      </c>
      <c r="C856" s="2" t="s">
        <v>30</v>
      </c>
      <c r="D856" s="2" t="s">
        <v>151</v>
      </c>
      <c r="E856" s="2" t="s">
        <v>178</v>
      </c>
      <c r="F856" s="2" t="s">
        <v>253</v>
      </c>
      <c r="G856" s="2" t="s">
        <v>96</v>
      </c>
      <c r="I856">
        <f>HEX2DEC(_0811_173439[[#This Row],[580C]])*B$4/B$5+B$6</f>
        <v>800</v>
      </c>
      <c r="J856">
        <f>HEX2DEC(_0811_173439[[#This Row],[4402]])*C$4/C$5+C$6</f>
        <v>36</v>
      </c>
      <c r="K856">
        <f>HEX2DEC(_0811_173439[[#This Row],[580F]])*D$4/D$5+D$6</f>
        <v>30</v>
      </c>
      <c r="L856">
        <f>ROUND(HEX2DEC(_0811_173439[[#This Row],[58F0]])*E$4/E$5+E$6,0)</f>
        <v>71</v>
      </c>
      <c r="M856">
        <f>ROUND(HEX2DEC(_0811_173439[[#This Row],[5805]])*F$4/F$5+F$6,0)</f>
        <v>43</v>
      </c>
      <c r="N856">
        <f>ROUND(HEX2DEC(_0811_173439[[#This Row],[58DD]])*G$4/G$5+G$6,2)</f>
        <v>-0.03</v>
      </c>
      <c r="P856">
        <v>800</v>
      </c>
      <c r="Q856">
        <v>36</v>
      </c>
      <c r="R856">
        <v>30</v>
      </c>
      <c r="S856">
        <v>71</v>
      </c>
      <c r="T856">
        <v>43</v>
      </c>
      <c r="U856">
        <v>-0.03</v>
      </c>
      <c r="W856">
        <f>DataLog_T717420_Aug11_4_59_37pm[[#This Row],[RPM '[1/MIN']]]-Table3[[#This Row],[580C]]</f>
        <v>0</v>
      </c>
      <c r="X856">
        <f>DataLog_T717420_Aug11_4_59_37pm[[#This Row],[OIL TEMP '[Â°C']]]-Table3[[#This Row],[4402]]</f>
        <v>0</v>
      </c>
      <c r="Y856">
        <f>DataLog_T717420_Aug11_4_59_37pm[[#This Row],[INTAKE TEMP '[Â°C']]]-Table3[[#This Row],[580F]]</f>
        <v>0</v>
      </c>
      <c r="Z856">
        <f>DataLog_T717420_Aug11_4_59_37pm[[#This Row],[HPFP PRES. '[BAR']]]-Table3[[#This Row],[58F0]]</f>
        <v>0</v>
      </c>
      <c r="AA856">
        <f>DataLog_T717420_Aug11_4_59_37pm[[#This Row],[COOLANT TEMP '[Â°C']]]-Table3[[#This Row],[5805]]</f>
        <v>0</v>
      </c>
      <c r="AB856">
        <f>DataLog_T717420_Aug11_4_59_37pm[[#This Row],[BOOST '[BAR']]]-Table3[[#This Row],[58DD]]</f>
        <v>0</v>
      </c>
    </row>
    <row r="857" spans="2:28" x14ac:dyDescent="0.25">
      <c r="B857" s="2" t="s">
        <v>183</v>
      </c>
      <c r="C857" s="2" t="s">
        <v>30</v>
      </c>
      <c r="D857" s="2" t="s">
        <v>151</v>
      </c>
      <c r="E857" s="2" t="s">
        <v>127</v>
      </c>
      <c r="F857" s="2" t="s">
        <v>253</v>
      </c>
      <c r="G857" s="2" t="s">
        <v>53</v>
      </c>
      <c r="I857">
        <f>HEX2DEC(_0811_173439[[#This Row],[580C]])*B$4/B$5+B$6</f>
        <v>800</v>
      </c>
      <c r="J857">
        <f>HEX2DEC(_0811_173439[[#This Row],[4402]])*C$4/C$5+C$6</f>
        <v>36</v>
      </c>
      <c r="K857">
        <f>HEX2DEC(_0811_173439[[#This Row],[580F]])*D$4/D$5+D$6</f>
        <v>30</v>
      </c>
      <c r="L857">
        <f>ROUND(HEX2DEC(_0811_173439[[#This Row],[58F0]])*E$4/E$5+E$6,0)</f>
        <v>70</v>
      </c>
      <c r="M857">
        <f>ROUND(HEX2DEC(_0811_173439[[#This Row],[5805]])*F$4/F$5+F$6,0)</f>
        <v>43</v>
      </c>
      <c r="N857">
        <f>ROUND(HEX2DEC(_0811_173439[[#This Row],[58DD]])*G$4/G$5+G$6,2)</f>
        <v>-0.03</v>
      </c>
      <c r="P857">
        <v>800</v>
      </c>
      <c r="Q857">
        <v>36</v>
      </c>
      <c r="R857">
        <v>30</v>
      </c>
      <c r="S857">
        <v>70</v>
      </c>
      <c r="T857">
        <v>43</v>
      </c>
      <c r="U857">
        <v>-0.03</v>
      </c>
      <c r="W857">
        <f>DataLog_T717420_Aug11_4_59_37pm[[#This Row],[RPM '[1/MIN']]]-Table3[[#This Row],[580C]]</f>
        <v>0</v>
      </c>
      <c r="X857">
        <f>DataLog_T717420_Aug11_4_59_37pm[[#This Row],[OIL TEMP '[Â°C']]]-Table3[[#This Row],[4402]]</f>
        <v>0</v>
      </c>
      <c r="Y857">
        <f>DataLog_T717420_Aug11_4_59_37pm[[#This Row],[INTAKE TEMP '[Â°C']]]-Table3[[#This Row],[580F]]</f>
        <v>0</v>
      </c>
      <c r="Z857">
        <f>DataLog_T717420_Aug11_4_59_37pm[[#This Row],[HPFP PRES. '[BAR']]]-Table3[[#This Row],[58F0]]</f>
        <v>0</v>
      </c>
      <c r="AA857">
        <f>DataLog_T717420_Aug11_4_59_37pm[[#This Row],[COOLANT TEMP '[Â°C']]]-Table3[[#This Row],[5805]]</f>
        <v>0</v>
      </c>
      <c r="AB857">
        <f>DataLog_T717420_Aug11_4_59_37pm[[#This Row],[BOOST '[BAR']]]-Table3[[#This Row],[58DD]]</f>
        <v>0</v>
      </c>
    </row>
    <row r="858" spans="2:28" x14ac:dyDescent="0.25">
      <c r="B858" s="2" t="s">
        <v>183</v>
      </c>
      <c r="C858" s="2" t="s">
        <v>30</v>
      </c>
      <c r="D858" s="2" t="s">
        <v>151</v>
      </c>
      <c r="E858" s="2" t="s">
        <v>93</v>
      </c>
      <c r="F858" s="2" t="s">
        <v>253</v>
      </c>
      <c r="G858" s="2" t="s">
        <v>96</v>
      </c>
      <c r="I858">
        <f>HEX2DEC(_0811_173439[[#This Row],[580C]])*B$4/B$5+B$6</f>
        <v>800</v>
      </c>
      <c r="J858">
        <f>HEX2DEC(_0811_173439[[#This Row],[4402]])*C$4/C$5+C$6</f>
        <v>36</v>
      </c>
      <c r="K858">
        <f>HEX2DEC(_0811_173439[[#This Row],[580F]])*D$4/D$5+D$6</f>
        <v>30</v>
      </c>
      <c r="L858">
        <f>ROUND(HEX2DEC(_0811_173439[[#This Row],[58F0]])*E$4/E$5+E$6,0)</f>
        <v>70</v>
      </c>
      <c r="M858">
        <f>ROUND(HEX2DEC(_0811_173439[[#This Row],[5805]])*F$4/F$5+F$6,0)</f>
        <v>43</v>
      </c>
      <c r="N858">
        <f>ROUND(HEX2DEC(_0811_173439[[#This Row],[58DD]])*G$4/G$5+G$6,2)</f>
        <v>-0.03</v>
      </c>
      <c r="P858">
        <v>800</v>
      </c>
      <c r="Q858">
        <v>36</v>
      </c>
      <c r="R858">
        <v>30</v>
      </c>
      <c r="S858">
        <v>70</v>
      </c>
      <c r="T858">
        <v>43</v>
      </c>
      <c r="U858">
        <v>-0.03</v>
      </c>
      <c r="W858">
        <f>DataLog_T717420_Aug11_4_59_37pm[[#This Row],[RPM '[1/MIN']]]-Table3[[#This Row],[580C]]</f>
        <v>0</v>
      </c>
      <c r="X858">
        <f>DataLog_T717420_Aug11_4_59_37pm[[#This Row],[OIL TEMP '[Â°C']]]-Table3[[#This Row],[4402]]</f>
        <v>0</v>
      </c>
      <c r="Y858">
        <f>DataLog_T717420_Aug11_4_59_37pm[[#This Row],[INTAKE TEMP '[Â°C']]]-Table3[[#This Row],[580F]]</f>
        <v>0</v>
      </c>
      <c r="Z858">
        <f>DataLog_T717420_Aug11_4_59_37pm[[#This Row],[HPFP PRES. '[BAR']]]-Table3[[#This Row],[58F0]]</f>
        <v>0</v>
      </c>
      <c r="AA858">
        <f>DataLog_T717420_Aug11_4_59_37pm[[#This Row],[COOLANT TEMP '[Â°C']]]-Table3[[#This Row],[5805]]</f>
        <v>0</v>
      </c>
      <c r="AB858">
        <f>DataLog_T717420_Aug11_4_59_37pm[[#This Row],[BOOST '[BAR']]]-Table3[[#This Row],[58DD]]</f>
        <v>0</v>
      </c>
    </row>
    <row r="859" spans="2:28" x14ac:dyDescent="0.25">
      <c r="B859" s="2" t="s">
        <v>183</v>
      </c>
      <c r="C859" s="2" t="s">
        <v>30</v>
      </c>
      <c r="D859" s="2" t="s">
        <v>151</v>
      </c>
      <c r="E859" s="2" t="s">
        <v>132</v>
      </c>
      <c r="F859" s="2" t="s">
        <v>253</v>
      </c>
      <c r="G859" s="2" t="s">
        <v>236</v>
      </c>
      <c r="I859">
        <f>HEX2DEC(_0811_173439[[#This Row],[580C]])*B$4/B$5+B$6</f>
        <v>800</v>
      </c>
      <c r="J859">
        <f>HEX2DEC(_0811_173439[[#This Row],[4402]])*C$4/C$5+C$6</f>
        <v>36</v>
      </c>
      <c r="K859">
        <f>HEX2DEC(_0811_173439[[#This Row],[580F]])*D$4/D$5+D$6</f>
        <v>30</v>
      </c>
      <c r="L859">
        <f>ROUND(HEX2DEC(_0811_173439[[#This Row],[58F0]])*E$4/E$5+E$6,0)</f>
        <v>70</v>
      </c>
      <c r="M859">
        <f>ROUND(HEX2DEC(_0811_173439[[#This Row],[5805]])*F$4/F$5+F$6,0)</f>
        <v>43</v>
      </c>
      <c r="N859">
        <f>ROUND(HEX2DEC(_0811_173439[[#This Row],[58DD]])*G$4/G$5+G$6,2)</f>
        <v>-0.03</v>
      </c>
      <c r="P859">
        <v>800</v>
      </c>
      <c r="Q859">
        <v>36</v>
      </c>
      <c r="R859">
        <v>30</v>
      </c>
      <c r="S859">
        <v>70</v>
      </c>
      <c r="T859">
        <v>43</v>
      </c>
      <c r="U859">
        <v>-0.03</v>
      </c>
      <c r="W859">
        <f>DataLog_T717420_Aug11_4_59_37pm[[#This Row],[RPM '[1/MIN']]]-Table3[[#This Row],[580C]]</f>
        <v>0</v>
      </c>
      <c r="X859">
        <f>DataLog_T717420_Aug11_4_59_37pm[[#This Row],[OIL TEMP '[Â°C']]]-Table3[[#This Row],[4402]]</f>
        <v>0</v>
      </c>
      <c r="Y859">
        <f>DataLog_T717420_Aug11_4_59_37pm[[#This Row],[INTAKE TEMP '[Â°C']]]-Table3[[#This Row],[580F]]</f>
        <v>0</v>
      </c>
      <c r="Z859">
        <f>DataLog_T717420_Aug11_4_59_37pm[[#This Row],[HPFP PRES. '[BAR']]]-Table3[[#This Row],[58F0]]</f>
        <v>0</v>
      </c>
      <c r="AA859">
        <f>DataLog_T717420_Aug11_4_59_37pm[[#This Row],[COOLANT TEMP '[Â°C']]]-Table3[[#This Row],[5805]]</f>
        <v>0</v>
      </c>
      <c r="AB859">
        <f>DataLog_T717420_Aug11_4_59_37pm[[#This Row],[BOOST '[BAR']]]-Table3[[#This Row],[58DD]]</f>
        <v>0</v>
      </c>
    </row>
    <row r="860" spans="2:28" x14ac:dyDescent="0.25">
      <c r="B860" s="2" t="s">
        <v>183</v>
      </c>
      <c r="C860" s="2" t="s">
        <v>30</v>
      </c>
      <c r="D860" s="2" t="s">
        <v>151</v>
      </c>
      <c r="E860" s="2" t="s">
        <v>93</v>
      </c>
      <c r="F860" s="2" t="s">
        <v>253</v>
      </c>
      <c r="G860" s="2" t="s">
        <v>96</v>
      </c>
      <c r="I860">
        <f>HEX2DEC(_0811_173439[[#This Row],[580C]])*B$4/B$5+B$6</f>
        <v>800</v>
      </c>
      <c r="J860">
        <f>HEX2DEC(_0811_173439[[#This Row],[4402]])*C$4/C$5+C$6</f>
        <v>36</v>
      </c>
      <c r="K860">
        <f>HEX2DEC(_0811_173439[[#This Row],[580F]])*D$4/D$5+D$6</f>
        <v>30</v>
      </c>
      <c r="L860">
        <f>ROUND(HEX2DEC(_0811_173439[[#This Row],[58F0]])*E$4/E$5+E$6,0)</f>
        <v>70</v>
      </c>
      <c r="M860">
        <f>ROUND(HEX2DEC(_0811_173439[[#This Row],[5805]])*F$4/F$5+F$6,0)</f>
        <v>43</v>
      </c>
      <c r="N860">
        <f>ROUND(HEX2DEC(_0811_173439[[#This Row],[58DD]])*G$4/G$5+G$6,2)</f>
        <v>-0.03</v>
      </c>
      <c r="P860">
        <v>800</v>
      </c>
      <c r="Q860">
        <v>36</v>
      </c>
      <c r="R860">
        <v>30</v>
      </c>
      <c r="S860">
        <v>70</v>
      </c>
      <c r="T860">
        <v>43</v>
      </c>
      <c r="U860">
        <v>-0.03</v>
      </c>
      <c r="W860">
        <f>DataLog_T717420_Aug11_4_59_37pm[[#This Row],[RPM '[1/MIN']]]-Table3[[#This Row],[580C]]</f>
        <v>0</v>
      </c>
      <c r="X860">
        <f>DataLog_T717420_Aug11_4_59_37pm[[#This Row],[OIL TEMP '[Â°C']]]-Table3[[#This Row],[4402]]</f>
        <v>0</v>
      </c>
      <c r="Y860">
        <f>DataLog_T717420_Aug11_4_59_37pm[[#This Row],[INTAKE TEMP '[Â°C']]]-Table3[[#This Row],[580F]]</f>
        <v>0</v>
      </c>
      <c r="Z860">
        <f>DataLog_T717420_Aug11_4_59_37pm[[#This Row],[HPFP PRES. '[BAR']]]-Table3[[#This Row],[58F0]]</f>
        <v>0</v>
      </c>
      <c r="AA860">
        <f>DataLog_T717420_Aug11_4_59_37pm[[#This Row],[COOLANT TEMP '[Â°C']]]-Table3[[#This Row],[5805]]</f>
        <v>0</v>
      </c>
      <c r="AB860">
        <f>DataLog_T717420_Aug11_4_59_37pm[[#This Row],[BOOST '[BAR']]]-Table3[[#This Row],[58DD]]</f>
        <v>0</v>
      </c>
    </row>
    <row r="861" spans="2:28" x14ac:dyDescent="0.25">
      <c r="B861" s="2" t="s">
        <v>183</v>
      </c>
      <c r="C861" s="2" t="s">
        <v>30</v>
      </c>
      <c r="D861" s="2" t="s">
        <v>151</v>
      </c>
      <c r="E861" s="2" t="s">
        <v>124</v>
      </c>
      <c r="F861" s="2" t="s">
        <v>253</v>
      </c>
      <c r="G861" s="2" t="s">
        <v>190</v>
      </c>
      <c r="I861">
        <f>HEX2DEC(_0811_173439[[#This Row],[580C]])*B$4/B$5+B$6</f>
        <v>800</v>
      </c>
      <c r="J861">
        <f>HEX2DEC(_0811_173439[[#This Row],[4402]])*C$4/C$5+C$6</f>
        <v>36</v>
      </c>
      <c r="K861">
        <f>HEX2DEC(_0811_173439[[#This Row],[580F]])*D$4/D$5+D$6</f>
        <v>30</v>
      </c>
      <c r="L861">
        <f>ROUND(HEX2DEC(_0811_173439[[#This Row],[58F0]])*E$4/E$5+E$6,0)</f>
        <v>71</v>
      </c>
      <c r="M861">
        <f>ROUND(HEX2DEC(_0811_173439[[#This Row],[5805]])*F$4/F$5+F$6,0)</f>
        <v>43</v>
      </c>
      <c r="N861">
        <f>ROUND(HEX2DEC(_0811_173439[[#This Row],[58DD]])*G$4/G$5+G$6,2)</f>
        <v>-0.03</v>
      </c>
      <c r="P861">
        <v>800</v>
      </c>
      <c r="Q861">
        <v>36</v>
      </c>
      <c r="R861">
        <v>30</v>
      </c>
      <c r="S861">
        <v>71</v>
      </c>
      <c r="T861">
        <v>43</v>
      </c>
      <c r="U861">
        <v>-0.03</v>
      </c>
      <c r="W861">
        <f>DataLog_T717420_Aug11_4_59_37pm[[#This Row],[RPM '[1/MIN']]]-Table3[[#This Row],[580C]]</f>
        <v>0</v>
      </c>
      <c r="X861">
        <f>DataLog_T717420_Aug11_4_59_37pm[[#This Row],[OIL TEMP '[Â°C']]]-Table3[[#This Row],[4402]]</f>
        <v>0</v>
      </c>
      <c r="Y861">
        <f>DataLog_T717420_Aug11_4_59_37pm[[#This Row],[INTAKE TEMP '[Â°C']]]-Table3[[#This Row],[580F]]</f>
        <v>0</v>
      </c>
      <c r="Z861">
        <f>DataLog_T717420_Aug11_4_59_37pm[[#This Row],[HPFP PRES. '[BAR']]]-Table3[[#This Row],[58F0]]</f>
        <v>0</v>
      </c>
      <c r="AA861">
        <f>DataLog_T717420_Aug11_4_59_37pm[[#This Row],[COOLANT TEMP '[Â°C']]]-Table3[[#This Row],[5805]]</f>
        <v>0</v>
      </c>
      <c r="AB861">
        <f>DataLog_T717420_Aug11_4_59_37pm[[#This Row],[BOOST '[BAR']]]-Table3[[#This Row],[58DD]]</f>
        <v>0</v>
      </c>
    </row>
    <row r="862" spans="2:28" x14ac:dyDescent="0.25">
      <c r="B862" s="2" t="s">
        <v>183</v>
      </c>
      <c r="C862" s="2" t="s">
        <v>30</v>
      </c>
      <c r="D862" s="2" t="s">
        <v>151</v>
      </c>
      <c r="E862" s="2" t="s">
        <v>256</v>
      </c>
      <c r="F862" s="2" t="s">
        <v>253</v>
      </c>
      <c r="G862" s="2" t="s">
        <v>96</v>
      </c>
      <c r="I862">
        <f>HEX2DEC(_0811_173439[[#This Row],[580C]])*B$4/B$5+B$6</f>
        <v>800</v>
      </c>
      <c r="J862">
        <f>HEX2DEC(_0811_173439[[#This Row],[4402]])*C$4/C$5+C$6</f>
        <v>36</v>
      </c>
      <c r="K862">
        <f>HEX2DEC(_0811_173439[[#This Row],[580F]])*D$4/D$5+D$6</f>
        <v>30</v>
      </c>
      <c r="L862">
        <f>ROUND(HEX2DEC(_0811_173439[[#This Row],[58F0]])*E$4/E$5+E$6,0)</f>
        <v>71</v>
      </c>
      <c r="M862">
        <f>ROUND(HEX2DEC(_0811_173439[[#This Row],[5805]])*F$4/F$5+F$6,0)</f>
        <v>43</v>
      </c>
      <c r="N862">
        <f>ROUND(HEX2DEC(_0811_173439[[#This Row],[58DD]])*G$4/G$5+G$6,2)</f>
        <v>-0.03</v>
      </c>
      <c r="P862">
        <v>800</v>
      </c>
      <c r="Q862">
        <v>36</v>
      </c>
      <c r="R862">
        <v>30</v>
      </c>
      <c r="S862">
        <v>71</v>
      </c>
      <c r="T862">
        <v>43</v>
      </c>
      <c r="U862">
        <v>-0.03</v>
      </c>
      <c r="W862">
        <f>DataLog_T717420_Aug11_4_59_37pm[[#This Row],[RPM '[1/MIN']]]-Table3[[#This Row],[580C]]</f>
        <v>0</v>
      </c>
      <c r="X862">
        <f>DataLog_T717420_Aug11_4_59_37pm[[#This Row],[OIL TEMP '[Â°C']]]-Table3[[#This Row],[4402]]</f>
        <v>0</v>
      </c>
      <c r="Y862">
        <f>DataLog_T717420_Aug11_4_59_37pm[[#This Row],[INTAKE TEMP '[Â°C']]]-Table3[[#This Row],[580F]]</f>
        <v>0</v>
      </c>
      <c r="Z862">
        <f>DataLog_T717420_Aug11_4_59_37pm[[#This Row],[HPFP PRES. '[BAR']]]-Table3[[#This Row],[58F0]]</f>
        <v>0</v>
      </c>
      <c r="AA862">
        <f>DataLog_T717420_Aug11_4_59_37pm[[#This Row],[COOLANT TEMP '[Â°C']]]-Table3[[#This Row],[5805]]</f>
        <v>0</v>
      </c>
      <c r="AB862">
        <f>DataLog_T717420_Aug11_4_59_37pm[[#This Row],[BOOST '[BAR']]]-Table3[[#This Row],[58DD]]</f>
        <v>0</v>
      </c>
    </row>
    <row r="863" spans="2:28" x14ac:dyDescent="0.25">
      <c r="B863" s="2" t="s">
        <v>183</v>
      </c>
      <c r="C863" s="2" t="s">
        <v>30</v>
      </c>
      <c r="D863" s="2" t="s">
        <v>151</v>
      </c>
      <c r="E863" s="2" t="s">
        <v>147</v>
      </c>
      <c r="F863" s="2" t="s">
        <v>253</v>
      </c>
      <c r="G863" s="2" t="s">
        <v>96</v>
      </c>
      <c r="I863">
        <f>HEX2DEC(_0811_173439[[#This Row],[580C]])*B$4/B$5+B$6</f>
        <v>800</v>
      </c>
      <c r="J863">
        <f>HEX2DEC(_0811_173439[[#This Row],[4402]])*C$4/C$5+C$6</f>
        <v>36</v>
      </c>
      <c r="K863">
        <f>HEX2DEC(_0811_173439[[#This Row],[580F]])*D$4/D$5+D$6</f>
        <v>30</v>
      </c>
      <c r="L863">
        <f>ROUND(HEX2DEC(_0811_173439[[#This Row],[58F0]])*E$4/E$5+E$6,0)</f>
        <v>71</v>
      </c>
      <c r="M863">
        <f>ROUND(HEX2DEC(_0811_173439[[#This Row],[5805]])*F$4/F$5+F$6,0)</f>
        <v>43</v>
      </c>
      <c r="N863">
        <f>ROUND(HEX2DEC(_0811_173439[[#This Row],[58DD]])*G$4/G$5+G$6,2)</f>
        <v>-0.03</v>
      </c>
      <c r="P863">
        <v>800</v>
      </c>
      <c r="Q863">
        <v>36</v>
      </c>
      <c r="R863">
        <v>30</v>
      </c>
      <c r="S863">
        <v>71</v>
      </c>
      <c r="T863">
        <v>43</v>
      </c>
      <c r="U863">
        <v>-0.03</v>
      </c>
      <c r="W863">
        <f>DataLog_T717420_Aug11_4_59_37pm[[#This Row],[RPM '[1/MIN']]]-Table3[[#This Row],[580C]]</f>
        <v>0</v>
      </c>
      <c r="X863">
        <f>DataLog_T717420_Aug11_4_59_37pm[[#This Row],[OIL TEMP '[Â°C']]]-Table3[[#This Row],[4402]]</f>
        <v>0</v>
      </c>
      <c r="Y863">
        <f>DataLog_T717420_Aug11_4_59_37pm[[#This Row],[INTAKE TEMP '[Â°C']]]-Table3[[#This Row],[580F]]</f>
        <v>0</v>
      </c>
      <c r="Z863">
        <f>DataLog_T717420_Aug11_4_59_37pm[[#This Row],[HPFP PRES. '[BAR']]]-Table3[[#This Row],[58F0]]</f>
        <v>0</v>
      </c>
      <c r="AA863">
        <f>DataLog_T717420_Aug11_4_59_37pm[[#This Row],[COOLANT TEMP '[Â°C']]]-Table3[[#This Row],[5805]]</f>
        <v>0</v>
      </c>
      <c r="AB863">
        <f>DataLog_T717420_Aug11_4_59_37pm[[#This Row],[BOOST '[BAR']]]-Table3[[#This Row],[58DD]]</f>
        <v>0</v>
      </c>
    </row>
    <row r="864" spans="2:28" x14ac:dyDescent="0.25">
      <c r="B864" s="2" t="s">
        <v>183</v>
      </c>
      <c r="C864" s="2" t="s">
        <v>30</v>
      </c>
      <c r="D864" s="2" t="s">
        <v>151</v>
      </c>
      <c r="E864" s="2" t="s">
        <v>122</v>
      </c>
      <c r="F864" s="2" t="s">
        <v>253</v>
      </c>
      <c r="G864" s="2" t="s">
        <v>187</v>
      </c>
      <c r="I864">
        <f>HEX2DEC(_0811_173439[[#This Row],[580C]])*B$4/B$5+B$6</f>
        <v>800</v>
      </c>
      <c r="J864">
        <f>HEX2DEC(_0811_173439[[#This Row],[4402]])*C$4/C$5+C$6</f>
        <v>36</v>
      </c>
      <c r="K864">
        <f>HEX2DEC(_0811_173439[[#This Row],[580F]])*D$4/D$5+D$6</f>
        <v>30</v>
      </c>
      <c r="L864">
        <f>ROUND(HEX2DEC(_0811_173439[[#This Row],[58F0]])*E$4/E$5+E$6,0)</f>
        <v>71</v>
      </c>
      <c r="M864">
        <f>ROUND(HEX2DEC(_0811_173439[[#This Row],[5805]])*F$4/F$5+F$6,0)</f>
        <v>43</v>
      </c>
      <c r="N864">
        <f>ROUND(HEX2DEC(_0811_173439[[#This Row],[58DD]])*G$4/G$5+G$6,2)</f>
        <v>-0.03</v>
      </c>
      <c r="P864">
        <v>800</v>
      </c>
      <c r="Q864">
        <v>36</v>
      </c>
      <c r="R864">
        <v>30</v>
      </c>
      <c r="S864">
        <v>71</v>
      </c>
      <c r="T864">
        <v>43</v>
      </c>
      <c r="U864">
        <v>-0.03</v>
      </c>
      <c r="W864">
        <f>DataLog_T717420_Aug11_4_59_37pm[[#This Row],[RPM '[1/MIN']]]-Table3[[#This Row],[580C]]</f>
        <v>0</v>
      </c>
      <c r="X864">
        <f>DataLog_T717420_Aug11_4_59_37pm[[#This Row],[OIL TEMP '[Â°C']]]-Table3[[#This Row],[4402]]</f>
        <v>0</v>
      </c>
      <c r="Y864">
        <f>DataLog_T717420_Aug11_4_59_37pm[[#This Row],[INTAKE TEMP '[Â°C']]]-Table3[[#This Row],[580F]]</f>
        <v>0</v>
      </c>
      <c r="Z864">
        <f>DataLog_T717420_Aug11_4_59_37pm[[#This Row],[HPFP PRES. '[BAR']]]-Table3[[#This Row],[58F0]]</f>
        <v>0</v>
      </c>
      <c r="AA864">
        <f>DataLog_T717420_Aug11_4_59_37pm[[#This Row],[COOLANT TEMP '[Â°C']]]-Table3[[#This Row],[5805]]</f>
        <v>0</v>
      </c>
      <c r="AB864">
        <f>DataLog_T717420_Aug11_4_59_37pm[[#This Row],[BOOST '[BAR']]]-Table3[[#This Row],[58DD]]</f>
        <v>0</v>
      </c>
    </row>
    <row r="865" spans="2:28" x14ac:dyDescent="0.25">
      <c r="B865" s="2" t="s">
        <v>183</v>
      </c>
      <c r="C865" s="2" t="s">
        <v>30</v>
      </c>
      <c r="D865" s="2" t="s">
        <v>151</v>
      </c>
      <c r="E865" s="2" t="s">
        <v>257</v>
      </c>
      <c r="F865" s="2" t="s">
        <v>253</v>
      </c>
      <c r="G865" s="2" t="s">
        <v>96</v>
      </c>
      <c r="I865">
        <f>HEX2DEC(_0811_173439[[#This Row],[580C]])*B$4/B$5+B$6</f>
        <v>800</v>
      </c>
      <c r="J865">
        <f>HEX2DEC(_0811_173439[[#This Row],[4402]])*C$4/C$5+C$6</f>
        <v>36</v>
      </c>
      <c r="K865">
        <f>HEX2DEC(_0811_173439[[#This Row],[580F]])*D$4/D$5+D$6</f>
        <v>30</v>
      </c>
      <c r="L865">
        <f>ROUND(HEX2DEC(_0811_173439[[#This Row],[58F0]])*E$4/E$5+E$6,0)</f>
        <v>70</v>
      </c>
      <c r="M865">
        <f>ROUND(HEX2DEC(_0811_173439[[#This Row],[5805]])*F$4/F$5+F$6,0)</f>
        <v>43</v>
      </c>
      <c r="N865">
        <f>ROUND(HEX2DEC(_0811_173439[[#This Row],[58DD]])*G$4/G$5+G$6,2)</f>
        <v>-0.03</v>
      </c>
      <c r="P865">
        <v>800</v>
      </c>
      <c r="Q865">
        <v>36</v>
      </c>
      <c r="R865">
        <v>30</v>
      </c>
      <c r="S865">
        <v>70</v>
      </c>
      <c r="T865">
        <v>43</v>
      </c>
      <c r="U865">
        <v>-0.03</v>
      </c>
      <c r="W865">
        <f>DataLog_T717420_Aug11_4_59_37pm[[#This Row],[RPM '[1/MIN']]]-Table3[[#This Row],[580C]]</f>
        <v>0</v>
      </c>
      <c r="X865">
        <f>DataLog_T717420_Aug11_4_59_37pm[[#This Row],[OIL TEMP '[Â°C']]]-Table3[[#This Row],[4402]]</f>
        <v>0</v>
      </c>
      <c r="Y865">
        <f>DataLog_T717420_Aug11_4_59_37pm[[#This Row],[INTAKE TEMP '[Â°C']]]-Table3[[#This Row],[580F]]</f>
        <v>0</v>
      </c>
      <c r="Z865">
        <f>DataLog_T717420_Aug11_4_59_37pm[[#This Row],[HPFP PRES. '[BAR']]]-Table3[[#This Row],[58F0]]</f>
        <v>0</v>
      </c>
      <c r="AA865">
        <f>DataLog_T717420_Aug11_4_59_37pm[[#This Row],[COOLANT TEMP '[Â°C']]]-Table3[[#This Row],[5805]]</f>
        <v>0</v>
      </c>
      <c r="AB865">
        <f>DataLog_T717420_Aug11_4_59_37pm[[#This Row],[BOOST '[BAR']]]-Table3[[#This Row],[58DD]]</f>
        <v>0</v>
      </c>
    </row>
    <row r="866" spans="2:28" x14ac:dyDescent="0.25">
      <c r="B866" s="2" t="s">
        <v>189</v>
      </c>
      <c r="C866" s="2" t="s">
        <v>30</v>
      </c>
      <c r="D866" s="2" t="s">
        <v>151</v>
      </c>
      <c r="E866" s="2" t="s">
        <v>172</v>
      </c>
      <c r="F866" s="2" t="s">
        <v>253</v>
      </c>
      <c r="G866" s="2" t="s">
        <v>96</v>
      </c>
      <c r="I866">
        <f>HEX2DEC(_0811_173439[[#This Row],[580C]])*B$4/B$5+B$6</f>
        <v>760</v>
      </c>
      <c r="J866">
        <f>HEX2DEC(_0811_173439[[#This Row],[4402]])*C$4/C$5+C$6</f>
        <v>36</v>
      </c>
      <c r="K866">
        <f>HEX2DEC(_0811_173439[[#This Row],[580F]])*D$4/D$5+D$6</f>
        <v>30</v>
      </c>
      <c r="L866">
        <f>ROUND(HEX2DEC(_0811_173439[[#This Row],[58F0]])*E$4/E$5+E$6,0)</f>
        <v>70</v>
      </c>
      <c r="M866">
        <f>ROUND(HEX2DEC(_0811_173439[[#This Row],[5805]])*F$4/F$5+F$6,0)</f>
        <v>43</v>
      </c>
      <c r="N866">
        <f>ROUND(HEX2DEC(_0811_173439[[#This Row],[58DD]])*G$4/G$5+G$6,2)</f>
        <v>-0.03</v>
      </c>
      <c r="P866">
        <v>760</v>
      </c>
      <c r="Q866">
        <v>36</v>
      </c>
      <c r="R866">
        <v>30</v>
      </c>
      <c r="S866">
        <v>70</v>
      </c>
      <c r="T866">
        <v>43</v>
      </c>
      <c r="U866">
        <v>-0.03</v>
      </c>
      <c r="W866">
        <f>DataLog_T717420_Aug11_4_59_37pm[[#This Row],[RPM '[1/MIN']]]-Table3[[#This Row],[580C]]</f>
        <v>0</v>
      </c>
      <c r="X866">
        <f>DataLog_T717420_Aug11_4_59_37pm[[#This Row],[OIL TEMP '[Â°C']]]-Table3[[#This Row],[4402]]</f>
        <v>0</v>
      </c>
      <c r="Y866">
        <f>DataLog_T717420_Aug11_4_59_37pm[[#This Row],[INTAKE TEMP '[Â°C']]]-Table3[[#This Row],[580F]]</f>
        <v>0</v>
      </c>
      <c r="Z866">
        <f>DataLog_T717420_Aug11_4_59_37pm[[#This Row],[HPFP PRES. '[BAR']]]-Table3[[#This Row],[58F0]]</f>
        <v>0</v>
      </c>
      <c r="AA866">
        <f>DataLog_T717420_Aug11_4_59_37pm[[#This Row],[COOLANT TEMP '[Â°C']]]-Table3[[#This Row],[5805]]</f>
        <v>0</v>
      </c>
      <c r="AB866">
        <f>DataLog_T717420_Aug11_4_59_37pm[[#This Row],[BOOST '[BAR']]]-Table3[[#This Row],[58DD]]</f>
        <v>0</v>
      </c>
    </row>
    <row r="867" spans="2:28" x14ac:dyDescent="0.25">
      <c r="B867" s="2" t="s">
        <v>189</v>
      </c>
      <c r="C867" s="2" t="s">
        <v>30</v>
      </c>
      <c r="D867" s="2" t="s">
        <v>151</v>
      </c>
      <c r="E867" s="2" t="s">
        <v>93</v>
      </c>
      <c r="F867" s="2" t="s">
        <v>253</v>
      </c>
      <c r="G867" s="2" t="s">
        <v>53</v>
      </c>
      <c r="I867">
        <f>HEX2DEC(_0811_173439[[#This Row],[580C]])*B$4/B$5+B$6</f>
        <v>760</v>
      </c>
      <c r="J867">
        <f>HEX2DEC(_0811_173439[[#This Row],[4402]])*C$4/C$5+C$6</f>
        <v>36</v>
      </c>
      <c r="K867">
        <f>HEX2DEC(_0811_173439[[#This Row],[580F]])*D$4/D$5+D$6</f>
        <v>30</v>
      </c>
      <c r="L867">
        <f>ROUND(HEX2DEC(_0811_173439[[#This Row],[58F0]])*E$4/E$5+E$6,0)</f>
        <v>70</v>
      </c>
      <c r="M867">
        <f>ROUND(HEX2DEC(_0811_173439[[#This Row],[5805]])*F$4/F$5+F$6,0)</f>
        <v>43</v>
      </c>
      <c r="N867">
        <f>ROUND(HEX2DEC(_0811_173439[[#This Row],[58DD]])*G$4/G$5+G$6,2)</f>
        <v>-0.03</v>
      </c>
      <c r="P867">
        <v>760</v>
      </c>
      <c r="Q867">
        <v>36</v>
      </c>
      <c r="R867">
        <v>30</v>
      </c>
      <c r="S867">
        <v>70</v>
      </c>
      <c r="T867">
        <v>43</v>
      </c>
      <c r="U867">
        <v>-0.03</v>
      </c>
      <c r="W867">
        <f>DataLog_T717420_Aug11_4_59_37pm[[#This Row],[RPM '[1/MIN']]]-Table3[[#This Row],[580C]]</f>
        <v>0</v>
      </c>
      <c r="X867">
        <f>DataLog_T717420_Aug11_4_59_37pm[[#This Row],[OIL TEMP '[Â°C']]]-Table3[[#This Row],[4402]]</f>
        <v>0</v>
      </c>
      <c r="Y867">
        <f>DataLog_T717420_Aug11_4_59_37pm[[#This Row],[INTAKE TEMP '[Â°C']]]-Table3[[#This Row],[580F]]</f>
        <v>0</v>
      </c>
      <c r="Z867">
        <f>DataLog_T717420_Aug11_4_59_37pm[[#This Row],[HPFP PRES. '[BAR']]]-Table3[[#This Row],[58F0]]</f>
        <v>0</v>
      </c>
      <c r="AA867">
        <f>DataLog_T717420_Aug11_4_59_37pm[[#This Row],[COOLANT TEMP '[Â°C']]]-Table3[[#This Row],[5805]]</f>
        <v>0</v>
      </c>
      <c r="AB867">
        <f>DataLog_T717420_Aug11_4_59_37pm[[#This Row],[BOOST '[BAR']]]-Table3[[#This Row],[58DD]]</f>
        <v>0</v>
      </c>
    </row>
    <row r="868" spans="2:28" x14ac:dyDescent="0.25">
      <c r="B868" s="2" t="s">
        <v>189</v>
      </c>
      <c r="C868" s="2" t="s">
        <v>30</v>
      </c>
      <c r="D868" s="2" t="s">
        <v>151</v>
      </c>
      <c r="E868" s="2" t="s">
        <v>148</v>
      </c>
      <c r="F868" s="2" t="s">
        <v>253</v>
      </c>
      <c r="G868" s="2" t="s">
        <v>236</v>
      </c>
      <c r="I868">
        <f>HEX2DEC(_0811_173439[[#This Row],[580C]])*B$4/B$5+B$6</f>
        <v>760</v>
      </c>
      <c r="J868">
        <f>HEX2DEC(_0811_173439[[#This Row],[4402]])*C$4/C$5+C$6</f>
        <v>36</v>
      </c>
      <c r="K868">
        <f>HEX2DEC(_0811_173439[[#This Row],[580F]])*D$4/D$5+D$6</f>
        <v>30</v>
      </c>
      <c r="L868">
        <f>ROUND(HEX2DEC(_0811_173439[[#This Row],[58F0]])*E$4/E$5+E$6,0)</f>
        <v>70</v>
      </c>
      <c r="M868">
        <f>ROUND(HEX2DEC(_0811_173439[[#This Row],[5805]])*F$4/F$5+F$6,0)</f>
        <v>43</v>
      </c>
      <c r="N868">
        <f>ROUND(HEX2DEC(_0811_173439[[#This Row],[58DD]])*G$4/G$5+G$6,2)</f>
        <v>-0.03</v>
      </c>
      <c r="P868">
        <v>760</v>
      </c>
      <c r="Q868">
        <v>36</v>
      </c>
      <c r="R868">
        <v>30</v>
      </c>
      <c r="S868">
        <v>70</v>
      </c>
      <c r="T868">
        <v>43</v>
      </c>
      <c r="U868">
        <v>-0.03</v>
      </c>
      <c r="W868">
        <f>DataLog_T717420_Aug11_4_59_37pm[[#This Row],[RPM '[1/MIN']]]-Table3[[#This Row],[580C]]</f>
        <v>0</v>
      </c>
      <c r="X868">
        <f>DataLog_T717420_Aug11_4_59_37pm[[#This Row],[OIL TEMP '[Â°C']]]-Table3[[#This Row],[4402]]</f>
        <v>0</v>
      </c>
      <c r="Y868">
        <f>DataLog_T717420_Aug11_4_59_37pm[[#This Row],[INTAKE TEMP '[Â°C']]]-Table3[[#This Row],[580F]]</f>
        <v>0</v>
      </c>
      <c r="Z868">
        <f>DataLog_T717420_Aug11_4_59_37pm[[#This Row],[HPFP PRES. '[BAR']]]-Table3[[#This Row],[58F0]]</f>
        <v>0</v>
      </c>
      <c r="AA868">
        <f>DataLog_T717420_Aug11_4_59_37pm[[#This Row],[COOLANT TEMP '[Â°C']]]-Table3[[#This Row],[5805]]</f>
        <v>0</v>
      </c>
      <c r="AB868">
        <f>DataLog_T717420_Aug11_4_59_37pm[[#This Row],[BOOST '[BAR']]]-Table3[[#This Row],[58DD]]</f>
        <v>0</v>
      </c>
    </row>
    <row r="869" spans="2:28" x14ac:dyDescent="0.25">
      <c r="B869" s="2" t="s">
        <v>189</v>
      </c>
      <c r="C869" s="2" t="s">
        <v>30</v>
      </c>
      <c r="D869" s="2" t="s">
        <v>151</v>
      </c>
      <c r="E869" s="2" t="s">
        <v>127</v>
      </c>
      <c r="F869" s="2" t="s">
        <v>253</v>
      </c>
      <c r="G869" s="2" t="s">
        <v>71</v>
      </c>
      <c r="I869">
        <f>HEX2DEC(_0811_173439[[#This Row],[580C]])*B$4/B$5+B$6</f>
        <v>760</v>
      </c>
      <c r="J869">
        <f>HEX2DEC(_0811_173439[[#This Row],[4402]])*C$4/C$5+C$6</f>
        <v>36</v>
      </c>
      <c r="K869">
        <f>HEX2DEC(_0811_173439[[#This Row],[580F]])*D$4/D$5+D$6</f>
        <v>30</v>
      </c>
      <c r="L869">
        <f>ROUND(HEX2DEC(_0811_173439[[#This Row],[58F0]])*E$4/E$5+E$6,0)</f>
        <v>70</v>
      </c>
      <c r="M869">
        <f>ROUND(HEX2DEC(_0811_173439[[#This Row],[5805]])*F$4/F$5+F$6,0)</f>
        <v>43</v>
      </c>
      <c r="N869">
        <f>ROUND(HEX2DEC(_0811_173439[[#This Row],[58DD]])*G$4/G$5+G$6,2)</f>
        <v>-0.03</v>
      </c>
      <c r="P869">
        <v>760</v>
      </c>
      <c r="Q869">
        <v>36</v>
      </c>
      <c r="R869">
        <v>30</v>
      </c>
      <c r="S869">
        <v>70</v>
      </c>
      <c r="T869">
        <v>43</v>
      </c>
      <c r="U869">
        <v>-0.03</v>
      </c>
      <c r="W869">
        <f>DataLog_T717420_Aug11_4_59_37pm[[#This Row],[RPM '[1/MIN']]]-Table3[[#This Row],[580C]]</f>
        <v>0</v>
      </c>
      <c r="X869">
        <f>DataLog_T717420_Aug11_4_59_37pm[[#This Row],[OIL TEMP '[Â°C']]]-Table3[[#This Row],[4402]]</f>
        <v>0</v>
      </c>
      <c r="Y869">
        <f>DataLog_T717420_Aug11_4_59_37pm[[#This Row],[INTAKE TEMP '[Â°C']]]-Table3[[#This Row],[580F]]</f>
        <v>0</v>
      </c>
      <c r="Z869">
        <f>DataLog_T717420_Aug11_4_59_37pm[[#This Row],[HPFP PRES. '[BAR']]]-Table3[[#This Row],[58F0]]</f>
        <v>0</v>
      </c>
      <c r="AA869">
        <f>DataLog_T717420_Aug11_4_59_37pm[[#This Row],[COOLANT TEMP '[Â°C']]]-Table3[[#This Row],[5805]]</f>
        <v>0</v>
      </c>
      <c r="AB869">
        <f>DataLog_T717420_Aug11_4_59_37pm[[#This Row],[BOOST '[BAR']]]-Table3[[#This Row],[58DD]]</f>
        <v>0</v>
      </c>
    </row>
    <row r="870" spans="2:28" x14ac:dyDescent="0.25">
      <c r="B870" s="2" t="s">
        <v>189</v>
      </c>
      <c r="C870" s="2" t="s">
        <v>30</v>
      </c>
      <c r="D870" s="2" t="s">
        <v>151</v>
      </c>
      <c r="E870" s="2" t="s">
        <v>141</v>
      </c>
      <c r="F870" s="2" t="s">
        <v>253</v>
      </c>
      <c r="G870" s="2" t="s">
        <v>53</v>
      </c>
      <c r="I870">
        <f>HEX2DEC(_0811_173439[[#This Row],[580C]])*B$4/B$5+B$6</f>
        <v>760</v>
      </c>
      <c r="J870">
        <f>HEX2DEC(_0811_173439[[#This Row],[4402]])*C$4/C$5+C$6</f>
        <v>36</v>
      </c>
      <c r="K870">
        <f>HEX2DEC(_0811_173439[[#This Row],[580F]])*D$4/D$5+D$6</f>
        <v>30</v>
      </c>
      <c r="L870">
        <f>ROUND(HEX2DEC(_0811_173439[[#This Row],[58F0]])*E$4/E$5+E$6,0)</f>
        <v>70</v>
      </c>
      <c r="M870">
        <f>ROUND(HEX2DEC(_0811_173439[[#This Row],[5805]])*F$4/F$5+F$6,0)</f>
        <v>43</v>
      </c>
      <c r="N870">
        <f>ROUND(HEX2DEC(_0811_173439[[#This Row],[58DD]])*G$4/G$5+G$6,2)</f>
        <v>-0.03</v>
      </c>
      <c r="P870">
        <v>760</v>
      </c>
      <c r="Q870">
        <v>36</v>
      </c>
      <c r="R870">
        <v>30</v>
      </c>
      <c r="S870">
        <v>70</v>
      </c>
      <c r="T870">
        <v>43</v>
      </c>
      <c r="U870">
        <v>-0.03</v>
      </c>
      <c r="W870">
        <f>DataLog_T717420_Aug11_4_59_37pm[[#This Row],[RPM '[1/MIN']]]-Table3[[#This Row],[580C]]</f>
        <v>0</v>
      </c>
      <c r="X870">
        <f>DataLog_T717420_Aug11_4_59_37pm[[#This Row],[OIL TEMP '[Â°C']]]-Table3[[#This Row],[4402]]</f>
        <v>0</v>
      </c>
      <c r="Y870">
        <f>DataLog_T717420_Aug11_4_59_37pm[[#This Row],[INTAKE TEMP '[Â°C']]]-Table3[[#This Row],[580F]]</f>
        <v>0</v>
      </c>
      <c r="Z870">
        <f>DataLog_T717420_Aug11_4_59_37pm[[#This Row],[HPFP PRES. '[BAR']]]-Table3[[#This Row],[58F0]]</f>
        <v>0</v>
      </c>
      <c r="AA870">
        <f>DataLog_T717420_Aug11_4_59_37pm[[#This Row],[COOLANT TEMP '[Â°C']]]-Table3[[#This Row],[5805]]</f>
        <v>0</v>
      </c>
      <c r="AB870">
        <f>DataLog_T717420_Aug11_4_59_37pm[[#This Row],[BOOST '[BAR']]]-Table3[[#This Row],[58DD]]</f>
        <v>0</v>
      </c>
    </row>
    <row r="871" spans="2:28" x14ac:dyDescent="0.25">
      <c r="B871" s="2" t="s">
        <v>189</v>
      </c>
      <c r="C871" s="2" t="s">
        <v>30</v>
      </c>
      <c r="D871" s="2" t="s">
        <v>151</v>
      </c>
      <c r="E871" s="2" t="s">
        <v>153</v>
      </c>
      <c r="F871" s="2" t="s">
        <v>253</v>
      </c>
      <c r="G871" s="2" t="s">
        <v>96</v>
      </c>
      <c r="I871">
        <f>HEX2DEC(_0811_173439[[#This Row],[580C]])*B$4/B$5+B$6</f>
        <v>760</v>
      </c>
      <c r="J871">
        <f>HEX2DEC(_0811_173439[[#This Row],[4402]])*C$4/C$5+C$6</f>
        <v>36</v>
      </c>
      <c r="K871">
        <f>HEX2DEC(_0811_173439[[#This Row],[580F]])*D$4/D$5+D$6</f>
        <v>30</v>
      </c>
      <c r="L871">
        <f>ROUND(HEX2DEC(_0811_173439[[#This Row],[58F0]])*E$4/E$5+E$6,0)</f>
        <v>70</v>
      </c>
      <c r="M871">
        <f>ROUND(HEX2DEC(_0811_173439[[#This Row],[5805]])*F$4/F$5+F$6,0)</f>
        <v>43</v>
      </c>
      <c r="N871">
        <f>ROUND(HEX2DEC(_0811_173439[[#This Row],[58DD]])*G$4/G$5+G$6,2)</f>
        <v>-0.03</v>
      </c>
      <c r="P871">
        <v>760</v>
      </c>
      <c r="Q871">
        <v>36</v>
      </c>
      <c r="R871">
        <v>30</v>
      </c>
      <c r="S871">
        <v>70</v>
      </c>
      <c r="T871">
        <v>43</v>
      </c>
      <c r="U871">
        <v>-0.03</v>
      </c>
      <c r="W871">
        <f>DataLog_T717420_Aug11_4_59_37pm[[#This Row],[RPM '[1/MIN']]]-Table3[[#This Row],[580C]]</f>
        <v>0</v>
      </c>
      <c r="X871">
        <f>DataLog_T717420_Aug11_4_59_37pm[[#This Row],[OIL TEMP '[Â°C']]]-Table3[[#This Row],[4402]]</f>
        <v>0</v>
      </c>
      <c r="Y871">
        <f>DataLog_T717420_Aug11_4_59_37pm[[#This Row],[INTAKE TEMP '[Â°C']]]-Table3[[#This Row],[580F]]</f>
        <v>0</v>
      </c>
      <c r="Z871">
        <f>DataLog_T717420_Aug11_4_59_37pm[[#This Row],[HPFP PRES. '[BAR']]]-Table3[[#This Row],[58F0]]</f>
        <v>0</v>
      </c>
      <c r="AA871">
        <f>DataLog_T717420_Aug11_4_59_37pm[[#This Row],[COOLANT TEMP '[Â°C']]]-Table3[[#This Row],[5805]]</f>
        <v>0</v>
      </c>
      <c r="AB871">
        <f>DataLog_T717420_Aug11_4_59_37pm[[#This Row],[BOOST '[BAR']]]-Table3[[#This Row],[58DD]]</f>
        <v>0</v>
      </c>
    </row>
    <row r="872" spans="2:28" x14ac:dyDescent="0.25">
      <c r="B872" s="2" t="s">
        <v>189</v>
      </c>
      <c r="C872" s="2" t="s">
        <v>30</v>
      </c>
      <c r="D872" s="2" t="s">
        <v>151</v>
      </c>
      <c r="E872" s="2" t="s">
        <v>127</v>
      </c>
      <c r="F872" s="2" t="s">
        <v>253</v>
      </c>
      <c r="G872" s="2" t="s">
        <v>96</v>
      </c>
      <c r="I872">
        <f>HEX2DEC(_0811_173439[[#This Row],[580C]])*B$4/B$5+B$6</f>
        <v>760</v>
      </c>
      <c r="J872">
        <f>HEX2DEC(_0811_173439[[#This Row],[4402]])*C$4/C$5+C$6</f>
        <v>36</v>
      </c>
      <c r="K872">
        <f>HEX2DEC(_0811_173439[[#This Row],[580F]])*D$4/D$5+D$6</f>
        <v>30</v>
      </c>
      <c r="L872">
        <f>ROUND(HEX2DEC(_0811_173439[[#This Row],[58F0]])*E$4/E$5+E$6,0)</f>
        <v>70</v>
      </c>
      <c r="M872">
        <f>ROUND(HEX2DEC(_0811_173439[[#This Row],[5805]])*F$4/F$5+F$6,0)</f>
        <v>43</v>
      </c>
      <c r="N872">
        <f>ROUND(HEX2DEC(_0811_173439[[#This Row],[58DD]])*G$4/G$5+G$6,2)</f>
        <v>-0.03</v>
      </c>
      <c r="P872">
        <v>760</v>
      </c>
      <c r="Q872">
        <v>36</v>
      </c>
      <c r="R872">
        <v>30</v>
      </c>
      <c r="S872">
        <v>70</v>
      </c>
      <c r="T872">
        <v>43</v>
      </c>
      <c r="U872">
        <v>-0.03</v>
      </c>
      <c r="W872">
        <f>DataLog_T717420_Aug11_4_59_37pm[[#This Row],[RPM '[1/MIN']]]-Table3[[#This Row],[580C]]</f>
        <v>0</v>
      </c>
      <c r="X872">
        <f>DataLog_T717420_Aug11_4_59_37pm[[#This Row],[OIL TEMP '[Â°C']]]-Table3[[#This Row],[4402]]</f>
        <v>0</v>
      </c>
      <c r="Y872">
        <f>DataLog_T717420_Aug11_4_59_37pm[[#This Row],[INTAKE TEMP '[Â°C']]]-Table3[[#This Row],[580F]]</f>
        <v>0</v>
      </c>
      <c r="Z872">
        <f>DataLog_T717420_Aug11_4_59_37pm[[#This Row],[HPFP PRES. '[BAR']]]-Table3[[#This Row],[58F0]]</f>
        <v>0</v>
      </c>
      <c r="AA872">
        <f>DataLog_T717420_Aug11_4_59_37pm[[#This Row],[COOLANT TEMP '[Â°C']]]-Table3[[#This Row],[5805]]</f>
        <v>0</v>
      </c>
      <c r="AB872">
        <f>DataLog_T717420_Aug11_4_59_37pm[[#This Row],[BOOST '[BAR']]]-Table3[[#This Row],[58DD]]</f>
        <v>0</v>
      </c>
    </row>
    <row r="873" spans="2:28" x14ac:dyDescent="0.25">
      <c r="B873" s="2" t="s">
        <v>189</v>
      </c>
      <c r="C873" s="2" t="s">
        <v>30</v>
      </c>
      <c r="D873" s="2" t="s">
        <v>151</v>
      </c>
      <c r="E873" s="2" t="s">
        <v>141</v>
      </c>
      <c r="F873" s="2" t="s">
        <v>253</v>
      </c>
      <c r="G873" s="2" t="s">
        <v>213</v>
      </c>
      <c r="I873">
        <f>HEX2DEC(_0811_173439[[#This Row],[580C]])*B$4/B$5+B$6</f>
        <v>760</v>
      </c>
      <c r="J873">
        <f>HEX2DEC(_0811_173439[[#This Row],[4402]])*C$4/C$5+C$6</f>
        <v>36</v>
      </c>
      <c r="K873">
        <f>HEX2DEC(_0811_173439[[#This Row],[580F]])*D$4/D$5+D$6</f>
        <v>30</v>
      </c>
      <c r="L873">
        <f>ROUND(HEX2DEC(_0811_173439[[#This Row],[58F0]])*E$4/E$5+E$6,0)</f>
        <v>70</v>
      </c>
      <c r="M873">
        <f>ROUND(HEX2DEC(_0811_173439[[#This Row],[5805]])*F$4/F$5+F$6,0)</f>
        <v>43</v>
      </c>
      <c r="N873">
        <f>ROUND(HEX2DEC(_0811_173439[[#This Row],[58DD]])*G$4/G$5+G$6,2)</f>
        <v>-0.03</v>
      </c>
      <c r="P873">
        <v>760</v>
      </c>
      <c r="Q873">
        <v>36</v>
      </c>
      <c r="R873">
        <v>30</v>
      </c>
      <c r="S873">
        <v>70</v>
      </c>
      <c r="T873">
        <v>43</v>
      </c>
      <c r="U873">
        <v>-0.03</v>
      </c>
      <c r="W873">
        <f>DataLog_T717420_Aug11_4_59_37pm[[#This Row],[RPM '[1/MIN']]]-Table3[[#This Row],[580C]]</f>
        <v>0</v>
      </c>
      <c r="X873">
        <f>DataLog_T717420_Aug11_4_59_37pm[[#This Row],[OIL TEMP '[Â°C']]]-Table3[[#This Row],[4402]]</f>
        <v>0</v>
      </c>
      <c r="Y873">
        <f>DataLog_T717420_Aug11_4_59_37pm[[#This Row],[INTAKE TEMP '[Â°C']]]-Table3[[#This Row],[580F]]</f>
        <v>0</v>
      </c>
      <c r="Z873">
        <f>DataLog_T717420_Aug11_4_59_37pm[[#This Row],[HPFP PRES. '[BAR']]]-Table3[[#This Row],[58F0]]</f>
        <v>0</v>
      </c>
      <c r="AA873">
        <f>DataLog_T717420_Aug11_4_59_37pm[[#This Row],[COOLANT TEMP '[Â°C']]]-Table3[[#This Row],[5805]]</f>
        <v>0</v>
      </c>
      <c r="AB873">
        <f>DataLog_T717420_Aug11_4_59_37pm[[#This Row],[BOOST '[BAR']]]-Table3[[#This Row],[58DD]]</f>
        <v>0</v>
      </c>
    </row>
    <row r="874" spans="2:28" x14ac:dyDescent="0.25">
      <c r="B874" s="2" t="s">
        <v>189</v>
      </c>
      <c r="C874" s="2" t="s">
        <v>30</v>
      </c>
      <c r="D874" s="2" t="s">
        <v>151</v>
      </c>
      <c r="E874" s="2" t="s">
        <v>132</v>
      </c>
      <c r="F874" s="2" t="s">
        <v>253</v>
      </c>
      <c r="G874" s="2" t="s">
        <v>71</v>
      </c>
      <c r="I874">
        <f>HEX2DEC(_0811_173439[[#This Row],[580C]])*B$4/B$5+B$6</f>
        <v>760</v>
      </c>
      <c r="J874">
        <f>HEX2DEC(_0811_173439[[#This Row],[4402]])*C$4/C$5+C$6</f>
        <v>36</v>
      </c>
      <c r="K874">
        <f>HEX2DEC(_0811_173439[[#This Row],[580F]])*D$4/D$5+D$6</f>
        <v>30</v>
      </c>
      <c r="L874">
        <f>ROUND(HEX2DEC(_0811_173439[[#This Row],[58F0]])*E$4/E$5+E$6,0)</f>
        <v>70</v>
      </c>
      <c r="M874">
        <f>ROUND(HEX2DEC(_0811_173439[[#This Row],[5805]])*F$4/F$5+F$6,0)</f>
        <v>43</v>
      </c>
      <c r="N874">
        <f>ROUND(HEX2DEC(_0811_173439[[#This Row],[58DD]])*G$4/G$5+G$6,2)</f>
        <v>-0.03</v>
      </c>
      <c r="P874">
        <v>760</v>
      </c>
      <c r="Q874">
        <v>36</v>
      </c>
      <c r="R874">
        <v>30</v>
      </c>
      <c r="S874">
        <v>70</v>
      </c>
      <c r="T874">
        <v>43</v>
      </c>
      <c r="U874">
        <v>-0.03</v>
      </c>
      <c r="W874">
        <f>DataLog_T717420_Aug11_4_59_37pm[[#This Row],[RPM '[1/MIN']]]-Table3[[#This Row],[580C]]</f>
        <v>0</v>
      </c>
      <c r="X874">
        <f>DataLog_T717420_Aug11_4_59_37pm[[#This Row],[OIL TEMP '[Â°C']]]-Table3[[#This Row],[4402]]</f>
        <v>0</v>
      </c>
      <c r="Y874">
        <f>DataLog_T717420_Aug11_4_59_37pm[[#This Row],[INTAKE TEMP '[Â°C']]]-Table3[[#This Row],[580F]]</f>
        <v>0</v>
      </c>
      <c r="Z874">
        <f>DataLog_T717420_Aug11_4_59_37pm[[#This Row],[HPFP PRES. '[BAR']]]-Table3[[#This Row],[58F0]]</f>
        <v>0</v>
      </c>
      <c r="AA874">
        <f>DataLog_T717420_Aug11_4_59_37pm[[#This Row],[COOLANT TEMP '[Â°C']]]-Table3[[#This Row],[5805]]</f>
        <v>0</v>
      </c>
      <c r="AB874">
        <f>DataLog_T717420_Aug11_4_59_37pm[[#This Row],[BOOST '[BAR']]]-Table3[[#This Row],[58DD]]</f>
        <v>0</v>
      </c>
    </row>
    <row r="875" spans="2:28" x14ac:dyDescent="0.25">
      <c r="B875" s="2" t="s">
        <v>189</v>
      </c>
      <c r="C875" s="2" t="s">
        <v>30</v>
      </c>
      <c r="D875" s="2" t="s">
        <v>151</v>
      </c>
      <c r="E875" s="2" t="s">
        <v>127</v>
      </c>
      <c r="F875" s="2" t="s">
        <v>253</v>
      </c>
      <c r="G875" s="2" t="s">
        <v>216</v>
      </c>
      <c r="I875">
        <f>HEX2DEC(_0811_173439[[#This Row],[580C]])*B$4/B$5+B$6</f>
        <v>760</v>
      </c>
      <c r="J875">
        <f>HEX2DEC(_0811_173439[[#This Row],[4402]])*C$4/C$5+C$6</f>
        <v>36</v>
      </c>
      <c r="K875">
        <f>HEX2DEC(_0811_173439[[#This Row],[580F]])*D$4/D$5+D$6</f>
        <v>30</v>
      </c>
      <c r="L875">
        <f>ROUND(HEX2DEC(_0811_173439[[#This Row],[58F0]])*E$4/E$5+E$6,0)</f>
        <v>70</v>
      </c>
      <c r="M875">
        <f>ROUND(HEX2DEC(_0811_173439[[#This Row],[5805]])*F$4/F$5+F$6,0)</f>
        <v>43</v>
      </c>
      <c r="N875">
        <f>ROUND(HEX2DEC(_0811_173439[[#This Row],[58DD]])*G$4/G$5+G$6,2)</f>
        <v>-0.03</v>
      </c>
      <c r="P875">
        <v>760</v>
      </c>
      <c r="Q875">
        <v>36</v>
      </c>
      <c r="R875">
        <v>30</v>
      </c>
      <c r="S875">
        <v>70</v>
      </c>
      <c r="T875">
        <v>43</v>
      </c>
      <c r="U875">
        <v>-0.03</v>
      </c>
      <c r="W875">
        <f>DataLog_T717420_Aug11_4_59_37pm[[#This Row],[RPM '[1/MIN']]]-Table3[[#This Row],[580C]]</f>
        <v>0</v>
      </c>
      <c r="X875">
        <f>DataLog_T717420_Aug11_4_59_37pm[[#This Row],[OIL TEMP '[Â°C']]]-Table3[[#This Row],[4402]]</f>
        <v>0</v>
      </c>
      <c r="Y875">
        <f>DataLog_T717420_Aug11_4_59_37pm[[#This Row],[INTAKE TEMP '[Â°C']]]-Table3[[#This Row],[580F]]</f>
        <v>0</v>
      </c>
      <c r="Z875">
        <f>DataLog_T717420_Aug11_4_59_37pm[[#This Row],[HPFP PRES. '[BAR']]]-Table3[[#This Row],[58F0]]</f>
        <v>0</v>
      </c>
      <c r="AA875">
        <f>DataLog_T717420_Aug11_4_59_37pm[[#This Row],[COOLANT TEMP '[Â°C']]]-Table3[[#This Row],[5805]]</f>
        <v>0</v>
      </c>
      <c r="AB875">
        <f>DataLog_T717420_Aug11_4_59_37pm[[#This Row],[BOOST '[BAR']]]-Table3[[#This Row],[58DD]]</f>
        <v>0</v>
      </c>
    </row>
    <row r="876" spans="2:28" x14ac:dyDescent="0.25">
      <c r="B876" s="2" t="s">
        <v>189</v>
      </c>
      <c r="C876" s="2" t="s">
        <v>30</v>
      </c>
      <c r="D876" s="2" t="s">
        <v>151</v>
      </c>
      <c r="E876" s="2" t="s">
        <v>93</v>
      </c>
      <c r="F876" s="2" t="s">
        <v>253</v>
      </c>
      <c r="G876" s="2" t="s">
        <v>216</v>
      </c>
      <c r="I876">
        <f>HEX2DEC(_0811_173439[[#This Row],[580C]])*B$4/B$5+B$6</f>
        <v>760</v>
      </c>
      <c r="J876">
        <f>HEX2DEC(_0811_173439[[#This Row],[4402]])*C$4/C$5+C$6</f>
        <v>36</v>
      </c>
      <c r="K876">
        <f>HEX2DEC(_0811_173439[[#This Row],[580F]])*D$4/D$5+D$6</f>
        <v>30</v>
      </c>
      <c r="L876">
        <f>ROUND(HEX2DEC(_0811_173439[[#This Row],[58F0]])*E$4/E$5+E$6,0)</f>
        <v>70</v>
      </c>
      <c r="M876">
        <f>ROUND(HEX2DEC(_0811_173439[[#This Row],[5805]])*F$4/F$5+F$6,0)</f>
        <v>43</v>
      </c>
      <c r="N876">
        <f>ROUND(HEX2DEC(_0811_173439[[#This Row],[58DD]])*G$4/G$5+G$6,2)</f>
        <v>-0.03</v>
      </c>
      <c r="P876">
        <v>760</v>
      </c>
      <c r="Q876">
        <v>36</v>
      </c>
      <c r="R876">
        <v>30</v>
      </c>
      <c r="S876">
        <v>70</v>
      </c>
      <c r="T876">
        <v>43</v>
      </c>
      <c r="U876">
        <v>-0.03</v>
      </c>
      <c r="W876">
        <f>DataLog_T717420_Aug11_4_59_37pm[[#This Row],[RPM '[1/MIN']]]-Table3[[#This Row],[580C]]</f>
        <v>0</v>
      </c>
      <c r="X876">
        <f>DataLog_T717420_Aug11_4_59_37pm[[#This Row],[OIL TEMP '[Â°C']]]-Table3[[#This Row],[4402]]</f>
        <v>0</v>
      </c>
      <c r="Y876">
        <f>DataLog_T717420_Aug11_4_59_37pm[[#This Row],[INTAKE TEMP '[Â°C']]]-Table3[[#This Row],[580F]]</f>
        <v>0</v>
      </c>
      <c r="Z876">
        <f>DataLog_T717420_Aug11_4_59_37pm[[#This Row],[HPFP PRES. '[BAR']]]-Table3[[#This Row],[58F0]]</f>
        <v>0</v>
      </c>
      <c r="AA876">
        <f>DataLog_T717420_Aug11_4_59_37pm[[#This Row],[COOLANT TEMP '[Â°C']]]-Table3[[#This Row],[5805]]</f>
        <v>0</v>
      </c>
      <c r="AB876">
        <f>DataLog_T717420_Aug11_4_59_37pm[[#This Row],[BOOST '[BAR']]]-Table3[[#This Row],[58DD]]</f>
        <v>0</v>
      </c>
    </row>
    <row r="877" spans="2:28" x14ac:dyDescent="0.25">
      <c r="B877" s="2" t="s">
        <v>189</v>
      </c>
      <c r="C877" s="2" t="s">
        <v>30</v>
      </c>
      <c r="D877" s="2" t="s">
        <v>151</v>
      </c>
      <c r="E877" s="2" t="s">
        <v>157</v>
      </c>
      <c r="F877" s="2" t="s">
        <v>253</v>
      </c>
      <c r="G877" s="2" t="s">
        <v>71</v>
      </c>
      <c r="I877">
        <f>HEX2DEC(_0811_173439[[#This Row],[580C]])*B$4/B$5+B$6</f>
        <v>760</v>
      </c>
      <c r="J877">
        <f>HEX2DEC(_0811_173439[[#This Row],[4402]])*C$4/C$5+C$6</f>
        <v>36</v>
      </c>
      <c r="K877">
        <f>HEX2DEC(_0811_173439[[#This Row],[580F]])*D$4/D$5+D$6</f>
        <v>30</v>
      </c>
      <c r="L877">
        <f>ROUND(HEX2DEC(_0811_173439[[#This Row],[58F0]])*E$4/E$5+E$6,0)</f>
        <v>70</v>
      </c>
      <c r="M877">
        <f>ROUND(HEX2DEC(_0811_173439[[#This Row],[5805]])*F$4/F$5+F$6,0)</f>
        <v>43</v>
      </c>
      <c r="N877">
        <f>ROUND(HEX2DEC(_0811_173439[[#This Row],[58DD]])*G$4/G$5+G$6,2)</f>
        <v>-0.03</v>
      </c>
      <c r="P877">
        <v>760</v>
      </c>
      <c r="Q877">
        <v>36</v>
      </c>
      <c r="R877">
        <v>30</v>
      </c>
      <c r="S877">
        <v>70</v>
      </c>
      <c r="T877">
        <v>43</v>
      </c>
      <c r="U877">
        <v>-0.03</v>
      </c>
      <c r="W877">
        <f>DataLog_T717420_Aug11_4_59_37pm[[#This Row],[RPM '[1/MIN']]]-Table3[[#This Row],[580C]]</f>
        <v>0</v>
      </c>
      <c r="X877">
        <f>DataLog_T717420_Aug11_4_59_37pm[[#This Row],[OIL TEMP '[Â°C']]]-Table3[[#This Row],[4402]]</f>
        <v>0</v>
      </c>
      <c r="Y877">
        <f>DataLog_T717420_Aug11_4_59_37pm[[#This Row],[INTAKE TEMP '[Â°C']]]-Table3[[#This Row],[580F]]</f>
        <v>0</v>
      </c>
      <c r="Z877">
        <f>DataLog_T717420_Aug11_4_59_37pm[[#This Row],[HPFP PRES. '[BAR']]]-Table3[[#This Row],[58F0]]</f>
        <v>0</v>
      </c>
      <c r="AA877">
        <f>DataLog_T717420_Aug11_4_59_37pm[[#This Row],[COOLANT TEMP '[Â°C']]]-Table3[[#This Row],[5805]]</f>
        <v>0</v>
      </c>
      <c r="AB877">
        <f>DataLog_T717420_Aug11_4_59_37pm[[#This Row],[BOOST '[BAR']]]-Table3[[#This Row],[58DD]]</f>
        <v>0</v>
      </c>
    </row>
    <row r="878" spans="2:28" x14ac:dyDescent="0.25">
      <c r="B878" s="2" t="s">
        <v>189</v>
      </c>
      <c r="C878" s="2" t="s">
        <v>30</v>
      </c>
      <c r="D878" s="2" t="s">
        <v>151</v>
      </c>
      <c r="E878" s="2" t="s">
        <v>93</v>
      </c>
      <c r="F878" s="2" t="s">
        <v>253</v>
      </c>
      <c r="G878" s="2" t="s">
        <v>96</v>
      </c>
      <c r="I878">
        <f>HEX2DEC(_0811_173439[[#This Row],[580C]])*B$4/B$5+B$6</f>
        <v>760</v>
      </c>
      <c r="J878">
        <f>HEX2DEC(_0811_173439[[#This Row],[4402]])*C$4/C$5+C$6</f>
        <v>36</v>
      </c>
      <c r="K878">
        <f>HEX2DEC(_0811_173439[[#This Row],[580F]])*D$4/D$5+D$6</f>
        <v>30</v>
      </c>
      <c r="L878">
        <f>ROUND(HEX2DEC(_0811_173439[[#This Row],[58F0]])*E$4/E$5+E$6,0)</f>
        <v>70</v>
      </c>
      <c r="M878">
        <f>ROUND(HEX2DEC(_0811_173439[[#This Row],[5805]])*F$4/F$5+F$6,0)</f>
        <v>43</v>
      </c>
      <c r="N878">
        <f>ROUND(HEX2DEC(_0811_173439[[#This Row],[58DD]])*G$4/G$5+G$6,2)</f>
        <v>-0.03</v>
      </c>
      <c r="P878">
        <v>760</v>
      </c>
      <c r="Q878">
        <v>36</v>
      </c>
      <c r="R878">
        <v>30</v>
      </c>
      <c r="S878">
        <v>70</v>
      </c>
      <c r="T878">
        <v>43</v>
      </c>
      <c r="U878">
        <v>-0.03</v>
      </c>
      <c r="W878">
        <f>DataLog_T717420_Aug11_4_59_37pm[[#This Row],[RPM '[1/MIN']]]-Table3[[#This Row],[580C]]</f>
        <v>0</v>
      </c>
      <c r="X878">
        <f>DataLog_T717420_Aug11_4_59_37pm[[#This Row],[OIL TEMP '[Â°C']]]-Table3[[#This Row],[4402]]</f>
        <v>0</v>
      </c>
      <c r="Y878">
        <f>DataLog_T717420_Aug11_4_59_37pm[[#This Row],[INTAKE TEMP '[Â°C']]]-Table3[[#This Row],[580F]]</f>
        <v>0</v>
      </c>
      <c r="Z878">
        <f>DataLog_T717420_Aug11_4_59_37pm[[#This Row],[HPFP PRES. '[BAR']]]-Table3[[#This Row],[58F0]]</f>
        <v>0</v>
      </c>
      <c r="AA878">
        <f>DataLog_T717420_Aug11_4_59_37pm[[#This Row],[COOLANT TEMP '[Â°C']]]-Table3[[#This Row],[5805]]</f>
        <v>0</v>
      </c>
      <c r="AB878">
        <f>DataLog_T717420_Aug11_4_59_37pm[[#This Row],[BOOST '[BAR']]]-Table3[[#This Row],[58DD]]</f>
        <v>0</v>
      </c>
    </row>
    <row r="879" spans="2:28" x14ac:dyDescent="0.25">
      <c r="B879" s="2" t="s">
        <v>189</v>
      </c>
      <c r="C879" s="2" t="s">
        <v>30</v>
      </c>
      <c r="D879" s="2" t="s">
        <v>151</v>
      </c>
      <c r="E879" s="2" t="s">
        <v>93</v>
      </c>
      <c r="F879" s="2" t="s">
        <v>253</v>
      </c>
      <c r="G879" s="2" t="s">
        <v>235</v>
      </c>
      <c r="I879">
        <f>HEX2DEC(_0811_173439[[#This Row],[580C]])*B$4/B$5+B$6</f>
        <v>760</v>
      </c>
      <c r="J879">
        <f>HEX2DEC(_0811_173439[[#This Row],[4402]])*C$4/C$5+C$6</f>
        <v>36</v>
      </c>
      <c r="K879">
        <f>HEX2DEC(_0811_173439[[#This Row],[580F]])*D$4/D$5+D$6</f>
        <v>30</v>
      </c>
      <c r="L879">
        <f>ROUND(HEX2DEC(_0811_173439[[#This Row],[58F0]])*E$4/E$5+E$6,0)</f>
        <v>70</v>
      </c>
      <c r="M879">
        <f>ROUND(HEX2DEC(_0811_173439[[#This Row],[5805]])*F$4/F$5+F$6,0)</f>
        <v>43</v>
      </c>
      <c r="N879">
        <f>ROUND(HEX2DEC(_0811_173439[[#This Row],[58DD]])*G$4/G$5+G$6,2)</f>
        <v>-0.03</v>
      </c>
      <c r="P879">
        <v>760</v>
      </c>
      <c r="Q879">
        <v>36</v>
      </c>
      <c r="R879">
        <v>30</v>
      </c>
      <c r="S879">
        <v>70</v>
      </c>
      <c r="T879">
        <v>43</v>
      </c>
      <c r="U879">
        <v>-0.03</v>
      </c>
      <c r="W879">
        <f>DataLog_T717420_Aug11_4_59_37pm[[#This Row],[RPM '[1/MIN']]]-Table3[[#This Row],[580C]]</f>
        <v>0</v>
      </c>
      <c r="X879">
        <f>DataLog_T717420_Aug11_4_59_37pm[[#This Row],[OIL TEMP '[Â°C']]]-Table3[[#This Row],[4402]]</f>
        <v>0</v>
      </c>
      <c r="Y879">
        <f>DataLog_T717420_Aug11_4_59_37pm[[#This Row],[INTAKE TEMP '[Â°C']]]-Table3[[#This Row],[580F]]</f>
        <v>0</v>
      </c>
      <c r="Z879">
        <f>DataLog_T717420_Aug11_4_59_37pm[[#This Row],[HPFP PRES. '[BAR']]]-Table3[[#This Row],[58F0]]</f>
        <v>0</v>
      </c>
      <c r="AA879">
        <f>DataLog_T717420_Aug11_4_59_37pm[[#This Row],[COOLANT TEMP '[Â°C']]]-Table3[[#This Row],[5805]]</f>
        <v>0</v>
      </c>
      <c r="AB879">
        <f>DataLog_T717420_Aug11_4_59_37pm[[#This Row],[BOOST '[BAR']]]-Table3[[#This Row],[58DD]]</f>
        <v>0</v>
      </c>
    </row>
    <row r="880" spans="2:28" x14ac:dyDescent="0.25">
      <c r="B880" s="2" t="s">
        <v>183</v>
      </c>
      <c r="C880" s="2" t="s">
        <v>30</v>
      </c>
      <c r="D880" s="2" t="s">
        <v>151</v>
      </c>
      <c r="E880" s="2" t="s">
        <v>125</v>
      </c>
      <c r="F880" s="2" t="s">
        <v>253</v>
      </c>
      <c r="G880" s="2" t="s">
        <v>216</v>
      </c>
      <c r="I880">
        <f>HEX2DEC(_0811_173439[[#This Row],[580C]])*B$4/B$5+B$6</f>
        <v>800</v>
      </c>
      <c r="J880">
        <f>HEX2DEC(_0811_173439[[#This Row],[4402]])*C$4/C$5+C$6</f>
        <v>36</v>
      </c>
      <c r="K880">
        <f>HEX2DEC(_0811_173439[[#This Row],[580F]])*D$4/D$5+D$6</f>
        <v>30</v>
      </c>
      <c r="L880">
        <f>ROUND(HEX2DEC(_0811_173439[[#This Row],[58F0]])*E$4/E$5+E$6,0)</f>
        <v>70</v>
      </c>
      <c r="M880">
        <f>ROUND(HEX2DEC(_0811_173439[[#This Row],[5805]])*F$4/F$5+F$6,0)</f>
        <v>43</v>
      </c>
      <c r="N880">
        <f>ROUND(HEX2DEC(_0811_173439[[#This Row],[58DD]])*G$4/G$5+G$6,2)</f>
        <v>-0.03</v>
      </c>
      <c r="P880">
        <v>800</v>
      </c>
      <c r="Q880">
        <v>36</v>
      </c>
      <c r="R880">
        <v>30</v>
      </c>
      <c r="S880">
        <v>70</v>
      </c>
      <c r="T880">
        <v>43</v>
      </c>
      <c r="U880">
        <v>-0.03</v>
      </c>
      <c r="W880">
        <f>DataLog_T717420_Aug11_4_59_37pm[[#This Row],[RPM '[1/MIN']]]-Table3[[#This Row],[580C]]</f>
        <v>0</v>
      </c>
      <c r="X880">
        <f>DataLog_T717420_Aug11_4_59_37pm[[#This Row],[OIL TEMP '[Â°C']]]-Table3[[#This Row],[4402]]</f>
        <v>0</v>
      </c>
      <c r="Y880">
        <f>DataLog_T717420_Aug11_4_59_37pm[[#This Row],[INTAKE TEMP '[Â°C']]]-Table3[[#This Row],[580F]]</f>
        <v>0</v>
      </c>
      <c r="Z880">
        <f>DataLog_T717420_Aug11_4_59_37pm[[#This Row],[HPFP PRES. '[BAR']]]-Table3[[#This Row],[58F0]]</f>
        <v>0</v>
      </c>
      <c r="AA880">
        <f>DataLog_T717420_Aug11_4_59_37pm[[#This Row],[COOLANT TEMP '[Â°C']]]-Table3[[#This Row],[5805]]</f>
        <v>0</v>
      </c>
      <c r="AB880">
        <f>DataLog_T717420_Aug11_4_59_37pm[[#This Row],[BOOST '[BAR']]]-Table3[[#This Row],[58DD]]</f>
        <v>0</v>
      </c>
    </row>
    <row r="881" spans="2:28" x14ac:dyDescent="0.25">
      <c r="B881" s="2" t="s">
        <v>183</v>
      </c>
      <c r="C881" s="2" t="s">
        <v>30</v>
      </c>
      <c r="D881" s="2" t="s">
        <v>151</v>
      </c>
      <c r="E881" s="2" t="s">
        <v>93</v>
      </c>
      <c r="F881" s="2" t="s">
        <v>253</v>
      </c>
      <c r="G881" s="2" t="s">
        <v>191</v>
      </c>
      <c r="I881">
        <f>HEX2DEC(_0811_173439[[#This Row],[580C]])*B$4/B$5+B$6</f>
        <v>800</v>
      </c>
      <c r="J881">
        <f>HEX2DEC(_0811_173439[[#This Row],[4402]])*C$4/C$5+C$6</f>
        <v>36</v>
      </c>
      <c r="K881">
        <f>HEX2DEC(_0811_173439[[#This Row],[580F]])*D$4/D$5+D$6</f>
        <v>30</v>
      </c>
      <c r="L881">
        <f>ROUND(HEX2DEC(_0811_173439[[#This Row],[58F0]])*E$4/E$5+E$6,0)</f>
        <v>70</v>
      </c>
      <c r="M881">
        <f>ROUND(HEX2DEC(_0811_173439[[#This Row],[5805]])*F$4/F$5+F$6,0)</f>
        <v>43</v>
      </c>
      <c r="N881">
        <f>ROUND(HEX2DEC(_0811_173439[[#This Row],[58DD]])*G$4/G$5+G$6,2)</f>
        <v>-0.03</v>
      </c>
      <c r="P881">
        <v>800</v>
      </c>
      <c r="Q881">
        <v>36</v>
      </c>
      <c r="R881">
        <v>30</v>
      </c>
      <c r="S881">
        <v>70</v>
      </c>
      <c r="T881">
        <v>43</v>
      </c>
      <c r="U881">
        <v>-0.03</v>
      </c>
      <c r="W881">
        <f>DataLog_T717420_Aug11_4_59_37pm[[#This Row],[RPM '[1/MIN']]]-Table3[[#This Row],[580C]]</f>
        <v>0</v>
      </c>
      <c r="X881">
        <f>DataLog_T717420_Aug11_4_59_37pm[[#This Row],[OIL TEMP '[Â°C']]]-Table3[[#This Row],[4402]]</f>
        <v>0</v>
      </c>
      <c r="Y881">
        <f>DataLog_T717420_Aug11_4_59_37pm[[#This Row],[INTAKE TEMP '[Â°C']]]-Table3[[#This Row],[580F]]</f>
        <v>0</v>
      </c>
      <c r="Z881">
        <f>DataLog_T717420_Aug11_4_59_37pm[[#This Row],[HPFP PRES. '[BAR']]]-Table3[[#This Row],[58F0]]</f>
        <v>0</v>
      </c>
      <c r="AA881">
        <f>DataLog_T717420_Aug11_4_59_37pm[[#This Row],[COOLANT TEMP '[Â°C']]]-Table3[[#This Row],[5805]]</f>
        <v>0</v>
      </c>
      <c r="AB881">
        <f>DataLog_T717420_Aug11_4_59_37pm[[#This Row],[BOOST '[BAR']]]-Table3[[#This Row],[58DD]]</f>
        <v>0</v>
      </c>
    </row>
    <row r="882" spans="2:28" x14ac:dyDescent="0.25">
      <c r="B882" s="2" t="s">
        <v>183</v>
      </c>
      <c r="C882" s="2" t="s">
        <v>30</v>
      </c>
      <c r="D882" s="2" t="s">
        <v>151</v>
      </c>
      <c r="E882" s="2" t="s">
        <v>93</v>
      </c>
      <c r="F882" s="2" t="s">
        <v>253</v>
      </c>
      <c r="G882" s="2" t="s">
        <v>190</v>
      </c>
      <c r="I882">
        <f>HEX2DEC(_0811_173439[[#This Row],[580C]])*B$4/B$5+B$6</f>
        <v>800</v>
      </c>
      <c r="J882">
        <f>HEX2DEC(_0811_173439[[#This Row],[4402]])*C$4/C$5+C$6</f>
        <v>36</v>
      </c>
      <c r="K882">
        <f>HEX2DEC(_0811_173439[[#This Row],[580F]])*D$4/D$5+D$6</f>
        <v>30</v>
      </c>
      <c r="L882">
        <f>ROUND(HEX2DEC(_0811_173439[[#This Row],[58F0]])*E$4/E$5+E$6,0)</f>
        <v>70</v>
      </c>
      <c r="M882">
        <f>ROUND(HEX2DEC(_0811_173439[[#This Row],[5805]])*F$4/F$5+F$6,0)</f>
        <v>43</v>
      </c>
      <c r="N882">
        <f>ROUND(HEX2DEC(_0811_173439[[#This Row],[58DD]])*G$4/G$5+G$6,2)</f>
        <v>-0.03</v>
      </c>
      <c r="P882">
        <v>800</v>
      </c>
      <c r="Q882">
        <v>36</v>
      </c>
      <c r="R882">
        <v>30</v>
      </c>
      <c r="S882">
        <v>70</v>
      </c>
      <c r="T882">
        <v>43</v>
      </c>
      <c r="U882">
        <v>-0.03</v>
      </c>
      <c r="W882">
        <f>DataLog_T717420_Aug11_4_59_37pm[[#This Row],[RPM '[1/MIN']]]-Table3[[#This Row],[580C]]</f>
        <v>0</v>
      </c>
      <c r="X882">
        <f>DataLog_T717420_Aug11_4_59_37pm[[#This Row],[OIL TEMP '[Â°C']]]-Table3[[#This Row],[4402]]</f>
        <v>0</v>
      </c>
      <c r="Y882">
        <f>DataLog_T717420_Aug11_4_59_37pm[[#This Row],[INTAKE TEMP '[Â°C']]]-Table3[[#This Row],[580F]]</f>
        <v>0</v>
      </c>
      <c r="Z882">
        <f>DataLog_T717420_Aug11_4_59_37pm[[#This Row],[HPFP PRES. '[BAR']]]-Table3[[#This Row],[58F0]]</f>
        <v>0</v>
      </c>
      <c r="AA882">
        <f>DataLog_T717420_Aug11_4_59_37pm[[#This Row],[COOLANT TEMP '[Â°C']]]-Table3[[#This Row],[5805]]</f>
        <v>0</v>
      </c>
      <c r="AB882">
        <f>DataLog_T717420_Aug11_4_59_37pm[[#This Row],[BOOST '[BAR']]]-Table3[[#This Row],[58DD]]</f>
        <v>0</v>
      </c>
    </row>
    <row r="883" spans="2:28" x14ac:dyDescent="0.25">
      <c r="B883" s="2" t="s">
        <v>189</v>
      </c>
      <c r="C883" s="2" t="s">
        <v>30</v>
      </c>
      <c r="D883" s="2" t="s">
        <v>151</v>
      </c>
      <c r="E883" s="2" t="s">
        <v>125</v>
      </c>
      <c r="F883" s="2" t="s">
        <v>253</v>
      </c>
      <c r="G883" s="2" t="s">
        <v>53</v>
      </c>
      <c r="I883">
        <f>HEX2DEC(_0811_173439[[#This Row],[580C]])*B$4/B$5+B$6</f>
        <v>760</v>
      </c>
      <c r="J883">
        <f>HEX2DEC(_0811_173439[[#This Row],[4402]])*C$4/C$5+C$6</f>
        <v>36</v>
      </c>
      <c r="K883">
        <f>HEX2DEC(_0811_173439[[#This Row],[580F]])*D$4/D$5+D$6</f>
        <v>30</v>
      </c>
      <c r="L883">
        <f>ROUND(HEX2DEC(_0811_173439[[#This Row],[58F0]])*E$4/E$5+E$6,0)</f>
        <v>70</v>
      </c>
      <c r="M883">
        <f>ROUND(HEX2DEC(_0811_173439[[#This Row],[5805]])*F$4/F$5+F$6,0)</f>
        <v>43</v>
      </c>
      <c r="N883">
        <f>ROUND(HEX2DEC(_0811_173439[[#This Row],[58DD]])*G$4/G$5+G$6,2)</f>
        <v>-0.03</v>
      </c>
      <c r="P883">
        <v>760</v>
      </c>
      <c r="Q883">
        <v>36</v>
      </c>
      <c r="R883">
        <v>30</v>
      </c>
      <c r="S883">
        <v>70</v>
      </c>
      <c r="T883">
        <v>43</v>
      </c>
      <c r="U883">
        <v>-0.03</v>
      </c>
      <c r="W883">
        <f>DataLog_T717420_Aug11_4_59_37pm[[#This Row],[RPM '[1/MIN']]]-Table3[[#This Row],[580C]]</f>
        <v>0</v>
      </c>
      <c r="X883">
        <f>DataLog_T717420_Aug11_4_59_37pm[[#This Row],[OIL TEMP '[Â°C']]]-Table3[[#This Row],[4402]]</f>
        <v>0</v>
      </c>
      <c r="Y883">
        <f>DataLog_T717420_Aug11_4_59_37pm[[#This Row],[INTAKE TEMP '[Â°C']]]-Table3[[#This Row],[580F]]</f>
        <v>0</v>
      </c>
      <c r="Z883">
        <f>DataLog_T717420_Aug11_4_59_37pm[[#This Row],[HPFP PRES. '[BAR']]]-Table3[[#This Row],[58F0]]</f>
        <v>0</v>
      </c>
      <c r="AA883">
        <f>DataLog_T717420_Aug11_4_59_37pm[[#This Row],[COOLANT TEMP '[Â°C']]]-Table3[[#This Row],[5805]]</f>
        <v>0</v>
      </c>
      <c r="AB883">
        <f>DataLog_T717420_Aug11_4_59_37pm[[#This Row],[BOOST '[BAR']]]-Table3[[#This Row],[58DD]]</f>
        <v>0</v>
      </c>
    </row>
    <row r="884" spans="2:28" x14ac:dyDescent="0.25">
      <c r="B884" s="2" t="s">
        <v>189</v>
      </c>
      <c r="C884" s="2" t="s">
        <v>30</v>
      </c>
      <c r="D884" s="2" t="s">
        <v>151</v>
      </c>
      <c r="E884" s="2" t="s">
        <v>178</v>
      </c>
      <c r="F884" s="2" t="s">
        <v>253</v>
      </c>
      <c r="G884" s="2" t="s">
        <v>191</v>
      </c>
      <c r="I884">
        <f>HEX2DEC(_0811_173439[[#This Row],[580C]])*B$4/B$5+B$6</f>
        <v>760</v>
      </c>
      <c r="J884">
        <f>HEX2DEC(_0811_173439[[#This Row],[4402]])*C$4/C$5+C$6</f>
        <v>36</v>
      </c>
      <c r="K884">
        <f>HEX2DEC(_0811_173439[[#This Row],[580F]])*D$4/D$5+D$6</f>
        <v>30</v>
      </c>
      <c r="L884">
        <f>ROUND(HEX2DEC(_0811_173439[[#This Row],[58F0]])*E$4/E$5+E$6,0)</f>
        <v>71</v>
      </c>
      <c r="M884">
        <f>ROUND(HEX2DEC(_0811_173439[[#This Row],[5805]])*F$4/F$5+F$6,0)</f>
        <v>43</v>
      </c>
      <c r="N884">
        <f>ROUND(HEX2DEC(_0811_173439[[#This Row],[58DD]])*G$4/G$5+G$6,2)</f>
        <v>-0.03</v>
      </c>
      <c r="P884">
        <v>760</v>
      </c>
      <c r="Q884">
        <v>36</v>
      </c>
      <c r="R884">
        <v>30</v>
      </c>
      <c r="S884">
        <v>71</v>
      </c>
      <c r="T884">
        <v>43</v>
      </c>
      <c r="U884">
        <v>-0.03</v>
      </c>
      <c r="W884">
        <f>DataLog_T717420_Aug11_4_59_37pm[[#This Row],[RPM '[1/MIN']]]-Table3[[#This Row],[580C]]</f>
        <v>0</v>
      </c>
      <c r="X884">
        <f>DataLog_T717420_Aug11_4_59_37pm[[#This Row],[OIL TEMP '[Â°C']]]-Table3[[#This Row],[4402]]</f>
        <v>0</v>
      </c>
      <c r="Y884">
        <f>DataLog_T717420_Aug11_4_59_37pm[[#This Row],[INTAKE TEMP '[Â°C']]]-Table3[[#This Row],[580F]]</f>
        <v>0</v>
      </c>
      <c r="Z884">
        <f>DataLog_T717420_Aug11_4_59_37pm[[#This Row],[HPFP PRES. '[BAR']]]-Table3[[#This Row],[58F0]]</f>
        <v>0</v>
      </c>
      <c r="AA884">
        <f>DataLog_T717420_Aug11_4_59_37pm[[#This Row],[COOLANT TEMP '[Â°C']]]-Table3[[#This Row],[5805]]</f>
        <v>0</v>
      </c>
      <c r="AB884">
        <f>DataLog_T717420_Aug11_4_59_37pm[[#This Row],[BOOST '[BAR']]]-Table3[[#This Row],[58DD]]</f>
        <v>0</v>
      </c>
    </row>
    <row r="885" spans="2:28" x14ac:dyDescent="0.25">
      <c r="B885" s="2" t="s">
        <v>189</v>
      </c>
      <c r="C885" s="2" t="s">
        <v>30</v>
      </c>
      <c r="D885" s="2" t="s">
        <v>151</v>
      </c>
      <c r="E885" s="2" t="s">
        <v>188</v>
      </c>
      <c r="F885" s="2" t="s">
        <v>253</v>
      </c>
      <c r="G885" s="2" t="s">
        <v>53</v>
      </c>
      <c r="I885">
        <f>HEX2DEC(_0811_173439[[#This Row],[580C]])*B$4/B$5+B$6</f>
        <v>760</v>
      </c>
      <c r="J885">
        <f>HEX2DEC(_0811_173439[[#This Row],[4402]])*C$4/C$5+C$6</f>
        <v>36</v>
      </c>
      <c r="K885">
        <f>HEX2DEC(_0811_173439[[#This Row],[580F]])*D$4/D$5+D$6</f>
        <v>30</v>
      </c>
      <c r="L885">
        <f>ROUND(HEX2DEC(_0811_173439[[#This Row],[58F0]])*E$4/E$5+E$6,0)</f>
        <v>71</v>
      </c>
      <c r="M885">
        <f>ROUND(HEX2DEC(_0811_173439[[#This Row],[5805]])*F$4/F$5+F$6,0)</f>
        <v>43</v>
      </c>
      <c r="N885">
        <f>ROUND(HEX2DEC(_0811_173439[[#This Row],[58DD]])*G$4/G$5+G$6,2)</f>
        <v>-0.03</v>
      </c>
      <c r="P885">
        <v>760</v>
      </c>
      <c r="Q885">
        <v>36</v>
      </c>
      <c r="R885">
        <v>30</v>
      </c>
      <c r="S885">
        <v>71</v>
      </c>
      <c r="T885">
        <v>43</v>
      </c>
      <c r="U885">
        <v>-0.03</v>
      </c>
      <c r="W885">
        <f>DataLog_T717420_Aug11_4_59_37pm[[#This Row],[RPM '[1/MIN']]]-Table3[[#This Row],[580C]]</f>
        <v>0</v>
      </c>
      <c r="X885">
        <f>DataLog_T717420_Aug11_4_59_37pm[[#This Row],[OIL TEMP '[Â°C']]]-Table3[[#This Row],[4402]]</f>
        <v>0</v>
      </c>
      <c r="Y885">
        <f>DataLog_T717420_Aug11_4_59_37pm[[#This Row],[INTAKE TEMP '[Â°C']]]-Table3[[#This Row],[580F]]</f>
        <v>0</v>
      </c>
      <c r="Z885">
        <f>DataLog_T717420_Aug11_4_59_37pm[[#This Row],[HPFP PRES. '[BAR']]]-Table3[[#This Row],[58F0]]</f>
        <v>0</v>
      </c>
      <c r="AA885">
        <f>DataLog_T717420_Aug11_4_59_37pm[[#This Row],[COOLANT TEMP '[Â°C']]]-Table3[[#This Row],[5805]]</f>
        <v>0</v>
      </c>
      <c r="AB885">
        <f>DataLog_T717420_Aug11_4_59_37pm[[#This Row],[BOOST '[BAR']]]-Table3[[#This Row],[58DD]]</f>
        <v>0</v>
      </c>
    </row>
    <row r="886" spans="2:28" x14ac:dyDescent="0.25">
      <c r="B886" s="2" t="s">
        <v>189</v>
      </c>
      <c r="C886" s="2" t="s">
        <v>30</v>
      </c>
      <c r="D886" s="2" t="s">
        <v>151</v>
      </c>
      <c r="E886" s="2" t="s">
        <v>206</v>
      </c>
      <c r="F886" s="2" t="s">
        <v>253</v>
      </c>
      <c r="G886" s="2" t="s">
        <v>90</v>
      </c>
      <c r="I886">
        <f>HEX2DEC(_0811_173439[[#This Row],[580C]])*B$4/B$5+B$6</f>
        <v>760</v>
      </c>
      <c r="J886">
        <f>HEX2DEC(_0811_173439[[#This Row],[4402]])*C$4/C$5+C$6</f>
        <v>36</v>
      </c>
      <c r="K886">
        <f>HEX2DEC(_0811_173439[[#This Row],[580F]])*D$4/D$5+D$6</f>
        <v>30</v>
      </c>
      <c r="L886">
        <f>ROUND(HEX2DEC(_0811_173439[[#This Row],[58F0]])*E$4/E$5+E$6,0)</f>
        <v>71</v>
      </c>
      <c r="M886">
        <f>ROUND(HEX2DEC(_0811_173439[[#This Row],[5805]])*F$4/F$5+F$6,0)</f>
        <v>43</v>
      </c>
      <c r="N886">
        <f>ROUND(HEX2DEC(_0811_173439[[#This Row],[58DD]])*G$4/G$5+G$6,2)</f>
        <v>-0.03</v>
      </c>
      <c r="P886">
        <v>760</v>
      </c>
      <c r="Q886">
        <v>36</v>
      </c>
      <c r="R886">
        <v>30</v>
      </c>
      <c r="S886">
        <v>71</v>
      </c>
      <c r="T886">
        <v>43</v>
      </c>
      <c r="U886">
        <v>-0.03</v>
      </c>
      <c r="W886">
        <f>DataLog_T717420_Aug11_4_59_37pm[[#This Row],[RPM '[1/MIN']]]-Table3[[#This Row],[580C]]</f>
        <v>0</v>
      </c>
      <c r="X886">
        <f>DataLog_T717420_Aug11_4_59_37pm[[#This Row],[OIL TEMP '[Â°C']]]-Table3[[#This Row],[4402]]</f>
        <v>0</v>
      </c>
      <c r="Y886">
        <f>DataLog_T717420_Aug11_4_59_37pm[[#This Row],[INTAKE TEMP '[Â°C']]]-Table3[[#This Row],[580F]]</f>
        <v>0</v>
      </c>
      <c r="Z886">
        <f>DataLog_T717420_Aug11_4_59_37pm[[#This Row],[HPFP PRES. '[BAR']]]-Table3[[#This Row],[58F0]]</f>
        <v>0</v>
      </c>
      <c r="AA886">
        <f>DataLog_T717420_Aug11_4_59_37pm[[#This Row],[COOLANT TEMP '[Â°C']]]-Table3[[#This Row],[5805]]</f>
        <v>0</v>
      </c>
      <c r="AB886">
        <f>DataLog_T717420_Aug11_4_59_37pm[[#This Row],[BOOST '[BAR']]]-Table3[[#This Row],[58DD]]</f>
        <v>0</v>
      </c>
    </row>
    <row r="887" spans="2:28" x14ac:dyDescent="0.25">
      <c r="B887" s="2" t="s">
        <v>189</v>
      </c>
      <c r="C887" s="2" t="s">
        <v>30</v>
      </c>
      <c r="D887" s="2" t="s">
        <v>151</v>
      </c>
      <c r="E887" s="2" t="s">
        <v>205</v>
      </c>
      <c r="F887" s="2" t="s">
        <v>253</v>
      </c>
      <c r="G887" s="2" t="s">
        <v>96</v>
      </c>
      <c r="I887">
        <f>HEX2DEC(_0811_173439[[#This Row],[580C]])*B$4/B$5+B$6</f>
        <v>760</v>
      </c>
      <c r="J887">
        <f>HEX2DEC(_0811_173439[[#This Row],[4402]])*C$4/C$5+C$6</f>
        <v>36</v>
      </c>
      <c r="K887">
        <f>HEX2DEC(_0811_173439[[#This Row],[580F]])*D$4/D$5+D$6</f>
        <v>30</v>
      </c>
      <c r="L887">
        <f>ROUND(HEX2DEC(_0811_173439[[#This Row],[58F0]])*E$4/E$5+E$6,0)</f>
        <v>71</v>
      </c>
      <c r="M887">
        <f>ROUND(HEX2DEC(_0811_173439[[#This Row],[5805]])*F$4/F$5+F$6,0)</f>
        <v>43</v>
      </c>
      <c r="N887">
        <f>ROUND(HEX2DEC(_0811_173439[[#This Row],[58DD]])*G$4/G$5+G$6,2)</f>
        <v>-0.03</v>
      </c>
      <c r="P887">
        <v>760</v>
      </c>
      <c r="Q887">
        <v>36</v>
      </c>
      <c r="R887">
        <v>30</v>
      </c>
      <c r="S887">
        <v>71</v>
      </c>
      <c r="T887">
        <v>43</v>
      </c>
      <c r="U887">
        <v>-0.03</v>
      </c>
      <c r="W887">
        <f>DataLog_T717420_Aug11_4_59_37pm[[#This Row],[RPM '[1/MIN']]]-Table3[[#This Row],[580C]]</f>
        <v>0</v>
      </c>
      <c r="X887">
        <f>DataLog_T717420_Aug11_4_59_37pm[[#This Row],[OIL TEMP '[Â°C']]]-Table3[[#This Row],[4402]]</f>
        <v>0</v>
      </c>
      <c r="Y887">
        <f>DataLog_T717420_Aug11_4_59_37pm[[#This Row],[INTAKE TEMP '[Â°C']]]-Table3[[#This Row],[580F]]</f>
        <v>0</v>
      </c>
      <c r="Z887">
        <f>DataLog_T717420_Aug11_4_59_37pm[[#This Row],[HPFP PRES. '[BAR']]]-Table3[[#This Row],[58F0]]</f>
        <v>0</v>
      </c>
      <c r="AA887">
        <f>DataLog_T717420_Aug11_4_59_37pm[[#This Row],[COOLANT TEMP '[Â°C']]]-Table3[[#This Row],[5805]]</f>
        <v>0</v>
      </c>
      <c r="AB887">
        <f>DataLog_T717420_Aug11_4_59_37pm[[#This Row],[BOOST '[BAR']]]-Table3[[#This Row],[58DD]]</f>
        <v>0</v>
      </c>
    </row>
    <row r="888" spans="2:28" x14ac:dyDescent="0.25">
      <c r="B888" s="2" t="s">
        <v>183</v>
      </c>
      <c r="C888" s="2" t="s">
        <v>30</v>
      </c>
      <c r="D888" s="2" t="s">
        <v>151</v>
      </c>
      <c r="E888" s="2" t="s">
        <v>199</v>
      </c>
      <c r="F888" s="2" t="s">
        <v>253</v>
      </c>
      <c r="G888" s="2" t="s">
        <v>245</v>
      </c>
      <c r="I888">
        <f>HEX2DEC(_0811_173439[[#This Row],[580C]])*B$4/B$5+B$6</f>
        <v>800</v>
      </c>
      <c r="J888">
        <f>HEX2DEC(_0811_173439[[#This Row],[4402]])*C$4/C$5+C$6</f>
        <v>36</v>
      </c>
      <c r="K888">
        <f>HEX2DEC(_0811_173439[[#This Row],[580F]])*D$4/D$5+D$6</f>
        <v>30</v>
      </c>
      <c r="L888">
        <f>ROUND(HEX2DEC(_0811_173439[[#This Row],[58F0]])*E$4/E$5+E$6,0)</f>
        <v>70</v>
      </c>
      <c r="M888">
        <f>ROUND(HEX2DEC(_0811_173439[[#This Row],[5805]])*F$4/F$5+F$6,0)</f>
        <v>43</v>
      </c>
      <c r="N888">
        <f>ROUND(HEX2DEC(_0811_173439[[#This Row],[58DD]])*G$4/G$5+G$6,2)</f>
        <v>-0.03</v>
      </c>
      <c r="P888">
        <v>800</v>
      </c>
      <c r="Q888">
        <v>36</v>
      </c>
      <c r="R888">
        <v>30</v>
      </c>
      <c r="S888">
        <v>70</v>
      </c>
      <c r="T888">
        <v>43</v>
      </c>
      <c r="U888">
        <v>-0.03</v>
      </c>
      <c r="W888">
        <f>DataLog_T717420_Aug11_4_59_37pm[[#This Row],[RPM '[1/MIN']]]-Table3[[#This Row],[580C]]</f>
        <v>0</v>
      </c>
      <c r="X888">
        <f>DataLog_T717420_Aug11_4_59_37pm[[#This Row],[OIL TEMP '[Â°C']]]-Table3[[#This Row],[4402]]</f>
        <v>0</v>
      </c>
      <c r="Y888">
        <f>DataLog_T717420_Aug11_4_59_37pm[[#This Row],[INTAKE TEMP '[Â°C']]]-Table3[[#This Row],[580F]]</f>
        <v>0</v>
      </c>
      <c r="Z888">
        <f>DataLog_T717420_Aug11_4_59_37pm[[#This Row],[HPFP PRES. '[BAR']]]-Table3[[#This Row],[58F0]]</f>
        <v>0</v>
      </c>
      <c r="AA888">
        <f>DataLog_T717420_Aug11_4_59_37pm[[#This Row],[COOLANT TEMP '[Â°C']]]-Table3[[#This Row],[5805]]</f>
        <v>0</v>
      </c>
      <c r="AB888">
        <f>DataLog_T717420_Aug11_4_59_37pm[[#This Row],[BOOST '[BAR']]]-Table3[[#This Row],[58DD]]</f>
        <v>0</v>
      </c>
    </row>
    <row r="889" spans="2:28" x14ac:dyDescent="0.25">
      <c r="B889" s="2" t="s">
        <v>183</v>
      </c>
      <c r="C889" s="2" t="s">
        <v>30</v>
      </c>
      <c r="D889" s="2" t="s">
        <v>151</v>
      </c>
      <c r="E889" s="2" t="s">
        <v>132</v>
      </c>
      <c r="F889" s="2" t="s">
        <v>253</v>
      </c>
      <c r="G889" s="2" t="s">
        <v>216</v>
      </c>
      <c r="I889">
        <f>HEX2DEC(_0811_173439[[#This Row],[580C]])*B$4/B$5+B$6</f>
        <v>800</v>
      </c>
      <c r="J889">
        <f>HEX2DEC(_0811_173439[[#This Row],[4402]])*C$4/C$5+C$6</f>
        <v>36</v>
      </c>
      <c r="K889">
        <f>HEX2DEC(_0811_173439[[#This Row],[580F]])*D$4/D$5+D$6</f>
        <v>30</v>
      </c>
      <c r="L889">
        <f>ROUND(HEX2DEC(_0811_173439[[#This Row],[58F0]])*E$4/E$5+E$6,0)</f>
        <v>70</v>
      </c>
      <c r="M889">
        <f>ROUND(HEX2DEC(_0811_173439[[#This Row],[5805]])*F$4/F$5+F$6,0)</f>
        <v>43</v>
      </c>
      <c r="N889">
        <f>ROUND(HEX2DEC(_0811_173439[[#This Row],[58DD]])*G$4/G$5+G$6,2)</f>
        <v>-0.03</v>
      </c>
      <c r="P889">
        <v>800</v>
      </c>
      <c r="Q889">
        <v>36</v>
      </c>
      <c r="R889">
        <v>30</v>
      </c>
      <c r="S889">
        <v>70</v>
      </c>
      <c r="T889">
        <v>43</v>
      </c>
      <c r="U889">
        <v>-0.03</v>
      </c>
      <c r="W889">
        <f>DataLog_T717420_Aug11_4_59_37pm[[#This Row],[RPM '[1/MIN']]]-Table3[[#This Row],[580C]]</f>
        <v>0</v>
      </c>
      <c r="X889">
        <f>DataLog_T717420_Aug11_4_59_37pm[[#This Row],[OIL TEMP '[Â°C']]]-Table3[[#This Row],[4402]]</f>
        <v>0</v>
      </c>
      <c r="Y889">
        <f>DataLog_T717420_Aug11_4_59_37pm[[#This Row],[INTAKE TEMP '[Â°C']]]-Table3[[#This Row],[580F]]</f>
        <v>0</v>
      </c>
      <c r="Z889">
        <f>DataLog_T717420_Aug11_4_59_37pm[[#This Row],[HPFP PRES. '[BAR']]]-Table3[[#This Row],[58F0]]</f>
        <v>0</v>
      </c>
      <c r="AA889">
        <f>DataLog_T717420_Aug11_4_59_37pm[[#This Row],[COOLANT TEMP '[Â°C']]]-Table3[[#This Row],[5805]]</f>
        <v>0</v>
      </c>
      <c r="AB889">
        <f>DataLog_T717420_Aug11_4_59_37pm[[#This Row],[BOOST '[BAR']]]-Table3[[#This Row],[58DD]]</f>
        <v>0</v>
      </c>
    </row>
    <row r="890" spans="2:28" x14ac:dyDescent="0.25">
      <c r="B890" s="2" t="s">
        <v>183</v>
      </c>
      <c r="C890" s="2" t="s">
        <v>30</v>
      </c>
      <c r="D890" s="2" t="s">
        <v>151</v>
      </c>
      <c r="E890" s="2" t="s">
        <v>125</v>
      </c>
      <c r="F890" s="2" t="s">
        <v>253</v>
      </c>
      <c r="G890" s="2" t="s">
        <v>96</v>
      </c>
      <c r="I890">
        <f>HEX2DEC(_0811_173439[[#This Row],[580C]])*B$4/B$5+B$6</f>
        <v>800</v>
      </c>
      <c r="J890">
        <f>HEX2DEC(_0811_173439[[#This Row],[4402]])*C$4/C$5+C$6</f>
        <v>36</v>
      </c>
      <c r="K890">
        <f>HEX2DEC(_0811_173439[[#This Row],[580F]])*D$4/D$5+D$6</f>
        <v>30</v>
      </c>
      <c r="L890">
        <f>ROUND(HEX2DEC(_0811_173439[[#This Row],[58F0]])*E$4/E$5+E$6,0)</f>
        <v>70</v>
      </c>
      <c r="M890">
        <f>ROUND(HEX2DEC(_0811_173439[[#This Row],[5805]])*F$4/F$5+F$6,0)</f>
        <v>43</v>
      </c>
      <c r="N890">
        <f>ROUND(HEX2DEC(_0811_173439[[#This Row],[58DD]])*G$4/G$5+G$6,2)</f>
        <v>-0.03</v>
      </c>
      <c r="P890">
        <v>800</v>
      </c>
      <c r="Q890">
        <v>36</v>
      </c>
      <c r="R890">
        <v>30</v>
      </c>
      <c r="S890">
        <v>70</v>
      </c>
      <c r="T890">
        <v>43</v>
      </c>
      <c r="U890">
        <v>-0.03</v>
      </c>
      <c r="W890">
        <f>DataLog_T717420_Aug11_4_59_37pm[[#This Row],[RPM '[1/MIN']]]-Table3[[#This Row],[580C]]</f>
        <v>0</v>
      </c>
      <c r="X890">
        <f>DataLog_T717420_Aug11_4_59_37pm[[#This Row],[OIL TEMP '[Â°C']]]-Table3[[#This Row],[4402]]</f>
        <v>0</v>
      </c>
      <c r="Y890">
        <f>DataLog_T717420_Aug11_4_59_37pm[[#This Row],[INTAKE TEMP '[Â°C']]]-Table3[[#This Row],[580F]]</f>
        <v>0</v>
      </c>
      <c r="Z890">
        <f>DataLog_T717420_Aug11_4_59_37pm[[#This Row],[HPFP PRES. '[BAR']]]-Table3[[#This Row],[58F0]]</f>
        <v>0</v>
      </c>
      <c r="AA890">
        <f>DataLog_T717420_Aug11_4_59_37pm[[#This Row],[COOLANT TEMP '[Â°C']]]-Table3[[#This Row],[5805]]</f>
        <v>0</v>
      </c>
      <c r="AB890">
        <f>DataLog_T717420_Aug11_4_59_37pm[[#This Row],[BOOST '[BAR']]]-Table3[[#This Row],[58DD]]</f>
        <v>0</v>
      </c>
    </row>
    <row r="891" spans="2:28" x14ac:dyDescent="0.25">
      <c r="B891" s="2" t="s">
        <v>189</v>
      </c>
      <c r="C891" s="2" t="s">
        <v>30</v>
      </c>
      <c r="D891" s="2" t="s">
        <v>151</v>
      </c>
      <c r="E891" s="2" t="s">
        <v>127</v>
      </c>
      <c r="F891" s="2" t="s">
        <v>253</v>
      </c>
      <c r="G891" s="2" t="s">
        <v>190</v>
      </c>
      <c r="I891">
        <f>HEX2DEC(_0811_173439[[#This Row],[580C]])*B$4/B$5+B$6</f>
        <v>760</v>
      </c>
      <c r="J891">
        <f>HEX2DEC(_0811_173439[[#This Row],[4402]])*C$4/C$5+C$6</f>
        <v>36</v>
      </c>
      <c r="K891">
        <f>HEX2DEC(_0811_173439[[#This Row],[580F]])*D$4/D$5+D$6</f>
        <v>30</v>
      </c>
      <c r="L891">
        <f>ROUND(HEX2DEC(_0811_173439[[#This Row],[58F0]])*E$4/E$5+E$6,0)</f>
        <v>70</v>
      </c>
      <c r="M891">
        <f>ROUND(HEX2DEC(_0811_173439[[#This Row],[5805]])*F$4/F$5+F$6,0)</f>
        <v>43</v>
      </c>
      <c r="N891">
        <f>ROUND(HEX2DEC(_0811_173439[[#This Row],[58DD]])*G$4/G$5+G$6,2)</f>
        <v>-0.03</v>
      </c>
      <c r="P891">
        <v>760</v>
      </c>
      <c r="Q891">
        <v>36</v>
      </c>
      <c r="R891">
        <v>30</v>
      </c>
      <c r="S891">
        <v>70</v>
      </c>
      <c r="T891">
        <v>43</v>
      </c>
      <c r="U891">
        <v>-0.03</v>
      </c>
      <c r="W891">
        <f>DataLog_T717420_Aug11_4_59_37pm[[#This Row],[RPM '[1/MIN']]]-Table3[[#This Row],[580C]]</f>
        <v>0</v>
      </c>
      <c r="X891">
        <f>DataLog_T717420_Aug11_4_59_37pm[[#This Row],[OIL TEMP '[Â°C']]]-Table3[[#This Row],[4402]]</f>
        <v>0</v>
      </c>
      <c r="Y891">
        <f>DataLog_T717420_Aug11_4_59_37pm[[#This Row],[INTAKE TEMP '[Â°C']]]-Table3[[#This Row],[580F]]</f>
        <v>0</v>
      </c>
      <c r="Z891">
        <f>DataLog_T717420_Aug11_4_59_37pm[[#This Row],[HPFP PRES. '[BAR']]]-Table3[[#This Row],[58F0]]</f>
        <v>0</v>
      </c>
      <c r="AA891">
        <f>DataLog_T717420_Aug11_4_59_37pm[[#This Row],[COOLANT TEMP '[Â°C']]]-Table3[[#This Row],[5805]]</f>
        <v>0</v>
      </c>
      <c r="AB891">
        <f>DataLog_T717420_Aug11_4_59_37pm[[#This Row],[BOOST '[BAR']]]-Table3[[#This Row],[58DD]]</f>
        <v>0</v>
      </c>
    </row>
    <row r="892" spans="2:28" x14ac:dyDescent="0.25">
      <c r="B892" s="2" t="s">
        <v>189</v>
      </c>
      <c r="C892" s="2" t="s">
        <v>30</v>
      </c>
      <c r="D892" s="2" t="s">
        <v>151</v>
      </c>
      <c r="E892" s="2" t="s">
        <v>141</v>
      </c>
      <c r="F892" s="2" t="s">
        <v>253</v>
      </c>
      <c r="G892" s="2" t="s">
        <v>53</v>
      </c>
      <c r="I892">
        <f>HEX2DEC(_0811_173439[[#This Row],[580C]])*B$4/B$5+B$6</f>
        <v>760</v>
      </c>
      <c r="J892">
        <f>HEX2DEC(_0811_173439[[#This Row],[4402]])*C$4/C$5+C$6</f>
        <v>36</v>
      </c>
      <c r="K892">
        <f>HEX2DEC(_0811_173439[[#This Row],[580F]])*D$4/D$5+D$6</f>
        <v>30</v>
      </c>
      <c r="L892">
        <f>ROUND(HEX2DEC(_0811_173439[[#This Row],[58F0]])*E$4/E$5+E$6,0)</f>
        <v>70</v>
      </c>
      <c r="M892">
        <f>ROUND(HEX2DEC(_0811_173439[[#This Row],[5805]])*F$4/F$5+F$6,0)</f>
        <v>43</v>
      </c>
      <c r="N892">
        <f>ROUND(HEX2DEC(_0811_173439[[#This Row],[58DD]])*G$4/G$5+G$6,2)</f>
        <v>-0.03</v>
      </c>
      <c r="P892">
        <v>760</v>
      </c>
      <c r="Q892">
        <v>36</v>
      </c>
      <c r="R892">
        <v>30</v>
      </c>
      <c r="S892">
        <v>70</v>
      </c>
      <c r="T892">
        <v>43</v>
      </c>
      <c r="U892">
        <v>-0.03</v>
      </c>
      <c r="W892">
        <f>DataLog_T717420_Aug11_4_59_37pm[[#This Row],[RPM '[1/MIN']]]-Table3[[#This Row],[580C]]</f>
        <v>0</v>
      </c>
      <c r="X892">
        <f>DataLog_T717420_Aug11_4_59_37pm[[#This Row],[OIL TEMP '[Â°C']]]-Table3[[#This Row],[4402]]</f>
        <v>0</v>
      </c>
      <c r="Y892">
        <f>DataLog_T717420_Aug11_4_59_37pm[[#This Row],[INTAKE TEMP '[Â°C']]]-Table3[[#This Row],[580F]]</f>
        <v>0</v>
      </c>
      <c r="Z892">
        <f>DataLog_T717420_Aug11_4_59_37pm[[#This Row],[HPFP PRES. '[BAR']]]-Table3[[#This Row],[58F0]]</f>
        <v>0</v>
      </c>
      <c r="AA892">
        <f>DataLog_T717420_Aug11_4_59_37pm[[#This Row],[COOLANT TEMP '[Â°C']]]-Table3[[#This Row],[5805]]</f>
        <v>0</v>
      </c>
      <c r="AB892">
        <f>DataLog_T717420_Aug11_4_59_37pm[[#This Row],[BOOST '[BAR']]]-Table3[[#This Row],[58DD]]</f>
        <v>0</v>
      </c>
    </row>
    <row r="893" spans="2:28" x14ac:dyDescent="0.25">
      <c r="B893" s="2" t="s">
        <v>189</v>
      </c>
      <c r="C893" s="2" t="s">
        <v>30</v>
      </c>
      <c r="D893" s="2" t="s">
        <v>151</v>
      </c>
      <c r="E893" s="2" t="s">
        <v>157</v>
      </c>
      <c r="F893" s="2" t="s">
        <v>253</v>
      </c>
      <c r="G893" s="2" t="s">
        <v>90</v>
      </c>
      <c r="I893">
        <f>HEX2DEC(_0811_173439[[#This Row],[580C]])*B$4/B$5+B$6</f>
        <v>760</v>
      </c>
      <c r="J893">
        <f>HEX2DEC(_0811_173439[[#This Row],[4402]])*C$4/C$5+C$6</f>
        <v>36</v>
      </c>
      <c r="K893">
        <f>HEX2DEC(_0811_173439[[#This Row],[580F]])*D$4/D$5+D$6</f>
        <v>30</v>
      </c>
      <c r="L893">
        <f>ROUND(HEX2DEC(_0811_173439[[#This Row],[58F0]])*E$4/E$5+E$6,0)</f>
        <v>70</v>
      </c>
      <c r="M893">
        <f>ROUND(HEX2DEC(_0811_173439[[#This Row],[5805]])*F$4/F$5+F$6,0)</f>
        <v>43</v>
      </c>
      <c r="N893">
        <f>ROUND(HEX2DEC(_0811_173439[[#This Row],[58DD]])*G$4/G$5+G$6,2)</f>
        <v>-0.03</v>
      </c>
      <c r="P893">
        <v>760</v>
      </c>
      <c r="Q893">
        <v>36</v>
      </c>
      <c r="R893">
        <v>30</v>
      </c>
      <c r="S893">
        <v>70</v>
      </c>
      <c r="T893">
        <v>43</v>
      </c>
      <c r="U893">
        <v>-0.03</v>
      </c>
      <c r="W893">
        <f>DataLog_T717420_Aug11_4_59_37pm[[#This Row],[RPM '[1/MIN']]]-Table3[[#This Row],[580C]]</f>
        <v>0</v>
      </c>
      <c r="X893">
        <f>DataLog_T717420_Aug11_4_59_37pm[[#This Row],[OIL TEMP '[Â°C']]]-Table3[[#This Row],[4402]]</f>
        <v>0</v>
      </c>
      <c r="Y893">
        <f>DataLog_T717420_Aug11_4_59_37pm[[#This Row],[INTAKE TEMP '[Â°C']]]-Table3[[#This Row],[580F]]</f>
        <v>0</v>
      </c>
      <c r="Z893">
        <f>DataLog_T717420_Aug11_4_59_37pm[[#This Row],[HPFP PRES. '[BAR']]]-Table3[[#This Row],[58F0]]</f>
        <v>0</v>
      </c>
      <c r="AA893">
        <f>DataLog_T717420_Aug11_4_59_37pm[[#This Row],[COOLANT TEMP '[Â°C']]]-Table3[[#This Row],[5805]]</f>
        <v>0</v>
      </c>
      <c r="AB893">
        <f>DataLog_T717420_Aug11_4_59_37pm[[#This Row],[BOOST '[BAR']]]-Table3[[#This Row],[58DD]]</f>
        <v>0</v>
      </c>
    </row>
    <row r="894" spans="2:28" x14ac:dyDescent="0.25">
      <c r="B894" s="2" t="s">
        <v>189</v>
      </c>
      <c r="C894" s="2" t="s">
        <v>30</v>
      </c>
      <c r="D894" s="2" t="s">
        <v>151</v>
      </c>
      <c r="E894" s="2" t="s">
        <v>127</v>
      </c>
      <c r="F894" s="2" t="s">
        <v>253</v>
      </c>
      <c r="G894" s="2" t="s">
        <v>191</v>
      </c>
      <c r="I894">
        <f>HEX2DEC(_0811_173439[[#This Row],[580C]])*B$4/B$5+B$6</f>
        <v>760</v>
      </c>
      <c r="J894">
        <f>HEX2DEC(_0811_173439[[#This Row],[4402]])*C$4/C$5+C$6</f>
        <v>36</v>
      </c>
      <c r="K894">
        <f>HEX2DEC(_0811_173439[[#This Row],[580F]])*D$4/D$5+D$6</f>
        <v>30</v>
      </c>
      <c r="L894">
        <f>ROUND(HEX2DEC(_0811_173439[[#This Row],[58F0]])*E$4/E$5+E$6,0)</f>
        <v>70</v>
      </c>
      <c r="M894">
        <f>ROUND(HEX2DEC(_0811_173439[[#This Row],[5805]])*F$4/F$5+F$6,0)</f>
        <v>43</v>
      </c>
      <c r="N894">
        <f>ROUND(HEX2DEC(_0811_173439[[#This Row],[58DD]])*G$4/G$5+G$6,2)</f>
        <v>-0.03</v>
      </c>
      <c r="P894">
        <v>760</v>
      </c>
      <c r="Q894">
        <v>36</v>
      </c>
      <c r="R894">
        <v>30</v>
      </c>
      <c r="S894">
        <v>70</v>
      </c>
      <c r="T894">
        <v>43</v>
      </c>
      <c r="U894">
        <v>-0.03</v>
      </c>
      <c r="W894">
        <f>DataLog_T717420_Aug11_4_59_37pm[[#This Row],[RPM '[1/MIN']]]-Table3[[#This Row],[580C]]</f>
        <v>0</v>
      </c>
      <c r="X894">
        <f>DataLog_T717420_Aug11_4_59_37pm[[#This Row],[OIL TEMP '[Â°C']]]-Table3[[#This Row],[4402]]</f>
        <v>0</v>
      </c>
      <c r="Y894">
        <f>DataLog_T717420_Aug11_4_59_37pm[[#This Row],[INTAKE TEMP '[Â°C']]]-Table3[[#This Row],[580F]]</f>
        <v>0</v>
      </c>
      <c r="Z894">
        <f>DataLog_T717420_Aug11_4_59_37pm[[#This Row],[HPFP PRES. '[BAR']]]-Table3[[#This Row],[58F0]]</f>
        <v>0</v>
      </c>
      <c r="AA894">
        <f>DataLog_T717420_Aug11_4_59_37pm[[#This Row],[COOLANT TEMP '[Â°C']]]-Table3[[#This Row],[5805]]</f>
        <v>0</v>
      </c>
      <c r="AB894">
        <f>DataLog_T717420_Aug11_4_59_37pm[[#This Row],[BOOST '[BAR']]]-Table3[[#This Row],[58DD]]</f>
        <v>0</v>
      </c>
    </row>
    <row r="895" spans="2:28" x14ac:dyDescent="0.25">
      <c r="B895" s="2" t="s">
        <v>189</v>
      </c>
      <c r="C895" s="2" t="s">
        <v>30</v>
      </c>
      <c r="D895" s="2" t="s">
        <v>151</v>
      </c>
      <c r="E895" s="2" t="s">
        <v>178</v>
      </c>
      <c r="F895" s="2" t="s">
        <v>253</v>
      </c>
      <c r="G895" s="2" t="s">
        <v>96</v>
      </c>
      <c r="I895">
        <f>HEX2DEC(_0811_173439[[#This Row],[580C]])*B$4/B$5+B$6</f>
        <v>760</v>
      </c>
      <c r="J895">
        <f>HEX2DEC(_0811_173439[[#This Row],[4402]])*C$4/C$5+C$6</f>
        <v>36</v>
      </c>
      <c r="K895">
        <f>HEX2DEC(_0811_173439[[#This Row],[580F]])*D$4/D$5+D$6</f>
        <v>30</v>
      </c>
      <c r="L895">
        <f>ROUND(HEX2DEC(_0811_173439[[#This Row],[58F0]])*E$4/E$5+E$6,0)</f>
        <v>71</v>
      </c>
      <c r="M895">
        <f>ROUND(HEX2DEC(_0811_173439[[#This Row],[5805]])*F$4/F$5+F$6,0)</f>
        <v>43</v>
      </c>
      <c r="N895">
        <f>ROUND(HEX2DEC(_0811_173439[[#This Row],[58DD]])*G$4/G$5+G$6,2)</f>
        <v>-0.03</v>
      </c>
      <c r="P895">
        <v>760</v>
      </c>
      <c r="Q895">
        <v>36</v>
      </c>
      <c r="R895">
        <v>30</v>
      </c>
      <c r="S895">
        <v>71</v>
      </c>
      <c r="T895">
        <v>43</v>
      </c>
      <c r="U895">
        <v>-0.03</v>
      </c>
      <c r="W895">
        <f>DataLog_T717420_Aug11_4_59_37pm[[#This Row],[RPM '[1/MIN']]]-Table3[[#This Row],[580C]]</f>
        <v>0</v>
      </c>
      <c r="X895">
        <f>DataLog_T717420_Aug11_4_59_37pm[[#This Row],[OIL TEMP '[Â°C']]]-Table3[[#This Row],[4402]]</f>
        <v>0</v>
      </c>
      <c r="Y895">
        <f>DataLog_T717420_Aug11_4_59_37pm[[#This Row],[INTAKE TEMP '[Â°C']]]-Table3[[#This Row],[580F]]</f>
        <v>0</v>
      </c>
      <c r="Z895">
        <f>DataLog_T717420_Aug11_4_59_37pm[[#This Row],[HPFP PRES. '[BAR']]]-Table3[[#This Row],[58F0]]</f>
        <v>0</v>
      </c>
      <c r="AA895">
        <f>DataLog_T717420_Aug11_4_59_37pm[[#This Row],[COOLANT TEMP '[Â°C']]]-Table3[[#This Row],[5805]]</f>
        <v>0</v>
      </c>
      <c r="AB895">
        <f>DataLog_T717420_Aug11_4_59_37pm[[#This Row],[BOOST '[BAR']]]-Table3[[#This Row],[58DD]]</f>
        <v>0</v>
      </c>
    </row>
    <row r="896" spans="2:28" x14ac:dyDescent="0.25">
      <c r="B896" s="2" t="s">
        <v>189</v>
      </c>
      <c r="C896" s="2" t="s">
        <v>30</v>
      </c>
      <c r="D896" s="2" t="s">
        <v>151</v>
      </c>
      <c r="E896" s="2" t="s">
        <v>166</v>
      </c>
      <c r="F896" s="2" t="s">
        <v>253</v>
      </c>
      <c r="G896" s="2" t="s">
        <v>96</v>
      </c>
      <c r="I896">
        <f>HEX2DEC(_0811_173439[[#This Row],[580C]])*B$4/B$5+B$6</f>
        <v>760</v>
      </c>
      <c r="J896">
        <f>HEX2DEC(_0811_173439[[#This Row],[4402]])*C$4/C$5+C$6</f>
        <v>36</v>
      </c>
      <c r="K896">
        <f>HEX2DEC(_0811_173439[[#This Row],[580F]])*D$4/D$5+D$6</f>
        <v>30</v>
      </c>
      <c r="L896">
        <f>ROUND(HEX2DEC(_0811_173439[[#This Row],[58F0]])*E$4/E$5+E$6,0)</f>
        <v>71</v>
      </c>
      <c r="M896">
        <f>ROUND(HEX2DEC(_0811_173439[[#This Row],[5805]])*F$4/F$5+F$6,0)</f>
        <v>43</v>
      </c>
      <c r="N896">
        <f>ROUND(HEX2DEC(_0811_173439[[#This Row],[58DD]])*G$4/G$5+G$6,2)</f>
        <v>-0.03</v>
      </c>
      <c r="P896">
        <v>760</v>
      </c>
      <c r="Q896">
        <v>36</v>
      </c>
      <c r="R896">
        <v>30</v>
      </c>
      <c r="S896">
        <v>71</v>
      </c>
      <c r="T896">
        <v>43</v>
      </c>
      <c r="U896">
        <v>-0.03</v>
      </c>
      <c r="W896">
        <f>DataLog_T717420_Aug11_4_59_37pm[[#This Row],[RPM '[1/MIN']]]-Table3[[#This Row],[580C]]</f>
        <v>0</v>
      </c>
      <c r="X896">
        <f>DataLog_T717420_Aug11_4_59_37pm[[#This Row],[OIL TEMP '[Â°C']]]-Table3[[#This Row],[4402]]</f>
        <v>0</v>
      </c>
      <c r="Y896">
        <f>DataLog_T717420_Aug11_4_59_37pm[[#This Row],[INTAKE TEMP '[Â°C']]]-Table3[[#This Row],[580F]]</f>
        <v>0</v>
      </c>
      <c r="Z896">
        <f>DataLog_T717420_Aug11_4_59_37pm[[#This Row],[HPFP PRES. '[BAR']]]-Table3[[#This Row],[58F0]]</f>
        <v>0</v>
      </c>
      <c r="AA896">
        <f>DataLog_T717420_Aug11_4_59_37pm[[#This Row],[COOLANT TEMP '[Â°C']]]-Table3[[#This Row],[5805]]</f>
        <v>0</v>
      </c>
      <c r="AB896">
        <f>DataLog_T717420_Aug11_4_59_37pm[[#This Row],[BOOST '[BAR']]]-Table3[[#This Row],[58DD]]</f>
        <v>0</v>
      </c>
    </row>
    <row r="897" spans="2:28" x14ac:dyDescent="0.25">
      <c r="B897" s="2" t="s">
        <v>189</v>
      </c>
      <c r="C897" s="2" t="s">
        <v>30</v>
      </c>
      <c r="D897" s="2" t="s">
        <v>151</v>
      </c>
      <c r="E897" s="2" t="s">
        <v>93</v>
      </c>
      <c r="F897" s="2" t="s">
        <v>253</v>
      </c>
      <c r="G897" s="2" t="s">
        <v>53</v>
      </c>
      <c r="I897">
        <f>HEX2DEC(_0811_173439[[#This Row],[580C]])*B$4/B$5+B$6</f>
        <v>760</v>
      </c>
      <c r="J897">
        <f>HEX2DEC(_0811_173439[[#This Row],[4402]])*C$4/C$5+C$6</f>
        <v>36</v>
      </c>
      <c r="K897">
        <f>HEX2DEC(_0811_173439[[#This Row],[580F]])*D$4/D$5+D$6</f>
        <v>30</v>
      </c>
      <c r="L897">
        <f>ROUND(HEX2DEC(_0811_173439[[#This Row],[58F0]])*E$4/E$5+E$6,0)</f>
        <v>70</v>
      </c>
      <c r="M897">
        <f>ROUND(HEX2DEC(_0811_173439[[#This Row],[5805]])*F$4/F$5+F$6,0)</f>
        <v>43</v>
      </c>
      <c r="N897">
        <f>ROUND(HEX2DEC(_0811_173439[[#This Row],[58DD]])*G$4/G$5+G$6,2)</f>
        <v>-0.03</v>
      </c>
      <c r="P897">
        <v>760</v>
      </c>
      <c r="Q897">
        <v>36</v>
      </c>
      <c r="R897">
        <v>30</v>
      </c>
      <c r="S897">
        <v>70</v>
      </c>
      <c r="T897">
        <v>43</v>
      </c>
      <c r="U897">
        <v>-0.03</v>
      </c>
      <c r="W897">
        <f>DataLog_T717420_Aug11_4_59_37pm[[#This Row],[RPM '[1/MIN']]]-Table3[[#This Row],[580C]]</f>
        <v>0</v>
      </c>
      <c r="X897">
        <f>DataLog_T717420_Aug11_4_59_37pm[[#This Row],[OIL TEMP '[Â°C']]]-Table3[[#This Row],[4402]]</f>
        <v>0</v>
      </c>
      <c r="Y897">
        <f>DataLog_T717420_Aug11_4_59_37pm[[#This Row],[INTAKE TEMP '[Â°C']]]-Table3[[#This Row],[580F]]</f>
        <v>0</v>
      </c>
      <c r="Z897">
        <f>DataLog_T717420_Aug11_4_59_37pm[[#This Row],[HPFP PRES. '[BAR']]]-Table3[[#This Row],[58F0]]</f>
        <v>0</v>
      </c>
      <c r="AA897">
        <f>DataLog_T717420_Aug11_4_59_37pm[[#This Row],[COOLANT TEMP '[Â°C']]]-Table3[[#This Row],[5805]]</f>
        <v>0</v>
      </c>
      <c r="AB897">
        <f>DataLog_T717420_Aug11_4_59_37pm[[#This Row],[BOOST '[BAR']]]-Table3[[#This Row],[58DD]]</f>
        <v>0</v>
      </c>
    </row>
    <row r="898" spans="2:28" x14ac:dyDescent="0.25">
      <c r="B898" s="2" t="s">
        <v>189</v>
      </c>
      <c r="C898" s="2" t="s">
        <v>30</v>
      </c>
      <c r="D898" s="2" t="s">
        <v>151</v>
      </c>
      <c r="E898" s="2" t="s">
        <v>121</v>
      </c>
      <c r="F898" s="2" t="s">
        <v>253</v>
      </c>
      <c r="G898" s="2" t="s">
        <v>216</v>
      </c>
      <c r="I898">
        <f>HEX2DEC(_0811_173439[[#This Row],[580C]])*B$4/B$5+B$6</f>
        <v>760</v>
      </c>
      <c r="J898">
        <f>HEX2DEC(_0811_173439[[#This Row],[4402]])*C$4/C$5+C$6</f>
        <v>36</v>
      </c>
      <c r="K898">
        <f>HEX2DEC(_0811_173439[[#This Row],[580F]])*D$4/D$5+D$6</f>
        <v>30</v>
      </c>
      <c r="L898">
        <f>ROUND(HEX2DEC(_0811_173439[[#This Row],[58F0]])*E$4/E$5+E$6,0)</f>
        <v>71</v>
      </c>
      <c r="M898">
        <f>ROUND(HEX2DEC(_0811_173439[[#This Row],[5805]])*F$4/F$5+F$6,0)</f>
        <v>43</v>
      </c>
      <c r="N898">
        <f>ROUND(HEX2DEC(_0811_173439[[#This Row],[58DD]])*G$4/G$5+G$6,2)</f>
        <v>-0.03</v>
      </c>
      <c r="P898">
        <v>760</v>
      </c>
      <c r="Q898">
        <v>36</v>
      </c>
      <c r="R898">
        <v>30</v>
      </c>
      <c r="S898">
        <v>71</v>
      </c>
      <c r="T898">
        <v>43</v>
      </c>
      <c r="U898">
        <v>-0.03</v>
      </c>
      <c r="W898">
        <f>DataLog_T717420_Aug11_4_59_37pm[[#This Row],[RPM '[1/MIN']]]-Table3[[#This Row],[580C]]</f>
        <v>0</v>
      </c>
      <c r="X898">
        <f>DataLog_T717420_Aug11_4_59_37pm[[#This Row],[OIL TEMP '[Â°C']]]-Table3[[#This Row],[4402]]</f>
        <v>0</v>
      </c>
      <c r="Y898">
        <f>DataLog_T717420_Aug11_4_59_37pm[[#This Row],[INTAKE TEMP '[Â°C']]]-Table3[[#This Row],[580F]]</f>
        <v>0</v>
      </c>
      <c r="Z898">
        <f>DataLog_T717420_Aug11_4_59_37pm[[#This Row],[HPFP PRES. '[BAR']]]-Table3[[#This Row],[58F0]]</f>
        <v>0</v>
      </c>
      <c r="AA898">
        <f>DataLog_T717420_Aug11_4_59_37pm[[#This Row],[COOLANT TEMP '[Â°C']]]-Table3[[#This Row],[5805]]</f>
        <v>0</v>
      </c>
      <c r="AB898">
        <f>DataLog_T717420_Aug11_4_59_37pm[[#This Row],[BOOST '[BAR']]]-Table3[[#This Row],[58DD]]</f>
        <v>0</v>
      </c>
    </row>
    <row r="899" spans="2:28" x14ac:dyDescent="0.25">
      <c r="B899" s="2" t="s">
        <v>189</v>
      </c>
      <c r="C899" s="2" t="s">
        <v>30</v>
      </c>
      <c r="D899" s="2" t="s">
        <v>151</v>
      </c>
      <c r="E899" s="2" t="s">
        <v>122</v>
      </c>
      <c r="F899" s="2" t="s">
        <v>253</v>
      </c>
      <c r="G899" s="2" t="s">
        <v>96</v>
      </c>
      <c r="I899">
        <f>HEX2DEC(_0811_173439[[#This Row],[580C]])*B$4/B$5+B$6</f>
        <v>760</v>
      </c>
      <c r="J899">
        <f>HEX2DEC(_0811_173439[[#This Row],[4402]])*C$4/C$5+C$6</f>
        <v>36</v>
      </c>
      <c r="K899">
        <f>HEX2DEC(_0811_173439[[#This Row],[580F]])*D$4/D$5+D$6</f>
        <v>30</v>
      </c>
      <c r="L899">
        <f>ROUND(HEX2DEC(_0811_173439[[#This Row],[58F0]])*E$4/E$5+E$6,0)</f>
        <v>71</v>
      </c>
      <c r="M899">
        <f>ROUND(HEX2DEC(_0811_173439[[#This Row],[5805]])*F$4/F$5+F$6,0)</f>
        <v>43</v>
      </c>
      <c r="N899">
        <f>ROUND(HEX2DEC(_0811_173439[[#This Row],[58DD]])*G$4/G$5+G$6,2)</f>
        <v>-0.03</v>
      </c>
      <c r="P899">
        <v>760</v>
      </c>
      <c r="Q899">
        <v>36</v>
      </c>
      <c r="R899">
        <v>30</v>
      </c>
      <c r="S899">
        <v>71</v>
      </c>
      <c r="T899">
        <v>43</v>
      </c>
      <c r="U899">
        <v>-0.03</v>
      </c>
      <c r="W899">
        <f>DataLog_T717420_Aug11_4_59_37pm[[#This Row],[RPM '[1/MIN']]]-Table3[[#This Row],[580C]]</f>
        <v>0</v>
      </c>
      <c r="X899">
        <f>DataLog_T717420_Aug11_4_59_37pm[[#This Row],[OIL TEMP '[Â°C']]]-Table3[[#This Row],[4402]]</f>
        <v>0</v>
      </c>
      <c r="Y899">
        <f>DataLog_T717420_Aug11_4_59_37pm[[#This Row],[INTAKE TEMP '[Â°C']]]-Table3[[#This Row],[580F]]</f>
        <v>0</v>
      </c>
      <c r="Z899">
        <f>DataLog_T717420_Aug11_4_59_37pm[[#This Row],[HPFP PRES. '[BAR']]]-Table3[[#This Row],[58F0]]</f>
        <v>0</v>
      </c>
      <c r="AA899">
        <f>DataLog_T717420_Aug11_4_59_37pm[[#This Row],[COOLANT TEMP '[Â°C']]]-Table3[[#This Row],[5805]]</f>
        <v>0</v>
      </c>
      <c r="AB899">
        <f>DataLog_T717420_Aug11_4_59_37pm[[#This Row],[BOOST '[BAR']]]-Table3[[#This Row],[58DD]]</f>
        <v>0</v>
      </c>
    </row>
    <row r="900" spans="2:28" x14ac:dyDescent="0.25">
      <c r="B900" s="2" t="s">
        <v>189</v>
      </c>
      <c r="C900" s="2" t="s">
        <v>30</v>
      </c>
      <c r="D900" s="2" t="s">
        <v>151</v>
      </c>
      <c r="E900" s="2" t="s">
        <v>93</v>
      </c>
      <c r="F900" s="2" t="s">
        <v>253</v>
      </c>
      <c r="G900" s="2" t="s">
        <v>190</v>
      </c>
      <c r="I900">
        <f>HEX2DEC(_0811_173439[[#This Row],[580C]])*B$4/B$5+B$6</f>
        <v>760</v>
      </c>
      <c r="J900">
        <f>HEX2DEC(_0811_173439[[#This Row],[4402]])*C$4/C$5+C$6</f>
        <v>36</v>
      </c>
      <c r="K900">
        <f>HEX2DEC(_0811_173439[[#This Row],[580F]])*D$4/D$5+D$6</f>
        <v>30</v>
      </c>
      <c r="L900">
        <f>ROUND(HEX2DEC(_0811_173439[[#This Row],[58F0]])*E$4/E$5+E$6,0)</f>
        <v>70</v>
      </c>
      <c r="M900">
        <f>ROUND(HEX2DEC(_0811_173439[[#This Row],[5805]])*F$4/F$5+F$6,0)</f>
        <v>43</v>
      </c>
      <c r="N900">
        <f>ROUND(HEX2DEC(_0811_173439[[#This Row],[58DD]])*G$4/G$5+G$6,2)</f>
        <v>-0.03</v>
      </c>
      <c r="P900">
        <v>760</v>
      </c>
      <c r="Q900">
        <v>36</v>
      </c>
      <c r="R900">
        <v>30</v>
      </c>
      <c r="S900">
        <v>70</v>
      </c>
      <c r="T900">
        <v>43</v>
      </c>
      <c r="U900">
        <v>-0.03</v>
      </c>
      <c r="W900">
        <f>DataLog_T717420_Aug11_4_59_37pm[[#This Row],[RPM '[1/MIN']]]-Table3[[#This Row],[580C]]</f>
        <v>0</v>
      </c>
      <c r="X900">
        <f>DataLog_T717420_Aug11_4_59_37pm[[#This Row],[OIL TEMP '[Â°C']]]-Table3[[#This Row],[4402]]</f>
        <v>0</v>
      </c>
      <c r="Y900">
        <f>DataLog_T717420_Aug11_4_59_37pm[[#This Row],[INTAKE TEMP '[Â°C']]]-Table3[[#This Row],[580F]]</f>
        <v>0</v>
      </c>
      <c r="Z900">
        <f>DataLog_T717420_Aug11_4_59_37pm[[#This Row],[HPFP PRES. '[BAR']]]-Table3[[#This Row],[58F0]]</f>
        <v>0</v>
      </c>
      <c r="AA900">
        <f>DataLog_T717420_Aug11_4_59_37pm[[#This Row],[COOLANT TEMP '[Â°C']]]-Table3[[#This Row],[5805]]</f>
        <v>0</v>
      </c>
      <c r="AB900">
        <f>DataLog_T717420_Aug11_4_59_37pm[[#This Row],[BOOST '[BAR']]]-Table3[[#This Row],[58DD]]</f>
        <v>0</v>
      </c>
    </row>
    <row r="901" spans="2:28" x14ac:dyDescent="0.25">
      <c r="B901" s="2" t="s">
        <v>189</v>
      </c>
      <c r="C901" s="2" t="s">
        <v>30</v>
      </c>
      <c r="D901" s="2" t="s">
        <v>151</v>
      </c>
      <c r="E901" s="2" t="s">
        <v>157</v>
      </c>
      <c r="F901" s="2" t="s">
        <v>253</v>
      </c>
      <c r="G901" s="2" t="s">
        <v>213</v>
      </c>
      <c r="I901">
        <f>HEX2DEC(_0811_173439[[#This Row],[580C]])*B$4/B$5+B$6</f>
        <v>760</v>
      </c>
      <c r="J901">
        <f>HEX2DEC(_0811_173439[[#This Row],[4402]])*C$4/C$5+C$6</f>
        <v>36</v>
      </c>
      <c r="K901">
        <f>HEX2DEC(_0811_173439[[#This Row],[580F]])*D$4/D$5+D$6</f>
        <v>30</v>
      </c>
      <c r="L901">
        <f>ROUND(HEX2DEC(_0811_173439[[#This Row],[58F0]])*E$4/E$5+E$6,0)</f>
        <v>70</v>
      </c>
      <c r="M901">
        <f>ROUND(HEX2DEC(_0811_173439[[#This Row],[5805]])*F$4/F$5+F$6,0)</f>
        <v>43</v>
      </c>
      <c r="N901">
        <f>ROUND(HEX2DEC(_0811_173439[[#This Row],[58DD]])*G$4/G$5+G$6,2)</f>
        <v>-0.03</v>
      </c>
      <c r="P901">
        <v>760</v>
      </c>
      <c r="Q901">
        <v>36</v>
      </c>
      <c r="R901">
        <v>30</v>
      </c>
      <c r="S901">
        <v>70</v>
      </c>
      <c r="T901">
        <v>43</v>
      </c>
      <c r="U901">
        <v>-0.03</v>
      </c>
      <c r="W901">
        <f>DataLog_T717420_Aug11_4_59_37pm[[#This Row],[RPM '[1/MIN']]]-Table3[[#This Row],[580C]]</f>
        <v>0</v>
      </c>
      <c r="X901">
        <f>DataLog_T717420_Aug11_4_59_37pm[[#This Row],[OIL TEMP '[Â°C']]]-Table3[[#This Row],[4402]]</f>
        <v>0</v>
      </c>
      <c r="Y901">
        <f>DataLog_T717420_Aug11_4_59_37pm[[#This Row],[INTAKE TEMP '[Â°C']]]-Table3[[#This Row],[580F]]</f>
        <v>0</v>
      </c>
      <c r="Z901">
        <f>DataLog_T717420_Aug11_4_59_37pm[[#This Row],[HPFP PRES. '[BAR']]]-Table3[[#This Row],[58F0]]</f>
        <v>0</v>
      </c>
      <c r="AA901">
        <f>DataLog_T717420_Aug11_4_59_37pm[[#This Row],[COOLANT TEMP '[Â°C']]]-Table3[[#This Row],[5805]]</f>
        <v>0</v>
      </c>
      <c r="AB901">
        <f>DataLog_T717420_Aug11_4_59_37pm[[#This Row],[BOOST '[BAR']]]-Table3[[#This Row],[58DD]]</f>
        <v>0</v>
      </c>
    </row>
    <row r="902" spans="2:28" x14ac:dyDescent="0.25">
      <c r="B902" s="2" t="s">
        <v>189</v>
      </c>
      <c r="C902" s="2" t="s">
        <v>30</v>
      </c>
      <c r="D902" s="2" t="s">
        <v>151</v>
      </c>
      <c r="E902" s="2" t="s">
        <v>122</v>
      </c>
      <c r="F902" s="2" t="s">
        <v>253</v>
      </c>
      <c r="G902" s="2" t="s">
        <v>53</v>
      </c>
      <c r="I902">
        <f>HEX2DEC(_0811_173439[[#This Row],[580C]])*B$4/B$5+B$6</f>
        <v>760</v>
      </c>
      <c r="J902">
        <f>HEX2DEC(_0811_173439[[#This Row],[4402]])*C$4/C$5+C$6</f>
        <v>36</v>
      </c>
      <c r="K902">
        <f>HEX2DEC(_0811_173439[[#This Row],[580F]])*D$4/D$5+D$6</f>
        <v>30</v>
      </c>
      <c r="L902">
        <f>ROUND(HEX2DEC(_0811_173439[[#This Row],[58F0]])*E$4/E$5+E$6,0)</f>
        <v>71</v>
      </c>
      <c r="M902">
        <f>ROUND(HEX2DEC(_0811_173439[[#This Row],[5805]])*F$4/F$5+F$6,0)</f>
        <v>43</v>
      </c>
      <c r="N902">
        <f>ROUND(HEX2DEC(_0811_173439[[#This Row],[58DD]])*G$4/G$5+G$6,2)</f>
        <v>-0.03</v>
      </c>
      <c r="P902">
        <v>760</v>
      </c>
      <c r="Q902">
        <v>36</v>
      </c>
      <c r="R902">
        <v>30</v>
      </c>
      <c r="S902">
        <v>71</v>
      </c>
      <c r="T902">
        <v>43</v>
      </c>
      <c r="U902">
        <v>-0.03</v>
      </c>
      <c r="W902">
        <f>DataLog_T717420_Aug11_4_59_37pm[[#This Row],[RPM '[1/MIN']]]-Table3[[#This Row],[580C]]</f>
        <v>0</v>
      </c>
      <c r="X902">
        <f>DataLog_T717420_Aug11_4_59_37pm[[#This Row],[OIL TEMP '[Â°C']]]-Table3[[#This Row],[4402]]</f>
        <v>0</v>
      </c>
      <c r="Y902">
        <f>DataLog_T717420_Aug11_4_59_37pm[[#This Row],[INTAKE TEMP '[Â°C']]]-Table3[[#This Row],[580F]]</f>
        <v>0</v>
      </c>
      <c r="Z902">
        <f>DataLog_T717420_Aug11_4_59_37pm[[#This Row],[HPFP PRES. '[BAR']]]-Table3[[#This Row],[58F0]]</f>
        <v>0</v>
      </c>
      <c r="AA902">
        <f>DataLog_T717420_Aug11_4_59_37pm[[#This Row],[COOLANT TEMP '[Â°C']]]-Table3[[#This Row],[5805]]</f>
        <v>0</v>
      </c>
      <c r="AB902">
        <f>DataLog_T717420_Aug11_4_59_37pm[[#This Row],[BOOST '[BAR']]]-Table3[[#This Row],[58DD]]</f>
        <v>0</v>
      </c>
    </row>
    <row r="903" spans="2:28" x14ac:dyDescent="0.25">
      <c r="B903" s="2" t="s">
        <v>189</v>
      </c>
      <c r="C903" s="2" t="s">
        <v>30</v>
      </c>
      <c r="D903" s="2" t="s">
        <v>151</v>
      </c>
      <c r="E903" s="2" t="s">
        <v>141</v>
      </c>
      <c r="F903" s="2" t="s">
        <v>253</v>
      </c>
      <c r="G903" s="2" t="s">
        <v>216</v>
      </c>
      <c r="I903">
        <f>HEX2DEC(_0811_173439[[#This Row],[580C]])*B$4/B$5+B$6</f>
        <v>760</v>
      </c>
      <c r="J903">
        <f>HEX2DEC(_0811_173439[[#This Row],[4402]])*C$4/C$5+C$6</f>
        <v>36</v>
      </c>
      <c r="K903">
        <f>HEX2DEC(_0811_173439[[#This Row],[580F]])*D$4/D$5+D$6</f>
        <v>30</v>
      </c>
      <c r="L903">
        <f>ROUND(HEX2DEC(_0811_173439[[#This Row],[58F0]])*E$4/E$5+E$6,0)</f>
        <v>70</v>
      </c>
      <c r="M903">
        <f>ROUND(HEX2DEC(_0811_173439[[#This Row],[5805]])*F$4/F$5+F$6,0)</f>
        <v>43</v>
      </c>
      <c r="N903">
        <f>ROUND(HEX2DEC(_0811_173439[[#This Row],[58DD]])*G$4/G$5+G$6,2)</f>
        <v>-0.03</v>
      </c>
      <c r="P903">
        <v>760</v>
      </c>
      <c r="Q903">
        <v>36</v>
      </c>
      <c r="R903">
        <v>30</v>
      </c>
      <c r="S903">
        <v>70</v>
      </c>
      <c r="T903">
        <v>43</v>
      </c>
      <c r="U903">
        <v>-0.03</v>
      </c>
      <c r="W903">
        <f>DataLog_T717420_Aug11_4_59_37pm[[#This Row],[RPM '[1/MIN']]]-Table3[[#This Row],[580C]]</f>
        <v>0</v>
      </c>
      <c r="X903">
        <f>DataLog_T717420_Aug11_4_59_37pm[[#This Row],[OIL TEMP '[Â°C']]]-Table3[[#This Row],[4402]]</f>
        <v>0</v>
      </c>
      <c r="Y903">
        <f>DataLog_T717420_Aug11_4_59_37pm[[#This Row],[INTAKE TEMP '[Â°C']]]-Table3[[#This Row],[580F]]</f>
        <v>0</v>
      </c>
      <c r="Z903">
        <f>DataLog_T717420_Aug11_4_59_37pm[[#This Row],[HPFP PRES. '[BAR']]]-Table3[[#This Row],[58F0]]</f>
        <v>0</v>
      </c>
      <c r="AA903">
        <f>DataLog_T717420_Aug11_4_59_37pm[[#This Row],[COOLANT TEMP '[Â°C']]]-Table3[[#This Row],[5805]]</f>
        <v>0</v>
      </c>
      <c r="AB903">
        <f>DataLog_T717420_Aug11_4_59_37pm[[#This Row],[BOOST '[BAR']]]-Table3[[#This Row],[58DD]]</f>
        <v>0</v>
      </c>
    </row>
    <row r="904" spans="2:28" x14ac:dyDescent="0.25">
      <c r="B904" s="2" t="s">
        <v>189</v>
      </c>
      <c r="C904" s="2" t="s">
        <v>30</v>
      </c>
      <c r="D904" s="2" t="s">
        <v>151</v>
      </c>
      <c r="E904" s="2" t="s">
        <v>127</v>
      </c>
      <c r="F904" s="2" t="s">
        <v>253</v>
      </c>
      <c r="G904" s="2" t="s">
        <v>190</v>
      </c>
      <c r="I904">
        <f>HEX2DEC(_0811_173439[[#This Row],[580C]])*B$4/B$5+B$6</f>
        <v>760</v>
      </c>
      <c r="J904">
        <f>HEX2DEC(_0811_173439[[#This Row],[4402]])*C$4/C$5+C$6</f>
        <v>36</v>
      </c>
      <c r="K904">
        <f>HEX2DEC(_0811_173439[[#This Row],[580F]])*D$4/D$5+D$6</f>
        <v>30</v>
      </c>
      <c r="L904">
        <f>ROUND(HEX2DEC(_0811_173439[[#This Row],[58F0]])*E$4/E$5+E$6,0)</f>
        <v>70</v>
      </c>
      <c r="M904">
        <f>ROUND(HEX2DEC(_0811_173439[[#This Row],[5805]])*F$4/F$5+F$6,0)</f>
        <v>43</v>
      </c>
      <c r="N904">
        <f>ROUND(HEX2DEC(_0811_173439[[#This Row],[58DD]])*G$4/G$5+G$6,2)</f>
        <v>-0.03</v>
      </c>
      <c r="P904">
        <v>760</v>
      </c>
      <c r="Q904">
        <v>36</v>
      </c>
      <c r="R904">
        <v>30</v>
      </c>
      <c r="S904">
        <v>70</v>
      </c>
      <c r="T904">
        <v>43</v>
      </c>
      <c r="U904">
        <v>-0.03</v>
      </c>
      <c r="W904">
        <f>DataLog_T717420_Aug11_4_59_37pm[[#This Row],[RPM '[1/MIN']]]-Table3[[#This Row],[580C]]</f>
        <v>0</v>
      </c>
      <c r="X904">
        <f>DataLog_T717420_Aug11_4_59_37pm[[#This Row],[OIL TEMP '[Â°C']]]-Table3[[#This Row],[4402]]</f>
        <v>0</v>
      </c>
      <c r="Y904">
        <f>DataLog_T717420_Aug11_4_59_37pm[[#This Row],[INTAKE TEMP '[Â°C']]]-Table3[[#This Row],[580F]]</f>
        <v>0</v>
      </c>
      <c r="Z904">
        <f>DataLog_T717420_Aug11_4_59_37pm[[#This Row],[HPFP PRES. '[BAR']]]-Table3[[#This Row],[58F0]]</f>
        <v>0</v>
      </c>
      <c r="AA904">
        <f>DataLog_T717420_Aug11_4_59_37pm[[#This Row],[COOLANT TEMP '[Â°C']]]-Table3[[#This Row],[5805]]</f>
        <v>0</v>
      </c>
      <c r="AB904">
        <f>DataLog_T717420_Aug11_4_59_37pm[[#This Row],[BOOST '[BAR']]]-Table3[[#This Row],[58DD]]</f>
        <v>0</v>
      </c>
    </row>
    <row r="905" spans="2:28" x14ac:dyDescent="0.25">
      <c r="B905" s="2" t="s">
        <v>183</v>
      </c>
      <c r="C905" s="2" t="s">
        <v>30</v>
      </c>
      <c r="D905" s="2" t="s">
        <v>151</v>
      </c>
      <c r="E905" s="2" t="s">
        <v>93</v>
      </c>
      <c r="F905" s="2" t="s">
        <v>253</v>
      </c>
      <c r="G905" s="2" t="s">
        <v>71</v>
      </c>
      <c r="I905">
        <f>HEX2DEC(_0811_173439[[#This Row],[580C]])*B$4/B$5+B$6</f>
        <v>800</v>
      </c>
      <c r="J905">
        <f>HEX2DEC(_0811_173439[[#This Row],[4402]])*C$4/C$5+C$6</f>
        <v>36</v>
      </c>
      <c r="K905">
        <f>HEX2DEC(_0811_173439[[#This Row],[580F]])*D$4/D$5+D$6</f>
        <v>30</v>
      </c>
      <c r="L905">
        <f>ROUND(HEX2DEC(_0811_173439[[#This Row],[58F0]])*E$4/E$5+E$6,0)</f>
        <v>70</v>
      </c>
      <c r="M905">
        <f>ROUND(HEX2DEC(_0811_173439[[#This Row],[5805]])*F$4/F$5+F$6,0)</f>
        <v>43</v>
      </c>
      <c r="N905">
        <f>ROUND(HEX2DEC(_0811_173439[[#This Row],[58DD]])*G$4/G$5+G$6,2)</f>
        <v>-0.03</v>
      </c>
      <c r="P905">
        <v>800</v>
      </c>
      <c r="Q905">
        <v>36</v>
      </c>
      <c r="R905">
        <v>30</v>
      </c>
      <c r="S905">
        <v>70</v>
      </c>
      <c r="T905">
        <v>43</v>
      </c>
      <c r="U905">
        <v>-0.03</v>
      </c>
      <c r="W905">
        <f>DataLog_T717420_Aug11_4_59_37pm[[#This Row],[RPM '[1/MIN']]]-Table3[[#This Row],[580C]]</f>
        <v>0</v>
      </c>
      <c r="X905">
        <f>DataLog_T717420_Aug11_4_59_37pm[[#This Row],[OIL TEMP '[Â°C']]]-Table3[[#This Row],[4402]]</f>
        <v>0</v>
      </c>
      <c r="Y905">
        <f>DataLog_T717420_Aug11_4_59_37pm[[#This Row],[INTAKE TEMP '[Â°C']]]-Table3[[#This Row],[580F]]</f>
        <v>0</v>
      </c>
      <c r="Z905">
        <f>DataLog_T717420_Aug11_4_59_37pm[[#This Row],[HPFP PRES. '[BAR']]]-Table3[[#This Row],[58F0]]</f>
        <v>0</v>
      </c>
      <c r="AA905">
        <f>DataLog_T717420_Aug11_4_59_37pm[[#This Row],[COOLANT TEMP '[Â°C']]]-Table3[[#This Row],[5805]]</f>
        <v>0</v>
      </c>
      <c r="AB905">
        <f>DataLog_T717420_Aug11_4_59_37pm[[#This Row],[BOOST '[BAR']]]-Table3[[#This Row],[58DD]]</f>
        <v>0</v>
      </c>
    </row>
    <row r="906" spans="2:28" x14ac:dyDescent="0.25">
      <c r="B906" s="2" t="s">
        <v>183</v>
      </c>
      <c r="C906" s="2" t="s">
        <v>30</v>
      </c>
      <c r="D906" s="2" t="s">
        <v>151</v>
      </c>
      <c r="E906" s="2" t="s">
        <v>148</v>
      </c>
      <c r="F906" s="2" t="s">
        <v>253</v>
      </c>
      <c r="G906" s="2" t="s">
        <v>187</v>
      </c>
      <c r="I906">
        <f>HEX2DEC(_0811_173439[[#This Row],[580C]])*B$4/B$5+B$6</f>
        <v>800</v>
      </c>
      <c r="J906">
        <f>HEX2DEC(_0811_173439[[#This Row],[4402]])*C$4/C$5+C$6</f>
        <v>36</v>
      </c>
      <c r="K906">
        <f>HEX2DEC(_0811_173439[[#This Row],[580F]])*D$4/D$5+D$6</f>
        <v>30</v>
      </c>
      <c r="L906">
        <f>ROUND(HEX2DEC(_0811_173439[[#This Row],[58F0]])*E$4/E$5+E$6,0)</f>
        <v>70</v>
      </c>
      <c r="M906">
        <f>ROUND(HEX2DEC(_0811_173439[[#This Row],[5805]])*F$4/F$5+F$6,0)</f>
        <v>43</v>
      </c>
      <c r="N906">
        <f>ROUND(HEX2DEC(_0811_173439[[#This Row],[58DD]])*G$4/G$5+G$6,2)</f>
        <v>-0.03</v>
      </c>
      <c r="P906">
        <v>800</v>
      </c>
      <c r="Q906">
        <v>36</v>
      </c>
      <c r="R906">
        <v>30</v>
      </c>
      <c r="S906">
        <v>70</v>
      </c>
      <c r="T906">
        <v>43</v>
      </c>
      <c r="U906">
        <v>-0.03</v>
      </c>
      <c r="W906">
        <f>DataLog_T717420_Aug11_4_59_37pm[[#This Row],[RPM '[1/MIN']]]-Table3[[#This Row],[580C]]</f>
        <v>0</v>
      </c>
      <c r="X906">
        <f>DataLog_T717420_Aug11_4_59_37pm[[#This Row],[OIL TEMP '[Â°C']]]-Table3[[#This Row],[4402]]</f>
        <v>0</v>
      </c>
      <c r="Y906">
        <f>DataLog_T717420_Aug11_4_59_37pm[[#This Row],[INTAKE TEMP '[Â°C']]]-Table3[[#This Row],[580F]]</f>
        <v>0</v>
      </c>
      <c r="Z906">
        <f>DataLog_T717420_Aug11_4_59_37pm[[#This Row],[HPFP PRES. '[BAR']]]-Table3[[#This Row],[58F0]]</f>
        <v>0</v>
      </c>
      <c r="AA906">
        <f>DataLog_T717420_Aug11_4_59_37pm[[#This Row],[COOLANT TEMP '[Â°C']]]-Table3[[#This Row],[5805]]</f>
        <v>0</v>
      </c>
      <c r="AB906">
        <f>DataLog_T717420_Aug11_4_59_37pm[[#This Row],[BOOST '[BAR']]]-Table3[[#This Row],[58DD]]</f>
        <v>0</v>
      </c>
    </row>
    <row r="907" spans="2:28" x14ac:dyDescent="0.25">
      <c r="B907" s="2" t="s">
        <v>183</v>
      </c>
      <c r="C907" s="2" t="s">
        <v>30</v>
      </c>
      <c r="D907" s="2" t="s">
        <v>151</v>
      </c>
      <c r="E907" s="2" t="s">
        <v>127</v>
      </c>
      <c r="F907" s="2" t="s">
        <v>253</v>
      </c>
      <c r="G907" s="2" t="s">
        <v>190</v>
      </c>
      <c r="I907">
        <f>HEX2DEC(_0811_173439[[#This Row],[580C]])*B$4/B$5+B$6</f>
        <v>800</v>
      </c>
      <c r="J907">
        <f>HEX2DEC(_0811_173439[[#This Row],[4402]])*C$4/C$5+C$6</f>
        <v>36</v>
      </c>
      <c r="K907">
        <f>HEX2DEC(_0811_173439[[#This Row],[580F]])*D$4/D$5+D$6</f>
        <v>30</v>
      </c>
      <c r="L907">
        <f>ROUND(HEX2DEC(_0811_173439[[#This Row],[58F0]])*E$4/E$5+E$6,0)</f>
        <v>70</v>
      </c>
      <c r="M907">
        <f>ROUND(HEX2DEC(_0811_173439[[#This Row],[5805]])*F$4/F$5+F$6,0)</f>
        <v>43</v>
      </c>
      <c r="N907">
        <f>ROUND(HEX2DEC(_0811_173439[[#This Row],[58DD]])*G$4/G$5+G$6,2)</f>
        <v>-0.03</v>
      </c>
      <c r="P907">
        <v>800</v>
      </c>
      <c r="Q907">
        <v>36</v>
      </c>
      <c r="R907">
        <v>30</v>
      </c>
      <c r="S907">
        <v>70</v>
      </c>
      <c r="T907">
        <v>43</v>
      </c>
      <c r="U907">
        <v>-0.03</v>
      </c>
      <c r="W907">
        <f>DataLog_T717420_Aug11_4_59_37pm[[#This Row],[RPM '[1/MIN']]]-Table3[[#This Row],[580C]]</f>
        <v>0</v>
      </c>
      <c r="X907">
        <f>DataLog_T717420_Aug11_4_59_37pm[[#This Row],[OIL TEMP '[Â°C']]]-Table3[[#This Row],[4402]]</f>
        <v>0</v>
      </c>
      <c r="Y907">
        <f>DataLog_T717420_Aug11_4_59_37pm[[#This Row],[INTAKE TEMP '[Â°C']]]-Table3[[#This Row],[580F]]</f>
        <v>0</v>
      </c>
      <c r="Z907">
        <f>DataLog_T717420_Aug11_4_59_37pm[[#This Row],[HPFP PRES. '[BAR']]]-Table3[[#This Row],[58F0]]</f>
        <v>0</v>
      </c>
      <c r="AA907">
        <f>DataLog_T717420_Aug11_4_59_37pm[[#This Row],[COOLANT TEMP '[Â°C']]]-Table3[[#This Row],[5805]]</f>
        <v>0</v>
      </c>
      <c r="AB907">
        <f>DataLog_T717420_Aug11_4_59_37pm[[#This Row],[BOOST '[BAR']]]-Table3[[#This Row],[58DD]]</f>
        <v>0</v>
      </c>
    </row>
    <row r="908" spans="2:28" x14ac:dyDescent="0.25">
      <c r="B908" s="2" t="s">
        <v>183</v>
      </c>
      <c r="C908" s="2" t="s">
        <v>30</v>
      </c>
      <c r="D908" s="2" t="s">
        <v>151</v>
      </c>
      <c r="E908" s="2" t="s">
        <v>118</v>
      </c>
      <c r="F908" s="2" t="s">
        <v>253</v>
      </c>
      <c r="G908" s="2" t="s">
        <v>71</v>
      </c>
      <c r="I908">
        <f>HEX2DEC(_0811_173439[[#This Row],[580C]])*B$4/B$5+B$6</f>
        <v>800</v>
      </c>
      <c r="J908">
        <f>HEX2DEC(_0811_173439[[#This Row],[4402]])*C$4/C$5+C$6</f>
        <v>36</v>
      </c>
      <c r="K908">
        <f>HEX2DEC(_0811_173439[[#This Row],[580F]])*D$4/D$5+D$6</f>
        <v>30</v>
      </c>
      <c r="L908">
        <f>ROUND(HEX2DEC(_0811_173439[[#This Row],[58F0]])*E$4/E$5+E$6,0)</f>
        <v>70</v>
      </c>
      <c r="M908">
        <f>ROUND(HEX2DEC(_0811_173439[[#This Row],[5805]])*F$4/F$5+F$6,0)</f>
        <v>43</v>
      </c>
      <c r="N908">
        <f>ROUND(HEX2DEC(_0811_173439[[#This Row],[58DD]])*G$4/G$5+G$6,2)</f>
        <v>-0.03</v>
      </c>
      <c r="P908">
        <v>800</v>
      </c>
      <c r="Q908">
        <v>36</v>
      </c>
      <c r="R908">
        <v>30</v>
      </c>
      <c r="S908">
        <v>70</v>
      </c>
      <c r="T908">
        <v>43</v>
      </c>
      <c r="U908">
        <v>-0.03</v>
      </c>
      <c r="W908">
        <f>DataLog_T717420_Aug11_4_59_37pm[[#This Row],[RPM '[1/MIN']]]-Table3[[#This Row],[580C]]</f>
        <v>0</v>
      </c>
      <c r="X908">
        <f>DataLog_T717420_Aug11_4_59_37pm[[#This Row],[OIL TEMP '[Â°C']]]-Table3[[#This Row],[4402]]</f>
        <v>0</v>
      </c>
      <c r="Y908">
        <f>DataLog_T717420_Aug11_4_59_37pm[[#This Row],[INTAKE TEMP '[Â°C']]]-Table3[[#This Row],[580F]]</f>
        <v>0</v>
      </c>
      <c r="Z908">
        <f>DataLog_T717420_Aug11_4_59_37pm[[#This Row],[HPFP PRES. '[BAR']]]-Table3[[#This Row],[58F0]]</f>
        <v>0</v>
      </c>
      <c r="AA908">
        <f>DataLog_T717420_Aug11_4_59_37pm[[#This Row],[COOLANT TEMP '[Â°C']]]-Table3[[#This Row],[5805]]</f>
        <v>0</v>
      </c>
      <c r="AB908">
        <f>DataLog_T717420_Aug11_4_59_37pm[[#This Row],[BOOST '[BAR']]]-Table3[[#This Row],[58DD]]</f>
        <v>0</v>
      </c>
    </row>
    <row r="909" spans="2:28" x14ac:dyDescent="0.25">
      <c r="B909" s="2" t="s">
        <v>189</v>
      </c>
      <c r="C909" s="2" t="s">
        <v>30</v>
      </c>
      <c r="D909" s="2" t="s">
        <v>151</v>
      </c>
      <c r="E909" s="2" t="s">
        <v>126</v>
      </c>
      <c r="F909" s="2" t="s">
        <v>253</v>
      </c>
      <c r="G909" s="2" t="s">
        <v>191</v>
      </c>
      <c r="I909">
        <f>HEX2DEC(_0811_173439[[#This Row],[580C]])*B$4/B$5+B$6</f>
        <v>760</v>
      </c>
      <c r="J909">
        <f>HEX2DEC(_0811_173439[[#This Row],[4402]])*C$4/C$5+C$6</f>
        <v>36</v>
      </c>
      <c r="K909">
        <f>HEX2DEC(_0811_173439[[#This Row],[580F]])*D$4/D$5+D$6</f>
        <v>30</v>
      </c>
      <c r="L909">
        <f>ROUND(HEX2DEC(_0811_173439[[#This Row],[58F0]])*E$4/E$5+E$6,0)</f>
        <v>71</v>
      </c>
      <c r="M909">
        <f>ROUND(HEX2DEC(_0811_173439[[#This Row],[5805]])*F$4/F$5+F$6,0)</f>
        <v>43</v>
      </c>
      <c r="N909">
        <f>ROUND(HEX2DEC(_0811_173439[[#This Row],[58DD]])*G$4/G$5+G$6,2)</f>
        <v>-0.03</v>
      </c>
      <c r="P909">
        <v>760</v>
      </c>
      <c r="Q909">
        <v>36</v>
      </c>
      <c r="R909">
        <v>30</v>
      </c>
      <c r="S909">
        <v>71</v>
      </c>
      <c r="T909">
        <v>43</v>
      </c>
      <c r="U909">
        <v>-0.03</v>
      </c>
      <c r="W909">
        <f>DataLog_T717420_Aug11_4_59_37pm[[#This Row],[RPM '[1/MIN']]]-Table3[[#This Row],[580C]]</f>
        <v>0</v>
      </c>
      <c r="X909">
        <f>DataLog_T717420_Aug11_4_59_37pm[[#This Row],[OIL TEMP '[Â°C']]]-Table3[[#This Row],[4402]]</f>
        <v>0</v>
      </c>
      <c r="Y909">
        <f>DataLog_T717420_Aug11_4_59_37pm[[#This Row],[INTAKE TEMP '[Â°C']]]-Table3[[#This Row],[580F]]</f>
        <v>0</v>
      </c>
      <c r="Z909">
        <f>DataLog_T717420_Aug11_4_59_37pm[[#This Row],[HPFP PRES. '[BAR']]]-Table3[[#This Row],[58F0]]</f>
        <v>0</v>
      </c>
      <c r="AA909">
        <f>DataLog_T717420_Aug11_4_59_37pm[[#This Row],[COOLANT TEMP '[Â°C']]]-Table3[[#This Row],[5805]]</f>
        <v>0</v>
      </c>
      <c r="AB909">
        <f>DataLog_T717420_Aug11_4_59_37pm[[#This Row],[BOOST '[BAR']]]-Table3[[#This Row],[58DD]]</f>
        <v>0</v>
      </c>
    </row>
    <row r="910" spans="2:28" x14ac:dyDescent="0.25">
      <c r="B910" s="2" t="s">
        <v>189</v>
      </c>
      <c r="C910" s="2" t="s">
        <v>30</v>
      </c>
      <c r="D910" s="2" t="s">
        <v>151</v>
      </c>
      <c r="E910" s="2" t="s">
        <v>122</v>
      </c>
      <c r="F910" s="2" t="s">
        <v>253</v>
      </c>
      <c r="G910" s="2" t="s">
        <v>71</v>
      </c>
      <c r="I910">
        <f>HEX2DEC(_0811_173439[[#This Row],[580C]])*B$4/B$5+B$6</f>
        <v>760</v>
      </c>
      <c r="J910">
        <f>HEX2DEC(_0811_173439[[#This Row],[4402]])*C$4/C$5+C$6</f>
        <v>36</v>
      </c>
      <c r="K910">
        <f>HEX2DEC(_0811_173439[[#This Row],[580F]])*D$4/D$5+D$6</f>
        <v>30</v>
      </c>
      <c r="L910">
        <f>ROUND(HEX2DEC(_0811_173439[[#This Row],[58F0]])*E$4/E$5+E$6,0)</f>
        <v>71</v>
      </c>
      <c r="M910">
        <f>ROUND(HEX2DEC(_0811_173439[[#This Row],[5805]])*F$4/F$5+F$6,0)</f>
        <v>43</v>
      </c>
      <c r="N910">
        <f>ROUND(HEX2DEC(_0811_173439[[#This Row],[58DD]])*G$4/G$5+G$6,2)</f>
        <v>-0.03</v>
      </c>
      <c r="P910">
        <v>760</v>
      </c>
      <c r="Q910">
        <v>36</v>
      </c>
      <c r="R910">
        <v>30</v>
      </c>
      <c r="S910">
        <v>71</v>
      </c>
      <c r="T910">
        <v>43</v>
      </c>
      <c r="U910">
        <v>-0.03</v>
      </c>
      <c r="W910">
        <f>DataLog_T717420_Aug11_4_59_37pm[[#This Row],[RPM '[1/MIN']]]-Table3[[#This Row],[580C]]</f>
        <v>0</v>
      </c>
      <c r="X910">
        <f>DataLog_T717420_Aug11_4_59_37pm[[#This Row],[OIL TEMP '[Â°C']]]-Table3[[#This Row],[4402]]</f>
        <v>0</v>
      </c>
      <c r="Y910">
        <f>DataLog_T717420_Aug11_4_59_37pm[[#This Row],[INTAKE TEMP '[Â°C']]]-Table3[[#This Row],[580F]]</f>
        <v>0</v>
      </c>
      <c r="Z910">
        <f>DataLog_T717420_Aug11_4_59_37pm[[#This Row],[HPFP PRES. '[BAR']]]-Table3[[#This Row],[58F0]]</f>
        <v>0</v>
      </c>
      <c r="AA910">
        <f>DataLog_T717420_Aug11_4_59_37pm[[#This Row],[COOLANT TEMP '[Â°C']]]-Table3[[#This Row],[5805]]</f>
        <v>0</v>
      </c>
      <c r="AB910">
        <f>DataLog_T717420_Aug11_4_59_37pm[[#This Row],[BOOST '[BAR']]]-Table3[[#This Row],[58DD]]</f>
        <v>0</v>
      </c>
    </row>
    <row r="911" spans="2:28" x14ac:dyDescent="0.25">
      <c r="B911" s="2" t="s">
        <v>189</v>
      </c>
      <c r="C911" s="2" t="s">
        <v>30</v>
      </c>
      <c r="D911" s="2" t="s">
        <v>151</v>
      </c>
      <c r="E911" s="2" t="s">
        <v>124</v>
      </c>
      <c r="F911" s="2" t="s">
        <v>253</v>
      </c>
      <c r="G911" s="2" t="s">
        <v>71</v>
      </c>
      <c r="I911">
        <f>HEX2DEC(_0811_173439[[#This Row],[580C]])*B$4/B$5+B$6</f>
        <v>760</v>
      </c>
      <c r="J911">
        <f>HEX2DEC(_0811_173439[[#This Row],[4402]])*C$4/C$5+C$6</f>
        <v>36</v>
      </c>
      <c r="K911">
        <f>HEX2DEC(_0811_173439[[#This Row],[580F]])*D$4/D$5+D$6</f>
        <v>30</v>
      </c>
      <c r="L911">
        <f>ROUND(HEX2DEC(_0811_173439[[#This Row],[58F0]])*E$4/E$5+E$6,0)</f>
        <v>71</v>
      </c>
      <c r="M911">
        <f>ROUND(HEX2DEC(_0811_173439[[#This Row],[5805]])*F$4/F$5+F$6,0)</f>
        <v>43</v>
      </c>
      <c r="N911">
        <f>ROUND(HEX2DEC(_0811_173439[[#This Row],[58DD]])*G$4/G$5+G$6,2)</f>
        <v>-0.03</v>
      </c>
      <c r="P911">
        <v>760</v>
      </c>
      <c r="Q911">
        <v>36</v>
      </c>
      <c r="R911">
        <v>30</v>
      </c>
      <c r="S911">
        <v>71</v>
      </c>
      <c r="T911">
        <v>43</v>
      </c>
      <c r="U911">
        <v>-0.03</v>
      </c>
      <c r="W911">
        <f>DataLog_T717420_Aug11_4_59_37pm[[#This Row],[RPM '[1/MIN']]]-Table3[[#This Row],[580C]]</f>
        <v>0</v>
      </c>
      <c r="X911">
        <f>DataLog_T717420_Aug11_4_59_37pm[[#This Row],[OIL TEMP '[Â°C']]]-Table3[[#This Row],[4402]]</f>
        <v>0</v>
      </c>
      <c r="Y911">
        <f>DataLog_T717420_Aug11_4_59_37pm[[#This Row],[INTAKE TEMP '[Â°C']]]-Table3[[#This Row],[580F]]</f>
        <v>0</v>
      </c>
      <c r="Z911">
        <f>DataLog_T717420_Aug11_4_59_37pm[[#This Row],[HPFP PRES. '[BAR']]]-Table3[[#This Row],[58F0]]</f>
        <v>0</v>
      </c>
      <c r="AA911">
        <f>DataLog_T717420_Aug11_4_59_37pm[[#This Row],[COOLANT TEMP '[Â°C']]]-Table3[[#This Row],[5805]]</f>
        <v>0</v>
      </c>
      <c r="AB911">
        <f>DataLog_T717420_Aug11_4_59_37pm[[#This Row],[BOOST '[BAR']]]-Table3[[#This Row],[58DD]]</f>
        <v>0</v>
      </c>
    </row>
    <row r="912" spans="2:28" x14ac:dyDescent="0.25">
      <c r="B912" s="2" t="s">
        <v>189</v>
      </c>
      <c r="C912" s="2" t="s">
        <v>30</v>
      </c>
      <c r="D912" s="2" t="s">
        <v>151</v>
      </c>
      <c r="E912" s="2" t="s">
        <v>87</v>
      </c>
      <c r="F912" s="2" t="s">
        <v>253</v>
      </c>
      <c r="G912" s="2" t="s">
        <v>236</v>
      </c>
      <c r="I912">
        <f>HEX2DEC(_0811_173439[[#This Row],[580C]])*B$4/B$5+B$6</f>
        <v>760</v>
      </c>
      <c r="J912">
        <f>HEX2DEC(_0811_173439[[#This Row],[4402]])*C$4/C$5+C$6</f>
        <v>36</v>
      </c>
      <c r="K912">
        <f>HEX2DEC(_0811_173439[[#This Row],[580F]])*D$4/D$5+D$6</f>
        <v>30</v>
      </c>
      <c r="L912">
        <f>ROUND(HEX2DEC(_0811_173439[[#This Row],[58F0]])*E$4/E$5+E$6,0)</f>
        <v>72</v>
      </c>
      <c r="M912">
        <f>ROUND(HEX2DEC(_0811_173439[[#This Row],[5805]])*F$4/F$5+F$6,0)</f>
        <v>43</v>
      </c>
      <c r="N912">
        <f>ROUND(HEX2DEC(_0811_173439[[#This Row],[58DD]])*G$4/G$5+G$6,2)</f>
        <v>-0.03</v>
      </c>
      <c r="P912">
        <v>760</v>
      </c>
      <c r="Q912">
        <v>36</v>
      </c>
      <c r="R912">
        <v>30</v>
      </c>
      <c r="S912">
        <v>72</v>
      </c>
      <c r="T912">
        <v>43</v>
      </c>
      <c r="U912">
        <v>-0.03</v>
      </c>
      <c r="W912">
        <f>DataLog_T717420_Aug11_4_59_37pm[[#This Row],[RPM '[1/MIN']]]-Table3[[#This Row],[580C]]</f>
        <v>0</v>
      </c>
      <c r="X912">
        <f>DataLog_T717420_Aug11_4_59_37pm[[#This Row],[OIL TEMP '[Â°C']]]-Table3[[#This Row],[4402]]</f>
        <v>0</v>
      </c>
      <c r="Y912">
        <f>DataLog_T717420_Aug11_4_59_37pm[[#This Row],[INTAKE TEMP '[Â°C']]]-Table3[[#This Row],[580F]]</f>
        <v>0</v>
      </c>
      <c r="Z912">
        <f>DataLog_T717420_Aug11_4_59_37pm[[#This Row],[HPFP PRES. '[BAR']]]-Table3[[#This Row],[58F0]]</f>
        <v>0</v>
      </c>
      <c r="AA912">
        <f>DataLog_T717420_Aug11_4_59_37pm[[#This Row],[COOLANT TEMP '[Â°C']]]-Table3[[#This Row],[5805]]</f>
        <v>0</v>
      </c>
      <c r="AB912">
        <f>DataLog_T717420_Aug11_4_59_37pm[[#This Row],[BOOST '[BAR']]]-Table3[[#This Row],[58DD]]</f>
        <v>0</v>
      </c>
    </row>
    <row r="913" spans="2:28" x14ac:dyDescent="0.25">
      <c r="B913" s="2" t="s">
        <v>189</v>
      </c>
      <c r="C913" s="2" t="s">
        <v>30</v>
      </c>
      <c r="D913" s="2" t="s">
        <v>151</v>
      </c>
      <c r="E913" s="2" t="s">
        <v>119</v>
      </c>
      <c r="F913" s="2" t="s">
        <v>253</v>
      </c>
      <c r="G913" s="2" t="s">
        <v>236</v>
      </c>
      <c r="I913">
        <f>HEX2DEC(_0811_173439[[#This Row],[580C]])*B$4/B$5+B$6</f>
        <v>760</v>
      </c>
      <c r="J913">
        <f>HEX2DEC(_0811_173439[[#This Row],[4402]])*C$4/C$5+C$6</f>
        <v>36</v>
      </c>
      <c r="K913">
        <f>HEX2DEC(_0811_173439[[#This Row],[580F]])*D$4/D$5+D$6</f>
        <v>30</v>
      </c>
      <c r="L913">
        <f>ROUND(HEX2DEC(_0811_173439[[#This Row],[58F0]])*E$4/E$5+E$6,0)</f>
        <v>71</v>
      </c>
      <c r="M913">
        <f>ROUND(HEX2DEC(_0811_173439[[#This Row],[5805]])*F$4/F$5+F$6,0)</f>
        <v>43</v>
      </c>
      <c r="N913">
        <f>ROUND(HEX2DEC(_0811_173439[[#This Row],[58DD]])*G$4/G$5+G$6,2)</f>
        <v>-0.03</v>
      </c>
      <c r="P913">
        <v>760</v>
      </c>
      <c r="Q913">
        <v>36</v>
      </c>
      <c r="R913">
        <v>30</v>
      </c>
      <c r="S913">
        <v>71</v>
      </c>
      <c r="T913">
        <v>43</v>
      </c>
      <c r="U913">
        <v>-0.03</v>
      </c>
      <c r="W913">
        <f>DataLog_T717420_Aug11_4_59_37pm[[#This Row],[RPM '[1/MIN']]]-Table3[[#This Row],[580C]]</f>
        <v>0</v>
      </c>
      <c r="X913">
        <f>DataLog_T717420_Aug11_4_59_37pm[[#This Row],[OIL TEMP '[Â°C']]]-Table3[[#This Row],[4402]]</f>
        <v>0</v>
      </c>
      <c r="Y913">
        <f>DataLog_T717420_Aug11_4_59_37pm[[#This Row],[INTAKE TEMP '[Â°C']]]-Table3[[#This Row],[580F]]</f>
        <v>0</v>
      </c>
      <c r="Z913">
        <f>DataLog_T717420_Aug11_4_59_37pm[[#This Row],[HPFP PRES. '[BAR']]]-Table3[[#This Row],[58F0]]</f>
        <v>0</v>
      </c>
      <c r="AA913">
        <f>DataLog_T717420_Aug11_4_59_37pm[[#This Row],[COOLANT TEMP '[Â°C']]]-Table3[[#This Row],[5805]]</f>
        <v>0</v>
      </c>
      <c r="AB913">
        <f>DataLog_T717420_Aug11_4_59_37pm[[#This Row],[BOOST '[BAR']]]-Table3[[#This Row],[58DD]]</f>
        <v>0</v>
      </c>
    </row>
    <row r="914" spans="2:28" x14ac:dyDescent="0.25">
      <c r="B914" s="2" t="s">
        <v>189</v>
      </c>
      <c r="C914" s="2" t="s">
        <v>30</v>
      </c>
      <c r="D914" s="2" t="s">
        <v>151</v>
      </c>
      <c r="E914" s="2" t="s">
        <v>193</v>
      </c>
      <c r="F914" s="2" t="s">
        <v>253</v>
      </c>
      <c r="G914" s="2" t="s">
        <v>90</v>
      </c>
      <c r="I914">
        <f>HEX2DEC(_0811_173439[[#This Row],[580C]])*B$4/B$5+B$6</f>
        <v>760</v>
      </c>
      <c r="J914">
        <f>HEX2DEC(_0811_173439[[#This Row],[4402]])*C$4/C$5+C$6</f>
        <v>36</v>
      </c>
      <c r="K914">
        <f>HEX2DEC(_0811_173439[[#This Row],[580F]])*D$4/D$5+D$6</f>
        <v>30</v>
      </c>
      <c r="L914">
        <f>ROUND(HEX2DEC(_0811_173439[[#This Row],[58F0]])*E$4/E$5+E$6,0)</f>
        <v>71</v>
      </c>
      <c r="M914">
        <f>ROUND(HEX2DEC(_0811_173439[[#This Row],[5805]])*F$4/F$5+F$6,0)</f>
        <v>43</v>
      </c>
      <c r="N914">
        <f>ROUND(HEX2DEC(_0811_173439[[#This Row],[58DD]])*G$4/G$5+G$6,2)</f>
        <v>-0.03</v>
      </c>
      <c r="P914">
        <v>760</v>
      </c>
      <c r="Q914">
        <v>36</v>
      </c>
      <c r="R914">
        <v>30</v>
      </c>
      <c r="S914">
        <v>71</v>
      </c>
      <c r="T914">
        <v>43</v>
      </c>
      <c r="U914">
        <v>-0.03</v>
      </c>
      <c r="W914">
        <f>DataLog_T717420_Aug11_4_59_37pm[[#This Row],[RPM '[1/MIN']]]-Table3[[#This Row],[580C]]</f>
        <v>0</v>
      </c>
      <c r="X914">
        <f>DataLog_T717420_Aug11_4_59_37pm[[#This Row],[OIL TEMP '[Â°C']]]-Table3[[#This Row],[4402]]</f>
        <v>0</v>
      </c>
      <c r="Y914">
        <f>DataLog_T717420_Aug11_4_59_37pm[[#This Row],[INTAKE TEMP '[Â°C']]]-Table3[[#This Row],[580F]]</f>
        <v>0</v>
      </c>
      <c r="Z914">
        <f>DataLog_T717420_Aug11_4_59_37pm[[#This Row],[HPFP PRES. '[BAR']]]-Table3[[#This Row],[58F0]]</f>
        <v>0</v>
      </c>
      <c r="AA914">
        <f>DataLog_T717420_Aug11_4_59_37pm[[#This Row],[COOLANT TEMP '[Â°C']]]-Table3[[#This Row],[5805]]</f>
        <v>0</v>
      </c>
      <c r="AB914">
        <f>DataLog_T717420_Aug11_4_59_37pm[[#This Row],[BOOST '[BAR']]]-Table3[[#This Row],[58DD]]</f>
        <v>0</v>
      </c>
    </row>
    <row r="915" spans="2:28" x14ac:dyDescent="0.25">
      <c r="B915" s="2" t="s">
        <v>189</v>
      </c>
      <c r="C915" s="2" t="s">
        <v>30</v>
      </c>
      <c r="D915" s="2" t="s">
        <v>151</v>
      </c>
      <c r="E915" s="2" t="s">
        <v>204</v>
      </c>
      <c r="F915" s="2" t="s">
        <v>253</v>
      </c>
      <c r="G915" s="2" t="s">
        <v>71</v>
      </c>
      <c r="I915">
        <f>HEX2DEC(_0811_173439[[#This Row],[580C]])*B$4/B$5+B$6</f>
        <v>760</v>
      </c>
      <c r="J915">
        <f>HEX2DEC(_0811_173439[[#This Row],[4402]])*C$4/C$5+C$6</f>
        <v>36</v>
      </c>
      <c r="K915">
        <f>HEX2DEC(_0811_173439[[#This Row],[580F]])*D$4/D$5+D$6</f>
        <v>30</v>
      </c>
      <c r="L915">
        <f>ROUND(HEX2DEC(_0811_173439[[#This Row],[58F0]])*E$4/E$5+E$6,0)</f>
        <v>71</v>
      </c>
      <c r="M915">
        <f>ROUND(HEX2DEC(_0811_173439[[#This Row],[5805]])*F$4/F$5+F$6,0)</f>
        <v>43</v>
      </c>
      <c r="N915">
        <f>ROUND(HEX2DEC(_0811_173439[[#This Row],[58DD]])*G$4/G$5+G$6,2)</f>
        <v>-0.03</v>
      </c>
      <c r="P915">
        <v>760</v>
      </c>
      <c r="Q915">
        <v>36</v>
      </c>
      <c r="R915">
        <v>30</v>
      </c>
      <c r="S915">
        <v>71</v>
      </c>
      <c r="T915">
        <v>43</v>
      </c>
      <c r="U915">
        <v>-0.03</v>
      </c>
      <c r="W915">
        <f>DataLog_T717420_Aug11_4_59_37pm[[#This Row],[RPM '[1/MIN']]]-Table3[[#This Row],[580C]]</f>
        <v>0</v>
      </c>
      <c r="X915">
        <f>DataLog_T717420_Aug11_4_59_37pm[[#This Row],[OIL TEMP '[Â°C']]]-Table3[[#This Row],[4402]]</f>
        <v>0</v>
      </c>
      <c r="Y915">
        <f>DataLog_T717420_Aug11_4_59_37pm[[#This Row],[INTAKE TEMP '[Â°C']]]-Table3[[#This Row],[580F]]</f>
        <v>0</v>
      </c>
      <c r="Z915">
        <f>DataLog_T717420_Aug11_4_59_37pm[[#This Row],[HPFP PRES. '[BAR']]]-Table3[[#This Row],[58F0]]</f>
        <v>0</v>
      </c>
      <c r="AA915">
        <f>DataLog_T717420_Aug11_4_59_37pm[[#This Row],[COOLANT TEMP '[Â°C']]]-Table3[[#This Row],[5805]]</f>
        <v>0</v>
      </c>
      <c r="AB915">
        <f>DataLog_T717420_Aug11_4_59_37pm[[#This Row],[BOOST '[BAR']]]-Table3[[#This Row],[58DD]]</f>
        <v>0</v>
      </c>
    </row>
    <row r="916" spans="2:28" x14ac:dyDescent="0.25">
      <c r="B916" s="2" t="s">
        <v>189</v>
      </c>
      <c r="C916" s="2" t="s">
        <v>30</v>
      </c>
      <c r="D916" s="2" t="s">
        <v>151</v>
      </c>
      <c r="E916" s="2" t="s">
        <v>165</v>
      </c>
      <c r="F916" s="2" t="s">
        <v>253</v>
      </c>
      <c r="G916" s="2" t="s">
        <v>255</v>
      </c>
      <c r="I916">
        <f>HEX2DEC(_0811_173439[[#This Row],[580C]])*B$4/B$5+B$6</f>
        <v>760</v>
      </c>
      <c r="J916">
        <f>HEX2DEC(_0811_173439[[#This Row],[4402]])*C$4/C$5+C$6</f>
        <v>36</v>
      </c>
      <c r="K916">
        <f>HEX2DEC(_0811_173439[[#This Row],[580F]])*D$4/D$5+D$6</f>
        <v>30</v>
      </c>
      <c r="L916">
        <f>ROUND(HEX2DEC(_0811_173439[[#This Row],[58F0]])*E$4/E$5+E$6,0)</f>
        <v>70</v>
      </c>
      <c r="M916">
        <f>ROUND(HEX2DEC(_0811_173439[[#This Row],[5805]])*F$4/F$5+F$6,0)</f>
        <v>43</v>
      </c>
      <c r="N916">
        <f>ROUND(HEX2DEC(_0811_173439[[#This Row],[58DD]])*G$4/G$5+G$6,2)</f>
        <v>-0.03</v>
      </c>
      <c r="P916">
        <v>760</v>
      </c>
      <c r="Q916">
        <v>36</v>
      </c>
      <c r="R916">
        <v>30</v>
      </c>
      <c r="S916">
        <v>70</v>
      </c>
      <c r="T916">
        <v>43</v>
      </c>
      <c r="U916">
        <v>-0.03</v>
      </c>
      <c r="W916">
        <f>DataLog_T717420_Aug11_4_59_37pm[[#This Row],[RPM '[1/MIN']]]-Table3[[#This Row],[580C]]</f>
        <v>0</v>
      </c>
      <c r="X916">
        <f>DataLog_T717420_Aug11_4_59_37pm[[#This Row],[OIL TEMP '[Â°C']]]-Table3[[#This Row],[4402]]</f>
        <v>0</v>
      </c>
      <c r="Y916">
        <f>DataLog_T717420_Aug11_4_59_37pm[[#This Row],[INTAKE TEMP '[Â°C']]]-Table3[[#This Row],[580F]]</f>
        <v>0</v>
      </c>
      <c r="Z916">
        <f>DataLog_T717420_Aug11_4_59_37pm[[#This Row],[HPFP PRES. '[BAR']]]-Table3[[#This Row],[58F0]]</f>
        <v>0</v>
      </c>
      <c r="AA916">
        <f>DataLog_T717420_Aug11_4_59_37pm[[#This Row],[COOLANT TEMP '[Â°C']]]-Table3[[#This Row],[5805]]</f>
        <v>0</v>
      </c>
      <c r="AB916">
        <f>DataLog_T717420_Aug11_4_59_37pm[[#This Row],[BOOST '[BAR']]]-Table3[[#This Row],[58DD]]</f>
        <v>0</v>
      </c>
    </row>
    <row r="917" spans="2:28" x14ac:dyDescent="0.25">
      <c r="B917" s="2" t="s">
        <v>189</v>
      </c>
      <c r="C917" s="2" t="s">
        <v>30</v>
      </c>
      <c r="D917" s="2" t="s">
        <v>151</v>
      </c>
      <c r="E917" s="2" t="s">
        <v>162</v>
      </c>
      <c r="F917" s="2" t="s">
        <v>253</v>
      </c>
      <c r="G917" s="2" t="s">
        <v>71</v>
      </c>
      <c r="I917">
        <f>HEX2DEC(_0811_173439[[#This Row],[580C]])*B$4/B$5+B$6</f>
        <v>760</v>
      </c>
      <c r="J917">
        <f>HEX2DEC(_0811_173439[[#This Row],[4402]])*C$4/C$5+C$6</f>
        <v>36</v>
      </c>
      <c r="K917">
        <f>HEX2DEC(_0811_173439[[#This Row],[580F]])*D$4/D$5+D$6</f>
        <v>30</v>
      </c>
      <c r="L917">
        <f>ROUND(HEX2DEC(_0811_173439[[#This Row],[58F0]])*E$4/E$5+E$6,0)</f>
        <v>71</v>
      </c>
      <c r="M917">
        <f>ROUND(HEX2DEC(_0811_173439[[#This Row],[5805]])*F$4/F$5+F$6,0)</f>
        <v>43</v>
      </c>
      <c r="N917">
        <f>ROUND(HEX2DEC(_0811_173439[[#This Row],[58DD]])*G$4/G$5+G$6,2)</f>
        <v>-0.03</v>
      </c>
      <c r="P917">
        <v>760</v>
      </c>
      <c r="Q917">
        <v>36</v>
      </c>
      <c r="R917">
        <v>30</v>
      </c>
      <c r="S917">
        <v>71</v>
      </c>
      <c r="T917">
        <v>43</v>
      </c>
      <c r="U917">
        <v>-0.03</v>
      </c>
      <c r="W917">
        <f>DataLog_T717420_Aug11_4_59_37pm[[#This Row],[RPM '[1/MIN']]]-Table3[[#This Row],[580C]]</f>
        <v>0</v>
      </c>
      <c r="X917">
        <f>DataLog_T717420_Aug11_4_59_37pm[[#This Row],[OIL TEMP '[Â°C']]]-Table3[[#This Row],[4402]]</f>
        <v>0</v>
      </c>
      <c r="Y917">
        <f>DataLog_T717420_Aug11_4_59_37pm[[#This Row],[INTAKE TEMP '[Â°C']]]-Table3[[#This Row],[580F]]</f>
        <v>0</v>
      </c>
      <c r="Z917">
        <f>DataLog_T717420_Aug11_4_59_37pm[[#This Row],[HPFP PRES. '[BAR']]]-Table3[[#This Row],[58F0]]</f>
        <v>0</v>
      </c>
      <c r="AA917">
        <f>DataLog_T717420_Aug11_4_59_37pm[[#This Row],[COOLANT TEMP '[Â°C']]]-Table3[[#This Row],[5805]]</f>
        <v>0</v>
      </c>
      <c r="AB917">
        <f>DataLog_T717420_Aug11_4_59_37pm[[#This Row],[BOOST '[BAR']]]-Table3[[#This Row],[58DD]]</f>
        <v>0</v>
      </c>
    </row>
    <row r="918" spans="2:28" x14ac:dyDescent="0.25">
      <c r="B918" s="2" t="s">
        <v>189</v>
      </c>
      <c r="C918" s="2" t="s">
        <v>30</v>
      </c>
      <c r="D918" s="2" t="s">
        <v>151</v>
      </c>
      <c r="E918" s="2" t="s">
        <v>126</v>
      </c>
      <c r="F918" s="2" t="s">
        <v>253</v>
      </c>
      <c r="G918" s="2" t="s">
        <v>96</v>
      </c>
      <c r="I918">
        <f>HEX2DEC(_0811_173439[[#This Row],[580C]])*B$4/B$5+B$6</f>
        <v>760</v>
      </c>
      <c r="J918">
        <f>HEX2DEC(_0811_173439[[#This Row],[4402]])*C$4/C$5+C$6</f>
        <v>36</v>
      </c>
      <c r="K918">
        <f>HEX2DEC(_0811_173439[[#This Row],[580F]])*D$4/D$5+D$6</f>
        <v>30</v>
      </c>
      <c r="L918">
        <f>ROUND(HEX2DEC(_0811_173439[[#This Row],[58F0]])*E$4/E$5+E$6,0)</f>
        <v>71</v>
      </c>
      <c r="M918">
        <f>ROUND(HEX2DEC(_0811_173439[[#This Row],[5805]])*F$4/F$5+F$6,0)</f>
        <v>43</v>
      </c>
      <c r="N918">
        <f>ROUND(HEX2DEC(_0811_173439[[#This Row],[58DD]])*G$4/G$5+G$6,2)</f>
        <v>-0.03</v>
      </c>
      <c r="P918">
        <v>760</v>
      </c>
      <c r="Q918">
        <v>36</v>
      </c>
      <c r="R918">
        <v>30</v>
      </c>
      <c r="S918">
        <v>71</v>
      </c>
      <c r="T918">
        <v>43</v>
      </c>
      <c r="U918">
        <v>-0.03</v>
      </c>
      <c r="W918">
        <f>DataLog_T717420_Aug11_4_59_37pm[[#This Row],[RPM '[1/MIN']]]-Table3[[#This Row],[580C]]</f>
        <v>0</v>
      </c>
      <c r="X918">
        <f>DataLog_T717420_Aug11_4_59_37pm[[#This Row],[OIL TEMP '[Â°C']]]-Table3[[#This Row],[4402]]</f>
        <v>0</v>
      </c>
      <c r="Y918">
        <f>DataLog_T717420_Aug11_4_59_37pm[[#This Row],[INTAKE TEMP '[Â°C']]]-Table3[[#This Row],[580F]]</f>
        <v>0</v>
      </c>
      <c r="Z918">
        <f>DataLog_T717420_Aug11_4_59_37pm[[#This Row],[HPFP PRES. '[BAR']]]-Table3[[#This Row],[58F0]]</f>
        <v>0</v>
      </c>
      <c r="AA918">
        <f>DataLog_T717420_Aug11_4_59_37pm[[#This Row],[COOLANT TEMP '[Â°C']]]-Table3[[#This Row],[5805]]</f>
        <v>0</v>
      </c>
      <c r="AB918">
        <f>DataLog_T717420_Aug11_4_59_37pm[[#This Row],[BOOST '[BAR']]]-Table3[[#This Row],[58DD]]</f>
        <v>0</v>
      </c>
    </row>
    <row r="919" spans="2:28" x14ac:dyDescent="0.25">
      <c r="B919" s="2" t="s">
        <v>183</v>
      </c>
      <c r="C919" s="2" t="s">
        <v>30</v>
      </c>
      <c r="D919" s="2" t="s">
        <v>151</v>
      </c>
      <c r="E919" s="2" t="s">
        <v>141</v>
      </c>
      <c r="F919" s="2" t="s">
        <v>253</v>
      </c>
      <c r="G919" s="2" t="s">
        <v>216</v>
      </c>
      <c r="I919">
        <f>HEX2DEC(_0811_173439[[#This Row],[580C]])*B$4/B$5+B$6</f>
        <v>800</v>
      </c>
      <c r="J919">
        <f>HEX2DEC(_0811_173439[[#This Row],[4402]])*C$4/C$5+C$6</f>
        <v>36</v>
      </c>
      <c r="K919">
        <f>HEX2DEC(_0811_173439[[#This Row],[580F]])*D$4/D$5+D$6</f>
        <v>30</v>
      </c>
      <c r="L919">
        <f>ROUND(HEX2DEC(_0811_173439[[#This Row],[58F0]])*E$4/E$5+E$6,0)</f>
        <v>70</v>
      </c>
      <c r="M919">
        <f>ROUND(HEX2DEC(_0811_173439[[#This Row],[5805]])*F$4/F$5+F$6,0)</f>
        <v>43</v>
      </c>
      <c r="N919">
        <f>ROUND(HEX2DEC(_0811_173439[[#This Row],[58DD]])*G$4/G$5+G$6,2)</f>
        <v>-0.03</v>
      </c>
      <c r="P919">
        <v>800</v>
      </c>
      <c r="Q919">
        <v>36</v>
      </c>
      <c r="R919">
        <v>30</v>
      </c>
      <c r="S919">
        <v>70</v>
      </c>
      <c r="T919">
        <v>43</v>
      </c>
      <c r="U919">
        <v>-0.03</v>
      </c>
      <c r="W919">
        <f>DataLog_T717420_Aug11_4_59_37pm[[#This Row],[RPM '[1/MIN']]]-Table3[[#This Row],[580C]]</f>
        <v>0</v>
      </c>
      <c r="X919">
        <f>DataLog_T717420_Aug11_4_59_37pm[[#This Row],[OIL TEMP '[Â°C']]]-Table3[[#This Row],[4402]]</f>
        <v>0</v>
      </c>
      <c r="Y919">
        <f>DataLog_T717420_Aug11_4_59_37pm[[#This Row],[INTAKE TEMP '[Â°C']]]-Table3[[#This Row],[580F]]</f>
        <v>0</v>
      </c>
      <c r="Z919">
        <f>DataLog_T717420_Aug11_4_59_37pm[[#This Row],[HPFP PRES. '[BAR']]]-Table3[[#This Row],[58F0]]</f>
        <v>0</v>
      </c>
      <c r="AA919">
        <f>DataLog_T717420_Aug11_4_59_37pm[[#This Row],[COOLANT TEMP '[Â°C']]]-Table3[[#This Row],[5805]]</f>
        <v>0</v>
      </c>
      <c r="AB919">
        <f>DataLog_T717420_Aug11_4_59_37pm[[#This Row],[BOOST '[BAR']]]-Table3[[#This Row],[58DD]]</f>
        <v>0</v>
      </c>
    </row>
    <row r="920" spans="2:28" x14ac:dyDescent="0.25">
      <c r="B920" s="2" t="s">
        <v>183</v>
      </c>
      <c r="C920" s="2" t="s">
        <v>30</v>
      </c>
      <c r="D920" s="2" t="s">
        <v>151</v>
      </c>
      <c r="E920" s="2" t="s">
        <v>119</v>
      </c>
      <c r="F920" s="2" t="s">
        <v>253</v>
      </c>
      <c r="G920" s="2" t="s">
        <v>216</v>
      </c>
      <c r="I920">
        <f>HEX2DEC(_0811_173439[[#This Row],[580C]])*B$4/B$5+B$6</f>
        <v>800</v>
      </c>
      <c r="J920">
        <f>HEX2DEC(_0811_173439[[#This Row],[4402]])*C$4/C$5+C$6</f>
        <v>36</v>
      </c>
      <c r="K920">
        <f>HEX2DEC(_0811_173439[[#This Row],[580F]])*D$4/D$5+D$6</f>
        <v>30</v>
      </c>
      <c r="L920">
        <f>ROUND(HEX2DEC(_0811_173439[[#This Row],[58F0]])*E$4/E$5+E$6,0)</f>
        <v>71</v>
      </c>
      <c r="M920">
        <f>ROUND(HEX2DEC(_0811_173439[[#This Row],[5805]])*F$4/F$5+F$6,0)</f>
        <v>43</v>
      </c>
      <c r="N920">
        <f>ROUND(HEX2DEC(_0811_173439[[#This Row],[58DD]])*G$4/G$5+G$6,2)</f>
        <v>-0.03</v>
      </c>
      <c r="P920">
        <v>800</v>
      </c>
      <c r="Q920">
        <v>36</v>
      </c>
      <c r="R920">
        <v>30</v>
      </c>
      <c r="S920">
        <v>71</v>
      </c>
      <c r="T920">
        <v>43</v>
      </c>
      <c r="U920">
        <v>-0.03</v>
      </c>
      <c r="W920">
        <f>DataLog_T717420_Aug11_4_59_37pm[[#This Row],[RPM '[1/MIN']]]-Table3[[#This Row],[580C]]</f>
        <v>0</v>
      </c>
      <c r="X920">
        <f>DataLog_T717420_Aug11_4_59_37pm[[#This Row],[OIL TEMP '[Â°C']]]-Table3[[#This Row],[4402]]</f>
        <v>0</v>
      </c>
      <c r="Y920">
        <f>DataLog_T717420_Aug11_4_59_37pm[[#This Row],[INTAKE TEMP '[Â°C']]]-Table3[[#This Row],[580F]]</f>
        <v>0</v>
      </c>
      <c r="Z920">
        <f>DataLog_T717420_Aug11_4_59_37pm[[#This Row],[HPFP PRES. '[BAR']]]-Table3[[#This Row],[58F0]]</f>
        <v>0</v>
      </c>
      <c r="AA920">
        <f>DataLog_T717420_Aug11_4_59_37pm[[#This Row],[COOLANT TEMP '[Â°C']]]-Table3[[#This Row],[5805]]</f>
        <v>0</v>
      </c>
      <c r="AB920">
        <f>DataLog_T717420_Aug11_4_59_37pm[[#This Row],[BOOST '[BAR']]]-Table3[[#This Row],[58DD]]</f>
        <v>0</v>
      </c>
    </row>
    <row r="921" spans="2:28" x14ac:dyDescent="0.25">
      <c r="B921" s="2" t="s">
        <v>183</v>
      </c>
      <c r="C921" s="2" t="s">
        <v>30</v>
      </c>
      <c r="D921" s="2" t="s">
        <v>151</v>
      </c>
      <c r="E921" s="2" t="s">
        <v>177</v>
      </c>
      <c r="F921" s="2" t="s">
        <v>253</v>
      </c>
      <c r="G921" s="2" t="s">
        <v>53</v>
      </c>
      <c r="I921">
        <f>HEX2DEC(_0811_173439[[#This Row],[580C]])*B$4/B$5+B$6</f>
        <v>800</v>
      </c>
      <c r="J921">
        <f>HEX2DEC(_0811_173439[[#This Row],[4402]])*C$4/C$5+C$6</f>
        <v>36</v>
      </c>
      <c r="K921">
        <f>HEX2DEC(_0811_173439[[#This Row],[580F]])*D$4/D$5+D$6</f>
        <v>30</v>
      </c>
      <c r="L921">
        <f>ROUND(HEX2DEC(_0811_173439[[#This Row],[58F0]])*E$4/E$5+E$6,0)</f>
        <v>71</v>
      </c>
      <c r="M921">
        <f>ROUND(HEX2DEC(_0811_173439[[#This Row],[5805]])*F$4/F$5+F$6,0)</f>
        <v>43</v>
      </c>
      <c r="N921">
        <f>ROUND(HEX2DEC(_0811_173439[[#This Row],[58DD]])*G$4/G$5+G$6,2)</f>
        <v>-0.03</v>
      </c>
      <c r="P921">
        <v>800</v>
      </c>
      <c r="Q921">
        <v>36</v>
      </c>
      <c r="R921">
        <v>30</v>
      </c>
      <c r="S921">
        <v>71</v>
      </c>
      <c r="T921">
        <v>43</v>
      </c>
      <c r="U921">
        <v>-0.03</v>
      </c>
      <c r="W921">
        <f>DataLog_T717420_Aug11_4_59_37pm[[#This Row],[RPM '[1/MIN']]]-Table3[[#This Row],[580C]]</f>
        <v>0</v>
      </c>
      <c r="X921">
        <f>DataLog_T717420_Aug11_4_59_37pm[[#This Row],[OIL TEMP '[Â°C']]]-Table3[[#This Row],[4402]]</f>
        <v>0</v>
      </c>
      <c r="Y921">
        <f>DataLog_T717420_Aug11_4_59_37pm[[#This Row],[INTAKE TEMP '[Â°C']]]-Table3[[#This Row],[580F]]</f>
        <v>0</v>
      </c>
      <c r="Z921">
        <f>DataLog_T717420_Aug11_4_59_37pm[[#This Row],[HPFP PRES. '[BAR']]]-Table3[[#This Row],[58F0]]</f>
        <v>0</v>
      </c>
      <c r="AA921">
        <f>DataLog_T717420_Aug11_4_59_37pm[[#This Row],[COOLANT TEMP '[Â°C']]]-Table3[[#This Row],[5805]]</f>
        <v>0</v>
      </c>
      <c r="AB921">
        <f>DataLog_T717420_Aug11_4_59_37pm[[#This Row],[BOOST '[BAR']]]-Table3[[#This Row],[58DD]]</f>
        <v>0</v>
      </c>
    </row>
    <row r="922" spans="2:28" x14ac:dyDescent="0.25">
      <c r="B922" s="2" t="s">
        <v>183</v>
      </c>
      <c r="C922" s="2" t="s">
        <v>30</v>
      </c>
      <c r="D922" s="2" t="s">
        <v>151</v>
      </c>
      <c r="E922" s="2" t="s">
        <v>150</v>
      </c>
      <c r="F922" s="2" t="s">
        <v>253</v>
      </c>
      <c r="G922" s="2" t="s">
        <v>96</v>
      </c>
      <c r="I922">
        <f>HEX2DEC(_0811_173439[[#This Row],[580C]])*B$4/B$5+B$6</f>
        <v>800</v>
      </c>
      <c r="J922">
        <f>HEX2DEC(_0811_173439[[#This Row],[4402]])*C$4/C$5+C$6</f>
        <v>36</v>
      </c>
      <c r="K922">
        <f>HEX2DEC(_0811_173439[[#This Row],[580F]])*D$4/D$5+D$6</f>
        <v>30</v>
      </c>
      <c r="L922">
        <f>ROUND(HEX2DEC(_0811_173439[[#This Row],[58F0]])*E$4/E$5+E$6,0)</f>
        <v>70</v>
      </c>
      <c r="M922">
        <f>ROUND(HEX2DEC(_0811_173439[[#This Row],[5805]])*F$4/F$5+F$6,0)</f>
        <v>43</v>
      </c>
      <c r="N922">
        <f>ROUND(HEX2DEC(_0811_173439[[#This Row],[58DD]])*G$4/G$5+G$6,2)</f>
        <v>-0.03</v>
      </c>
      <c r="P922">
        <v>800</v>
      </c>
      <c r="Q922">
        <v>36</v>
      </c>
      <c r="R922">
        <v>30</v>
      </c>
      <c r="S922">
        <v>70</v>
      </c>
      <c r="T922">
        <v>43</v>
      </c>
      <c r="U922">
        <v>-0.03</v>
      </c>
      <c r="W922">
        <f>DataLog_T717420_Aug11_4_59_37pm[[#This Row],[RPM '[1/MIN']]]-Table3[[#This Row],[580C]]</f>
        <v>0</v>
      </c>
      <c r="X922">
        <f>DataLog_T717420_Aug11_4_59_37pm[[#This Row],[OIL TEMP '[Â°C']]]-Table3[[#This Row],[4402]]</f>
        <v>0</v>
      </c>
      <c r="Y922">
        <f>DataLog_T717420_Aug11_4_59_37pm[[#This Row],[INTAKE TEMP '[Â°C']]]-Table3[[#This Row],[580F]]</f>
        <v>0</v>
      </c>
      <c r="Z922">
        <f>DataLog_T717420_Aug11_4_59_37pm[[#This Row],[HPFP PRES. '[BAR']]]-Table3[[#This Row],[58F0]]</f>
        <v>0</v>
      </c>
      <c r="AA922">
        <f>DataLog_T717420_Aug11_4_59_37pm[[#This Row],[COOLANT TEMP '[Â°C']]]-Table3[[#This Row],[5805]]</f>
        <v>0</v>
      </c>
      <c r="AB922">
        <f>DataLog_T717420_Aug11_4_59_37pm[[#This Row],[BOOST '[BAR']]]-Table3[[#This Row],[58DD]]</f>
        <v>0</v>
      </c>
    </row>
    <row r="923" spans="2:28" x14ac:dyDescent="0.25">
      <c r="B923" s="2" t="s">
        <v>183</v>
      </c>
      <c r="C923" s="2" t="s">
        <v>30</v>
      </c>
      <c r="D923" s="2" t="s">
        <v>151</v>
      </c>
      <c r="E923" s="2" t="s">
        <v>122</v>
      </c>
      <c r="F923" s="2" t="s">
        <v>253</v>
      </c>
      <c r="G923" s="2" t="s">
        <v>90</v>
      </c>
      <c r="I923">
        <f>HEX2DEC(_0811_173439[[#This Row],[580C]])*B$4/B$5+B$6</f>
        <v>800</v>
      </c>
      <c r="J923">
        <f>HEX2DEC(_0811_173439[[#This Row],[4402]])*C$4/C$5+C$6</f>
        <v>36</v>
      </c>
      <c r="K923">
        <f>HEX2DEC(_0811_173439[[#This Row],[580F]])*D$4/D$5+D$6</f>
        <v>30</v>
      </c>
      <c r="L923">
        <f>ROUND(HEX2DEC(_0811_173439[[#This Row],[58F0]])*E$4/E$5+E$6,0)</f>
        <v>71</v>
      </c>
      <c r="M923">
        <f>ROUND(HEX2DEC(_0811_173439[[#This Row],[5805]])*F$4/F$5+F$6,0)</f>
        <v>43</v>
      </c>
      <c r="N923">
        <f>ROUND(HEX2DEC(_0811_173439[[#This Row],[58DD]])*G$4/G$5+G$6,2)</f>
        <v>-0.03</v>
      </c>
      <c r="P923">
        <v>800</v>
      </c>
      <c r="Q923">
        <v>36</v>
      </c>
      <c r="R923">
        <v>30</v>
      </c>
      <c r="S923">
        <v>71</v>
      </c>
      <c r="T923">
        <v>43</v>
      </c>
      <c r="U923">
        <v>-0.03</v>
      </c>
      <c r="W923">
        <f>DataLog_T717420_Aug11_4_59_37pm[[#This Row],[RPM '[1/MIN']]]-Table3[[#This Row],[580C]]</f>
        <v>0</v>
      </c>
      <c r="X923">
        <f>DataLog_T717420_Aug11_4_59_37pm[[#This Row],[OIL TEMP '[Â°C']]]-Table3[[#This Row],[4402]]</f>
        <v>0</v>
      </c>
      <c r="Y923">
        <f>DataLog_T717420_Aug11_4_59_37pm[[#This Row],[INTAKE TEMP '[Â°C']]]-Table3[[#This Row],[580F]]</f>
        <v>0</v>
      </c>
      <c r="Z923">
        <f>DataLog_T717420_Aug11_4_59_37pm[[#This Row],[HPFP PRES. '[BAR']]]-Table3[[#This Row],[58F0]]</f>
        <v>0</v>
      </c>
      <c r="AA923">
        <f>DataLog_T717420_Aug11_4_59_37pm[[#This Row],[COOLANT TEMP '[Â°C']]]-Table3[[#This Row],[5805]]</f>
        <v>0</v>
      </c>
      <c r="AB923">
        <f>DataLog_T717420_Aug11_4_59_37pm[[#This Row],[BOOST '[BAR']]]-Table3[[#This Row],[58DD]]</f>
        <v>0</v>
      </c>
    </row>
    <row r="924" spans="2:28" x14ac:dyDescent="0.25">
      <c r="B924" s="2" t="s">
        <v>183</v>
      </c>
      <c r="C924" s="2" t="s">
        <v>30</v>
      </c>
      <c r="D924" s="2" t="s">
        <v>151</v>
      </c>
      <c r="E924" s="2" t="s">
        <v>177</v>
      </c>
      <c r="F924" s="2" t="s">
        <v>253</v>
      </c>
      <c r="G924" s="2" t="s">
        <v>190</v>
      </c>
      <c r="I924">
        <f>HEX2DEC(_0811_173439[[#This Row],[580C]])*B$4/B$5+B$6</f>
        <v>800</v>
      </c>
      <c r="J924">
        <f>HEX2DEC(_0811_173439[[#This Row],[4402]])*C$4/C$5+C$6</f>
        <v>36</v>
      </c>
      <c r="K924">
        <f>HEX2DEC(_0811_173439[[#This Row],[580F]])*D$4/D$5+D$6</f>
        <v>30</v>
      </c>
      <c r="L924">
        <f>ROUND(HEX2DEC(_0811_173439[[#This Row],[58F0]])*E$4/E$5+E$6,0)</f>
        <v>71</v>
      </c>
      <c r="M924">
        <f>ROUND(HEX2DEC(_0811_173439[[#This Row],[5805]])*F$4/F$5+F$6,0)</f>
        <v>43</v>
      </c>
      <c r="N924">
        <f>ROUND(HEX2DEC(_0811_173439[[#This Row],[58DD]])*G$4/G$5+G$6,2)</f>
        <v>-0.03</v>
      </c>
      <c r="P924">
        <v>800</v>
      </c>
      <c r="Q924">
        <v>36</v>
      </c>
      <c r="R924">
        <v>30</v>
      </c>
      <c r="S924">
        <v>71</v>
      </c>
      <c r="T924">
        <v>43</v>
      </c>
      <c r="U924">
        <v>-0.03</v>
      </c>
      <c r="W924">
        <f>DataLog_T717420_Aug11_4_59_37pm[[#This Row],[RPM '[1/MIN']]]-Table3[[#This Row],[580C]]</f>
        <v>0</v>
      </c>
      <c r="X924">
        <f>DataLog_T717420_Aug11_4_59_37pm[[#This Row],[OIL TEMP '[Â°C']]]-Table3[[#This Row],[4402]]</f>
        <v>0</v>
      </c>
      <c r="Y924">
        <f>DataLog_T717420_Aug11_4_59_37pm[[#This Row],[INTAKE TEMP '[Â°C']]]-Table3[[#This Row],[580F]]</f>
        <v>0</v>
      </c>
      <c r="Z924">
        <f>DataLog_T717420_Aug11_4_59_37pm[[#This Row],[HPFP PRES. '[BAR']]]-Table3[[#This Row],[58F0]]</f>
        <v>0</v>
      </c>
      <c r="AA924">
        <f>DataLog_T717420_Aug11_4_59_37pm[[#This Row],[COOLANT TEMP '[Â°C']]]-Table3[[#This Row],[5805]]</f>
        <v>0</v>
      </c>
      <c r="AB924">
        <f>DataLog_T717420_Aug11_4_59_37pm[[#This Row],[BOOST '[BAR']]]-Table3[[#This Row],[58DD]]</f>
        <v>0</v>
      </c>
    </row>
    <row r="925" spans="2:28" x14ac:dyDescent="0.25">
      <c r="B925" s="2" t="s">
        <v>183</v>
      </c>
      <c r="C925" s="2" t="s">
        <v>30</v>
      </c>
      <c r="D925" s="2" t="s">
        <v>151</v>
      </c>
      <c r="E925" s="2" t="s">
        <v>93</v>
      </c>
      <c r="F925" s="2" t="s">
        <v>253</v>
      </c>
      <c r="G925" s="2" t="s">
        <v>191</v>
      </c>
      <c r="I925">
        <f>HEX2DEC(_0811_173439[[#This Row],[580C]])*B$4/B$5+B$6</f>
        <v>800</v>
      </c>
      <c r="J925">
        <f>HEX2DEC(_0811_173439[[#This Row],[4402]])*C$4/C$5+C$6</f>
        <v>36</v>
      </c>
      <c r="K925">
        <f>HEX2DEC(_0811_173439[[#This Row],[580F]])*D$4/D$5+D$6</f>
        <v>30</v>
      </c>
      <c r="L925">
        <f>ROUND(HEX2DEC(_0811_173439[[#This Row],[58F0]])*E$4/E$5+E$6,0)</f>
        <v>70</v>
      </c>
      <c r="M925">
        <f>ROUND(HEX2DEC(_0811_173439[[#This Row],[5805]])*F$4/F$5+F$6,0)</f>
        <v>43</v>
      </c>
      <c r="N925">
        <f>ROUND(HEX2DEC(_0811_173439[[#This Row],[58DD]])*G$4/G$5+G$6,2)</f>
        <v>-0.03</v>
      </c>
      <c r="P925">
        <v>800</v>
      </c>
      <c r="Q925">
        <v>36</v>
      </c>
      <c r="R925">
        <v>30</v>
      </c>
      <c r="S925">
        <v>70</v>
      </c>
      <c r="T925">
        <v>43</v>
      </c>
      <c r="U925">
        <v>-0.03</v>
      </c>
      <c r="W925">
        <f>DataLog_T717420_Aug11_4_59_37pm[[#This Row],[RPM '[1/MIN']]]-Table3[[#This Row],[580C]]</f>
        <v>0</v>
      </c>
      <c r="X925">
        <f>DataLog_T717420_Aug11_4_59_37pm[[#This Row],[OIL TEMP '[Â°C']]]-Table3[[#This Row],[4402]]</f>
        <v>0</v>
      </c>
      <c r="Y925">
        <f>DataLog_T717420_Aug11_4_59_37pm[[#This Row],[INTAKE TEMP '[Â°C']]]-Table3[[#This Row],[580F]]</f>
        <v>0</v>
      </c>
      <c r="Z925">
        <f>DataLog_T717420_Aug11_4_59_37pm[[#This Row],[HPFP PRES. '[BAR']]]-Table3[[#This Row],[58F0]]</f>
        <v>0</v>
      </c>
      <c r="AA925">
        <f>DataLog_T717420_Aug11_4_59_37pm[[#This Row],[COOLANT TEMP '[Â°C']]]-Table3[[#This Row],[5805]]</f>
        <v>0</v>
      </c>
      <c r="AB925">
        <f>DataLog_T717420_Aug11_4_59_37pm[[#This Row],[BOOST '[BAR']]]-Table3[[#This Row],[58DD]]</f>
        <v>0</v>
      </c>
    </row>
    <row r="926" spans="2:28" x14ac:dyDescent="0.25">
      <c r="B926" s="2" t="s">
        <v>183</v>
      </c>
      <c r="C926" s="2" t="s">
        <v>30</v>
      </c>
      <c r="D926" s="2" t="s">
        <v>151</v>
      </c>
      <c r="E926" s="2" t="s">
        <v>123</v>
      </c>
      <c r="F926" s="2" t="s">
        <v>253</v>
      </c>
      <c r="G926" s="2" t="s">
        <v>96</v>
      </c>
      <c r="I926">
        <f>HEX2DEC(_0811_173439[[#This Row],[580C]])*B$4/B$5+B$6</f>
        <v>800</v>
      </c>
      <c r="J926">
        <f>HEX2DEC(_0811_173439[[#This Row],[4402]])*C$4/C$5+C$6</f>
        <v>36</v>
      </c>
      <c r="K926">
        <f>HEX2DEC(_0811_173439[[#This Row],[580F]])*D$4/D$5+D$6</f>
        <v>30</v>
      </c>
      <c r="L926">
        <f>ROUND(HEX2DEC(_0811_173439[[#This Row],[58F0]])*E$4/E$5+E$6,0)</f>
        <v>71</v>
      </c>
      <c r="M926">
        <f>ROUND(HEX2DEC(_0811_173439[[#This Row],[5805]])*F$4/F$5+F$6,0)</f>
        <v>43</v>
      </c>
      <c r="N926">
        <f>ROUND(HEX2DEC(_0811_173439[[#This Row],[58DD]])*G$4/G$5+G$6,2)</f>
        <v>-0.03</v>
      </c>
      <c r="P926">
        <v>800</v>
      </c>
      <c r="Q926">
        <v>36</v>
      </c>
      <c r="R926">
        <v>30</v>
      </c>
      <c r="S926">
        <v>71</v>
      </c>
      <c r="T926">
        <v>43</v>
      </c>
      <c r="U926">
        <v>-0.03</v>
      </c>
      <c r="W926">
        <f>DataLog_T717420_Aug11_4_59_37pm[[#This Row],[RPM '[1/MIN']]]-Table3[[#This Row],[580C]]</f>
        <v>0</v>
      </c>
      <c r="X926">
        <f>DataLog_T717420_Aug11_4_59_37pm[[#This Row],[OIL TEMP '[Â°C']]]-Table3[[#This Row],[4402]]</f>
        <v>0</v>
      </c>
      <c r="Y926">
        <f>DataLog_T717420_Aug11_4_59_37pm[[#This Row],[INTAKE TEMP '[Â°C']]]-Table3[[#This Row],[580F]]</f>
        <v>0</v>
      </c>
      <c r="Z926">
        <f>DataLog_T717420_Aug11_4_59_37pm[[#This Row],[HPFP PRES. '[BAR']]]-Table3[[#This Row],[58F0]]</f>
        <v>0</v>
      </c>
      <c r="AA926">
        <f>DataLog_T717420_Aug11_4_59_37pm[[#This Row],[COOLANT TEMP '[Â°C']]]-Table3[[#This Row],[5805]]</f>
        <v>0</v>
      </c>
      <c r="AB926">
        <f>DataLog_T717420_Aug11_4_59_37pm[[#This Row],[BOOST '[BAR']]]-Table3[[#This Row],[58DD]]</f>
        <v>0</v>
      </c>
    </row>
    <row r="927" spans="2:28" x14ac:dyDescent="0.25">
      <c r="B927" s="2" t="s">
        <v>183</v>
      </c>
      <c r="C927" s="2" t="s">
        <v>30</v>
      </c>
      <c r="D927" s="2" t="s">
        <v>151</v>
      </c>
      <c r="E927" s="2" t="s">
        <v>177</v>
      </c>
      <c r="F927" s="2" t="s">
        <v>253</v>
      </c>
      <c r="G927" s="2" t="s">
        <v>53</v>
      </c>
      <c r="I927">
        <f>HEX2DEC(_0811_173439[[#This Row],[580C]])*B$4/B$5+B$6</f>
        <v>800</v>
      </c>
      <c r="J927">
        <f>HEX2DEC(_0811_173439[[#This Row],[4402]])*C$4/C$5+C$6</f>
        <v>36</v>
      </c>
      <c r="K927">
        <f>HEX2DEC(_0811_173439[[#This Row],[580F]])*D$4/D$5+D$6</f>
        <v>30</v>
      </c>
      <c r="L927">
        <f>ROUND(HEX2DEC(_0811_173439[[#This Row],[58F0]])*E$4/E$5+E$6,0)</f>
        <v>71</v>
      </c>
      <c r="M927">
        <f>ROUND(HEX2DEC(_0811_173439[[#This Row],[5805]])*F$4/F$5+F$6,0)</f>
        <v>43</v>
      </c>
      <c r="N927">
        <f>ROUND(HEX2DEC(_0811_173439[[#This Row],[58DD]])*G$4/G$5+G$6,2)</f>
        <v>-0.03</v>
      </c>
      <c r="P927">
        <v>800</v>
      </c>
      <c r="Q927">
        <v>36</v>
      </c>
      <c r="R927">
        <v>30</v>
      </c>
      <c r="S927">
        <v>71</v>
      </c>
      <c r="T927">
        <v>43</v>
      </c>
      <c r="U927">
        <v>-0.03</v>
      </c>
      <c r="W927">
        <f>DataLog_T717420_Aug11_4_59_37pm[[#This Row],[RPM '[1/MIN']]]-Table3[[#This Row],[580C]]</f>
        <v>0</v>
      </c>
      <c r="X927">
        <f>DataLog_T717420_Aug11_4_59_37pm[[#This Row],[OIL TEMP '[Â°C']]]-Table3[[#This Row],[4402]]</f>
        <v>0</v>
      </c>
      <c r="Y927">
        <f>DataLog_T717420_Aug11_4_59_37pm[[#This Row],[INTAKE TEMP '[Â°C']]]-Table3[[#This Row],[580F]]</f>
        <v>0</v>
      </c>
      <c r="Z927">
        <f>DataLog_T717420_Aug11_4_59_37pm[[#This Row],[HPFP PRES. '[BAR']]]-Table3[[#This Row],[58F0]]</f>
        <v>0</v>
      </c>
      <c r="AA927">
        <f>DataLog_T717420_Aug11_4_59_37pm[[#This Row],[COOLANT TEMP '[Â°C']]]-Table3[[#This Row],[5805]]</f>
        <v>0</v>
      </c>
      <c r="AB927">
        <f>DataLog_T717420_Aug11_4_59_37pm[[#This Row],[BOOST '[BAR']]]-Table3[[#This Row],[58DD]]</f>
        <v>0</v>
      </c>
    </row>
    <row r="928" spans="2:28" x14ac:dyDescent="0.25">
      <c r="B928" s="2" t="s">
        <v>183</v>
      </c>
      <c r="C928" s="2" t="s">
        <v>30</v>
      </c>
      <c r="D928" s="2" t="s">
        <v>151</v>
      </c>
      <c r="E928" s="2" t="s">
        <v>93</v>
      </c>
      <c r="F928" s="2" t="s">
        <v>253</v>
      </c>
      <c r="G928" s="2" t="s">
        <v>191</v>
      </c>
      <c r="I928">
        <f>HEX2DEC(_0811_173439[[#This Row],[580C]])*B$4/B$5+B$6</f>
        <v>800</v>
      </c>
      <c r="J928">
        <f>HEX2DEC(_0811_173439[[#This Row],[4402]])*C$4/C$5+C$6</f>
        <v>36</v>
      </c>
      <c r="K928">
        <f>HEX2DEC(_0811_173439[[#This Row],[580F]])*D$4/D$5+D$6</f>
        <v>30</v>
      </c>
      <c r="L928">
        <f>ROUND(HEX2DEC(_0811_173439[[#This Row],[58F0]])*E$4/E$5+E$6,0)</f>
        <v>70</v>
      </c>
      <c r="M928">
        <f>ROUND(HEX2DEC(_0811_173439[[#This Row],[5805]])*F$4/F$5+F$6,0)</f>
        <v>43</v>
      </c>
      <c r="N928">
        <f>ROUND(HEX2DEC(_0811_173439[[#This Row],[58DD]])*G$4/G$5+G$6,2)</f>
        <v>-0.03</v>
      </c>
      <c r="P928">
        <v>800</v>
      </c>
      <c r="Q928">
        <v>36</v>
      </c>
      <c r="R928">
        <v>30</v>
      </c>
      <c r="S928">
        <v>70</v>
      </c>
      <c r="T928">
        <v>43</v>
      </c>
      <c r="U928">
        <v>-0.03</v>
      </c>
      <c r="W928">
        <f>DataLog_T717420_Aug11_4_59_37pm[[#This Row],[RPM '[1/MIN']]]-Table3[[#This Row],[580C]]</f>
        <v>0</v>
      </c>
      <c r="X928">
        <f>DataLog_T717420_Aug11_4_59_37pm[[#This Row],[OIL TEMP '[Â°C']]]-Table3[[#This Row],[4402]]</f>
        <v>0</v>
      </c>
      <c r="Y928">
        <f>DataLog_T717420_Aug11_4_59_37pm[[#This Row],[INTAKE TEMP '[Â°C']]]-Table3[[#This Row],[580F]]</f>
        <v>0</v>
      </c>
      <c r="Z928">
        <f>DataLog_T717420_Aug11_4_59_37pm[[#This Row],[HPFP PRES. '[BAR']]]-Table3[[#This Row],[58F0]]</f>
        <v>0</v>
      </c>
      <c r="AA928">
        <f>DataLog_T717420_Aug11_4_59_37pm[[#This Row],[COOLANT TEMP '[Â°C']]]-Table3[[#This Row],[5805]]</f>
        <v>0</v>
      </c>
      <c r="AB928">
        <f>DataLog_T717420_Aug11_4_59_37pm[[#This Row],[BOOST '[BAR']]]-Table3[[#This Row],[58DD]]</f>
        <v>0</v>
      </c>
    </row>
    <row r="929" spans="2:28" x14ac:dyDescent="0.25">
      <c r="B929" s="2" t="s">
        <v>183</v>
      </c>
      <c r="C929" s="2" t="s">
        <v>30</v>
      </c>
      <c r="D929" s="2" t="s">
        <v>151</v>
      </c>
      <c r="E929" s="2" t="s">
        <v>123</v>
      </c>
      <c r="F929" s="2" t="s">
        <v>253</v>
      </c>
      <c r="G929" s="2" t="s">
        <v>236</v>
      </c>
      <c r="I929">
        <f>HEX2DEC(_0811_173439[[#This Row],[580C]])*B$4/B$5+B$6</f>
        <v>800</v>
      </c>
      <c r="J929">
        <f>HEX2DEC(_0811_173439[[#This Row],[4402]])*C$4/C$5+C$6</f>
        <v>36</v>
      </c>
      <c r="K929">
        <f>HEX2DEC(_0811_173439[[#This Row],[580F]])*D$4/D$5+D$6</f>
        <v>30</v>
      </c>
      <c r="L929">
        <f>ROUND(HEX2DEC(_0811_173439[[#This Row],[58F0]])*E$4/E$5+E$6,0)</f>
        <v>71</v>
      </c>
      <c r="M929">
        <f>ROUND(HEX2DEC(_0811_173439[[#This Row],[5805]])*F$4/F$5+F$6,0)</f>
        <v>43</v>
      </c>
      <c r="N929">
        <f>ROUND(HEX2DEC(_0811_173439[[#This Row],[58DD]])*G$4/G$5+G$6,2)</f>
        <v>-0.03</v>
      </c>
      <c r="P929">
        <v>800</v>
      </c>
      <c r="Q929">
        <v>36</v>
      </c>
      <c r="R929">
        <v>30</v>
      </c>
      <c r="S929">
        <v>71</v>
      </c>
      <c r="T929">
        <v>43</v>
      </c>
      <c r="U929">
        <v>-0.03</v>
      </c>
      <c r="W929">
        <f>DataLog_T717420_Aug11_4_59_37pm[[#This Row],[RPM '[1/MIN']]]-Table3[[#This Row],[580C]]</f>
        <v>0</v>
      </c>
      <c r="X929">
        <f>DataLog_T717420_Aug11_4_59_37pm[[#This Row],[OIL TEMP '[Â°C']]]-Table3[[#This Row],[4402]]</f>
        <v>0</v>
      </c>
      <c r="Y929">
        <f>DataLog_T717420_Aug11_4_59_37pm[[#This Row],[INTAKE TEMP '[Â°C']]]-Table3[[#This Row],[580F]]</f>
        <v>0</v>
      </c>
      <c r="Z929">
        <f>DataLog_T717420_Aug11_4_59_37pm[[#This Row],[HPFP PRES. '[BAR']]]-Table3[[#This Row],[58F0]]</f>
        <v>0</v>
      </c>
      <c r="AA929">
        <f>DataLog_T717420_Aug11_4_59_37pm[[#This Row],[COOLANT TEMP '[Â°C']]]-Table3[[#This Row],[5805]]</f>
        <v>0</v>
      </c>
      <c r="AB929">
        <f>DataLog_T717420_Aug11_4_59_37pm[[#This Row],[BOOST '[BAR']]]-Table3[[#This Row],[58DD]]</f>
        <v>0</v>
      </c>
    </row>
    <row r="930" spans="2:28" x14ac:dyDescent="0.25">
      <c r="B930" s="2" t="s">
        <v>183</v>
      </c>
      <c r="C930" s="2" t="s">
        <v>30</v>
      </c>
      <c r="D930" s="2" t="s">
        <v>151</v>
      </c>
      <c r="E930" s="2" t="s">
        <v>154</v>
      </c>
      <c r="F930" s="2" t="s">
        <v>253</v>
      </c>
      <c r="G930" s="2" t="s">
        <v>96</v>
      </c>
      <c r="I930">
        <f>HEX2DEC(_0811_173439[[#This Row],[580C]])*B$4/B$5+B$6</f>
        <v>800</v>
      </c>
      <c r="J930">
        <f>HEX2DEC(_0811_173439[[#This Row],[4402]])*C$4/C$5+C$6</f>
        <v>36</v>
      </c>
      <c r="K930">
        <f>HEX2DEC(_0811_173439[[#This Row],[580F]])*D$4/D$5+D$6</f>
        <v>30</v>
      </c>
      <c r="L930">
        <f>ROUND(HEX2DEC(_0811_173439[[#This Row],[58F0]])*E$4/E$5+E$6,0)</f>
        <v>71</v>
      </c>
      <c r="M930">
        <f>ROUND(HEX2DEC(_0811_173439[[#This Row],[5805]])*F$4/F$5+F$6,0)</f>
        <v>43</v>
      </c>
      <c r="N930">
        <f>ROUND(HEX2DEC(_0811_173439[[#This Row],[58DD]])*G$4/G$5+G$6,2)</f>
        <v>-0.03</v>
      </c>
      <c r="P930">
        <v>800</v>
      </c>
      <c r="Q930">
        <v>36</v>
      </c>
      <c r="R930">
        <v>30</v>
      </c>
      <c r="S930">
        <v>71</v>
      </c>
      <c r="T930">
        <v>43</v>
      </c>
      <c r="U930">
        <v>-0.03</v>
      </c>
      <c r="W930">
        <f>DataLog_T717420_Aug11_4_59_37pm[[#This Row],[RPM '[1/MIN']]]-Table3[[#This Row],[580C]]</f>
        <v>0</v>
      </c>
      <c r="X930">
        <f>DataLog_T717420_Aug11_4_59_37pm[[#This Row],[OIL TEMP '[Â°C']]]-Table3[[#This Row],[4402]]</f>
        <v>0</v>
      </c>
      <c r="Y930">
        <f>DataLog_T717420_Aug11_4_59_37pm[[#This Row],[INTAKE TEMP '[Â°C']]]-Table3[[#This Row],[580F]]</f>
        <v>0</v>
      </c>
      <c r="Z930">
        <f>DataLog_T717420_Aug11_4_59_37pm[[#This Row],[HPFP PRES. '[BAR']]]-Table3[[#This Row],[58F0]]</f>
        <v>0</v>
      </c>
      <c r="AA930">
        <f>DataLog_T717420_Aug11_4_59_37pm[[#This Row],[COOLANT TEMP '[Â°C']]]-Table3[[#This Row],[5805]]</f>
        <v>0</v>
      </c>
      <c r="AB930">
        <f>DataLog_T717420_Aug11_4_59_37pm[[#This Row],[BOOST '[BAR']]]-Table3[[#This Row],[58DD]]</f>
        <v>0</v>
      </c>
    </row>
    <row r="931" spans="2:28" x14ac:dyDescent="0.25">
      <c r="B931" s="2" t="s">
        <v>183</v>
      </c>
      <c r="C931" s="2" t="s">
        <v>30</v>
      </c>
      <c r="D931" s="2" t="s">
        <v>151</v>
      </c>
      <c r="E931" s="2" t="s">
        <v>118</v>
      </c>
      <c r="F931" s="2" t="s">
        <v>253</v>
      </c>
      <c r="G931" s="2" t="s">
        <v>71</v>
      </c>
      <c r="I931">
        <f>HEX2DEC(_0811_173439[[#This Row],[580C]])*B$4/B$5+B$6</f>
        <v>800</v>
      </c>
      <c r="J931">
        <f>HEX2DEC(_0811_173439[[#This Row],[4402]])*C$4/C$5+C$6</f>
        <v>36</v>
      </c>
      <c r="K931">
        <f>HEX2DEC(_0811_173439[[#This Row],[580F]])*D$4/D$5+D$6</f>
        <v>30</v>
      </c>
      <c r="L931">
        <f>ROUND(HEX2DEC(_0811_173439[[#This Row],[58F0]])*E$4/E$5+E$6,0)</f>
        <v>70</v>
      </c>
      <c r="M931">
        <f>ROUND(HEX2DEC(_0811_173439[[#This Row],[5805]])*F$4/F$5+F$6,0)</f>
        <v>43</v>
      </c>
      <c r="N931">
        <f>ROUND(HEX2DEC(_0811_173439[[#This Row],[58DD]])*G$4/G$5+G$6,2)</f>
        <v>-0.03</v>
      </c>
      <c r="P931">
        <v>800</v>
      </c>
      <c r="Q931">
        <v>36</v>
      </c>
      <c r="R931">
        <v>30</v>
      </c>
      <c r="S931">
        <v>70</v>
      </c>
      <c r="T931">
        <v>43</v>
      </c>
      <c r="U931">
        <v>-0.03</v>
      </c>
      <c r="W931">
        <f>DataLog_T717420_Aug11_4_59_37pm[[#This Row],[RPM '[1/MIN']]]-Table3[[#This Row],[580C]]</f>
        <v>0</v>
      </c>
      <c r="X931">
        <f>DataLog_T717420_Aug11_4_59_37pm[[#This Row],[OIL TEMP '[Â°C']]]-Table3[[#This Row],[4402]]</f>
        <v>0</v>
      </c>
      <c r="Y931">
        <f>DataLog_T717420_Aug11_4_59_37pm[[#This Row],[INTAKE TEMP '[Â°C']]]-Table3[[#This Row],[580F]]</f>
        <v>0</v>
      </c>
      <c r="Z931">
        <f>DataLog_T717420_Aug11_4_59_37pm[[#This Row],[HPFP PRES. '[BAR']]]-Table3[[#This Row],[58F0]]</f>
        <v>0</v>
      </c>
      <c r="AA931">
        <f>DataLog_T717420_Aug11_4_59_37pm[[#This Row],[COOLANT TEMP '[Â°C']]]-Table3[[#This Row],[5805]]</f>
        <v>0</v>
      </c>
      <c r="AB931">
        <f>DataLog_T717420_Aug11_4_59_37pm[[#This Row],[BOOST '[BAR']]]-Table3[[#This Row],[58DD]]</f>
        <v>0</v>
      </c>
    </row>
    <row r="932" spans="2:28" x14ac:dyDescent="0.25">
      <c r="B932" s="2" t="s">
        <v>183</v>
      </c>
      <c r="C932" s="2" t="s">
        <v>30</v>
      </c>
      <c r="D932" s="2" t="s">
        <v>151</v>
      </c>
      <c r="E932" s="2" t="s">
        <v>170</v>
      </c>
      <c r="F932" s="2" t="s">
        <v>253</v>
      </c>
      <c r="G932" s="2" t="s">
        <v>191</v>
      </c>
      <c r="I932">
        <f>HEX2DEC(_0811_173439[[#This Row],[580C]])*B$4/B$5+B$6</f>
        <v>800</v>
      </c>
      <c r="J932">
        <f>HEX2DEC(_0811_173439[[#This Row],[4402]])*C$4/C$5+C$6</f>
        <v>36</v>
      </c>
      <c r="K932">
        <f>HEX2DEC(_0811_173439[[#This Row],[580F]])*D$4/D$5+D$6</f>
        <v>30</v>
      </c>
      <c r="L932">
        <f>ROUND(HEX2DEC(_0811_173439[[#This Row],[58F0]])*E$4/E$5+E$6,0)</f>
        <v>71</v>
      </c>
      <c r="M932">
        <f>ROUND(HEX2DEC(_0811_173439[[#This Row],[5805]])*F$4/F$5+F$6,0)</f>
        <v>43</v>
      </c>
      <c r="N932">
        <f>ROUND(HEX2DEC(_0811_173439[[#This Row],[58DD]])*G$4/G$5+G$6,2)</f>
        <v>-0.03</v>
      </c>
      <c r="P932">
        <v>800</v>
      </c>
      <c r="Q932">
        <v>36</v>
      </c>
      <c r="R932">
        <v>30</v>
      </c>
      <c r="S932">
        <v>71</v>
      </c>
      <c r="T932">
        <v>43</v>
      </c>
      <c r="U932">
        <v>-0.03</v>
      </c>
      <c r="W932">
        <f>DataLog_T717420_Aug11_4_59_37pm[[#This Row],[RPM '[1/MIN']]]-Table3[[#This Row],[580C]]</f>
        <v>0</v>
      </c>
      <c r="X932">
        <f>DataLog_T717420_Aug11_4_59_37pm[[#This Row],[OIL TEMP '[Â°C']]]-Table3[[#This Row],[4402]]</f>
        <v>0</v>
      </c>
      <c r="Y932">
        <f>DataLog_T717420_Aug11_4_59_37pm[[#This Row],[INTAKE TEMP '[Â°C']]]-Table3[[#This Row],[580F]]</f>
        <v>0</v>
      </c>
      <c r="Z932">
        <f>DataLog_T717420_Aug11_4_59_37pm[[#This Row],[HPFP PRES. '[BAR']]]-Table3[[#This Row],[58F0]]</f>
        <v>0</v>
      </c>
      <c r="AA932">
        <f>DataLog_T717420_Aug11_4_59_37pm[[#This Row],[COOLANT TEMP '[Â°C']]]-Table3[[#This Row],[5805]]</f>
        <v>0</v>
      </c>
      <c r="AB932">
        <f>DataLog_T717420_Aug11_4_59_37pm[[#This Row],[BOOST '[BAR']]]-Table3[[#This Row],[58DD]]</f>
        <v>0</v>
      </c>
    </row>
    <row r="933" spans="2:28" x14ac:dyDescent="0.25">
      <c r="B933" s="2" t="s">
        <v>183</v>
      </c>
      <c r="C933" s="2" t="s">
        <v>30</v>
      </c>
      <c r="D933" s="2" t="s">
        <v>151</v>
      </c>
      <c r="E933" s="2" t="s">
        <v>129</v>
      </c>
      <c r="F933" s="2" t="s">
        <v>253</v>
      </c>
      <c r="G933" s="2" t="s">
        <v>216</v>
      </c>
      <c r="I933">
        <f>HEX2DEC(_0811_173439[[#This Row],[580C]])*B$4/B$5+B$6</f>
        <v>800</v>
      </c>
      <c r="J933">
        <f>HEX2DEC(_0811_173439[[#This Row],[4402]])*C$4/C$5+C$6</f>
        <v>36</v>
      </c>
      <c r="K933">
        <f>HEX2DEC(_0811_173439[[#This Row],[580F]])*D$4/D$5+D$6</f>
        <v>30</v>
      </c>
      <c r="L933">
        <f>ROUND(HEX2DEC(_0811_173439[[#This Row],[58F0]])*E$4/E$5+E$6,0)</f>
        <v>71</v>
      </c>
      <c r="M933">
        <f>ROUND(HEX2DEC(_0811_173439[[#This Row],[5805]])*F$4/F$5+F$6,0)</f>
        <v>43</v>
      </c>
      <c r="N933">
        <f>ROUND(HEX2DEC(_0811_173439[[#This Row],[58DD]])*G$4/G$5+G$6,2)</f>
        <v>-0.03</v>
      </c>
      <c r="P933">
        <v>800</v>
      </c>
      <c r="Q933">
        <v>36</v>
      </c>
      <c r="R933">
        <v>30</v>
      </c>
      <c r="S933">
        <v>71</v>
      </c>
      <c r="T933">
        <v>43</v>
      </c>
      <c r="U933">
        <v>-0.03</v>
      </c>
      <c r="W933">
        <f>DataLog_T717420_Aug11_4_59_37pm[[#This Row],[RPM '[1/MIN']]]-Table3[[#This Row],[580C]]</f>
        <v>0</v>
      </c>
      <c r="X933">
        <f>DataLog_T717420_Aug11_4_59_37pm[[#This Row],[OIL TEMP '[Â°C']]]-Table3[[#This Row],[4402]]</f>
        <v>0</v>
      </c>
      <c r="Y933">
        <f>DataLog_T717420_Aug11_4_59_37pm[[#This Row],[INTAKE TEMP '[Â°C']]]-Table3[[#This Row],[580F]]</f>
        <v>0</v>
      </c>
      <c r="Z933">
        <f>DataLog_T717420_Aug11_4_59_37pm[[#This Row],[HPFP PRES. '[BAR']]]-Table3[[#This Row],[58F0]]</f>
        <v>0</v>
      </c>
      <c r="AA933">
        <f>DataLog_T717420_Aug11_4_59_37pm[[#This Row],[COOLANT TEMP '[Â°C']]]-Table3[[#This Row],[5805]]</f>
        <v>0</v>
      </c>
      <c r="AB933">
        <f>DataLog_T717420_Aug11_4_59_37pm[[#This Row],[BOOST '[BAR']]]-Table3[[#This Row],[58DD]]</f>
        <v>0</v>
      </c>
    </row>
    <row r="934" spans="2:28" x14ac:dyDescent="0.25">
      <c r="B934" s="2" t="s">
        <v>183</v>
      </c>
      <c r="C934" s="2" t="s">
        <v>30</v>
      </c>
      <c r="D934" s="2" t="s">
        <v>151</v>
      </c>
      <c r="E934" s="2" t="s">
        <v>93</v>
      </c>
      <c r="F934" s="2" t="s">
        <v>253</v>
      </c>
      <c r="G934" s="2" t="s">
        <v>191</v>
      </c>
      <c r="I934">
        <f>HEX2DEC(_0811_173439[[#This Row],[580C]])*B$4/B$5+B$6</f>
        <v>800</v>
      </c>
      <c r="J934">
        <f>HEX2DEC(_0811_173439[[#This Row],[4402]])*C$4/C$5+C$6</f>
        <v>36</v>
      </c>
      <c r="K934">
        <f>HEX2DEC(_0811_173439[[#This Row],[580F]])*D$4/D$5+D$6</f>
        <v>30</v>
      </c>
      <c r="L934">
        <f>ROUND(HEX2DEC(_0811_173439[[#This Row],[58F0]])*E$4/E$5+E$6,0)</f>
        <v>70</v>
      </c>
      <c r="M934">
        <f>ROUND(HEX2DEC(_0811_173439[[#This Row],[5805]])*F$4/F$5+F$6,0)</f>
        <v>43</v>
      </c>
      <c r="N934">
        <f>ROUND(HEX2DEC(_0811_173439[[#This Row],[58DD]])*G$4/G$5+G$6,2)</f>
        <v>-0.03</v>
      </c>
      <c r="P934">
        <v>800</v>
      </c>
      <c r="Q934">
        <v>36</v>
      </c>
      <c r="R934">
        <v>30</v>
      </c>
      <c r="S934">
        <v>70</v>
      </c>
      <c r="T934">
        <v>43</v>
      </c>
      <c r="U934">
        <v>-0.03</v>
      </c>
      <c r="W934">
        <f>DataLog_T717420_Aug11_4_59_37pm[[#This Row],[RPM '[1/MIN']]]-Table3[[#This Row],[580C]]</f>
        <v>0</v>
      </c>
      <c r="X934">
        <f>DataLog_T717420_Aug11_4_59_37pm[[#This Row],[OIL TEMP '[Â°C']]]-Table3[[#This Row],[4402]]</f>
        <v>0</v>
      </c>
      <c r="Y934">
        <f>DataLog_T717420_Aug11_4_59_37pm[[#This Row],[INTAKE TEMP '[Â°C']]]-Table3[[#This Row],[580F]]</f>
        <v>0</v>
      </c>
      <c r="Z934">
        <f>DataLog_T717420_Aug11_4_59_37pm[[#This Row],[HPFP PRES. '[BAR']]]-Table3[[#This Row],[58F0]]</f>
        <v>0</v>
      </c>
      <c r="AA934">
        <f>DataLog_T717420_Aug11_4_59_37pm[[#This Row],[COOLANT TEMP '[Â°C']]]-Table3[[#This Row],[5805]]</f>
        <v>0</v>
      </c>
      <c r="AB934">
        <f>DataLog_T717420_Aug11_4_59_37pm[[#This Row],[BOOST '[BAR']]]-Table3[[#This Row],[58DD]]</f>
        <v>0</v>
      </c>
    </row>
    <row r="935" spans="2:28" x14ac:dyDescent="0.25">
      <c r="B935" s="2" t="s">
        <v>183</v>
      </c>
      <c r="C935" s="2" t="s">
        <v>30</v>
      </c>
      <c r="D935" s="2" t="s">
        <v>151</v>
      </c>
      <c r="E935" s="2" t="s">
        <v>122</v>
      </c>
      <c r="F935" s="2" t="s">
        <v>253</v>
      </c>
      <c r="G935" s="2" t="s">
        <v>96</v>
      </c>
      <c r="I935">
        <f>HEX2DEC(_0811_173439[[#This Row],[580C]])*B$4/B$5+B$6</f>
        <v>800</v>
      </c>
      <c r="J935">
        <f>HEX2DEC(_0811_173439[[#This Row],[4402]])*C$4/C$5+C$6</f>
        <v>36</v>
      </c>
      <c r="K935">
        <f>HEX2DEC(_0811_173439[[#This Row],[580F]])*D$4/D$5+D$6</f>
        <v>30</v>
      </c>
      <c r="L935">
        <f>ROUND(HEX2DEC(_0811_173439[[#This Row],[58F0]])*E$4/E$5+E$6,0)</f>
        <v>71</v>
      </c>
      <c r="M935">
        <f>ROUND(HEX2DEC(_0811_173439[[#This Row],[5805]])*F$4/F$5+F$6,0)</f>
        <v>43</v>
      </c>
      <c r="N935">
        <f>ROUND(HEX2DEC(_0811_173439[[#This Row],[58DD]])*G$4/G$5+G$6,2)</f>
        <v>-0.03</v>
      </c>
      <c r="P935">
        <v>800</v>
      </c>
      <c r="Q935">
        <v>36</v>
      </c>
      <c r="R935">
        <v>30</v>
      </c>
      <c r="S935">
        <v>71</v>
      </c>
      <c r="T935">
        <v>43</v>
      </c>
      <c r="U935">
        <v>-0.03</v>
      </c>
      <c r="W935">
        <f>DataLog_T717420_Aug11_4_59_37pm[[#This Row],[RPM '[1/MIN']]]-Table3[[#This Row],[580C]]</f>
        <v>0</v>
      </c>
      <c r="X935">
        <f>DataLog_T717420_Aug11_4_59_37pm[[#This Row],[OIL TEMP '[Â°C']]]-Table3[[#This Row],[4402]]</f>
        <v>0</v>
      </c>
      <c r="Y935">
        <f>DataLog_T717420_Aug11_4_59_37pm[[#This Row],[INTAKE TEMP '[Â°C']]]-Table3[[#This Row],[580F]]</f>
        <v>0</v>
      </c>
      <c r="Z935">
        <f>DataLog_T717420_Aug11_4_59_37pm[[#This Row],[HPFP PRES. '[BAR']]]-Table3[[#This Row],[58F0]]</f>
        <v>0</v>
      </c>
      <c r="AA935">
        <f>DataLog_T717420_Aug11_4_59_37pm[[#This Row],[COOLANT TEMP '[Â°C']]]-Table3[[#This Row],[5805]]</f>
        <v>0</v>
      </c>
      <c r="AB935">
        <f>DataLog_T717420_Aug11_4_59_37pm[[#This Row],[BOOST '[BAR']]]-Table3[[#This Row],[58DD]]</f>
        <v>0</v>
      </c>
    </row>
    <row r="936" spans="2:28" x14ac:dyDescent="0.25">
      <c r="B936" s="2" t="s">
        <v>183</v>
      </c>
      <c r="C936" s="2" t="s">
        <v>30</v>
      </c>
      <c r="D936" s="2" t="s">
        <v>151</v>
      </c>
      <c r="E936" s="2" t="s">
        <v>170</v>
      </c>
      <c r="F936" s="2" t="s">
        <v>253</v>
      </c>
      <c r="G936" s="2" t="s">
        <v>236</v>
      </c>
      <c r="I936">
        <f>HEX2DEC(_0811_173439[[#This Row],[580C]])*B$4/B$5+B$6</f>
        <v>800</v>
      </c>
      <c r="J936">
        <f>HEX2DEC(_0811_173439[[#This Row],[4402]])*C$4/C$5+C$6</f>
        <v>36</v>
      </c>
      <c r="K936">
        <f>HEX2DEC(_0811_173439[[#This Row],[580F]])*D$4/D$5+D$6</f>
        <v>30</v>
      </c>
      <c r="L936">
        <f>ROUND(HEX2DEC(_0811_173439[[#This Row],[58F0]])*E$4/E$5+E$6,0)</f>
        <v>71</v>
      </c>
      <c r="M936">
        <f>ROUND(HEX2DEC(_0811_173439[[#This Row],[5805]])*F$4/F$5+F$6,0)</f>
        <v>43</v>
      </c>
      <c r="N936">
        <f>ROUND(HEX2DEC(_0811_173439[[#This Row],[58DD]])*G$4/G$5+G$6,2)</f>
        <v>-0.03</v>
      </c>
      <c r="P936">
        <v>800</v>
      </c>
      <c r="Q936">
        <v>36</v>
      </c>
      <c r="R936">
        <v>30</v>
      </c>
      <c r="S936">
        <v>71</v>
      </c>
      <c r="T936">
        <v>43</v>
      </c>
      <c r="U936">
        <v>-0.03</v>
      </c>
      <c r="W936">
        <f>DataLog_T717420_Aug11_4_59_37pm[[#This Row],[RPM '[1/MIN']]]-Table3[[#This Row],[580C]]</f>
        <v>0</v>
      </c>
      <c r="X936">
        <f>DataLog_T717420_Aug11_4_59_37pm[[#This Row],[OIL TEMP '[Â°C']]]-Table3[[#This Row],[4402]]</f>
        <v>0</v>
      </c>
      <c r="Y936">
        <f>DataLog_T717420_Aug11_4_59_37pm[[#This Row],[INTAKE TEMP '[Â°C']]]-Table3[[#This Row],[580F]]</f>
        <v>0</v>
      </c>
      <c r="Z936">
        <f>DataLog_T717420_Aug11_4_59_37pm[[#This Row],[HPFP PRES. '[BAR']]]-Table3[[#This Row],[58F0]]</f>
        <v>0</v>
      </c>
      <c r="AA936">
        <f>DataLog_T717420_Aug11_4_59_37pm[[#This Row],[COOLANT TEMP '[Â°C']]]-Table3[[#This Row],[5805]]</f>
        <v>0</v>
      </c>
      <c r="AB936">
        <f>DataLog_T717420_Aug11_4_59_37pm[[#This Row],[BOOST '[BAR']]]-Table3[[#This Row],[58DD]]</f>
        <v>0</v>
      </c>
    </row>
    <row r="937" spans="2:28" x14ac:dyDescent="0.25">
      <c r="B937" s="2" t="s">
        <v>183</v>
      </c>
      <c r="C937" s="2" t="s">
        <v>30</v>
      </c>
      <c r="D937" s="2" t="s">
        <v>151</v>
      </c>
      <c r="E937" s="2" t="s">
        <v>93</v>
      </c>
      <c r="F937" s="2" t="s">
        <v>253</v>
      </c>
      <c r="G937" s="2" t="s">
        <v>236</v>
      </c>
      <c r="I937">
        <f>HEX2DEC(_0811_173439[[#This Row],[580C]])*B$4/B$5+B$6</f>
        <v>800</v>
      </c>
      <c r="J937">
        <f>HEX2DEC(_0811_173439[[#This Row],[4402]])*C$4/C$5+C$6</f>
        <v>36</v>
      </c>
      <c r="K937">
        <f>HEX2DEC(_0811_173439[[#This Row],[580F]])*D$4/D$5+D$6</f>
        <v>30</v>
      </c>
      <c r="L937">
        <f>ROUND(HEX2DEC(_0811_173439[[#This Row],[58F0]])*E$4/E$5+E$6,0)</f>
        <v>70</v>
      </c>
      <c r="M937">
        <f>ROUND(HEX2DEC(_0811_173439[[#This Row],[5805]])*F$4/F$5+F$6,0)</f>
        <v>43</v>
      </c>
      <c r="N937">
        <f>ROUND(HEX2DEC(_0811_173439[[#This Row],[58DD]])*G$4/G$5+G$6,2)</f>
        <v>-0.03</v>
      </c>
      <c r="P937">
        <v>800</v>
      </c>
      <c r="Q937">
        <v>36</v>
      </c>
      <c r="R937">
        <v>30</v>
      </c>
      <c r="S937">
        <v>70</v>
      </c>
      <c r="T937">
        <v>43</v>
      </c>
      <c r="U937">
        <v>-0.03</v>
      </c>
      <c r="W937">
        <f>DataLog_T717420_Aug11_4_59_37pm[[#This Row],[RPM '[1/MIN']]]-Table3[[#This Row],[580C]]</f>
        <v>0</v>
      </c>
      <c r="X937">
        <f>DataLog_T717420_Aug11_4_59_37pm[[#This Row],[OIL TEMP '[Â°C']]]-Table3[[#This Row],[4402]]</f>
        <v>0</v>
      </c>
      <c r="Y937">
        <f>DataLog_T717420_Aug11_4_59_37pm[[#This Row],[INTAKE TEMP '[Â°C']]]-Table3[[#This Row],[580F]]</f>
        <v>0</v>
      </c>
      <c r="Z937">
        <f>DataLog_T717420_Aug11_4_59_37pm[[#This Row],[HPFP PRES. '[BAR']]]-Table3[[#This Row],[58F0]]</f>
        <v>0</v>
      </c>
      <c r="AA937">
        <f>DataLog_T717420_Aug11_4_59_37pm[[#This Row],[COOLANT TEMP '[Â°C']]]-Table3[[#This Row],[5805]]</f>
        <v>0</v>
      </c>
      <c r="AB937">
        <f>DataLog_T717420_Aug11_4_59_37pm[[#This Row],[BOOST '[BAR']]]-Table3[[#This Row],[58DD]]</f>
        <v>0</v>
      </c>
    </row>
    <row r="938" spans="2:28" x14ac:dyDescent="0.25">
      <c r="B938" s="2" t="s">
        <v>183</v>
      </c>
      <c r="C938" s="2" t="s">
        <v>30</v>
      </c>
      <c r="D938" s="2" t="s">
        <v>151</v>
      </c>
      <c r="E938" s="2" t="s">
        <v>122</v>
      </c>
      <c r="F938" s="2" t="s">
        <v>253</v>
      </c>
      <c r="G938" s="2" t="s">
        <v>236</v>
      </c>
      <c r="I938">
        <f>HEX2DEC(_0811_173439[[#This Row],[580C]])*B$4/B$5+B$6</f>
        <v>800</v>
      </c>
      <c r="J938">
        <f>HEX2DEC(_0811_173439[[#This Row],[4402]])*C$4/C$5+C$6</f>
        <v>36</v>
      </c>
      <c r="K938">
        <f>HEX2DEC(_0811_173439[[#This Row],[580F]])*D$4/D$5+D$6</f>
        <v>30</v>
      </c>
      <c r="L938">
        <f>ROUND(HEX2DEC(_0811_173439[[#This Row],[58F0]])*E$4/E$5+E$6,0)</f>
        <v>71</v>
      </c>
      <c r="M938">
        <f>ROUND(HEX2DEC(_0811_173439[[#This Row],[5805]])*F$4/F$5+F$6,0)</f>
        <v>43</v>
      </c>
      <c r="N938">
        <f>ROUND(HEX2DEC(_0811_173439[[#This Row],[58DD]])*G$4/G$5+G$6,2)</f>
        <v>-0.03</v>
      </c>
      <c r="P938">
        <v>800</v>
      </c>
      <c r="Q938">
        <v>36</v>
      </c>
      <c r="R938">
        <v>30</v>
      </c>
      <c r="S938">
        <v>71</v>
      </c>
      <c r="T938">
        <v>43</v>
      </c>
      <c r="U938">
        <v>-0.03</v>
      </c>
      <c r="W938">
        <f>DataLog_T717420_Aug11_4_59_37pm[[#This Row],[RPM '[1/MIN']]]-Table3[[#This Row],[580C]]</f>
        <v>0</v>
      </c>
      <c r="X938">
        <f>DataLog_T717420_Aug11_4_59_37pm[[#This Row],[OIL TEMP '[Â°C']]]-Table3[[#This Row],[4402]]</f>
        <v>0</v>
      </c>
      <c r="Y938">
        <f>DataLog_T717420_Aug11_4_59_37pm[[#This Row],[INTAKE TEMP '[Â°C']]]-Table3[[#This Row],[580F]]</f>
        <v>0</v>
      </c>
      <c r="Z938">
        <f>DataLog_T717420_Aug11_4_59_37pm[[#This Row],[HPFP PRES. '[BAR']]]-Table3[[#This Row],[58F0]]</f>
        <v>0</v>
      </c>
      <c r="AA938">
        <f>DataLog_T717420_Aug11_4_59_37pm[[#This Row],[COOLANT TEMP '[Â°C']]]-Table3[[#This Row],[5805]]</f>
        <v>0</v>
      </c>
      <c r="AB938">
        <f>DataLog_T717420_Aug11_4_59_37pm[[#This Row],[BOOST '[BAR']]]-Table3[[#This Row],[58DD]]</f>
        <v>0</v>
      </c>
    </row>
    <row r="939" spans="2:28" x14ac:dyDescent="0.25">
      <c r="B939" s="2" t="s">
        <v>189</v>
      </c>
      <c r="C939" s="2" t="s">
        <v>30</v>
      </c>
      <c r="D939" s="2" t="s">
        <v>151</v>
      </c>
      <c r="E939" s="2" t="s">
        <v>170</v>
      </c>
      <c r="F939" s="2" t="s">
        <v>253</v>
      </c>
      <c r="G939" s="2" t="s">
        <v>71</v>
      </c>
      <c r="I939">
        <f>HEX2DEC(_0811_173439[[#This Row],[580C]])*B$4/B$5+B$6</f>
        <v>760</v>
      </c>
      <c r="J939">
        <f>HEX2DEC(_0811_173439[[#This Row],[4402]])*C$4/C$5+C$6</f>
        <v>36</v>
      </c>
      <c r="K939">
        <f>HEX2DEC(_0811_173439[[#This Row],[580F]])*D$4/D$5+D$6</f>
        <v>30</v>
      </c>
      <c r="L939">
        <f>ROUND(HEX2DEC(_0811_173439[[#This Row],[58F0]])*E$4/E$5+E$6,0)</f>
        <v>71</v>
      </c>
      <c r="M939">
        <f>ROUND(HEX2DEC(_0811_173439[[#This Row],[5805]])*F$4/F$5+F$6,0)</f>
        <v>43</v>
      </c>
      <c r="N939">
        <f>ROUND(HEX2DEC(_0811_173439[[#This Row],[58DD]])*G$4/G$5+G$6,2)</f>
        <v>-0.03</v>
      </c>
      <c r="P939">
        <v>760</v>
      </c>
      <c r="Q939">
        <v>36</v>
      </c>
      <c r="R939">
        <v>30</v>
      </c>
      <c r="S939">
        <v>71</v>
      </c>
      <c r="T939">
        <v>43</v>
      </c>
      <c r="U939">
        <v>-0.03</v>
      </c>
      <c r="W939">
        <f>DataLog_T717420_Aug11_4_59_37pm[[#This Row],[RPM '[1/MIN']]]-Table3[[#This Row],[580C]]</f>
        <v>0</v>
      </c>
      <c r="X939">
        <f>DataLog_T717420_Aug11_4_59_37pm[[#This Row],[OIL TEMP '[Â°C']]]-Table3[[#This Row],[4402]]</f>
        <v>0</v>
      </c>
      <c r="Y939">
        <f>DataLog_T717420_Aug11_4_59_37pm[[#This Row],[INTAKE TEMP '[Â°C']]]-Table3[[#This Row],[580F]]</f>
        <v>0</v>
      </c>
      <c r="Z939">
        <f>DataLog_T717420_Aug11_4_59_37pm[[#This Row],[HPFP PRES. '[BAR']]]-Table3[[#This Row],[58F0]]</f>
        <v>0</v>
      </c>
      <c r="AA939">
        <f>DataLog_T717420_Aug11_4_59_37pm[[#This Row],[COOLANT TEMP '[Â°C']]]-Table3[[#This Row],[5805]]</f>
        <v>0</v>
      </c>
      <c r="AB939">
        <f>DataLog_T717420_Aug11_4_59_37pm[[#This Row],[BOOST '[BAR']]]-Table3[[#This Row],[58DD]]</f>
        <v>0</v>
      </c>
    </row>
    <row r="940" spans="2:28" x14ac:dyDescent="0.25">
      <c r="B940" s="2" t="s">
        <v>183</v>
      </c>
      <c r="C940" s="2" t="s">
        <v>30</v>
      </c>
      <c r="D940" s="2" t="s">
        <v>151</v>
      </c>
      <c r="E940" s="2" t="s">
        <v>119</v>
      </c>
      <c r="F940" s="2" t="s">
        <v>253</v>
      </c>
      <c r="G940" s="2" t="s">
        <v>53</v>
      </c>
      <c r="I940">
        <f>HEX2DEC(_0811_173439[[#This Row],[580C]])*B$4/B$5+B$6</f>
        <v>800</v>
      </c>
      <c r="J940">
        <f>HEX2DEC(_0811_173439[[#This Row],[4402]])*C$4/C$5+C$6</f>
        <v>36</v>
      </c>
      <c r="K940">
        <f>HEX2DEC(_0811_173439[[#This Row],[580F]])*D$4/D$5+D$6</f>
        <v>30</v>
      </c>
      <c r="L940">
        <f>ROUND(HEX2DEC(_0811_173439[[#This Row],[58F0]])*E$4/E$5+E$6,0)</f>
        <v>71</v>
      </c>
      <c r="M940">
        <f>ROUND(HEX2DEC(_0811_173439[[#This Row],[5805]])*F$4/F$5+F$6,0)</f>
        <v>43</v>
      </c>
      <c r="N940">
        <f>ROUND(HEX2DEC(_0811_173439[[#This Row],[58DD]])*G$4/G$5+G$6,2)</f>
        <v>-0.03</v>
      </c>
      <c r="P940">
        <v>800</v>
      </c>
      <c r="Q940">
        <v>36</v>
      </c>
      <c r="R940">
        <v>30</v>
      </c>
      <c r="S940">
        <v>71</v>
      </c>
      <c r="T940">
        <v>43</v>
      </c>
      <c r="U940">
        <v>-0.03</v>
      </c>
      <c r="W940">
        <f>DataLog_T717420_Aug11_4_59_37pm[[#This Row],[RPM '[1/MIN']]]-Table3[[#This Row],[580C]]</f>
        <v>0</v>
      </c>
      <c r="X940">
        <f>DataLog_T717420_Aug11_4_59_37pm[[#This Row],[OIL TEMP '[Â°C']]]-Table3[[#This Row],[4402]]</f>
        <v>0</v>
      </c>
      <c r="Y940">
        <f>DataLog_T717420_Aug11_4_59_37pm[[#This Row],[INTAKE TEMP '[Â°C']]]-Table3[[#This Row],[580F]]</f>
        <v>0</v>
      </c>
      <c r="Z940">
        <f>DataLog_T717420_Aug11_4_59_37pm[[#This Row],[HPFP PRES. '[BAR']]]-Table3[[#This Row],[58F0]]</f>
        <v>0</v>
      </c>
      <c r="AA940">
        <f>DataLog_T717420_Aug11_4_59_37pm[[#This Row],[COOLANT TEMP '[Â°C']]]-Table3[[#This Row],[5805]]</f>
        <v>0</v>
      </c>
      <c r="AB940">
        <f>DataLog_T717420_Aug11_4_59_37pm[[#This Row],[BOOST '[BAR']]]-Table3[[#This Row],[58DD]]</f>
        <v>0</v>
      </c>
    </row>
    <row r="941" spans="2:28" x14ac:dyDescent="0.25">
      <c r="B941" s="2" t="s">
        <v>189</v>
      </c>
      <c r="C941" s="2" t="s">
        <v>30</v>
      </c>
      <c r="D941" s="2" t="s">
        <v>151</v>
      </c>
      <c r="E941" s="2" t="s">
        <v>130</v>
      </c>
      <c r="F941" s="2" t="s">
        <v>253</v>
      </c>
      <c r="G941" s="2" t="s">
        <v>245</v>
      </c>
      <c r="I941">
        <f>HEX2DEC(_0811_173439[[#This Row],[580C]])*B$4/B$5+B$6</f>
        <v>760</v>
      </c>
      <c r="J941">
        <f>HEX2DEC(_0811_173439[[#This Row],[4402]])*C$4/C$5+C$6</f>
        <v>36</v>
      </c>
      <c r="K941">
        <f>HEX2DEC(_0811_173439[[#This Row],[580F]])*D$4/D$5+D$6</f>
        <v>30</v>
      </c>
      <c r="L941">
        <f>ROUND(HEX2DEC(_0811_173439[[#This Row],[58F0]])*E$4/E$5+E$6,0)</f>
        <v>71</v>
      </c>
      <c r="M941">
        <f>ROUND(HEX2DEC(_0811_173439[[#This Row],[5805]])*F$4/F$5+F$6,0)</f>
        <v>43</v>
      </c>
      <c r="N941">
        <f>ROUND(HEX2DEC(_0811_173439[[#This Row],[58DD]])*G$4/G$5+G$6,2)</f>
        <v>-0.03</v>
      </c>
      <c r="P941">
        <v>760</v>
      </c>
      <c r="Q941">
        <v>36</v>
      </c>
      <c r="R941">
        <v>30</v>
      </c>
      <c r="S941">
        <v>71</v>
      </c>
      <c r="T941">
        <v>43</v>
      </c>
      <c r="U941">
        <v>-0.03</v>
      </c>
      <c r="W941">
        <f>DataLog_T717420_Aug11_4_59_37pm[[#This Row],[RPM '[1/MIN']]]-Table3[[#This Row],[580C]]</f>
        <v>0</v>
      </c>
      <c r="X941">
        <f>DataLog_T717420_Aug11_4_59_37pm[[#This Row],[OIL TEMP '[Â°C']]]-Table3[[#This Row],[4402]]</f>
        <v>0</v>
      </c>
      <c r="Y941">
        <f>DataLog_T717420_Aug11_4_59_37pm[[#This Row],[INTAKE TEMP '[Â°C']]]-Table3[[#This Row],[580F]]</f>
        <v>0</v>
      </c>
      <c r="Z941">
        <f>DataLog_T717420_Aug11_4_59_37pm[[#This Row],[HPFP PRES. '[BAR']]]-Table3[[#This Row],[58F0]]</f>
        <v>0</v>
      </c>
      <c r="AA941">
        <f>DataLog_T717420_Aug11_4_59_37pm[[#This Row],[COOLANT TEMP '[Â°C']]]-Table3[[#This Row],[5805]]</f>
        <v>0</v>
      </c>
      <c r="AB941">
        <f>DataLog_T717420_Aug11_4_59_37pm[[#This Row],[BOOST '[BAR']]]-Table3[[#This Row],[58DD]]</f>
        <v>0</v>
      </c>
    </row>
    <row r="942" spans="2:28" x14ac:dyDescent="0.25">
      <c r="B942" s="2" t="s">
        <v>189</v>
      </c>
      <c r="C942" s="2" t="s">
        <v>30</v>
      </c>
      <c r="D942" s="2" t="s">
        <v>151</v>
      </c>
      <c r="E942" s="2" t="s">
        <v>226</v>
      </c>
      <c r="F942" s="2" t="s">
        <v>253</v>
      </c>
      <c r="G942" s="2" t="s">
        <v>96</v>
      </c>
      <c r="I942">
        <f>HEX2DEC(_0811_173439[[#This Row],[580C]])*B$4/B$5+B$6</f>
        <v>760</v>
      </c>
      <c r="J942">
        <f>HEX2DEC(_0811_173439[[#This Row],[4402]])*C$4/C$5+C$6</f>
        <v>36</v>
      </c>
      <c r="K942">
        <f>HEX2DEC(_0811_173439[[#This Row],[580F]])*D$4/D$5+D$6</f>
        <v>30</v>
      </c>
      <c r="L942">
        <f>ROUND(HEX2DEC(_0811_173439[[#This Row],[58F0]])*E$4/E$5+E$6,0)</f>
        <v>71</v>
      </c>
      <c r="M942">
        <f>ROUND(HEX2DEC(_0811_173439[[#This Row],[5805]])*F$4/F$5+F$6,0)</f>
        <v>43</v>
      </c>
      <c r="N942">
        <f>ROUND(HEX2DEC(_0811_173439[[#This Row],[58DD]])*G$4/G$5+G$6,2)</f>
        <v>-0.03</v>
      </c>
      <c r="P942">
        <v>760</v>
      </c>
      <c r="Q942">
        <v>36</v>
      </c>
      <c r="R942">
        <v>30</v>
      </c>
      <c r="S942">
        <v>71</v>
      </c>
      <c r="T942">
        <v>43</v>
      </c>
      <c r="U942">
        <v>-0.03</v>
      </c>
      <c r="W942">
        <f>DataLog_T717420_Aug11_4_59_37pm[[#This Row],[RPM '[1/MIN']]]-Table3[[#This Row],[580C]]</f>
        <v>0</v>
      </c>
      <c r="X942">
        <f>DataLog_T717420_Aug11_4_59_37pm[[#This Row],[OIL TEMP '[Â°C']]]-Table3[[#This Row],[4402]]</f>
        <v>0</v>
      </c>
      <c r="Y942">
        <f>DataLog_T717420_Aug11_4_59_37pm[[#This Row],[INTAKE TEMP '[Â°C']]]-Table3[[#This Row],[580F]]</f>
        <v>0</v>
      </c>
      <c r="Z942">
        <f>DataLog_T717420_Aug11_4_59_37pm[[#This Row],[HPFP PRES. '[BAR']]]-Table3[[#This Row],[58F0]]</f>
        <v>0</v>
      </c>
      <c r="AA942">
        <f>DataLog_T717420_Aug11_4_59_37pm[[#This Row],[COOLANT TEMP '[Â°C']]]-Table3[[#This Row],[5805]]</f>
        <v>0</v>
      </c>
      <c r="AB942">
        <f>DataLog_T717420_Aug11_4_59_37pm[[#This Row],[BOOST '[BAR']]]-Table3[[#This Row],[58DD]]</f>
        <v>0</v>
      </c>
    </row>
    <row r="943" spans="2:28" x14ac:dyDescent="0.25">
      <c r="B943" s="2" t="s">
        <v>189</v>
      </c>
      <c r="C943" s="2" t="s">
        <v>30</v>
      </c>
      <c r="D943" s="2" t="s">
        <v>151</v>
      </c>
      <c r="E943" s="2" t="s">
        <v>205</v>
      </c>
      <c r="F943" s="2" t="s">
        <v>253</v>
      </c>
      <c r="G943" s="2" t="s">
        <v>53</v>
      </c>
      <c r="I943">
        <f>HEX2DEC(_0811_173439[[#This Row],[580C]])*B$4/B$5+B$6</f>
        <v>760</v>
      </c>
      <c r="J943">
        <f>HEX2DEC(_0811_173439[[#This Row],[4402]])*C$4/C$5+C$6</f>
        <v>36</v>
      </c>
      <c r="K943">
        <f>HEX2DEC(_0811_173439[[#This Row],[580F]])*D$4/D$5+D$6</f>
        <v>30</v>
      </c>
      <c r="L943">
        <f>ROUND(HEX2DEC(_0811_173439[[#This Row],[58F0]])*E$4/E$5+E$6,0)</f>
        <v>71</v>
      </c>
      <c r="M943">
        <f>ROUND(HEX2DEC(_0811_173439[[#This Row],[5805]])*F$4/F$5+F$6,0)</f>
        <v>43</v>
      </c>
      <c r="N943">
        <f>ROUND(HEX2DEC(_0811_173439[[#This Row],[58DD]])*G$4/G$5+G$6,2)</f>
        <v>-0.03</v>
      </c>
      <c r="P943">
        <v>760</v>
      </c>
      <c r="Q943">
        <v>36</v>
      </c>
      <c r="R943">
        <v>30</v>
      </c>
      <c r="S943">
        <v>71</v>
      </c>
      <c r="T943">
        <v>43</v>
      </c>
      <c r="U943">
        <v>-0.03</v>
      </c>
      <c r="W943">
        <f>DataLog_T717420_Aug11_4_59_37pm[[#This Row],[RPM '[1/MIN']]]-Table3[[#This Row],[580C]]</f>
        <v>0</v>
      </c>
      <c r="X943">
        <f>DataLog_T717420_Aug11_4_59_37pm[[#This Row],[OIL TEMP '[Â°C']]]-Table3[[#This Row],[4402]]</f>
        <v>0</v>
      </c>
      <c r="Y943">
        <f>DataLog_T717420_Aug11_4_59_37pm[[#This Row],[INTAKE TEMP '[Â°C']]]-Table3[[#This Row],[580F]]</f>
        <v>0</v>
      </c>
      <c r="Z943">
        <f>DataLog_T717420_Aug11_4_59_37pm[[#This Row],[HPFP PRES. '[BAR']]]-Table3[[#This Row],[58F0]]</f>
        <v>0</v>
      </c>
      <c r="AA943">
        <f>DataLog_T717420_Aug11_4_59_37pm[[#This Row],[COOLANT TEMP '[Â°C']]]-Table3[[#This Row],[5805]]</f>
        <v>0</v>
      </c>
      <c r="AB943">
        <f>DataLog_T717420_Aug11_4_59_37pm[[#This Row],[BOOST '[BAR']]]-Table3[[#This Row],[58DD]]</f>
        <v>0</v>
      </c>
    </row>
    <row r="944" spans="2:28" x14ac:dyDescent="0.25">
      <c r="B944" s="2" t="s">
        <v>189</v>
      </c>
      <c r="C944" s="2" t="s">
        <v>30</v>
      </c>
      <c r="D944" s="2" t="s">
        <v>151</v>
      </c>
      <c r="E944" s="2" t="s">
        <v>93</v>
      </c>
      <c r="F944" s="2" t="s">
        <v>253</v>
      </c>
      <c r="G944" s="2" t="s">
        <v>96</v>
      </c>
      <c r="I944">
        <f>HEX2DEC(_0811_173439[[#This Row],[580C]])*B$4/B$5+B$6</f>
        <v>760</v>
      </c>
      <c r="J944">
        <f>HEX2DEC(_0811_173439[[#This Row],[4402]])*C$4/C$5+C$6</f>
        <v>36</v>
      </c>
      <c r="K944">
        <f>HEX2DEC(_0811_173439[[#This Row],[580F]])*D$4/D$5+D$6</f>
        <v>30</v>
      </c>
      <c r="L944">
        <f>ROUND(HEX2DEC(_0811_173439[[#This Row],[58F0]])*E$4/E$5+E$6,0)</f>
        <v>70</v>
      </c>
      <c r="M944">
        <f>ROUND(HEX2DEC(_0811_173439[[#This Row],[5805]])*F$4/F$5+F$6,0)</f>
        <v>43</v>
      </c>
      <c r="N944">
        <f>ROUND(HEX2DEC(_0811_173439[[#This Row],[58DD]])*G$4/G$5+G$6,2)</f>
        <v>-0.03</v>
      </c>
      <c r="P944">
        <v>760</v>
      </c>
      <c r="Q944">
        <v>36</v>
      </c>
      <c r="R944">
        <v>30</v>
      </c>
      <c r="S944">
        <v>70</v>
      </c>
      <c r="T944">
        <v>43</v>
      </c>
      <c r="U944">
        <v>-0.03</v>
      </c>
      <c r="W944">
        <f>DataLog_T717420_Aug11_4_59_37pm[[#This Row],[RPM '[1/MIN']]]-Table3[[#This Row],[580C]]</f>
        <v>0</v>
      </c>
      <c r="X944">
        <f>DataLog_T717420_Aug11_4_59_37pm[[#This Row],[OIL TEMP '[Â°C']]]-Table3[[#This Row],[4402]]</f>
        <v>0</v>
      </c>
      <c r="Y944">
        <f>DataLog_T717420_Aug11_4_59_37pm[[#This Row],[INTAKE TEMP '[Â°C']]]-Table3[[#This Row],[580F]]</f>
        <v>0</v>
      </c>
      <c r="Z944">
        <f>DataLog_T717420_Aug11_4_59_37pm[[#This Row],[HPFP PRES. '[BAR']]]-Table3[[#This Row],[58F0]]</f>
        <v>0</v>
      </c>
      <c r="AA944">
        <f>DataLog_T717420_Aug11_4_59_37pm[[#This Row],[COOLANT TEMP '[Â°C']]]-Table3[[#This Row],[5805]]</f>
        <v>0</v>
      </c>
      <c r="AB944">
        <f>DataLog_T717420_Aug11_4_59_37pm[[#This Row],[BOOST '[BAR']]]-Table3[[#This Row],[58DD]]</f>
        <v>0</v>
      </c>
    </row>
    <row r="945" spans="2:28" x14ac:dyDescent="0.25">
      <c r="B945" s="2" t="s">
        <v>183</v>
      </c>
      <c r="C945" s="2" t="s">
        <v>30</v>
      </c>
      <c r="D945" s="2" t="s">
        <v>151</v>
      </c>
      <c r="E945" s="2" t="s">
        <v>122</v>
      </c>
      <c r="F945" s="2" t="s">
        <v>253</v>
      </c>
      <c r="G945" s="2" t="s">
        <v>216</v>
      </c>
      <c r="I945">
        <f>HEX2DEC(_0811_173439[[#This Row],[580C]])*B$4/B$5+B$6</f>
        <v>800</v>
      </c>
      <c r="J945">
        <f>HEX2DEC(_0811_173439[[#This Row],[4402]])*C$4/C$5+C$6</f>
        <v>36</v>
      </c>
      <c r="K945">
        <f>HEX2DEC(_0811_173439[[#This Row],[580F]])*D$4/D$5+D$6</f>
        <v>30</v>
      </c>
      <c r="L945">
        <f>ROUND(HEX2DEC(_0811_173439[[#This Row],[58F0]])*E$4/E$5+E$6,0)</f>
        <v>71</v>
      </c>
      <c r="M945">
        <f>ROUND(HEX2DEC(_0811_173439[[#This Row],[5805]])*F$4/F$5+F$6,0)</f>
        <v>43</v>
      </c>
      <c r="N945">
        <f>ROUND(HEX2DEC(_0811_173439[[#This Row],[58DD]])*G$4/G$5+G$6,2)</f>
        <v>-0.03</v>
      </c>
      <c r="P945">
        <v>800</v>
      </c>
      <c r="Q945">
        <v>36</v>
      </c>
      <c r="R945">
        <v>30</v>
      </c>
      <c r="S945">
        <v>71</v>
      </c>
      <c r="T945">
        <v>43</v>
      </c>
      <c r="U945">
        <v>-0.03</v>
      </c>
      <c r="W945">
        <f>DataLog_T717420_Aug11_4_59_37pm[[#This Row],[RPM '[1/MIN']]]-Table3[[#This Row],[580C]]</f>
        <v>0</v>
      </c>
      <c r="X945">
        <f>DataLog_T717420_Aug11_4_59_37pm[[#This Row],[OIL TEMP '[Â°C']]]-Table3[[#This Row],[4402]]</f>
        <v>0</v>
      </c>
      <c r="Y945">
        <f>DataLog_T717420_Aug11_4_59_37pm[[#This Row],[INTAKE TEMP '[Â°C']]]-Table3[[#This Row],[580F]]</f>
        <v>0</v>
      </c>
      <c r="Z945">
        <f>DataLog_T717420_Aug11_4_59_37pm[[#This Row],[HPFP PRES. '[BAR']]]-Table3[[#This Row],[58F0]]</f>
        <v>0</v>
      </c>
      <c r="AA945">
        <f>DataLog_T717420_Aug11_4_59_37pm[[#This Row],[COOLANT TEMP '[Â°C']]]-Table3[[#This Row],[5805]]</f>
        <v>0</v>
      </c>
      <c r="AB945">
        <f>DataLog_T717420_Aug11_4_59_37pm[[#This Row],[BOOST '[BAR']]]-Table3[[#This Row],[58DD]]</f>
        <v>0</v>
      </c>
    </row>
    <row r="946" spans="2:28" x14ac:dyDescent="0.25">
      <c r="B946" s="2" t="s">
        <v>189</v>
      </c>
      <c r="C946" s="2" t="s">
        <v>30</v>
      </c>
      <c r="D946" s="2" t="s">
        <v>151</v>
      </c>
      <c r="E946" s="2" t="s">
        <v>188</v>
      </c>
      <c r="F946" s="2" t="s">
        <v>253</v>
      </c>
      <c r="G946" s="2" t="s">
        <v>96</v>
      </c>
      <c r="I946">
        <f>HEX2DEC(_0811_173439[[#This Row],[580C]])*B$4/B$5+B$6</f>
        <v>760</v>
      </c>
      <c r="J946">
        <f>HEX2DEC(_0811_173439[[#This Row],[4402]])*C$4/C$5+C$6</f>
        <v>36</v>
      </c>
      <c r="K946">
        <f>HEX2DEC(_0811_173439[[#This Row],[580F]])*D$4/D$5+D$6</f>
        <v>30</v>
      </c>
      <c r="L946">
        <f>ROUND(HEX2DEC(_0811_173439[[#This Row],[58F0]])*E$4/E$5+E$6,0)</f>
        <v>71</v>
      </c>
      <c r="M946">
        <f>ROUND(HEX2DEC(_0811_173439[[#This Row],[5805]])*F$4/F$5+F$6,0)</f>
        <v>43</v>
      </c>
      <c r="N946">
        <f>ROUND(HEX2DEC(_0811_173439[[#This Row],[58DD]])*G$4/G$5+G$6,2)</f>
        <v>-0.03</v>
      </c>
      <c r="P946">
        <v>760</v>
      </c>
      <c r="Q946">
        <v>36</v>
      </c>
      <c r="R946">
        <v>30</v>
      </c>
      <c r="S946">
        <v>71</v>
      </c>
      <c r="T946">
        <v>43</v>
      </c>
      <c r="U946">
        <v>-0.03</v>
      </c>
      <c r="W946">
        <f>DataLog_T717420_Aug11_4_59_37pm[[#This Row],[RPM '[1/MIN']]]-Table3[[#This Row],[580C]]</f>
        <v>0</v>
      </c>
      <c r="X946">
        <f>DataLog_T717420_Aug11_4_59_37pm[[#This Row],[OIL TEMP '[Â°C']]]-Table3[[#This Row],[4402]]</f>
        <v>0</v>
      </c>
      <c r="Y946">
        <f>DataLog_T717420_Aug11_4_59_37pm[[#This Row],[INTAKE TEMP '[Â°C']]]-Table3[[#This Row],[580F]]</f>
        <v>0</v>
      </c>
      <c r="Z946">
        <f>DataLog_T717420_Aug11_4_59_37pm[[#This Row],[HPFP PRES. '[BAR']]]-Table3[[#This Row],[58F0]]</f>
        <v>0</v>
      </c>
      <c r="AA946">
        <f>DataLog_T717420_Aug11_4_59_37pm[[#This Row],[COOLANT TEMP '[Â°C']]]-Table3[[#This Row],[5805]]</f>
        <v>0</v>
      </c>
      <c r="AB946">
        <f>DataLog_T717420_Aug11_4_59_37pm[[#This Row],[BOOST '[BAR']]]-Table3[[#This Row],[58DD]]</f>
        <v>0</v>
      </c>
    </row>
    <row r="947" spans="2:28" x14ac:dyDescent="0.25">
      <c r="B947" s="2" t="s">
        <v>189</v>
      </c>
      <c r="C947" s="2" t="s">
        <v>30</v>
      </c>
      <c r="D947" s="2" t="s">
        <v>151</v>
      </c>
      <c r="E947" s="2" t="s">
        <v>93</v>
      </c>
      <c r="F947" s="2" t="s">
        <v>253</v>
      </c>
      <c r="G947" s="2" t="s">
        <v>216</v>
      </c>
      <c r="I947">
        <f>HEX2DEC(_0811_173439[[#This Row],[580C]])*B$4/B$5+B$6</f>
        <v>760</v>
      </c>
      <c r="J947">
        <f>HEX2DEC(_0811_173439[[#This Row],[4402]])*C$4/C$5+C$6</f>
        <v>36</v>
      </c>
      <c r="K947">
        <f>HEX2DEC(_0811_173439[[#This Row],[580F]])*D$4/D$5+D$6</f>
        <v>30</v>
      </c>
      <c r="L947">
        <f>ROUND(HEX2DEC(_0811_173439[[#This Row],[58F0]])*E$4/E$5+E$6,0)</f>
        <v>70</v>
      </c>
      <c r="M947">
        <f>ROUND(HEX2DEC(_0811_173439[[#This Row],[5805]])*F$4/F$5+F$6,0)</f>
        <v>43</v>
      </c>
      <c r="N947">
        <f>ROUND(HEX2DEC(_0811_173439[[#This Row],[58DD]])*G$4/G$5+G$6,2)</f>
        <v>-0.03</v>
      </c>
      <c r="P947">
        <v>760</v>
      </c>
      <c r="Q947">
        <v>36</v>
      </c>
      <c r="R947">
        <v>30</v>
      </c>
      <c r="S947">
        <v>70</v>
      </c>
      <c r="T947">
        <v>43</v>
      </c>
      <c r="U947">
        <v>-0.03</v>
      </c>
      <c r="W947">
        <f>DataLog_T717420_Aug11_4_59_37pm[[#This Row],[RPM '[1/MIN']]]-Table3[[#This Row],[580C]]</f>
        <v>0</v>
      </c>
      <c r="X947">
        <f>DataLog_T717420_Aug11_4_59_37pm[[#This Row],[OIL TEMP '[Â°C']]]-Table3[[#This Row],[4402]]</f>
        <v>0</v>
      </c>
      <c r="Y947">
        <f>DataLog_T717420_Aug11_4_59_37pm[[#This Row],[INTAKE TEMP '[Â°C']]]-Table3[[#This Row],[580F]]</f>
        <v>0</v>
      </c>
      <c r="Z947">
        <f>DataLog_T717420_Aug11_4_59_37pm[[#This Row],[HPFP PRES. '[BAR']]]-Table3[[#This Row],[58F0]]</f>
        <v>0</v>
      </c>
      <c r="AA947">
        <f>DataLog_T717420_Aug11_4_59_37pm[[#This Row],[COOLANT TEMP '[Â°C']]]-Table3[[#This Row],[5805]]</f>
        <v>0</v>
      </c>
      <c r="AB947">
        <f>DataLog_T717420_Aug11_4_59_37pm[[#This Row],[BOOST '[BAR']]]-Table3[[#This Row],[58DD]]</f>
        <v>0</v>
      </c>
    </row>
    <row r="948" spans="2:28" x14ac:dyDescent="0.25">
      <c r="B948" s="2" t="s">
        <v>189</v>
      </c>
      <c r="C948" s="2" t="s">
        <v>30</v>
      </c>
      <c r="D948" s="2" t="s">
        <v>151</v>
      </c>
      <c r="E948" s="2" t="s">
        <v>122</v>
      </c>
      <c r="F948" s="2" t="s">
        <v>253</v>
      </c>
      <c r="G948" s="2" t="s">
        <v>53</v>
      </c>
      <c r="I948">
        <f>HEX2DEC(_0811_173439[[#This Row],[580C]])*B$4/B$5+B$6</f>
        <v>760</v>
      </c>
      <c r="J948">
        <f>HEX2DEC(_0811_173439[[#This Row],[4402]])*C$4/C$5+C$6</f>
        <v>36</v>
      </c>
      <c r="K948">
        <f>HEX2DEC(_0811_173439[[#This Row],[580F]])*D$4/D$5+D$6</f>
        <v>30</v>
      </c>
      <c r="L948">
        <f>ROUND(HEX2DEC(_0811_173439[[#This Row],[58F0]])*E$4/E$5+E$6,0)</f>
        <v>71</v>
      </c>
      <c r="M948">
        <f>ROUND(HEX2DEC(_0811_173439[[#This Row],[5805]])*F$4/F$5+F$6,0)</f>
        <v>43</v>
      </c>
      <c r="N948">
        <f>ROUND(HEX2DEC(_0811_173439[[#This Row],[58DD]])*G$4/G$5+G$6,2)</f>
        <v>-0.03</v>
      </c>
      <c r="P948">
        <v>760</v>
      </c>
      <c r="Q948">
        <v>36</v>
      </c>
      <c r="R948">
        <v>30</v>
      </c>
      <c r="S948">
        <v>71</v>
      </c>
      <c r="T948">
        <v>43</v>
      </c>
      <c r="U948">
        <v>-0.03</v>
      </c>
      <c r="W948">
        <f>DataLog_T717420_Aug11_4_59_37pm[[#This Row],[RPM '[1/MIN']]]-Table3[[#This Row],[580C]]</f>
        <v>0</v>
      </c>
      <c r="X948">
        <f>DataLog_T717420_Aug11_4_59_37pm[[#This Row],[OIL TEMP '[Â°C']]]-Table3[[#This Row],[4402]]</f>
        <v>0</v>
      </c>
      <c r="Y948">
        <f>DataLog_T717420_Aug11_4_59_37pm[[#This Row],[INTAKE TEMP '[Â°C']]]-Table3[[#This Row],[580F]]</f>
        <v>0</v>
      </c>
      <c r="Z948">
        <f>DataLog_T717420_Aug11_4_59_37pm[[#This Row],[HPFP PRES. '[BAR']]]-Table3[[#This Row],[58F0]]</f>
        <v>0</v>
      </c>
      <c r="AA948">
        <f>DataLog_T717420_Aug11_4_59_37pm[[#This Row],[COOLANT TEMP '[Â°C']]]-Table3[[#This Row],[5805]]</f>
        <v>0</v>
      </c>
      <c r="AB948">
        <f>DataLog_T717420_Aug11_4_59_37pm[[#This Row],[BOOST '[BAR']]]-Table3[[#This Row],[58DD]]</f>
        <v>0</v>
      </c>
    </row>
    <row r="949" spans="2:28" x14ac:dyDescent="0.25">
      <c r="B949" s="2" t="s">
        <v>189</v>
      </c>
      <c r="C949" s="2" t="s">
        <v>30</v>
      </c>
      <c r="D949" s="2" t="s">
        <v>151</v>
      </c>
      <c r="E949" s="2" t="s">
        <v>177</v>
      </c>
      <c r="F949" s="2" t="s">
        <v>253</v>
      </c>
      <c r="G949" s="2" t="s">
        <v>53</v>
      </c>
      <c r="I949">
        <f>HEX2DEC(_0811_173439[[#This Row],[580C]])*B$4/B$5+B$6</f>
        <v>760</v>
      </c>
      <c r="J949">
        <f>HEX2DEC(_0811_173439[[#This Row],[4402]])*C$4/C$5+C$6</f>
        <v>36</v>
      </c>
      <c r="K949">
        <f>HEX2DEC(_0811_173439[[#This Row],[580F]])*D$4/D$5+D$6</f>
        <v>30</v>
      </c>
      <c r="L949">
        <f>ROUND(HEX2DEC(_0811_173439[[#This Row],[58F0]])*E$4/E$5+E$6,0)</f>
        <v>71</v>
      </c>
      <c r="M949">
        <f>ROUND(HEX2DEC(_0811_173439[[#This Row],[5805]])*F$4/F$5+F$6,0)</f>
        <v>43</v>
      </c>
      <c r="N949">
        <f>ROUND(HEX2DEC(_0811_173439[[#This Row],[58DD]])*G$4/G$5+G$6,2)</f>
        <v>-0.03</v>
      </c>
      <c r="P949">
        <v>760</v>
      </c>
      <c r="Q949">
        <v>36</v>
      </c>
      <c r="R949">
        <v>30</v>
      </c>
      <c r="S949">
        <v>71</v>
      </c>
      <c r="T949">
        <v>43</v>
      </c>
      <c r="U949">
        <v>-0.03</v>
      </c>
      <c r="W949">
        <f>DataLog_T717420_Aug11_4_59_37pm[[#This Row],[RPM '[1/MIN']]]-Table3[[#This Row],[580C]]</f>
        <v>0</v>
      </c>
      <c r="X949">
        <f>DataLog_T717420_Aug11_4_59_37pm[[#This Row],[OIL TEMP '[Â°C']]]-Table3[[#This Row],[4402]]</f>
        <v>0</v>
      </c>
      <c r="Y949">
        <f>DataLog_T717420_Aug11_4_59_37pm[[#This Row],[INTAKE TEMP '[Â°C']]]-Table3[[#This Row],[580F]]</f>
        <v>0</v>
      </c>
      <c r="Z949">
        <f>DataLog_T717420_Aug11_4_59_37pm[[#This Row],[HPFP PRES. '[BAR']]]-Table3[[#This Row],[58F0]]</f>
        <v>0</v>
      </c>
      <c r="AA949">
        <f>DataLog_T717420_Aug11_4_59_37pm[[#This Row],[COOLANT TEMP '[Â°C']]]-Table3[[#This Row],[5805]]</f>
        <v>0</v>
      </c>
      <c r="AB949">
        <f>DataLog_T717420_Aug11_4_59_37pm[[#This Row],[BOOST '[BAR']]]-Table3[[#This Row],[58DD]]</f>
        <v>0</v>
      </c>
    </row>
    <row r="950" spans="2:28" x14ac:dyDescent="0.25">
      <c r="B950" s="2" t="s">
        <v>189</v>
      </c>
      <c r="C950" s="2" t="s">
        <v>30</v>
      </c>
      <c r="D950" s="2" t="s">
        <v>151</v>
      </c>
      <c r="E950" s="2" t="s">
        <v>123</v>
      </c>
      <c r="F950" s="2" t="s">
        <v>253</v>
      </c>
      <c r="G950" s="2" t="s">
        <v>258</v>
      </c>
      <c r="I950">
        <f>HEX2DEC(_0811_173439[[#This Row],[580C]])*B$4/B$5+B$6</f>
        <v>760</v>
      </c>
      <c r="J950">
        <f>HEX2DEC(_0811_173439[[#This Row],[4402]])*C$4/C$5+C$6</f>
        <v>36</v>
      </c>
      <c r="K950">
        <f>HEX2DEC(_0811_173439[[#This Row],[580F]])*D$4/D$5+D$6</f>
        <v>30</v>
      </c>
      <c r="L950">
        <f>ROUND(HEX2DEC(_0811_173439[[#This Row],[58F0]])*E$4/E$5+E$6,0)</f>
        <v>71</v>
      </c>
      <c r="M950">
        <f>ROUND(HEX2DEC(_0811_173439[[#This Row],[5805]])*F$4/F$5+F$6,0)</f>
        <v>43</v>
      </c>
      <c r="N950">
        <f>ROUND(HEX2DEC(_0811_173439[[#This Row],[58DD]])*G$4/G$5+G$6,2)</f>
        <v>-0.03</v>
      </c>
      <c r="P950">
        <v>760</v>
      </c>
      <c r="Q950">
        <v>36</v>
      </c>
      <c r="R950">
        <v>30</v>
      </c>
      <c r="S950">
        <v>71</v>
      </c>
      <c r="T950">
        <v>43</v>
      </c>
      <c r="U950">
        <v>-0.03</v>
      </c>
      <c r="W950">
        <f>DataLog_T717420_Aug11_4_59_37pm[[#This Row],[RPM '[1/MIN']]]-Table3[[#This Row],[580C]]</f>
        <v>0</v>
      </c>
      <c r="X950">
        <f>DataLog_T717420_Aug11_4_59_37pm[[#This Row],[OIL TEMP '[Â°C']]]-Table3[[#This Row],[4402]]</f>
        <v>0</v>
      </c>
      <c r="Y950">
        <f>DataLog_T717420_Aug11_4_59_37pm[[#This Row],[INTAKE TEMP '[Â°C']]]-Table3[[#This Row],[580F]]</f>
        <v>0</v>
      </c>
      <c r="Z950">
        <f>DataLog_T717420_Aug11_4_59_37pm[[#This Row],[HPFP PRES. '[BAR']]]-Table3[[#This Row],[58F0]]</f>
        <v>0</v>
      </c>
      <c r="AA950">
        <f>DataLog_T717420_Aug11_4_59_37pm[[#This Row],[COOLANT TEMP '[Â°C']]]-Table3[[#This Row],[5805]]</f>
        <v>0</v>
      </c>
      <c r="AB950">
        <f>DataLog_T717420_Aug11_4_59_37pm[[#This Row],[BOOST '[BAR']]]-Table3[[#This Row],[58DD]]</f>
        <v>0</v>
      </c>
    </row>
    <row r="951" spans="2:28" x14ac:dyDescent="0.25">
      <c r="B951" s="2" t="s">
        <v>189</v>
      </c>
      <c r="C951" s="2" t="s">
        <v>30</v>
      </c>
      <c r="D951" s="2" t="s">
        <v>151</v>
      </c>
      <c r="E951" s="2" t="s">
        <v>124</v>
      </c>
      <c r="F951" s="2" t="s">
        <v>253</v>
      </c>
      <c r="G951" s="2" t="s">
        <v>53</v>
      </c>
      <c r="I951">
        <f>HEX2DEC(_0811_173439[[#This Row],[580C]])*B$4/B$5+B$6</f>
        <v>760</v>
      </c>
      <c r="J951">
        <f>HEX2DEC(_0811_173439[[#This Row],[4402]])*C$4/C$5+C$6</f>
        <v>36</v>
      </c>
      <c r="K951">
        <f>HEX2DEC(_0811_173439[[#This Row],[580F]])*D$4/D$5+D$6</f>
        <v>30</v>
      </c>
      <c r="L951">
        <f>ROUND(HEX2DEC(_0811_173439[[#This Row],[58F0]])*E$4/E$5+E$6,0)</f>
        <v>71</v>
      </c>
      <c r="M951">
        <f>ROUND(HEX2DEC(_0811_173439[[#This Row],[5805]])*F$4/F$5+F$6,0)</f>
        <v>43</v>
      </c>
      <c r="N951">
        <f>ROUND(HEX2DEC(_0811_173439[[#This Row],[58DD]])*G$4/G$5+G$6,2)</f>
        <v>-0.03</v>
      </c>
      <c r="P951">
        <v>760</v>
      </c>
      <c r="Q951">
        <v>36</v>
      </c>
      <c r="R951">
        <v>30</v>
      </c>
      <c r="S951">
        <v>71</v>
      </c>
      <c r="T951">
        <v>43</v>
      </c>
      <c r="U951">
        <v>-0.03</v>
      </c>
      <c r="W951">
        <f>DataLog_T717420_Aug11_4_59_37pm[[#This Row],[RPM '[1/MIN']]]-Table3[[#This Row],[580C]]</f>
        <v>0</v>
      </c>
      <c r="X951">
        <f>DataLog_T717420_Aug11_4_59_37pm[[#This Row],[OIL TEMP '[Â°C']]]-Table3[[#This Row],[4402]]</f>
        <v>0</v>
      </c>
      <c r="Y951">
        <f>DataLog_T717420_Aug11_4_59_37pm[[#This Row],[INTAKE TEMP '[Â°C']]]-Table3[[#This Row],[580F]]</f>
        <v>0</v>
      </c>
      <c r="Z951">
        <f>DataLog_T717420_Aug11_4_59_37pm[[#This Row],[HPFP PRES. '[BAR']]]-Table3[[#This Row],[58F0]]</f>
        <v>0</v>
      </c>
      <c r="AA951">
        <f>DataLog_T717420_Aug11_4_59_37pm[[#This Row],[COOLANT TEMP '[Â°C']]]-Table3[[#This Row],[5805]]</f>
        <v>0</v>
      </c>
      <c r="AB951">
        <f>DataLog_T717420_Aug11_4_59_37pm[[#This Row],[BOOST '[BAR']]]-Table3[[#This Row],[58DD]]</f>
        <v>0</v>
      </c>
    </row>
    <row r="952" spans="2:28" x14ac:dyDescent="0.25">
      <c r="B952" s="2" t="s">
        <v>189</v>
      </c>
      <c r="C952" s="2" t="s">
        <v>30</v>
      </c>
      <c r="D952" s="2" t="s">
        <v>151</v>
      </c>
      <c r="E952" s="2" t="s">
        <v>202</v>
      </c>
      <c r="F952" s="2" t="s">
        <v>253</v>
      </c>
      <c r="G952" s="2" t="s">
        <v>216</v>
      </c>
      <c r="I952">
        <f>HEX2DEC(_0811_173439[[#This Row],[580C]])*B$4/B$5+B$6</f>
        <v>760</v>
      </c>
      <c r="J952">
        <f>HEX2DEC(_0811_173439[[#This Row],[4402]])*C$4/C$5+C$6</f>
        <v>36</v>
      </c>
      <c r="K952">
        <f>HEX2DEC(_0811_173439[[#This Row],[580F]])*D$4/D$5+D$6</f>
        <v>30</v>
      </c>
      <c r="L952">
        <f>ROUND(HEX2DEC(_0811_173439[[#This Row],[58F0]])*E$4/E$5+E$6,0)</f>
        <v>71</v>
      </c>
      <c r="M952">
        <f>ROUND(HEX2DEC(_0811_173439[[#This Row],[5805]])*F$4/F$5+F$6,0)</f>
        <v>43</v>
      </c>
      <c r="N952">
        <f>ROUND(HEX2DEC(_0811_173439[[#This Row],[58DD]])*G$4/G$5+G$6,2)</f>
        <v>-0.03</v>
      </c>
      <c r="P952">
        <v>760</v>
      </c>
      <c r="Q952">
        <v>36</v>
      </c>
      <c r="R952">
        <v>30</v>
      </c>
      <c r="S952">
        <v>71</v>
      </c>
      <c r="T952">
        <v>43</v>
      </c>
      <c r="U952">
        <v>-0.03</v>
      </c>
      <c r="W952">
        <f>DataLog_T717420_Aug11_4_59_37pm[[#This Row],[RPM '[1/MIN']]]-Table3[[#This Row],[580C]]</f>
        <v>0</v>
      </c>
      <c r="X952">
        <f>DataLog_T717420_Aug11_4_59_37pm[[#This Row],[OIL TEMP '[Â°C']]]-Table3[[#This Row],[4402]]</f>
        <v>0</v>
      </c>
      <c r="Y952">
        <f>DataLog_T717420_Aug11_4_59_37pm[[#This Row],[INTAKE TEMP '[Â°C']]]-Table3[[#This Row],[580F]]</f>
        <v>0</v>
      </c>
      <c r="Z952">
        <f>DataLog_T717420_Aug11_4_59_37pm[[#This Row],[HPFP PRES. '[BAR']]]-Table3[[#This Row],[58F0]]</f>
        <v>0</v>
      </c>
      <c r="AA952">
        <f>DataLog_T717420_Aug11_4_59_37pm[[#This Row],[COOLANT TEMP '[Â°C']]]-Table3[[#This Row],[5805]]</f>
        <v>0</v>
      </c>
      <c r="AB952">
        <f>DataLog_T717420_Aug11_4_59_37pm[[#This Row],[BOOST '[BAR']]]-Table3[[#This Row],[58DD]]</f>
        <v>0</v>
      </c>
    </row>
    <row r="953" spans="2:28" x14ac:dyDescent="0.25">
      <c r="B953" s="2" t="s">
        <v>189</v>
      </c>
      <c r="C953" s="2" t="s">
        <v>30</v>
      </c>
      <c r="D953" s="2" t="s">
        <v>151</v>
      </c>
      <c r="E953" s="2" t="s">
        <v>93</v>
      </c>
      <c r="F953" s="2" t="s">
        <v>253</v>
      </c>
      <c r="G953" s="2" t="s">
        <v>53</v>
      </c>
      <c r="I953">
        <f>HEX2DEC(_0811_173439[[#This Row],[580C]])*B$4/B$5+B$6</f>
        <v>760</v>
      </c>
      <c r="J953">
        <f>HEX2DEC(_0811_173439[[#This Row],[4402]])*C$4/C$5+C$6</f>
        <v>36</v>
      </c>
      <c r="K953">
        <f>HEX2DEC(_0811_173439[[#This Row],[580F]])*D$4/D$5+D$6</f>
        <v>30</v>
      </c>
      <c r="L953">
        <f>ROUND(HEX2DEC(_0811_173439[[#This Row],[58F0]])*E$4/E$5+E$6,0)</f>
        <v>70</v>
      </c>
      <c r="M953">
        <f>ROUND(HEX2DEC(_0811_173439[[#This Row],[5805]])*F$4/F$5+F$6,0)</f>
        <v>43</v>
      </c>
      <c r="N953">
        <f>ROUND(HEX2DEC(_0811_173439[[#This Row],[58DD]])*G$4/G$5+G$6,2)</f>
        <v>-0.03</v>
      </c>
      <c r="P953">
        <v>760</v>
      </c>
      <c r="Q953">
        <v>36</v>
      </c>
      <c r="R953">
        <v>30</v>
      </c>
      <c r="S953">
        <v>70</v>
      </c>
      <c r="T953">
        <v>43</v>
      </c>
      <c r="U953">
        <v>-0.03</v>
      </c>
      <c r="W953">
        <f>DataLog_T717420_Aug11_4_59_37pm[[#This Row],[RPM '[1/MIN']]]-Table3[[#This Row],[580C]]</f>
        <v>0</v>
      </c>
      <c r="X953">
        <f>DataLog_T717420_Aug11_4_59_37pm[[#This Row],[OIL TEMP '[Â°C']]]-Table3[[#This Row],[4402]]</f>
        <v>0</v>
      </c>
      <c r="Y953">
        <f>DataLog_T717420_Aug11_4_59_37pm[[#This Row],[INTAKE TEMP '[Â°C']]]-Table3[[#This Row],[580F]]</f>
        <v>0</v>
      </c>
      <c r="Z953">
        <f>DataLog_T717420_Aug11_4_59_37pm[[#This Row],[HPFP PRES. '[BAR']]]-Table3[[#This Row],[58F0]]</f>
        <v>0</v>
      </c>
      <c r="AA953">
        <f>DataLog_T717420_Aug11_4_59_37pm[[#This Row],[COOLANT TEMP '[Â°C']]]-Table3[[#This Row],[5805]]</f>
        <v>0</v>
      </c>
      <c r="AB953">
        <f>DataLog_T717420_Aug11_4_59_37pm[[#This Row],[BOOST '[BAR']]]-Table3[[#This Row],[58DD]]</f>
        <v>0</v>
      </c>
    </row>
    <row r="954" spans="2:28" x14ac:dyDescent="0.25">
      <c r="B954" s="2" t="s">
        <v>189</v>
      </c>
      <c r="C954" s="2" t="s">
        <v>30</v>
      </c>
      <c r="D954" s="2" t="s">
        <v>151</v>
      </c>
      <c r="E954" s="2" t="s">
        <v>122</v>
      </c>
      <c r="F954" s="2" t="s">
        <v>253</v>
      </c>
      <c r="G954" s="2" t="s">
        <v>216</v>
      </c>
      <c r="I954">
        <f>HEX2DEC(_0811_173439[[#This Row],[580C]])*B$4/B$5+B$6</f>
        <v>760</v>
      </c>
      <c r="J954">
        <f>HEX2DEC(_0811_173439[[#This Row],[4402]])*C$4/C$5+C$6</f>
        <v>36</v>
      </c>
      <c r="K954">
        <f>HEX2DEC(_0811_173439[[#This Row],[580F]])*D$4/D$5+D$6</f>
        <v>30</v>
      </c>
      <c r="L954">
        <f>ROUND(HEX2DEC(_0811_173439[[#This Row],[58F0]])*E$4/E$5+E$6,0)</f>
        <v>71</v>
      </c>
      <c r="M954">
        <f>ROUND(HEX2DEC(_0811_173439[[#This Row],[5805]])*F$4/F$5+F$6,0)</f>
        <v>43</v>
      </c>
      <c r="N954">
        <f>ROUND(HEX2DEC(_0811_173439[[#This Row],[58DD]])*G$4/G$5+G$6,2)</f>
        <v>-0.03</v>
      </c>
      <c r="P954">
        <v>760</v>
      </c>
      <c r="Q954">
        <v>36</v>
      </c>
      <c r="R954">
        <v>30</v>
      </c>
      <c r="S954">
        <v>71</v>
      </c>
      <c r="T954">
        <v>43</v>
      </c>
      <c r="U954">
        <v>-0.03</v>
      </c>
      <c r="W954">
        <f>DataLog_T717420_Aug11_4_59_37pm[[#This Row],[RPM '[1/MIN']]]-Table3[[#This Row],[580C]]</f>
        <v>0</v>
      </c>
      <c r="X954">
        <f>DataLog_T717420_Aug11_4_59_37pm[[#This Row],[OIL TEMP '[Â°C']]]-Table3[[#This Row],[4402]]</f>
        <v>0</v>
      </c>
      <c r="Y954">
        <f>DataLog_T717420_Aug11_4_59_37pm[[#This Row],[INTAKE TEMP '[Â°C']]]-Table3[[#This Row],[580F]]</f>
        <v>0</v>
      </c>
      <c r="Z954">
        <f>DataLog_T717420_Aug11_4_59_37pm[[#This Row],[HPFP PRES. '[BAR']]]-Table3[[#This Row],[58F0]]</f>
        <v>0</v>
      </c>
      <c r="AA954">
        <f>DataLog_T717420_Aug11_4_59_37pm[[#This Row],[COOLANT TEMP '[Â°C']]]-Table3[[#This Row],[5805]]</f>
        <v>0</v>
      </c>
      <c r="AB954">
        <f>DataLog_T717420_Aug11_4_59_37pm[[#This Row],[BOOST '[BAR']]]-Table3[[#This Row],[58DD]]</f>
        <v>0</v>
      </c>
    </row>
    <row r="955" spans="2:28" x14ac:dyDescent="0.25">
      <c r="B955" s="2" t="s">
        <v>189</v>
      </c>
      <c r="C955" s="2" t="s">
        <v>30</v>
      </c>
      <c r="D955" s="2" t="s">
        <v>151</v>
      </c>
      <c r="E955" s="2" t="s">
        <v>259</v>
      </c>
      <c r="F955" s="2" t="s">
        <v>253</v>
      </c>
      <c r="G955" s="2" t="s">
        <v>216</v>
      </c>
      <c r="I955">
        <f>HEX2DEC(_0811_173439[[#This Row],[580C]])*B$4/B$5+B$6</f>
        <v>760</v>
      </c>
      <c r="J955">
        <f>HEX2DEC(_0811_173439[[#This Row],[4402]])*C$4/C$5+C$6</f>
        <v>36</v>
      </c>
      <c r="K955">
        <f>HEX2DEC(_0811_173439[[#This Row],[580F]])*D$4/D$5+D$6</f>
        <v>30</v>
      </c>
      <c r="L955">
        <f>ROUND(HEX2DEC(_0811_173439[[#This Row],[58F0]])*E$4/E$5+E$6,0)</f>
        <v>71</v>
      </c>
      <c r="M955">
        <f>ROUND(HEX2DEC(_0811_173439[[#This Row],[5805]])*F$4/F$5+F$6,0)</f>
        <v>43</v>
      </c>
      <c r="N955">
        <f>ROUND(HEX2DEC(_0811_173439[[#This Row],[58DD]])*G$4/G$5+G$6,2)</f>
        <v>-0.03</v>
      </c>
      <c r="P955">
        <v>760</v>
      </c>
      <c r="Q955">
        <v>36</v>
      </c>
      <c r="R955">
        <v>30</v>
      </c>
      <c r="S955">
        <v>71</v>
      </c>
      <c r="T955">
        <v>43</v>
      </c>
      <c r="U955">
        <v>-0.03</v>
      </c>
      <c r="W955">
        <f>DataLog_T717420_Aug11_4_59_37pm[[#This Row],[RPM '[1/MIN']]]-Table3[[#This Row],[580C]]</f>
        <v>0</v>
      </c>
      <c r="X955">
        <f>DataLog_T717420_Aug11_4_59_37pm[[#This Row],[OIL TEMP '[Â°C']]]-Table3[[#This Row],[4402]]</f>
        <v>0</v>
      </c>
      <c r="Y955">
        <f>DataLog_T717420_Aug11_4_59_37pm[[#This Row],[INTAKE TEMP '[Â°C']]]-Table3[[#This Row],[580F]]</f>
        <v>0</v>
      </c>
      <c r="Z955">
        <f>DataLog_T717420_Aug11_4_59_37pm[[#This Row],[HPFP PRES. '[BAR']]]-Table3[[#This Row],[58F0]]</f>
        <v>0</v>
      </c>
      <c r="AA955">
        <f>DataLog_T717420_Aug11_4_59_37pm[[#This Row],[COOLANT TEMP '[Â°C']]]-Table3[[#This Row],[5805]]</f>
        <v>0</v>
      </c>
      <c r="AB955">
        <f>DataLog_T717420_Aug11_4_59_37pm[[#This Row],[BOOST '[BAR']]]-Table3[[#This Row],[58DD]]</f>
        <v>0</v>
      </c>
    </row>
    <row r="956" spans="2:28" x14ac:dyDescent="0.25">
      <c r="B956" s="2" t="s">
        <v>189</v>
      </c>
      <c r="C956" s="2" t="s">
        <v>30</v>
      </c>
      <c r="D956" s="2" t="s">
        <v>151</v>
      </c>
      <c r="E956" s="2" t="s">
        <v>153</v>
      </c>
      <c r="F956" s="2" t="s">
        <v>253</v>
      </c>
      <c r="G956" s="2" t="s">
        <v>53</v>
      </c>
      <c r="I956">
        <f>HEX2DEC(_0811_173439[[#This Row],[580C]])*B$4/B$5+B$6</f>
        <v>760</v>
      </c>
      <c r="J956">
        <f>HEX2DEC(_0811_173439[[#This Row],[4402]])*C$4/C$5+C$6</f>
        <v>36</v>
      </c>
      <c r="K956">
        <f>HEX2DEC(_0811_173439[[#This Row],[580F]])*D$4/D$5+D$6</f>
        <v>30</v>
      </c>
      <c r="L956">
        <f>ROUND(HEX2DEC(_0811_173439[[#This Row],[58F0]])*E$4/E$5+E$6,0)</f>
        <v>70</v>
      </c>
      <c r="M956">
        <f>ROUND(HEX2DEC(_0811_173439[[#This Row],[5805]])*F$4/F$5+F$6,0)</f>
        <v>43</v>
      </c>
      <c r="N956">
        <f>ROUND(HEX2DEC(_0811_173439[[#This Row],[58DD]])*G$4/G$5+G$6,2)</f>
        <v>-0.03</v>
      </c>
      <c r="P956">
        <v>760</v>
      </c>
      <c r="Q956">
        <v>36</v>
      </c>
      <c r="R956">
        <v>30</v>
      </c>
      <c r="S956">
        <v>70</v>
      </c>
      <c r="T956">
        <v>43</v>
      </c>
      <c r="U956">
        <v>-0.03</v>
      </c>
      <c r="W956">
        <f>DataLog_T717420_Aug11_4_59_37pm[[#This Row],[RPM '[1/MIN']]]-Table3[[#This Row],[580C]]</f>
        <v>0</v>
      </c>
      <c r="X956">
        <f>DataLog_T717420_Aug11_4_59_37pm[[#This Row],[OIL TEMP '[Â°C']]]-Table3[[#This Row],[4402]]</f>
        <v>0</v>
      </c>
      <c r="Y956">
        <f>DataLog_T717420_Aug11_4_59_37pm[[#This Row],[INTAKE TEMP '[Â°C']]]-Table3[[#This Row],[580F]]</f>
        <v>0</v>
      </c>
      <c r="Z956">
        <f>DataLog_T717420_Aug11_4_59_37pm[[#This Row],[HPFP PRES. '[BAR']]]-Table3[[#This Row],[58F0]]</f>
        <v>0</v>
      </c>
      <c r="AA956">
        <f>DataLog_T717420_Aug11_4_59_37pm[[#This Row],[COOLANT TEMP '[Â°C']]]-Table3[[#This Row],[5805]]</f>
        <v>0</v>
      </c>
      <c r="AB956">
        <f>DataLog_T717420_Aug11_4_59_37pm[[#This Row],[BOOST '[BAR']]]-Table3[[#This Row],[58DD]]</f>
        <v>0</v>
      </c>
    </row>
    <row r="957" spans="2:28" x14ac:dyDescent="0.25">
      <c r="B957" s="2" t="s">
        <v>189</v>
      </c>
      <c r="C957" s="2" t="s">
        <v>30</v>
      </c>
      <c r="D957" s="2" t="s">
        <v>151</v>
      </c>
      <c r="E957" s="2" t="s">
        <v>147</v>
      </c>
      <c r="F957" s="2" t="s">
        <v>253</v>
      </c>
      <c r="G957" s="2" t="s">
        <v>53</v>
      </c>
      <c r="I957">
        <f>HEX2DEC(_0811_173439[[#This Row],[580C]])*B$4/B$5+B$6</f>
        <v>760</v>
      </c>
      <c r="J957">
        <f>HEX2DEC(_0811_173439[[#This Row],[4402]])*C$4/C$5+C$6</f>
        <v>36</v>
      </c>
      <c r="K957">
        <f>HEX2DEC(_0811_173439[[#This Row],[580F]])*D$4/D$5+D$6</f>
        <v>30</v>
      </c>
      <c r="L957">
        <f>ROUND(HEX2DEC(_0811_173439[[#This Row],[58F0]])*E$4/E$5+E$6,0)</f>
        <v>71</v>
      </c>
      <c r="M957">
        <f>ROUND(HEX2DEC(_0811_173439[[#This Row],[5805]])*F$4/F$5+F$6,0)</f>
        <v>43</v>
      </c>
      <c r="N957">
        <f>ROUND(HEX2DEC(_0811_173439[[#This Row],[58DD]])*G$4/G$5+G$6,2)</f>
        <v>-0.03</v>
      </c>
      <c r="P957">
        <v>760</v>
      </c>
      <c r="Q957">
        <v>36</v>
      </c>
      <c r="R957">
        <v>30</v>
      </c>
      <c r="S957">
        <v>71</v>
      </c>
      <c r="T957">
        <v>43</v>
      </c>
      <c r="U957">
        <v>-0.03</v>
      </c>
      <c r="W957">
        <f>DataLog_T717420_Aug11_4_59_37pm[[#This Row],[RPM '[1/MIN']]]-Table3[[#This Row],[580C]]</f>
        <v>0</v>
      </c>
      <c r="X957">
        <f>DataLog_T717420_Aug11_4_59_37pm[[#This Row],[OIL TEMP '[Â°C']]]-Table3[[#This Row],[4402]]</f>
        <v>0</v>
      </c>
      <c r="Y957">
        <f>DataLog_T717420_Aug11_4_59_37pm[[#This Row],[INTAKE TEMP '[Â°C']]]-Table3[[#This Row],[580F]]</f>
        <v>0</v>
      </c>
      <c r="Z957">
        <f>DataLog_T717420_Aug11_4_59_37pm[[#This Row],[HPFP PRES. '[BAR']]]-Table3[[#This Row],[58F0]]</f>
        <v>0</v>
      </c>
      <c r="AA957">
        <f>DataLog_T717420_Aug11_4_59_37pm[[#This Row],[COOLANT TEMP '[Â°C']]]-Table3[[#This Row],[5805]]</f>
        <v>0</v>
      </c>
      <c r="AB957">
        <f>DataLog_T717420_Aug11_4_59_37pm[[#This Row],[BOOST '[BAR']]]-Table3[[#This Row],[58DD]]</f>
        <v>0</v>
      </c>
    </row>
    <row r="958" spans="2:28" x14ac:dyDescent="0.25">
      <c r="B958" s="2" t="s">
        <v>189</v>
      </c>
      <c r="C958" s="2" t="s">
        <v>30</v>
      </c>
      <c r="D958" s="2" t="s">
        <v>151</v>
      </c>
      <c r="E958" s="2" t="s">
        <v>259</v>
      </c>
      <c r="F958" s="2" t="s">
        <v>253</v>
      </c>
      <c r="G958" s="2" t="s">
        <v>53</v>
      </c>
      <c r="I958">
        <f>HEX2DEC(_0811_173439[[#This Row],[580C]])*B$4/B$5+B$6</f>
        <v>760</v>
      </c>
      <c r="J958">
        <f>HEX2DEC(_0811_173439[[#This Row],[4402]])*C$4/C$5+C$6</f>
        <v>36</v>
      </c>
      <c r="K958">
        <f>HEX2DEC(_0811_173439[[#This Row],[580F]])*D$4/D$5+D$6</f>
        <v>30</v>
      </c>
      <c r="L958">
        <f>ROUND(HEX2DEC(_0811_173439[[#This Row],[58F0]])*E$4/E$5+E$6,0)</f>
        <v>71</v>
      </c>
      <c r="M958">
        <f>ROUND(HEX2DEC(_0811_173439[[#This Row],[5805]])*F$4/F$5+F$6,0)</f>
        <v>43</v>
      </c>
      <c r="N958">
        <f>ROUND(HEX2DEC(_0811_173439[[#This Row],[58DD]])*G$4/G$5+G$6,2)</f>
        <v>-0.03</v>
      </c>
      <c r="P958">
        <v>760</v>
      </c>
      <c r="Q958">
        <v>36</v>
      </c>
      <c r="R958">
        <v>30</v>
      </c>
      <c r="S958">
        <v>71</v>
      </c>
      <c r="T958">
        <v>43</v>
      </c>
      <c r="U958">
        <v>-0.03</v>
      </c>
      <c r="W958">
        <f>DataLog_T717420_Aug11_4_59_37pm[[#This Row],[RPM '[1/MIN']]]-Table3[[#This Row],[580C]]</f>
        <v>0</v>
      </c>
      <c r="X958">
        <f>DataLog_T717420_Aug11_4_59_37pm[[#This Row],[OIL TEMP '[Â°C']]]-Table3[[#This Row],[4402]]</f>
        <v>0</v>
      </c>
      <c r="Y958">
        <f>DataLog_T717420_Aug11_4_59_37pm[[#This Row],[INTAKE TEMP '[Â°C']]]-Table3[[#This Row],[580F]]</f>
        <v>0</v>
      </c>
      <c r="Z958">
        <f>DataLog_T717420_Aug11_4_59_37pm[[#This Row],[HPFP PRES. '[BAR']]]-Table3[[#This Row],[58F0]]</f>
        <v>0</v>
      </c>
      <c r="AA958">
        <f>DataLog_T717420_Aug11_4_59_37pm[[#This Row],[COOLANT TEMP '[Â°C']]]-Table3[[#This Row],[5805]]</f>
        <v>0</v>
      </c>
      <c r="AB958">
        <f>DataLog_T717420_Aug11_4_59_37pm[[#This Row],[BOOST '[BAR']]]-Table3[[#This Row],[58DD]]</f>
        <v>0</v>
      </c>
    </row>
    <row r="959" spans="2:28" x14ac:dyDescent="0.25">
      <c r="B959" s="2" t="s">
        <v>189</v>
      </c>
      <c r="C959" s="2" t="s">
        <v>30</v>
      </c>
      <c r="D959" s="2" t="s">
        <v>151</v>
      </c>
      <c r="E959" s="2" t="s">
        <v>248</v>
      </c>
      <c r="F959" s="2" t="s">
        <v>253</v>
      </c>
      <c r="G959" s="2" t="s">
        <v>53</v>
      </c>
      <c r="I959">
        <f>HEX2DEC(_0811_173439[[#This Row],[580C]])*B$4/B$5+B$6</f>
        <v>760</v>
      </c>
      <c r="J959">
        <f>HEX2DEC(_0811_173439[[#This Row],[4402]])*C$4/C$5+C$6</f>
        <v>36</v>
      </c>
      <c r="K959">
        <f>HEX2DEC(_0811_173439[[#This Row],[580F]])*D$4/D$5+D$6</f>
        <v>30</v>
      </c>
      <c r="L959">
        <f>ROUND(HEX2DEC(_0811_173439[[#This Row],[58F0]])*E$4/E$5+E$6,0)</f>
        <v>70</v>
      </c>
      <c r="M959">
        <f>ROUND(HEX2DEC(_0811_173439[[#This Row],[5805]])*F$4/F$5+F$6,0)</f>
        <v>43</v>
      </c>
      <c r="N959">
        <f>ROUND(HEX2DEC(_0811_173439[[#This Row],[58DD]])*G$4/G$5+G$6,2)</f>
        <v>-0.03</v>
      </c>
      <c r="P959">
        <v>760</v>
      </c>
      <c r="Q959">
        <v>36</v>
      </c>
      <c r="R959">
        <v>30</v>
      </c>
      <c r="S959">
        <v>70</v>
      </c>
      <c r="T959">
        <v>43</v>
      </c>
      <c r="U959">
        <v>-0.03</v>
      </c>
      <c r="W959">
        <f>DataLog_T717420_Aug11_4_59_37pm[[#This Row],[RPM '[1/MIN']]]-Table3[[#This Row],[580C]]</f>
        <v>0</v>
      </c>
      <c r="X959">
        <f>DataLog_T717420_Aug11_4_59_37pm[[#This Row],[OIL TEMP '[Â°C']]]-Table3[[#This Row],[4402]]</f>
        <v>0</v>
      </c>
      <c r="Y959">
        <f>DataLog_T717420_Aug11_4_59_37pm[[#This Row],[INTAKE TEMP '[Â°C']]]-Table3[[#This Row],[580F]]</f>
        <v>0</v>
      </c>
      <c r="Z959">
        <f>DataLog_T717420_Aug11_4_59_37pm[[#This Row],[HPFP PRES. '[BAR']]]-Table3[[#This Row],[58F0]]</f>
        <v>0</v>
      </c>
      <c r="AA959">
        <f>DataLog_T717420_Aug11_4_59_37pm[[#This Row],[COOLANT TEMP '[Â°C']]]-Table3[[#This Row],[5805]]</f>
        <v>0</v>
      </c>
      <c r="AB959">
        <f>DataLog_T717420_Aug11_4_59_37pm[[#This Row],[BOOST '[BAR']]]-Table3[[#This Row],[58DD]]</f>
        <v>0</v>
      </c>
    </row>
    <row r="960" spans="2:28" x14ac:dyDescent="0.25">
      <c r="B960" s="2" t="s">
        <v>183</v>
      </c>
      <c r="C960" s="2" t="s">
        <v>30</v>
      </c>
      <c r="D960" s="2" t="s">
        <v>151</v>
      </c>
      <c r="E960" s="2" t="s">
        <v>132</v>
      </c>
      <c r="F960" s="2" t="s">
        <v>253</v>
      </c>
      <c r="G960" s="2" t="s">
        <v>190</v>
      </c>
      <c r="I960">
        <f>HEX2DEC(_0811_173439[[#This Row],[580C]])*B$4/B$5+B$6</f>
        <v>800</v>
      </c>
      <c r="J960">
        <f>HEX2DEC(_0811_173439[[#This Row],[4402]])*C$4/C$5+C$6</f>
        <v>36</v>
      </c>
      <c r="K960">
        <f>HEX2DEC(_0811_173439[[#This Row],[580F]])*D$4/D$5+D$6</f>
        <v>30</v>
      </c>
      <c r="L960">
        <f>ROUND(HEX2DEC(_0811_173439[[#This Row],[58F0]])*E$4/E$5+E$6,0)</f>
        <v>70</v>
      </c>
      <c r="M960">
        <f>ROUND(HEX2DEC(_0811_173439[[#This Row],[5805]])*F$4/F$5+F$6,0)</f>
        <v>43</v>
      </c>
      <c r="N960">
        <f>ROUND(HEX2DEC(_0811_173439[[#This Row],[58DD]])*G$4/G$5+G$6,2)</f>
        <v>-0.03</v>
      </c>
      <c r="P960">
        <v>800</v>
      </c>
      <c r="Q960">
        <v>36</v>
      </c>
      <c r="R960">
        <v>30</v>
      </c>
      <c r="S960">
        <v>70</v>
      </c>
      <c r="T960">
        <v>43</v>
      </c>
      <c r="U960">
        <v>-0.03</v>
      </c>
      <c r="W960">
        <f>DataLog_T717420_Aug11_4_59_37pm[[#This Row],[RPM '[1/MIN']]]-Table3[[#This Row],[580C]]</f>
        <v>0</v>
      </c>
      <c r="X960">
        <f>DataLog_T717420_Aug11_4_59_37pm[[#This Row],[OIL TEMP '[Â°C']]]-Table3[[#This Row],[4402]]</f>
        <v>0</v>
      </c>
      <c r="Y960">
        <f>DataLog_T717420_Aug11_4_59_37pm[[#This Row],[INTAKE TEMP '[Â°C']]]-Table3[[#This Row],[580F]]</f>
        <v>0</v>
      </c>
      <c r="Z960">
        <f>DataLog_T717420_Aug11_4_59_37pm[[#This Row],[HPFP PRES. '[BAR']]]-Table3[[#This Row],[58F0]]</f>
        <v>0</v>
      </c>
      <c r="AA960">
        <f>DataLog_T717420_Aug11_4_59_37pm[[#This Row],[COOLANT TEMP '[Â°C']]]-Table3[[#This Row],[5805]]</f>
        <v>0</v>
      </c>
      <c r="AB960">
        <f>DataLog_T717420_Aug11_4_59_37pm[[#This Row],[BOOST '[BAR']]]-Table3[[#This Row],[58DD]]</f>
        <v>0</v>
      </c>
    </row>
    <row r="961" spans="2:28" x14ac:dyDescent="0.25">
      <c r="B961" s="2" t="s">
        <v>189</v>
      </c>
      <c r="C961" s="2" t="s">
        <v>30</v>
      </c>
      <c r="D961" s="2" t="s">
        <v>151</v>
      </c>
      <c r="E961" s="2" t="s">
        <v>218</v>
      </c>
      <c r="F961" s="2" t="s">
        <v>253</v>
      </c>
      <c r="G961" s="2" t="s">
        <v>190</v>
      </c>
      <c r="I961">
        <f>HEX2DEC(_0811_173439[[#This Row],[580C]])*B$4/B$5+B$6</f>
        <v>760</v>
      </c>
      <c r="J961">
        <f>HEX2DEC(_0811_173439[[#This Row],[4402]])*C$4/C$5+C$6</f>
        <v>36</v>
      </c>
      <c r="K961">
        <f>HEX2DEC(_0811_173439[[#This Row],[580F]])*D$4/D$5+D$6</f>
        <v>30</v>
      </c>
      <c r="L961">
        <f>ROUND(HEX2DEC(_0811_173439[[#This Row],[58F0]])*E$4/E$5+E$6,0)</f>
        <v>71</v>
      </c>
      <c r="M961">
        <f>ROUND(HEX2DEC(_0811_173439[[#This Row],[5805]])*F$4/F$5+F$6,0)</f>
        <v>43</v>
      </c>
      <c r="N961">
        <f>ROUND(HEX2DEC(_0811_173439[[#This Row],[58DD]])*G$4/G$5+G$6,2)</f>
        <v>-0.03</v>
      </c>
      <c r="P961">
        <v>760</v>
      </c>
      <c r="Q961">
        <v>36</v>
      </c>
      <c r="R961">
        <v>30</v>
      </c>
      <c r="S961">
        <v>71</v>
      </c>
      <c r="T961">
        <v>43</v>
      </c>
      <c r="U961">
        <v>-0.03</v>
      </c>
      <c r="W961">
        <f>DataLog_T717420_Aug11_4_59_37pm[[#This Row],[RPM '[1/MIN']]]-Table3[[#This Row],[580C]]</f>
        <v>0</v>
      </c>
      <c r="X961">
        <f>DataLog_T717420_Aug11_4_59_37pm[[#This Row],[OIL TEMP '[Â°C']]]-Table3[[#This Row],[4402]]</f>
        <v>0</v>
      </c>
      <c r="Y961">
        <f>DataLog_T717420_Aug11_4_59_37pm[[#This Row],[INTAKE TEMP '[Â°C']]]-Table3[[#This Row],[580F]]</f>
        <v>0</v>
      </c>
      <c r="Z961">
        <f>DataLog_T717420_Aug11_4_59_37pm[[#This Row],[HPFP PRES. '[BAR']]]-Table3[[#This Row],[58F0]]</f>
        <v>0</v>
      </c>
      <c r="AA961">
        <f>DataLog_T717420_Aug11_4_59_37pm[[#This Row],[COOLANT TEMP '[Â°C']]]-Table3[[#This Row],[5805]]</f>
        <v>0</v>
      </c>
      <c r="AB961">
        <f>DataLog_T717420_Aug11_4_59_37pm[[#This Row],[BOOST '[BAR']]]-Table3[[#This Row],[58DD]]</f>
        <v>0</v>
      </c>
    </row>
    <row r="962" spans="2:28" x14ac:dyDescent="0.25">
      <c r="B962" s="2" t="s">
        <v>183</v>
      </c>
      <c r="C962" s="2" t="s">
        <v>30</v>
      </c>
      <c r="D962" s="2" t="s">
        <v>151</v>
      </c>
      <c r="E962" s="2" t="s">
        <v>155</v>
      </c>
      <c r="F962" s="2" t="s">
        <v>253</v>
      </c>
      <c r="G962" s="2" t="s">
        <v>53</v>
      </c>
      <c r="I962">
        <f>HEX2DEC(_0811_173439[[#This Row],[580C]])*B$4/B$5+B$6</f>
        <v>800</v>
      </c>
      <c r="J962">
        <f>HEX2DEC(_0811_173439[[#This Row],[4402]])*C$4/C$5+C$6</f>
        <v>36</v>
      </c>
      <c r="K962">
        <f>HEX2DEC(_0811_173439[[#This Row],[580F]])*D$4/D$5+D$6</f>
        <v>30</v>
      </c>
      <c r="L962">
        <f>ROUND(HEX2DEC(_0811_173439[[#This Row],[58F0]])*E$4/E$5+E$6,0)</f>
        <v>70</v>
      </c>
      <c r="M962">
        <f>ROUND(HEX2DEC(_0811_173439[[#This Row],[5805]])*F$4/F$5+F$6,0)</f>
        <v>43</v>
      </c>
      <c r="N962">
        <f>ROUND(HEX2DEC(_0811_173439[[#This Row],[58DD]])*G$4/G$5+G$6,2)</f>
        <v>-0.03</v>
      </c>
      <c r="P962">
        <v>800</v>
      </c>
      <c r="Q962">
        <v>36</v>
      </c>
      <c r="R962">
        <v>30</v>
      </c>
      <c r="S962">
        <v>70</v>
      </c>
      <c r="T962">
        <v>43</v>
      </c>
      <c r="U962">
        <v>-0.03</v>
      </c>
      <c r="W962">
        <f>DataLog_T717420_Aug11_4_59_37pm[[#This Row],[RPM '[1/MIN']]]-Table3[[#This Row],[580C]]</f>
        <v>0</v>
      </c>
      <c r="X962">
        <f>DataLog_T717420_Aug11_4_59_37pm[[#This Row],[OIL TEMP '[Â°C']]]-Table3[[#This Row],[4402]]</f>
        <v>0</v>
      </c>
      <c r="Y962">
        <f>DataLog_T717420_Aug11_4_59_37pm[[#This Row],[INTAKE TEMP '[Â°C']]]-Table3[[#This Row],[580F]]</f>
        <v>0</v>
      </c>
      <c r="Z962">
        <f>DataLog_T717420_Aug11_4_59_37pm[[#This Row],[HPFP PRES. '[BAR']]]-Table3[[#This Row],[58F0]]</f>
        <v>0</v>
      </c>
      <c r="AA962">
        <f>DataLog_T717420_Aug11_4_59_37pm[[#This Row],[COOLANT TEMP '[Â°C']]]-Table3[[#This Row],[5805]]</f>
        <v>0</v>
      </c>
      <c r="AB962">
        <f>DataLog_T717420_Aug11_4_59_37pm[[#This Row],[BOOST '[BAR']]]-Table3[[#This Row],[58DD]]</f>
        <v>0</v>
      </c>
    </row>
    <row r="963" spans="2:28" x14ac:dyDescent="0.25">
      <c r="B963" s="2" t="s">
        <v>183</v>
      </c>
      <c r="C963" s="2" t="s">
        <v>30</v>
      </c>
      <c r="D963" s="2" t="s">
        <v>151</v>
      </c>
      <c r="E963" s="2" t="s">
        <v>157</v>
      </c>
      <c r="F963" s="2" t="s">
        <v>253</v>
      </c>
      <c r="G963" s="2" t="s">
        <v>90</v>
      </c>
      <c r="I963">
        <f>HEX2DEC(_0811_173439[[#This Row],[580C]])*B$4/B$5+B$6</f>
        <v>800</v>
      </c>
      <c r="J963">
        <f>HEX2DEC(_0811_173439[[#This Row],[4402]])*C$4/C$5+C$6</f>
        <v>36</v>
      </c>
      <c r="K963">
        <f>HEX2DEC(_0811_173439[[#This Row],[580F]])*D$4/D$5+D$6</f>
        <v>30</v>
      </c>
      <c r="L963">
        <f>ROUND(HEX2DEC(_0811_173439[[#This Row],[58F0]])*E$4/E$5+E$6,0)</f>
        <v>70</v>
      </c>
      <c r="M963">
        <f>ROUND(HEX2DEC(_0811_173439[[#This Row],[5805]])*F$4/F$5+F$6,0)</f>
        <v>43</v>
      </c>
      <c r="N963">
        <f>ROUND(HEX2DEC(_0811_173439[[#This Row],[58DD]])*G$4/G$5+G$6,2)</f>
        <v>-0.03</v>
      </c>
      <c r="P963">
        <v>800</v>
      </c>
      <c r="Q963">
        <v>36</v>
      </c>
      <c r="R963">
        <v>30</v>
      </c>
      <c r="S963">
        <v>70</v>
      </c>
      <c r="T963">
        <v>43</v>
      </c>
      <c r="U963">
        <v>-0.03</v>
      </c>
      <c r="W963">
        <f>DataLog_T717420_Aug11_4_59_37pm[[#This Row],[RPM '[1/MIN']]]-Table3[[#This Row],[580C]]</f>
        <v>0</v>
      </c>
      <c r="X963">
        <f>DataLog_T717420_Aug11_4_59_37pm[[#This Row],[OIL TEMP '[Â°C']]]-Table3[[#This Row],[4402]]</f>
        <v>0</v>
      </c>
      <c r="Y963">
        <f>DataLog_T717420_Aug11_4_59_37pm[[#This Row],[INTAKE TEMP '[Â°C']]]-Table3[[#This Row],[580F]]</f>
        <v>0</v>
      </c>
      <c r="Z963">
        <f>DataLog_T717420_Aug11_4_59_37pm[[#This Row],[HPFP PRES. '[BAR']]]-Table3[[#This Row],[58F0]]</f>
        <v>0</v>
      </c>
      <c r="AA963">
        <f>DataLog_T717420_Aug11_4_59_37pm[[#This Row],[COOLANT TEMP '[Â°C']]]-Table3[[#This Row],[5805]]</f>
        <v>0</v>
      </c>
      <c r="AB963">
        <f>DataLog_T717420_Aug11_4_59_37pm[[#This Row],[BOOST '[BAR']]]-Table3[[#This Row],[58DD]]</f>
        <v>0</v>
      </c>
    </row>
    <row r="964" spans="2:28" x14ac:dyDescent="0.25">
      <c r="B964" s="2" t="s">
        <v>183</v>
      </c>
      <c r="C964" s="2" t="s">
        <v>30</v>
      </c>
      <c r="D964" s="2" t="s">
        <v>151</v>
      </c>
      <c r="E964" s="2" t="s">
        <v>204</v>
      </c>
      <c r="F964" s="2" t="s">
        <v>253</v>
      </c>
      <c r="G964" s="2" t="s">
        <v>53</v>
      </c>
      <c r="I964">
        <f>HEX2DEC(_0811_173439[[#This Row],[580C]])*B$4/B$5+B$6</f>
        <v>800</v>
      </c>
      <c r="J964">
        <f>HEX2DEC(_0811_173439[[#This Row],[4402]])*C$4/C$5+C$6</f>
        <v>36</v>
      </c>
      <c r="K964">
        <f>HEX2DEC(_0811_173439[[#This Row],[580F]])*D$4/D$5+D$6</f>
        <v>30</v>
      </c>
      <c r="L964">
        <f>ROUND(HEX2DEC(_0811_173439[[#This Row],[58F0]])*E$4/E$5+E$6,0)</f>
        <v>71</v>
      </c>
      <c r="M964">
        <f>ROUND(HEX2DEC(_0811_173439[[#This Row],[5805]])*F$4/F$5+F$6,0)</f>
        <v>43</v>
      </c>
      <c r="N964">
        <f>ROUND(HEX2DEC(_0811_173439[[#This Row],[58DD]])*G$4/G$5+G$6,2)</f>
        <v>-0.03</v>
      </c>
      <c r="P964">
        <v>800</v>
      </c>
      <c r="Q964">
        <v>36</v>
      </c>
      <c r="R964">
        <v>30</v>
      </c>
      <c r="S964">
        <v>71</v>
      </c>
      <c r="T964">
        <v>43</v>
      </c>
      <c r="U964">
        <v>-0.03</v>
      </c>
      <c r="W964">
        <f>DataLog_T717420_Aug11_4_59_37pm[[#This Row],[RPM '[1/MIN']]]-Table3[[#This Row],[580C]]</f>
        <v>0</v>
      </c>
      <c r="X964">
        <f>DataLog_T717420_Aug11_4_59_37pm[[#This Row],[OIL TEMP '[Â°C']]]-Table3[[#This Row],[4402]]</f>
        <v>0</v>
      </c>
      <c r="Y964">
        <f>DataLog_T717420_Aug11_4_59_37pm[[#This Row],[INTAKE TEMP '[Â°C']]]-Table3[[#This Row],[580F]]</f>
        <v>0</v>
      </c>
      <c r="Z964">
        <f>DataLog_T717420_Aug11_4_59_37pm[[#This Row],[HPFP PRES. '[BAR']]]-Table3[[#This Row],[58F0]]</f>
        <v>0</v>
      </c>
      <c r="AA964">
        <f>DataLog_T717420_Aug11_4_59_37pm[[#This Row],[COOLANT TEMP '[Â°C']]]-Table3[[#This Row],[5805]]</f>
        <v>0</v>
      </c>
      <c r="AB964">
        <f>DataLog_T717420_Aug11_4_59_37pm[[#This Row],[BOOST '[BAR']]]-Table3[[#This Row],[58DD]]</f>
        <v>0</v>
      </c>
    </row>
    <row r="965" spans="2:28" x14ac:dyDescent="0.25">
      <c r="B965" s="2" t="s">
        <v>183</v>
      </c>
      <c r="C965" s="2" t="s">
        <v>30</v>
      </c>
      <c r="D965" s="2" t="s">
        <v>151</v>
      </c>
      <c r="E965" s="2" t="s">
        <v>170</v>
      </c>
      <c r="F965" s="2" t="s">
        <v>253</v>
      </c>
      <c r="G965" s="2" t="s">
        <v>53</v>
      </c>
      <c r="I965">
        <f>HEX2DEC(_0811_173439[[#This Row],[580C]])*B$4/B$5+B$6</f>
        <v>800</v>
      </c>
      <c r="J965">
        <f>HEX2DEC(_0811_173439[[#This Row],[4402]])*C$4/C$5+C$6</f>
        <v>36</v>
      </c>
      <c r="K965">
        <f>HEX2DEC(_0811_173439[[#This Row],[580F]])*D$4/D$5+D$6</f>
        <v>30</v>
      </c>
      <c r="L965">
        <f>ROUND(HEX2DEC(_0811_173439[[#This Row],[58F0]])*E$4/E$5+E$6,0)</f>
        <v>71</v>
      </c>
      <c r="M965">
        <f>ROUND(HEX2DEC(_0811_173439[[#This Row],[5805]])*F$4/F$5+F$6,0)</f>
        <v>43</v>
      </c>
      <c r="N965">
        <f>ROUND(HEX2DEC(_0811_173439[[#This Row],[58DD]])*G$4/G$5+G$6,2)</f>
        <v>-0.03</v>
      </c>
      <c r="P965">
        <v>800</v>
      </c>
      <c r="Q965">
        <v>36</v>
      </c>
      <c r="R965">
        <v>30</v>
      </c>
      <c r="S965">
        <v>71</v>
      </c>
      <c r="T965">
        <v>43</v>
      </c>
      <c r="U965">
        <v>-0.03</v>
      </c>
      <c r="W965">
        <f>DataLog_T717420_Aug11_4_59_37pm[[#This Row],[RPM '[1/MIN']]]-Table3[[#This Row],[580C]]</f>
        <v>0</v>
      </c>
      <c r="X965">
        <f>DataLog_T717420_Aug11_4_59_37pm[[#This Row],[OIL TEMP '[Â°C']]]-Table3[[#This Row],[4402]]</f>
        <v>0</v>
      </c>
      <c r="Y965">
        <f>DataLog_T717420_Aug11_4_59_37pm[[#This Row],[INTAKE TEMP '[Â°C']]]-Table3[[#This Row],[580F]]</f>
        <v>0</v>
      </c>
      <c r="Z965">
        <f>DataLog_T717420_Aug11_4_59_37pm[[#This Row],[HPFP PRES. '[BAR']]]-Table3[[#This Row],[58F0]]</f>
        <v>0</v>
      </c>
      <c r="AA965">
        <f>DataLog_T717420_Aug11_4_59_37pm[[#This Row],[COOLANT TEMP '[Â°C']]]-Table3[[#This Row],[5805]]</f>
        <v>0</v>
      </c>
      <c r="AB965">
        <f>DataLog_T717420_Aug11_4_59_37pm[[#This Row],[BOOST '[BAR']]]-Table3[[#This Row],[58DD]]</f>
        <v>0</v>
      </c>
    </row>
    <row r="966" spans="2:28" x14ac:dyDescent="0.25">
      <c r="B966" s="2" t="s">
        <v>183</v>
      </c>
      <c r="C966" s="2" t="s">
        <v>30</v>
      </c>
      <c r="D966" s="2" t="s">
        <v>151</v>
      </c>
      <c r="E966" s="2" t="s">
        <v>242</v>
      </c>
      <c r="F966" s="2" t="s">
        <v>253</v>
      </c>
      <c r="G966" s="2" t="s">
        <v>71</v>
      </c>
      <c r="I966">
        <f>HEX2DEC(_0811_173439[[#This Row],[580C]])*B$4/B$5+B$6</f>
        <v>800</v>
      </c>
      <c r="J966">
        <f>HEX2DEC(_0811_173439[[#This Row],[4402]])*C$4/C$5+C$6</f>
        <v>36</v>
      </c>
      <c r="K966">
        <f>HEX2DEC(_0811_173439[[#This Row],[580F]])*D$4/D$5+D$6</f>
        <v>30</v>
      </c>
      <c r="L966">
        <f>ROUND(HEX2DEC(_0811_173439[[#This Row],[58F0]])*E$4/E$5+E$6,0)</f>
        <v>71</v>
      </c>
      <c r="M966">
        <f>ROUND(HEX2DEC(_0811_173439[[#This Row],[5805]])*F$4/F$5+F$6,0)</f>
        <v>43</v>
      </c>
      <c r="N966">
        <f>ROUND(HEX2DEC(_0811_173439[[#This Row],[58DD]])*G$4/G$5+G$6,2)</f>
        <v>-0.03</v>
      </c>
      <c r="P966">
        <v>800</v>
      </c>
      <c r="Q966">
        <v>36</v>
      </c>
      <c r="R966">
        <v>30</v>
      </c>
      <c r="S966">
        <v>71</v>
      </c>
      <c r="T966">
        <v>43</v>
      </c>
      <c r="U966">
        <v>-0.03</v>
      </c>
      <c r="W966">
        <f>DataLog_T717420_Aug11_4_59_37pm[[#This Row],[RPM '[1/MIN']]]-Table3[[#This Row],[580C]]</f>
        <v>0</v>
      </c>
      <c r="X966">
        <f>DataLog_T717420_Aug11_4_59_37pm[[#This Row],[OIL TEMP '[Â°C']]]-Table3[[#This Row],[4402]]</f>
        <v>0</v>
      </c>
      <c r="Y966">
        <f>DataLog_T717420_Aug11_4_59_37pm[[#This Row],[INTAKE TEMP '[Â°C']]]-Table3[[#This Row],[580F]]</f>
        <v>0</v>
      </c>
      <c r="Z966">
        <f>DataLog_T717420_Aug11_4_59_37pm[[#This Row],[HPFP PRES. '[BAR']]]-Table3[[#This Row],[58F0]]</f>
        <v>0</v>
      </c>
      <c r="AA966">
        <f>DataLog_T717420_Aug11_4_59_37pm[[#This Row],[COOLANT TEMP '[Â°C']]]-Table3[[#This Row],[5805]]</f>
        <v>0</v>
      </c>
      <c r="AB966">
        <f>DataLog_T717420_Aug11_4_59_37pm[[#This Row],[BOOST '[BAR']]]-Table3[[#This Row],[58DD]]</f>
        <v>0</v>
      </c>
    </row>
    <row r="967" spans="2:28" x14ac:dyDescent="0.25">
      <c r="B967" s="2" t="s">
        <v>183</v>
      </c>
      <c r="C967" s="2" t="s">
        <v>30</v>
      </c>
      <c r="D967" s="2" t="s">
        <v>151</v>
      </c>
      <c r="E967" s="2" t="s">
        <v>87</v>
      </c>
      <c r="F967" s="2" t="s">
        <v>253</v>
      </c>
      <c r="G967" s="2" t="s">
        <v>96</v>
      </c>
      <c r="I967">
        <f>HEX2DEC(_0811_173439[[#This Row],[580C]])*B$4/B$5+B$6</f>
        <v>800</v>
      </c>
      <c r="J967">
        <f>HEX2DEC(_0811_173439[[#This Row],[4402]])*C$4/C$5+C$6</f>
        <v>36</v>
      </c>
      <c r="K967">
        <f>HEX2DEC(_0811_173439[[#This Row],[580F]])*D$4/D$5+D$6</f>
        <v>30</v>
      </c>
      <c r="L967">
        <f>ROUND(HEX2DEC(_0811_173439[[#This Row],[58F0]])*E$4/E$5+E$6,0)</f>
        <v>72</v>
      </c>
      <c r="M967">
        <f>ROUND(HEX2DEC(_0811_173439[[#This Row],[5805]])*F$4/F$5+F$6,0)</f>
        <v>43</v>
      </c>
      <c r="N967">
        <f>ROUND(HEX2DEC(_0811_173439[[#This Row],[58DD]])*G$4/G$5+G$6,2)</f>
        <v>-0.03</v>
      </c>
      <c r="P967">
        <v>800</v>
      </c>
      <c r="Q967">
        <v>36</v>
      </c>
      <c r="R967">
        <v>30</v>
      </c>
      <c r="S967">
        <v>72</v>
      </c>
      <c r="T967">
        <v>43</v>
      </c>
      <c r="U967">
        <v>-0.03</v>
      </c>
      <c r="W967">
        <f>DataLog_T717420_Aug11_4_59_37pm[[#This Row],[RPM '[1/MIN']]]-Table3[[#This Row],[580C]]</f>
        <v>0</v>
      </c>
      <c r="X967">
        <f>DataLog_T717420_Aug11_4_59_37pm[[#This Row],[OIL TEMP '[Â°C']]]-Table3[[#This Row],[4402]]</f>
        <v>0</v>
      </c>
      <c r="Y967">
        <f>DataLog_T717420_Aug11_4_59_37pm[[#This Row],[INTAKE TEMP '[Â°C']]]-Table3[[#This Row],[580F]]</f>
        <v>0</v>
      </c>
      <c r="Z967">
        <f>DataLog_T717420_Aug11_4_59_37pm[[#This Row],[HPFP PRES. '[BAR']]]-Table3[[#This Row],[58F0]]</f>
        <v>0</v>
      </c>
      <c r="AA967">
        <f>DataLog_T717420_Aug11_4_59_37pm[[#This Row],[COOLANT TEMP '[Â°C']]]-Table3[[#This Row],[5805]]</f>
        <v>0</v>
      </c>
      <c r="AB967">
        <f>DataLog_T717420_Aug11_4_59_37pm[[#This Row],[BOOST '[BAR']]]-Table3[[#This Row],[58DD]]</f>
        <v>0</v>
      </c>
    </row>
    <row r="968" spans="2:28" x14ac:dyDescent="0.25">
      <c r="B968" s="2" t="s">
        <v>183</v>
      </c>
      <c r="C968" s="2" t="s">
        <v>30</v>
      </c>
      <c r="D968" s="2" t="s">
        <v>151</v>
      </c>
      <c r="E968" s="2" t="s">
        <v>135</v>
      </c>
      <c r="F968" s="2" t="s">
        <v>253</v>
      </c>
      <c r="G968" s="2" t="s">
        <v>190</v>
      </c>
      <c r="I968">
        <f>HEX2DEC(_0811_173439[[#This Row],[580C]])*B$4/B$5+B$6</f>
        <v>800</v>
      </c>
      <c r="J968">
        <f>HEX2DEC(_0811_173439[[#This Row],[4402]])*C$4/C$5+C$6</f>
        <v>36</v>
      </c>
      <c r="K968">
        <f>HEX2DEC(_0811_173439[[#This Row],[580F]])*D$4/D$5+D$6</f>
        <v>30</v>
      </c>
      <c r="L968">
        <f>ROUND(HEX2DEC(_0811_173439[[#This Row],[58F0]])*E$4/E$5+E$6,0)</f>
        <v>71</v>
      </c>
      <c r="M968">
        <f>ROUND(HEX2DEC(_0811_173439[[#This Row],[5805]])*F$4/F$5+F$6,0)</f>
        <v>43</v>
      </c>
      <c r="N968">
        <f>ROUND(HEX2DEC(_0811_173439[[#This Row],[58DD]])*G$4/G$5+G$6,2)</f>
        <v>-0.03</v>
      </c>
      <c r="P968">
        <v>800</v>
      </c>
      <c r="Q968">
        <v>36</v>
      </c>
      <c r="R968">
        <v>30</v>
      </c>
      <c r="S968">
        <v>71</v>
      </c>
      <c r="T968">
        <v>43</v>
      </c>
      <c r="U968">
        <v>-0.03</v>
      </c>
      <c r="W968">
        <f>DataLog_T717420_Aug11_4_59_37pm[[#This Row],[RPM '[1/MIN']]]-Table3[[#This Row],[580C]]</f>
        <v>0</v>
      </c>
      <c r="X968">
        <f>DataLog_T717420_Aug11_4_59_37pm[[#This Row],[OIL TEMP '[Â°C']]]-Table3[[#This Row],[4402]]</f>
        <v>0</v>
      </c>
      <c r="Y968">
        <f>DataLog_T717420_Aug11_4_59_37pm[[#This Row],[INTAKE TEMP '[Â°C']]]-Table3[[#This Row],[580F]]</f>
        <v>0</v>
      </c>
      <c r="Z968">
        <f>DataLog_T717420_Aug11_4_59_37pm[[#This Row],[HPFP PRES. '[BAR']]]-Table3[[#This Row],[58F0]]</f>
        <v>0</v>
      </c>
      <c r="AA968">
        <f>DataLog_T717420_Aug11_4_59_37pm[[#This Row],[COOLANT TEMP '[Â°C']]]-Table3[[#This Row],[5805]]</f>
        <v>0</v>
      </c>
      <c r="AB968">
        <f>DataLog_T717420_Aug11_4_59_37pm[[#This Row],[BOOST '[BAR']]]-Table3[[#This Row],[58DD]]</f>
        <v>0</v>
      </c>
    </row>
    <row r="969" spans="2:28" x14ac:dyDescent="0.25">
      <c r="B969" s="2" t="s">
        <v>183</v>
      </c>
      <c r="C969" s="2" t="s">
        <v>30</v>
      </c>
      <c r="D969" s="2" t="s">
        <v>151</v>
      </c>
      <c r="E969" s="2" t="s">
        <v>188</v>
      </c>
      <c r="F969" s="2" t="s">
        <v>253</v>
      </c>
      <c r="G969" s="2" t="s">
        <v>235</v>
      </c>
      <c r="I969">
        <f>HEX2DEC(_0811_173439[[#This Row],[580C]])*B$4/B$5+B$6</f>
        <v>800</v>
      </c>
      <c r="J969">
        <f>HEX2DEC(_0811_173439[[#This Row],[4402]])*C$4/C$5+C$6</f>
        <v>36</v>
      </c>
      <c r="K969">
        <f>HEX2DEC(_0811_173439[[#This Row],[580F]])*D$4/D$5+D$6</f>
        <v>30</v>
      </c>
      <c r="L969">
        <f>ROUND(HEX2DEC(_0811_173439[[#This Row],[58F0]])*E$4/E$5+E$6,0)</f>
        <v>71</v>
      </c>
      <c r="M969">
        <f>ROUND(HEX2DEC(_0811_173439[[#This Row],[5805]])*F$4/F$5+F$6,0)</f>
        <v>43</v>
      </c>
      <c r="N969">
        <f>ROUND(HEX2DEC(_0811_173439[[#This Row],[58DD]])*G$4/G$5+G$6,2)</f>
        <v>-0.03</v>
      </c>
      <c r="P969">
        <v>800</v>
      </c>
      <c r="Q969">
        <v>36</v>
      </c>
      <c r="R969">
        <v>30</v>
      </c>
      <c r="S969">
        <v>71</v>
      </c>
      <c r="T969">
        <v>43</v>
      </c>
      <c r="U969">
        <v>-0.03</v>
      </c>
      <c r="W969">
        <f>DataLog_T717420_Aug11_4_59_37pm[[#This Row],[RPM '[1/MIN']]]-Table3[[#This Row],[580C]]</f>
        <v>0</v>
      </c>
      <c r="X969">
        <f>DataLog_T717420_Aug11_4_59_37pm[[#This Row],[OIL TEMP '[Â°C']]]-Table3[[#This Row],[4402]]</f>
        <v>0</v>
      </c>
      <c r="Y969">
        <f>DataLog_T717420_Aug11_4_59_37pm[[#This Row],[INTAKE TEMP '[Â°C']]]-Table3[[#This Row],[580F]]</f>
        <v>0</v>
      </c>
      <c r="Z969">
        <f>DataLog_T717420_Aug11_4_59_37pm[[#This Row],[HPFP PRES. '[BAR']]]-Table3[[#This Row],[58F0]]</f>
        <v>0</v>
      </c>
      <c r="AA969">
        <f>DataLog_T717420_Aug11_4_59_37pm[[#This Row],[COOLANT TEMP '[Â°C']]]-Table3[[#This Row],[5805]]</f>
        <v>0</v>
      </c>
      <c r="AB969">
        <f>DataLog_T717420_Aug11_4_59_37pm[[#This Row],[BOOST '[BAR']]]-Table3[[#This Row],[58DD]]</f>
        <v>0</v>
      </c>
    </row>
    <row r="970" spans="2:28" x14ac:dyDescent="0.25">
      <c r="B970" s="2" t="s">
        <v>183</v>
      </c>
      <c r="C970" s="2" t="s">
        <v>30</v>
      </c>
      <c r="D970" s="2" t="s">
        <v>151</v>
      </c>
      <c r="E970" s="2" t="s">
        <v>126</v>
      </c>
      <c r="F970" s="2" t="s">
        <v>253</v>
      </c>
      <c r="G970" s="2" t="s">
        <v>90</v>
      </c>
      <c r="I970">
        <f>HEX2DEC(_0811_173439[[#This Row],[580C]])*B$4/B$5+B$6</f>
        <v>800</v>
      </c>
      <c r="J970">
        <f>HEX2DEC(_0811_173439[[#This Row],[4402]])*C$4/C$5+C$6</f>
        <v>36</v>
      </c>
      <c r="K970">
        <f>HEX2DEC(_0811_173439[[#This Row],[580F]])*D$4/D$5+D$6</f>
        <v>30</v>
      </c>
      <c r="L970">
        <f>ROUND(HEX2DEC(_0811_173439[[#This Row],[58F0]])*E$4/E$5+E$6,0)</f>
        <v>71</v>
      </c>
      <c r="M970">
        <f>ROUND(HEX2DEC(_0811_173439[[#This Row],[5805]])*F$4/F$5+F$6,0)</f>
        <v>43</v>
      </c>
      <c r="N970">
        <f>ROUND(HEX2DEC(_0811_173439[[#This Row],[58DD]])*G$4/G$5+G$6,2)</f>
        <v>-0.03</v>
      </c>
      <c r="P970">
        <v>800</v>
      </c>
      <c r="Q970">
        <v>36</v>
      </c>
      <c r="R970">
        <v>30</v>
      </c>
      <c r="S970">
        <v>71</v>
      </c>
      <c r="T970">
        <v>43</v>
      </c>
      <c r="U970">
        <v>-0.03</v>
      </c>
      <c r="W970">
        <f>DataLog_T717420_Aug11_4_59_37pm[[#This Row],[RPM '[1/MIN']]]-Table3[[#This Row],[580C]]</f>
        <v>0</v>
      </c>
      <c r="X970">
        <f>DataLog_T717420_Aug11_4_59_37pm[[#This Row],[OIL TEMP '[Â°C']]]-Table3[[#This Row],[4402]]</f>
        <v>0</v>
      </c>
      <c r="Y970">
        <f>DataLog_T717420_Aug11_4_59_37pm[[#This Row],[INTAKE TEMP '[Â°C']]]-Table3[[#This Row],[580F]]</f>
        <v>0</v>
      </c>
      <c r="Z970">
        <f>DataLog_T717420_Aug11_4_59_37pm[[#This Row],[HPFP PRES. '[BAR']]]-Table3[[#This Row],[58F0]]</f>
        <v>0</v>
      </c>
      <c r="AA970">
        <f>DataLog_T717420_Aug11_4_59_37pm[[#This Row],[COOLANT TEMP '[Â°C']]]-Table3[[#This Row],[5805]]</f>
        <v>0</v>
      </c>
      <c r="AB970">
        <f>DataLog_T717420_Aug11_4_59_37pm[[#This Row],[BOOST '[BAR']]]-Table3[[#This Row],[58DD]]</f>
        <v>0</v>
      </c>
    </row>
    <row r="971" spans="2:28" x14ac:dyDescent="0.25">
      <c r="B971" s="2" t="s">
        <v>183</v>
      </c>
      <c r="C971" s="2" t="s">
        <v>30</v>
      </c>
      <c r="D971" s="2" t="s">
        <v>151</v>
      </c>
      <c r="E971" s="2" t="s">
        <v>207</v>
      </c>
      <c r="F971" s="2" t="s">
        <v>253</v>
      </c>
      <c r="G971" s="2" t="s">
        <v>235</v>
      </c>
      <c r="I971">
        <f>HEX2DEC(_0811_173439[[#This Row],[580C]])*B$4/B$5+B$6</f>
        <v>800</v>
      </c>
      <c r="J971">
        <f>HEX2DEC(_0811_173439[[#This Row],[4402]])*C$4/C$5+C$6</f>
        <v>36</v>
      </c>
      <c r="K971">
        <f>HEX2DEC(_0811_173439[[#This Row],[580F]])*D$4/D$5+D$6</f>
        <v>30</v>
      </c>
      <c r="L971">
        <f>ROUND(HEX2DEC(_0811_173439[[#This Row],[58F0]])*E$4/E$5+E$6,0)</f>
        <v>70</v>
      </c>
      <c r="M971">
        <f>ROUND(HEX2DEC(_0811_173439[[#This Row],[5805]])*F$4/F$5+F$6,0)</f>
        <v>43</v>
      </c>
      <c r="N971">
        <f>ROUND(HEX2DEC(_0811_173439[[#This Row],[58DD]])*G$4/G$5+G$6,2)</f>
        <v>-0.03</v>
      </c>
      <c r="P971">
        <v>800</v>
      </c>
      <c r="Q971">
        <v>36</v>
      </c>
      <c r="R971">
        <v>30</v>
      </c>
      <c r="S971">
        <v>70</v>
      </c>
      <c r="T971">
        <v>43</v>
      </c>
      <c r="U971">
        <v>-0.03</v>
      </c>
      <c r="W971">
        <f>DataLog_T717420_Aug11_4_59_37pm[[#This Row],[RPM '[1/MIN']]]-Table3[[#This Row],[580C]]</f>
        <v>0</v>
      </c>
      <c r="X971">
        <f>DataLog_T717420_Aug11_4_59_37pm[[#This Row],[OIL TEMP '[Â°C']]]-Table3[[#This Row],[4402]]</f>
        <v>0</v>
      </c>
      <c r="Y971">
        <f>DataLog_T717420_Aug11_4_59_37pm[[#This Row],[INTAKE TEMP '[Â°C']]]-Table3[[#This Row],[580F]]</f>
        <v>0</v>
      </c>
      <c r="Z971">
        <f>DataLog_T717420_Aug11_4_59_37pm[[#This Row],[HPFP PRES. '[BAR']]]-Table3[[#This Row],[58F0]]</f>
        <v>0</v>
      </c>
      <c r="AA971">
        <f>DataLog_T717420_Aug11_4_59_37pm[[#This Row],[COOLANT TEMP '[Â°C']]]-Table3[[#This Row],[5805]]</f>
        <v>0</v>
      </c>
      <c r="AB971">
        <f>DataLog_T717420_Aug11_4_59_37pm[[#This Row],[BOOST '[BAR']]]-Table3[[#This Row],[58DD]]</f>
        <v>0</v>
      </c>
    </row>
    <row r="972" spans="2:28" x14ac:dyDescent="0.25">
      <c r="B972" s="2" t="s">
        <v>183</v>
      </c>
      <c r="C972" s="2" t="s">
        <v>30</v>
      </c>
      <c r="D972" s="2" t="s">
        <v>151</v>
      </c>
      <c r="E972" s="2" t="s">
        <v>119</v>
      </c>
      <c r="F972" s="2" t="s">
        <v>253</v>
      </c>
      <c r="G972" s="2" t="s">
        <v>71</v>
      </c>
      <c r="I972">
        <f>HEX2DEC(_0811_173439[[#This Row],[580C]])*B$4/B$5+B$6</f>
        <v>800</v>
      </c>
      <c r="J972">
        <f>HEX2DEC(_0811_173439[[#This Row],[4402]])*C$4/C$5+C$6</f>
        <v>36</v>
      </c>
      <c r="K972">
        <f>HEX2DEC(_0811_173439[[#This Row],[580F]])*D$4/D$5+D$6</f>
        <v>30</v>
      </c>
      <c r="L972">
        <f>ROUND(HEX2DEC(_0811_173439[[#This Row],[58F0]])*E$4/E$5+E$6,0)</f>
        <v>71</v>
      </c>
      <c r="M972">
        <f>ROUND(HEX2DEC(_0811_173439[[#This Row],[5805]])*F$4/F$5+F$6,0)</f>
        <v>43</v>
      </c>
      <c r="N972">
        <f>ROUND(HEX2DEC(_0811_173439[[#This Row],[58DD]])*G$4/G$5+G$6,2)</f>
        <v>-0.03</v>
      </c>
      <c r="P972">
        <v>800</v>
      </c>
      <c r="Q972">
        <v>36</v>
      </c>
      <c r="R972">
        <v>30</v>
      </c>
      <c r="S972">
        <v>71</v>
      </c>
      <c r="T972">
        <v>43</v>
      </c>
      <c r="U972">
        <v>-0.03</v>
      </c>
      <c r="W972">
        <f>DataLog_T717420_Aug11_4_59_37pm[[#This Row],[RPM '[1/MIN']]]-Table3[[#This Row],[580C]]</f>
        <v>0</v>
      </c>
      <c r="X972">
        <f>DataLog_T717420_Aug11_4_59_37pm[[#This Row],[OIL TEMP '[Â°C']]]-Table3[[#This Row],[4402]]</f>
        <v>0</v>
      </c>
      <c r="Y972">
        <f>DataLog_T717420_Aug11_4_59_37pm[[#This Row],[INTAKE TEMP '[Â°C']]]-Table3[[#This Row],[580F]]</f>
        <v>0</v>
      </c>
      <c r="Z972">
        <f>DataLog_T717420_Aug11_4_59_37pm[[#This Row],[HPFP PRES. '[BAR']]]-Table3[[#This Row],[58F0]]</f>
        <v>0</v>
      </c>
      <c r="AA972">
        <f>DataLog_T717420_Aug11_4_59_37pm[[#This Row],[COOLANT TEMP '[Â°C']]]-Table3[[#This Row],[5805]]</f>
        <v>0</v>
      </c>
      <c r="AB972">
        <f>DataLog_T717420_Aug11_4_59_37pm[[#This Row],[BOOST '[BAR']]]-Table3[[#This Row],[58DD]]</f>
        <v>0</v>
      </c>
    </row>
    <row r="973" spans="2:28" x14ac:dyDescent="0.25">
      <c r="B973" s="2" t="s">
        <v>183</v>
      </c>
      <c r="C973" s="2" t="s">
        <v>30</v>
      </c>
      <c r="D973" s="2" t="s">
        <v>151</v>
      </c>
      <c r="E973" s="2" t="s">
        <v>193</v>
      </c>
      <c r="F973" s="2" t="s">
        <v>253</v>
      </c>
      <c r="G973" s="2" t="s">
        <v>191</v>
      </c>
      <c r="I973">
        <f>HEX2DEC(_0811_173439[[#This Row],[580C]])*B$4/B$5+B$6</f>
        <v>800</v>
      </c>
      <c r="J973">
        <f>HEX2DEC(_0811_173439[[#This Row],[4402]])*C$4/C$5+C$6</f>
        <v>36</v>
      </c>
      <c r="K973">
        <f>HEX2DEC(_0811_173439[[#This Row],[580F]])*D$4/D$5+D$6</f>
        <v>30</v>
      </c>
      <c r="L973">
        <f>ROUND(HEX2DEC(_0811_173439[[#This Row],[58F0]])*E$4/E$5+E$6,0)</f>
        <v>71</v>
      </c>
      <c r="M973">
        <f>ROUND(HEX2DEC(_0811_173439[[#This Row],[5805]])*F$4/F$5+F$6,0)</f>
        <v>43</v>
      </c>
      <c r="N973">
        <f>ROUND(HEX2DEC(_0811_173439[[#This Row],[58DD]])*G$4/G$5+G$6,2)</f>
        <v>-0.03</v>
      </c>
      <c r="P973">
        <v>800</v>
      </c>
      <c r="Q973">
        <v>36</v>
      </c>
      <c r="R973">
        <v>30</v>
      </c>
      <c r="S973">
        <v>71</v>
      </c>
      <c r="T973">
        <v>43</v>
      </c>
      <c r="U973">
        <v>-0.03</v>
      </c>
      <c r="W973">
        <f>DataLog_T717420_Aug11_4_59_37pm[[#This Row],[RPM '[1/MIN']]]-Table3[[#This Row],[580C]]</f>
        <v>0</v>
      </c>
      <c r="X973">
        <f>DataLog_T717420_Aug11_4_59_37pm[[#This Row],[OIL TEMP '[Â°C']]]-Table3[[#This Row],[4402]]</f>
        <v>0</v>
      </c>
      <c r="Y973">
        <f>DataLog_T717420_Aug11_4_59_37pm[[#This Row],[INTAKE TEMP '[Â°C']]]-Table3[[#This Row],[580F]]</f>
        <v>0</v>
      </c>
      <c r="Z973">
        <f>DataLog_T717420_Aug11_4_59_37pm[[#This Row],[HPFP PRES. '[BAR']]]-Table3[[#This Row],[58F0]]</f>
        <v>0</v>
      </c>
      <c r="AA973">
        <f>DataLog_T717420_Aug11_4_59_37pm[[#This Row],[COOLANT TEMP '[Â°C']]]-Table3[[#This Row],[5805]]</f>
        <v>0</v>
      </c>
      <c r="AB973">
        <f>DataLog_T717420_Aug11_4_59_37pm[[#This Row],[BOOST '[BAR']]]-Table3[[#This Row],[58DD]]</f>
        <v>0</v>
      </c>
    </row>
    <row r="974" spans="2:28" x14ac:dyDescent="0.25">
      <c r="B974" s="2" t="s">
        <v>183</v>
      </c>
      <c r="C974" s="2" t="s">
        <v>30</v>
      </c>
      <c r="D974" s="2" t="s">
        <v>151</v>
      </c>
      <c r="E974" s="2" t="s">
        <v>127</v>
      </c>
      <c r="F974" s="2" t="s">
        <v>253</v>
      </c>
      <c r="G974" s="2" t="s">
        <v>90</v>
      </c>
      <c r="I974">
        <f>HEX2DEC(_0811_173439[[#This Row],[580C]])*B$4/B$5+B$6</f>
        <v>800</v>
      </c>
      <c r="J974">
        <f>HEX2DEC(_0811_173439[[#This Row],[4402]])*C$4/C$5+C$6</f>
        <v>36</v>
      </c>
      <c r="K974">
        <f>HEX2DEC(_0811_173439[[#This Row],[580F]])*D$4/D$5+D$6</f>
        <v>30</v>
      </c>
      <c r="L974">
        <f>ROUND(HEX2DEC(_0811_173439[[#This Row],[58F0]])*E$4/E$5+E$6,0)</f>
        <v>70</v>
      </c>
      <c r="M974">
        <f>ROUND(HEX2DEC(_0811_173439[[#This Row],[5805]])*F$4/F$5+F$6,0)</f>
        <v>43</v>
      </c>
      <c r="N974">
        <f>ROUND(HEX2DEC(_0811_173439[[#This Row],[58DD]])*G$4/G$5+G$6,2)</f>
        <v>-0.03</v>
      </c>
      <c r="P974">
        <v>800</v>
      </c>
      <c r="Q974">
        <v>36</v>
      </c>
      <c r="R974">
        <v>30</v>
      </c>
      <c r="S974">
        <v>70</v>
      </c>
      <c r="T974">
        <v>43</v>
      </c>
      <c r="U974">
        <v>-0.03</v>
      </c>
      <c r="W974">
        <f>DataLog_T717420_Aug11_4_59_37pm[[#This Row],[RPM '[1/MIN']]]-Table3[[#This Row],[580C]]</f>
        <v>0</v>
      </c>
      <c r="X974">
        <f>DataLog_T717420_Aug11_4_59_37pm[[#This Row],[OIL TEMP '[Â°C']]]-Table3[[#This Row],[4402]]</f>
        <v>0</v>
      </c>
      <c r="Y974">
        <f>DataLog_T717420_Aug11_4_59_37pm[[#This Row],[INTAKE TEMP '[Â°C']]]-Table3[[#This Row],[580F]]</f>
        <v>0</v>
      </c>
      <c r="Z974">
        <f>DataLog_T717420_Aug11_4_59_37pm[[#This Row],[HPFP PRES. '[BAR']]]-Table3[[#This Row],[58F0]]</f>
        <v>0</v>
      </c>
      <c r="AA974">
        <f>DataLog_T717420_Aug11_4_59_37pm[[#This Row],[COOLANT TEMP '[Â°C']]]-Table3[[#This Row],[5805]]</f>
        <v>0</v>
      </c>
      <c r="AB974">
        <f>DataLog_T717420_Aug11_4_59_37pm[[#This Row],[BOOST '[BAR']]]-Table3[[#This Row],[58DD]]</f>
        <v>0</v>
      </c>
    </row>
    <row r="975" spans="2:28" x14ac:dyDescent="0.25">
      <c r="B975" s="2" t="s">
        <v>183</v>
      </c>
      <c r="C975" s="2" t="s">
        <v>30</v>
      </c>
      <c r="D975" s="2" t="s">
        <v>151</v>
      </c>
      <c r="E975" s="2" t="s">
        <v>119</v>
      </c>
      <c r="F975" s="2" t="s">
        <v>253</v>
      </c>
      <c r="G975" s="2" t="s">
        <v>90</v>
      </c>
      <c r="I975">
        <f>HEX2DEC(_0811_173439[[#This Row],[580C]])*B$4/B$5+B$6</f>
        <v>800</v>
      </c>
      <c r="J975">
        <f>HEX2DEC(_0811_173439[[#This Row],[4402]])*C$4/C$5+C$6</f>
        <v>36</v>
      </c>
      <c r="K975">
        <f>HEX2DEC(_0811_173439[[#This Row],[580F]])*D$4/D$5+D$6</f>
        <v>30</v>
      </c>
      <c r="L975">
        <f>ROUND(HEX2DEC(_0811_173439[[#This Row],[58F0]])*E$4/E$5+E$6,0)</f>
        <v>71</v>
      </c>
      <c r="M975">
        <f>ROUND(HEX2DEC(_0811_173439[[#This Row],[5805]])*F$4/F$5+F$6,0)</f>
        <v>43</v>
      </c>
      <c r="N975">
        <f>ROUND(HEX2DEC(_0811_173439[[#This Row],[58DD]])*G$4/G$5+G$6,2)</f>
        <v>-0.03</v>
      </c>
      <c r="P975">
        <v>800</v>
      </c>
      <c r="Q975">
        <v>36</v>
      </c>
      <c r="R975">
        <v>30</v>
      </c>
      <c r="S975">
        <v>71</v>
      </c>
      <c r="T975">
        <v>43</v>
      </c>
      <c r="U975">
        <v>-0.03</v>
      </c>
      <c r="W975">
        <f>DataLog_T717420_Aug11_4_59_37pm[[#This Row],[RPM '[1/MIN']]]-Table3[[#This Row],[580C]]</f>
        <v>0</v>
      </c>
      <c r="X975">
        <f>DataLog_T717420_Aug11_4_59_37pm[[#This Row],[OIL TEMP '[Â°C']]]-Table3[[#This Row],[4402]]</f>
        <v>0</v>
      </c>
      <c r="Y975">
        <f>DataLog_T717420_Aug11_4_59_37pm[[#This Row],[INTAKE TEMP '[Â°C']]]-Table3[[#This Row],[580F]]</f>
        <v>0</v>
      </c>
      <c r="Z975">
        <f>DataLog_T717420_Aug11_4_59_37pm[[#This Row],[HPFP PRES. '[BAR']]]-Table3[[#This Row],[58F0]]</f>
        <v>0</v>
      </c>
      <c r="AA975">
        <f>DataLog_T717420_Aug11_4_59_37pm[[#This Row],[COOLANT TEMP '[Â°C']]]-Table3[[#This Row],[5805]]</f>
        <v>0</v>
      </c>
      <c r="AB975">
        <f>DataLog_T717420_Aug11_4_59_37pm[[#This Row],[BOOST '[BAR']]]-Table3[[#This Row],[58DD]]</f>
        <v>0</v>
      </c>
    </row>
    <row r="976" spans="2:28" x14ac:dyDescent="0.25">
      <c r="B976" s="2" t="s">
        <v>183</v>
      </c>
      <c r="C976" s="2" t="s">
        <v>30</v>
      </c>
      <c r="D976" s="2" t="s">
        <v>151</v>
      </c>
      <c r="E976" s="2" t="s">
        <v>139</v>
      </c>
      <c r="F976" s="2" t="s">
        <v>253</v>
      </c>
      <c r="G976" s="2" t="s">
        <v>90</v>
      </c>
      <c r="I976">
        <f>HEX2DEC(_0811_173439[[#This Row],[580C]])*B$4/B$5+B$6</f>
        <v>800</v>
      </c>
      <c r="J976">
        <f>HEX2DEC(_0811_173439[[#This Row],[4402]])*C$4/C$5+C$6</f>
        <v>36</v>
      </c>
      <c r="K976">
        <f>HEX2DEC(_0811_173439[[#This Row],[580F]])*D$4/D$5+D$6</f>
        <v>30</v>
      </c>
      <c r="L976">
        <f>ROUND(HEX2DEC(_0811_173439[[#This Row],[58F0]])*E$4/E$5+E$6,0)</f>
        <v>71</v>
      </c>
      <c r="M976">
        <f>ROUND(HEX2DEC(_0811_173439[[#This Row],[5805]])*F$4/F$5+F$6,0)</f>
        <v>43</v>
      </c>
      <c r="N976">
        <f>ROUND(HEX2DEC(_0811_173439[[#This Row],[58DD]])*G$4/G$5+G$6,2)</f>
        <v>-0.03</v>
      </c>
      <c r="P976">
        <v>800</v>
      </c>
      <c r="Q976">
        <v>36</v>
      </c>
      <c r="R976">
        <v>30</v>
      </c>
      <c r="S976">
        <v>71</v>
      </c>
      <c r="T976">
        <v>43</v>
      </c>
      <c r="U976">
        <v>-0.03</v>
      </c>
      <c r="W976">
        <f>DataLog_T717420_Aug11_4_59_37pm[[#This Row],[RPM '[1/MIN']]]-Table3[[#This Row],[580C]]</f>
        <v>0</v>
      </c>
      <c r="X976">
        <f>DataLog_T717420_Aug11_4_59_37pm[[#This Row],[OIL TEMP '[Â°C']]]-Table3[[#This Row],[4402]]</f>
        <v>0</v>
      </c>
      <c r="Y976">
        <f>DataLog_T717420_Aug11_4_59_37pm[[#This Row],[INTAKE TEMP '[Â°C']]]-Table3[[#This Row],[580F]]</f>
        <v>0</v>
      </c>
      <c r="Z976">
        <f>DataLog_T717420_Aug11_4_59_37pm[[#This Row],[HPFP PRES. '[BAR']]]-Table3[[#This Row],[58F0]]</f>
        <v>0</v>
      </c>
      <c r="AA976">
        <f>DataLog_T717420_Aug11_4_59_37pm[[#This Row],[COOLANT TEMP '[Â°C']]]-Table3[[#This Row],[5805]]</f>
        <v>0</v>
      </c>
      <c r="AB976">
        <f>DataLog_T717420_Aug11_4_59_37pm[[#This Row],[BOOST '[BAR']]]-Table3[[#This Row],[58DD]]</f>
        <v>0</v>
      </c>
    </row>
    <row r="977" spans="2:28" x14ac:dyDescent="0.25">
      <c r="B977" s="2" t="s">
        <v>183</v>
      </c>
      <c r="C977" s="2" t="s">
        <v>30</v>
      </c>
      <c r="D977" s="2" t="s">
        <v>151</v>
      </c>
      <c r="E977" s="2" t="s">
        <v>93</v>
      </c>
      <c r="F977" s="2" t="s">
        <v>253</v>
      </c>
      <c r="G977" s="2" t="s">
        <v>71</v>
      </c>
      <c r="I977">
        <f>HEX2DEC(_0811_173439[[#This Row],[580C]])*B$4/B$5+B$6</f>
        <v>800</v>
      </c>
      <c r="J977">
        <f>HEX2DEC(_0811_173439[[#This Row],[4402]])*C$4/C$5+C$6</f>
        <v>36</v>
      </c>
      <c r="K977">
        <f>HEX2DEC(_0811_173439[[#This Row],[580F]])*D$4/D$5+D$6</f>
        <v>30</v>
      </c>
      <c r="L977">
        <f>ROUND(HEX2DEC(_0811_173439[[#This Row],[58F0]])*E$4/E$5+E$6,0)</f>
        <v>70</v>
      </c>
      <c r="M977">
        <f>ROUND(HEX2DEC(_0811_173439[[#This Row],[5805]])*F$4/F$5+F$6,0)</f>
        <v>43</v>
      </c>
      <c r="N977">
        <f>ROUND(HEX2DEC(_0811_173439[[#This Row],[58DD]])*G$4/G$5+G$6,2)</f>
        <v>-0.03</v>
      </c>
      <c r="P977">
        <v>800</v>
      </c>
      <c r="Q977">
        <v>36</v>
      </c>
      <c r="R977">
        <v>30</v>
      </c>
      <c r="S977">
        <v>70</v>
      </c>
      <c r="T977">
        <v>43</v>
      </c>
      <c r="U977">
        <v>-0.03</v>
      </c>
      <c r="W977">
        <f>DataLog_T717420_Aug11_4_59_37pm[[#This Row],[RPM '[1/MIN']]]-Table3[[#This Row],[580C]]</f>
        <v>0</v>
      </c>
      <c r="X977">
        <f>DataLog_T717420_Aug11_4_59_37pm[[#This Row],[OIL TEMP '[Â°C']]]-Table3[[#This Row],[4402]]</f>
        <v>0</v>
      </c>
      <c r="Y977">
        <f>DataLog_T717420_Aug11_4_59_37pm[[#This Row],[INTAKE TEMP '[Â°C']]]-Table3[[#This Row],[580F]]</f>
        <v>0</v>
      </c>
      <c r="Z977">
        <f>DataLog_T717420_Aug11_4_59_37pm[[#This Row],[HPFP PRES. '[BAR']]]-Table3[[#This Row],[58F0]]</f>
        <v>0</v>
      </c>
      <c r="AA977">
        <f>DataLog_T717420_Aug11_4_59_37pm[[#This Row],[COOLANT TEMP '[Â°C']]]-Table3[[#This Row],[5805]]</f>
        <v>0</v>
      </c>
      <c r="AB977">
        <f>DataLog_T717420_Aug11_4_59_37pm[[#This Row],[BOOST '[BAR']]]-Table3[[#This Row],[58DD]]</f>
        <v>0</v>
      </c>
    </row>
    <row r="978" spans="2:28" x14ac:dyDescent="0.25">
      <c r="B978" s="2" t="s">
        <v>183</v>
      </c>
      <c r="C978" s="2" t="s">
        <v>30</v>
      </c>
      <c r="D978" s="2" t="s">
        <v>151</v>
      </c>
      <c r="E978" s="2" t="s">
        <v>124</v>
      </c>
      <c r="F978" s="2" t="s">
        <v>253</v>
      </c>
      <c r="G978" s="2" t="s">
        <v>96</v>
      </c>
      <c r="I978">
        <f>HEX2DEC(_0811_173439[[#This Row],[580C]])*B$4/B$5+B$6</f>
        <v>800</v>
      </c>
      <c r="J978">
        <f>HEX2DEC(_0811_173439[[#This Row],[4402]])*C$4/C$5+C$6</f>
        <v>36</v>
      </c>
      <c r="K978">
        <f>HEX2DEC(_0811_173439[[#This Row],[580F]])*D$4/D$5+D$6</f>
        <v>30</v>
      </c>
      <c r="L978">
        <f>ROUND(HEX2DEC(_0811_173439[[#This Row],[58F0]])*E$4/E$5+E$6,0)</f>
        <v>71</v>
      </c>
      <c r="M978">
        <f>ROUND(HEX2DEC(_0811_173439[[#This Row],[5805]])*F$4/F$5+F$6,0)</f>
        <v>43</v>
      </c>
      <c r="N978">
        <f>ROUND(HEX2DEC(_0811_173439[[#This Row],[58DD]])*G$4/G$5+G$6,2)</f>
        <v>-0.03</v>
      </c>
      <c r="P978">
        <v>800</v>
      </c>
      <c r="Q978">
        <v>36</v>
      </c>
      <c r="R978">
        <v>30</v>
      </c>
      <c r="S978">
        <v>71</v>
      </c>
      <c r="T978">
        <v>43</v>
      </c>
      <c r="U978">
        <v>-0.03</v>
      </c>
      <c r="W978">
        <f>DataLog_T717420_Aug11_4_59_37pm[[#This Row],[RPM '[1/MIN']]]-Table3[[#This Row],[580C]]</f>
        <v>0</v>
      </c>
      <c r="X978">
        <f>DataLog_T717420_Aug11_4_59_37pm[[#This Row],[OIL TEMP '[Â°C']]]-Table3[[#This Row],[4402]]</f>
        <v>0</v>
      </c>
      <c r="Y978">
        <f>DataLog_T717420_Aug11_4_59_37pm[[#This Row],[INTAKE TEMP '[Â°C']]]-Table3[[#This Row],[580F]]</f>
        <v>0</v>
      </c>
      <c r="Z978">
        <f>DataLog_T717420_Aug11_4_59_37pm[[#This Row],[HPFP PRES. '[BAR']]]-Table3[[#This Row],[58F0]]</f>
        <v>0</v>
      </c>
      <c r="AA978">
        <f>DataLog_T717420_Aug11_4_59_37pm[[#This Row],[COOLANT TEMP '[Â°C']]]-Table3[[#This Row],[5805]]</f>
        <v>0</v>
      </c>
      <c r="AB978">
        <f>DataLog_T717420_Aug11_4_59_37pm[[#This Row],[BOOST '[BAR']]]-Table3[[#This Row],[58DD]]</f>
        <v>0</v>
      </c>
    </row>
    <row r="979" spans="2:28" x14ac:dyDescent="0.25">
      <c r="B979" s="2" t="s">
        <v>183</v>
      </c>
      <c r="C979" s="2" t="s">
        <v>30</v>
      </c>
      <c r="D979" s="2" t="s">
        <v>151</v>
      </c>
      <c r="E979" s="2" t="s">
        <v>170</v>
      </c>
      <c r="F979" s="2" t="s">
        <v>253</v>
      </c>
      <c r="G979" s="2" t="s">
        <v>191</v>
      </c>
      <c r="I979">
        <f>HEX2DEC(_0811_173439[[#This Row],[580C]])*B$4/B$5+B$6</f>
        <v>800</v>
      </c>
      <c r="J979">
        <f>HEX2DEC(_0811_173439[[#This Row],[4402]])*C$4/C$5+C$6</f>
        <v>36</v>
      </c>
      <c r="K979">
        <f>HEX2DEC(_0811_173439[[#This Row],[580F]])*D$4/D$5+D$6</f>
        <v>30</v>
      </c>
      <c r="L979">
        <f>ROUND(HEX2DEC(_0811_173439[[#This Row],[58F0]])*E$4/E$5+E$6,0)</f>
        <v>71</v>
      </c>
      <c r="M979">
        <f>ROUND(HEX2DEC(_0811_173439[[#This Row],[5805]])*F$4/F$5+F$6,0)</f>
        <v>43</v>
      </c>
      <c r="N979">
        <f>ROUND(HEX2DEC(_0811_173439[[#This Row],[58DD]])*G$4/G$5+G$6,2)</f>
        <v>-0.03</v>
      </c>
      <c r="P979">
        <v>800</v>
      </c>
      <c r="Q979">
        <v>36</v>
      </c>
      <c r="R979">
        <v>30</v>
      </c>
      <c r="S979">
        <v>71</v>
      </c>
      <c r="T979">
        <v>43</v>
      </c>
      <c r="U979">
        <v>-0.03</v>
      </c>
      <c r="W979">
        <f>DataLog_T717420_Aug11_4_59_37pm[[#This Row],[RPM '[1/MIN']]]-Table3[[#This Row],[580C]]</f>
        <v>0</v>
      </c>
      <c r="X979">
        <f>DataLog_T717420_Aug11_4_59_37pm[[#This Row],[OIL TEMP '[Â°C']]]-Table3[[#This Row],[4402]]</f>
        <v>0</v>
      </c>
      <c r="Y979">
        <f>DataLog_T717420_Aug11_4_59_37pm[[#This Row],[INTAKE TEMP '[Â°C']]]-Table3[[#This Row],[580F]]</f>
        <v>0</v>
      </c>
      <c r="Z979">
        <f>DataLog_T717420_Aug11_4_59_37pm[[#This Row],[HPFP PRES. '[BAR']]]-Table3[[#This Row],[58F0]]</f>
        <v>0</v>
      </c>
      <c r="AA979">
        <f>DataLog_T717420_Aug11_4_59_37pm[[#This Row],[COOLANT TEMP '[Â°C']]]-Table3[[#This Row],[5805]]</f>
        <v>0</v>
      </c>
      <c r="AB979">
        <f>DataLog_T717420_Aug11_4_59_37pm[[#This Row],[BOOST '[BAR']]]-Table3[[#This Row],[58DD]]</f>
        <v>0</v>
      </c>
    </row>
    <row r="980" spans="2:28" x14ac:dyDescent="0.25">
      <c r="B980" s="2" t="s">
        <v>183</v>
      </c>
      <c r="C980" s="2" t="s">
        <v>30</v>
      </c>
      <c r="D980" s="2" t="s">
        <v>151</v>
      </c>
      <c r="E980" s="2" t="s">
        <v>93</v>
      </c>
      <c r="F980" s="2" t="s">
        <v>253</v>
      </c>
      <c r="G980" s="2" t="s">
        <v>53</v>
      </c>
      <c r="I980">
        <f>HEX2DEC(_0811_173439[[#This Row],[580C]])*B$4/B$5+B$6</f>
        <v>800</v>
      </c>
      <c r="J980">
        <f>HEX2DEC(_0811_173439[[#This Row],[4402]])*C$4/C$5+C$6</f>
        <v>36</v>
      </c>
      <c r="K980">
        <f>HEX2DEC(_0811_173439[[#This Row],[580F]])*D$4/D$5+D$6</f>
        <v>30</v>
      </c>
      <c r="L980">
        <f>ROUND(HEX2DEC(_0811_173439[[#This Row],[58F0]])*E$4/E$5+E$6,0)</f>
        <v>70</v>
      </c>
      <c r="M980">
        <f>ROUND(HEX2DEC(_0811_173439[[#This Row],[5805]])*F$4/F$5+F$6,0)</f>
        <v>43</v>
      </c>
      <c r="N980">
        <f>ROUND(HEX2DEC(_0811_173439[[#This Row],[58DD]])*G$4/G$5+G$6,2)</f>
        <v>-0.03</v>
      </c>
      <c r="P980">
        <v>800</v>
      </c>
      <c r="Q980">
        <v>36</v>
      </c>
      <c r="R980">
        <v>30</v>
      </c>
      <c r="S980">
        <v>70</v>
      </c>
      <c r="T980">
        <v>43</v>
      </c>
      <c r="U980">
        <v>-0.03</v>
      </c>
      <c r="W980">
        <f>DataLog_T717420_Aug11_4_59_37pm[[#This Row],[RPM '[1/MIN']]]-Table3[[#This Row],[580C]]</f>
        <v>0</v>
      </c>
      <c r="X980">
        <f>DataLog_T717420_Aug11_4_59_37pm[[#This Row],[OIL TEMP '[Â°C']]]-Table3[[#This Row],[4402]]</f>
        <v>0</v>
      </c>
      <c r="Y980">
        <f>DataLog_T717420_Aug11_4_59_37pm[[#This Row],[INTAKE TEMP '[Â°C']]]-Table3[[#This Row],[580F]]</f>
        <v>0</v>
      </c>
      <c r="Z980">
        <f>DataLog_T717420_Aug11_4_59_37pm[[#This Row],[HPFP PRES. '[BAR']]]-Table3[[#This Row],[58F0]]</f>
        <v>0</v>
      </c>
      <c r="AA980">
        <f>DataLog_T717420_Aug11_4_59_37pm[[#This Row],[COOLANT TEMP '[Â°C']]]-Table3[[#This Row],[5805]]</f>
        <v>0</v>
      </c>
      <c r="AB980">
        <f>DataLog_T717420_Aug11_4_59_37pm[[#This Row],[BOOST '[BAR']]]-Table3[[#This Row],[58DD]]</f>
        <v>0</v>
      </c>
    </row>
    <row r="981" spans="2:28" x14ac:dyDescent="0.25">
      <c r="B981" s="2" t="s">
        <v>183</v>
      </c>
      <c r="C981" s="2" t="s">
        <v>30</v>
      </c>
      <c r="D981" s="2" t="s">
        <v>151</v>
      </c>
      <c r="E981" s="2" t="s">
        <v>170</v>
      </c>
      <c r="F981" s="2" t="s">
        <v>253</v>
      </c>
      <c r="G981" s="2" t="s">
        <v>216</v>
      </c>
      <c r="I981">
        <f>HEX2DEC(_0811_173439[[#This Row],[580C]])*B$4/B$5+B$6</f>
        <v>800</v>
      </c>
      <c r="J981">
        <f>HEX2DEC(_0811_173439[[#This Row],[4402]])*C$4/C$5+C$6</f>
        <v>36</v>
      </c>
      <c r="K981">
        <f>HEX2DEC(_0811_173439[[#This Row],[580F]])*D$4/D$5+D$6</f>
        <v>30</v>
      </c>
      <c r="L981">
        <f>ROUND(HEX2DEC(_0811_173439[[#This Row],[58F0]])*E$4/E$5+E$6,0)</f>
        <v>71</v>
      </c>
      <c r="M981">
        <f>ROUND(HEX2DEC(_0811_173439[[#This Row],[5805]])*F$4/F$5+F$6,0)</f>
        <v>43</v>
      </c>
      <c r="N981">
        <f>ROUND(HEX2DEC(_0811_173439[[#This Row],[58DD]])*G$4/G$5+G$6,2)</f>
        <v>-0.03</v>
      </c>
      <c r="P981">
        <v>800</v>
      </c>
      <c r="Q981">
        <v>36</v>
      </c>
      <c r="R981">
        <v>30</v>
      </c>
      <c r="S981">
        <v>71</v>
      </c>
      <c r="T981">
        <v>43</v>
      </c>
      <c r="U981">
        <v>-0.03</v>
      </c>
      <c r="W981">
        <f>DataLog_T717420_Aug11_4_59_37pm[[#This Row],[RPM '[1/MIN']]]-Table3[[#This Row],[580C]]</f>
        <v>0</v>
      </c>
      <c r="X981">
        <f>DataLog_T717420_Aug11_4_59_37pm[[#This Row],[OIL TEMP '[Â°C']]]-Table3[[#This Row],[4402]]</f>
        <v>0</v>
      </c>
      <c r="Y981">
        <f>DataLog_T717420_Aug11_4_59_37pm[[#This Row],[INTAKE TEMP '[Â°C']]]-Table3[[#This Row],[580F]]</f>
        <v>0</v>
      </c>
      <c r="Z981">
        <f>DataLog_T717420_Aug11_4_59_37pm[[#This Row],[HPFP PRES. '[BAR']]]-Table3[[#This Row],[58F0]]</f>
        <v>0</v>
      </c>
      <c r="AA981">
        <f>DataLog_T717420_Aug11_4_59_37pm[[#This Row],[COOLANT TEMP '[Â°C']]]-Table3[[#This Row],[5805]]</f>
        <v>0</v>
      </c>
      <c r="AB981">
        <f>DataLog_T717420_Aug11_4_59_37pm[[#This Row],[BOOST '[BAR']]]-Table3[[#This Row],[58DD]]</f>
        <v>0</v>
      </c>
    </row>
    <row r="982" spans="2:28" x14ac:dyDescent="0.25">
      <c r="B982" s="2" t="s">
        <v>183</v>
      </c>
      <c r="C982" s="2" t="s">
        <v>30</v>
      </c>
      <c r="D982" s="2" t="s">
        <v>151</v>
      </c>
      <c r="E982" s="2" t="s">
        <v>162</v>
      </c>
      <c r="F982" s="2" t="s">
        <v>253</v>
      </c>
      <c r="G982" s="2" t="s">
        <v>190</v>
      </c>
      <c r="I982">
        <f>HEX2DEC(_0811_173439[[#This Row],[580C]])*B$4/B$5+B$6</f>
        <v>800</v>
      </c>
      <c r="J982">
        <f>HEX2DEC(_0811_173439[[#This Row],[4402]])*C$4/C$5+C$6</f>
        <v>36</v>
      </c>
      <c r="K982">
        <f>HEX2DEC(_0811_173439[[#This Row],[580F]])*D$4/D$5+D$6</f>
        <v>30</v>
      </c>
      <c r="L982">
        <f>ROUND(HEX2DEC(_0811_173439[[#This Row],[58F0]])*E$4/E$5+E$6,0)</f>
        <v>71</v>
      </c>
      <c r="M982">
        <f>ROUND(HEX2DEC(_0811_173439[[#This Row],[5805]])*F$4/F$5+F$6,0)</f>
        <v>43</v>
      </c>
      <c r="N982">
        <f>ROUND(HEX2DEC(_0811_173439[[#This Row],[58DD]])*G$4/G$5+G$6,2)</f>
        <v>-0.03</v>
      </c>
      <c r="P982">
        <v>800</v>
      </c>
      <c r="Q982">
        <v>36</v>
      </c>
      <c r="R982">
        <v>30</v>
      </c>
      <c r="S982">
        <v>71</v>
      </c>
      <c r="T982">
        <v>43</v>
      </c>
      <c r="U982">
        <v>-0.03</v>
      </c>
      <c r="W982">
        <f>DataLog_T717420_Aug11_4_59_37pm[[#This Row],[RPM '[1/MIN']]]-Table3[[#This Row],[580C]]</f>
        <v>0</v>
      </c>
      <c r="X982">
        <f>DataLog_T717420_Aug11_4_59_37pm[[#This Row],[OIL TEMP '[Â°C']]]-Table3[[#This Row],[4402]]</f>
        <v>0</v>
      </c>
      <c r="Y982">
        <f>DataLog_T717420_Aug11_4_59_37pm[[#This Row],[INTAKE TEMP '[Â°C']]]-Table3[[#This Row],[580F]]</f>
        <v>0</v>
      </c>
      <c r="Z982">
        <f>DataLog_T717420_Aug11_4_59_37pm[[#This Row],[HPFP PRES. '[BAR']]]-Table3[[#This Row],[58F0]]</f>
        <v>0</v>
      </c>
      <c r="AA982">
        <f>DataLog_T717420_Aug11_4_59_37pm[[#This Row],[COOLANT TEMP '[Â°C']]]-Table3[[#This Row],[5805]]</f>
        <v>0</v>
      </c>
      <c r="AB982">
        <f>DataLog_T717420_Aug11_4_59_37pm[[#This Row],[BOOST '[BAR']]]-Table3[[#This Row],[58DD]]</f>
        <v>0</v>
      </c>
    </row>
    <row r="983" spans="2:28" x14ac:dyDescent="0.25">
      <c r="B983" s="2" t="s">
        <v>183</v>
      </c>
      <c r="C983" s="2" t="s">
        <v>30</v>
      </c>
      <c r="D983" s="2" t="s">
        <v>151</v>
      </c>
      <c r="E983" s="2" t="s">
        <v>93</v>
      </c>
      <c r="F983" s="2" t="s">
        <v>253</v>
      </c>
      <c r="G983" s="2" t="s">
        <v>216</v>
      </c>
      <c r="I983">
        <f>HEX2DEC(_0811_173439[[#This Row],[580C]])*B$4/B$5+B$6</f>
        <v>800</v>
      </c>
      <c r="J983">
        <f>HEX2DEC(_0811_173439[[#This Row],[4402]])*C$4/C$5+C$6</f>
        <v>36</v>
      </c>
      <c r="K983">
        <f>HEX2DEC(_0811_173439[[#This Row],[580F]])*D$4/D$5+D$6</f>
        <v>30</v>
      </c>
      <c r="L983">
        <f>ROUND(HEX2DEC(_0811_173439[[#This Row],[58F0]])*E$4/E$5+E$6,0)</f>
        <v>70</v>
      </c>
      <c r="M983">
        <f>ROUND(HEX2DEC(_0811_173439[[#This Row],[5805]])*F$4/F$5+F$6,0)</f>
        <v>43</v>
      </c>
      <c r="N983">
        <f>ROUND(HEX2DEC(_0811_173439[[#This Row],[58DD]])*G$4/G$5+G$6,2)</f>
        <v>-0.03</v>
      </c>
      <c r="P983">
        <v>800</v>
      </c>
      <c r="Q983">
        <v>36</v>
      </c>
      <c r="R983">
        <v>30</v>
      </c>
      <c r="S983">
        <v>70</v>
      </c>
      <c r="T983">
        <v>43</v>
      </c>
      <c r="U983">
        <v>-0.03</v>
      </c>
      <c r="W983">
        <f>DataLog_T717420_Aug11_4_59_37pm[[#This Row],[RPM '[1/MIN']]]-Table3[[#This Row],[580C]]</f>
        <v>0</v>
      </c>
      <c r="X983">
        <f>DataLog_T717420_Aug11_4_59_37pm[[#This Row],[OIL TEMP '[Â°C']]]-Table3[[#This Row],[4402]]</f>
        <v>0</v>
      </c>
      <c r="Y983">
        <f>DataLog_T717420_Aug11_4_59_37pm[[#This Row],[INTAKE TEMP '[Â°C']]]-Table3[[#This Row],[580F]]</f>
        <v>0</v>
      </c>
      <c r="Z983">
        <f>DataLog_T717420_Aug11_4_59_37pm[[#This Row],[HPFP PRES. '[BAR']]]-Table3[[#This Row],[58F0]]</f>
        <v>0</v>
      </c>
      <c r="AA983">
        <f>DataLog_T717420_Aug11_4_59_37pm[[#This Row],[COOLANT TEMP '[Â°C']]]-Table3[[#This Row],[5805]]</f>
        <v>0</v>
      </c>
      <c r="AB983">
        <f>DataLog_T717420_Aug11_4_59_37pm[[#This Row],[BOOST '[BAR']]]-Table3[[#This Row],[58DD]]</f>
        <v>0</v>
      </c>
    </row>
    <row r="984" spans="2:28" x14ac:dyDescent="0.25">
      <c r="B984" s="2" t="s">
        <v>183</v>
      </c>
      <c r="C984" s="2" t="s">
        <v>30</v>
      </c>
      <c r="D984" s="2" t="s">
        <v>151</v>
      </c>
      <c r="E984" s="2" t="s">
        <v>122</v>
      </c>
      <c r="F984" s="2" t="s">
        <v>253</v>
      </c>
      <c r="G984" s="2" t="s">
        <v>71</v>
      </c>
      <c r="I984">
        <f>HEX2DEC(_0811_173439[[#This Row],[580C]])*B$4/B$5+B$6</f>
        <v>800</v>
      </c>
      <c r="J984">
        <f>HEX2DEC(_0811_173439[[#This Row],[4402]])*C$4/C$5+C$6</f>
        <v>36</v>
      </c>
      <c r="K984">
        <f>HEX2DEC(_0811_173439[[#This Row],[580F]])*D$4/D$5+D$6</f>
        <v>30</v>
      </c>
      <c r="L984">
        <f>ROUND(HEX2DEC(_0811_173439[[#This Row],[58F0]])*E$4/E$5+E$6,0)</f>
        <v>71</v>
      </c>
      <c r="M984">
        <f>ROUND(HEX2DEC(_0811_173439[[#This Row],[5805]])*F$4/F$5+F$6,0)</f>
        <v>43</v>
      </c>
      <c r="N984">
        <f>ROUND(HEX2DEC(_0811_173439[[#This Row],[58DD]])*G$4/G$5+G$6,2)</f>
        <v>-0.03</v>
      </c>
      <c r="P984">
        <v>800</v>
      </c>
      <c r="Q984">
        <v>36</v>
      </c>
      <c r="R984">
        <v>30</v>
      </c>
      <c r="S984">
        <v>71</v>
      </c>
      <c r="T984">
        <v>43</v>
      </c>
      <c r="U984">
        <v>-0.03</v>
      </c>
      <c r="W984">
        <f>DataLog_T717420_Aug11_4_59_37pm[[#This Row],[RPM '[1/MIN']]]-Table3[[#This Row],[580C]]</f>
        <v>0</v>
      </c>
      <c r="X984">
        <f>DataLog_T717420_Aug11_4_59_37pm[[#This Row],[OIL TEMP '[Â°C']]]-Table3[[#This Row],[4402]]</f>
        <v>0</v>
      </c>
      <c r="Y984">
        <f>DataLog_T717420_Aug11_4_59_37pm[[#This Row],[INTAKE TEMP '[Â°C']]]-Table3[[#This Row],[580F]]</f>
        <v>0</v>
      </c>
      <c r="Z984">
        <f>DataLog_T717420_Aug11_4_59_37pm[[#This Row],[HPFP PRES. '[BAR']]]-Table3[[#This Row],[58F0]]</f>
        <v>0</v>
      </c>
      <c r="AA984">
        <f>DataLog_T717420_Aug11_4_59_37pm[[#This Row],[COOLANT TEMP '[Â°C']]]-Table3[[#This Row],[5805]]</f>
        <v>0</v>
      </c>
      <c r="AB984">
        <f>DataLog_T717420_Aug11_4_59_37pm[[#This Row],[BOOST '[BAR']]]-Table3[[#This Row],[58DD]]</f>
        <v>0</v>
      </c>
    </row>
    <row r="985" spans="2:28" x14ac:dyDescent="0.25">
      <c r="B985" s="2" t="s">
        <v>189</v>
      </c>
      <c r="C985" s="2" t="s">
        <v>30</v>
      </c>
      <c r="D985" s="2" t="s">
        <v>151</v>
      </c>
      <c r="E985" s="2" t="s">
        <v>118</v>
      </c>
      <c r="F985" s="2" t="s">
        <v>253</v>
      </c>
      <c r="G985" s="2" t="s">
        <v>191</v>
      </c>
      <c r="I985">
        <f>HEX2DEC(_0811_173439[[#This Row],[580C]])*B$4/B$5+B$6</f>
        <v>760</v>
      </c>
      <c r="J985">
        <f>HEX2DEC(_0811_173439[[#This Row],[4402]])*C$4/C$5+C$6</f>
        <v>36</v>
      </c>
      <c r="K985">
        <f>HEX2DEC(_0811_173439[[#This Row],[580F]])*D$4/D$5+D$6</f>
        <v>30</v>
      </c>
      <c r="L985">
        <f>ROUND(HEX2DEC(_0811_173439[[#This Row],[58F0]])*E$4/E$5+E$6,0)</f>
        <v>70</v>
      </c>
      <c r="M985">
        <f>ROUND(HEX2DEC(_0811_173439[[#This Row],[5805]])*F$4/F$5+F$6,0)</f>
        <v>43</v>
      </c>
      <c r="N985">
        <f>ROUND(HEX2DEC(_0811_173439[[#This Row],[58DD]])*G$4/G$5+G$6,2)</f>
        <v>-0.03</v>
      </c>
      <c r="P985">
        <v>760</v>
      </c>
      <c r="Q985">
        <v>36</v>
      </c>
      <c r="R985">
        <v>30</v>
      </c>
      <c r="S985">
        <v>70</v>
      </c>
      <c r="T985">
        <v>43</v>
      </c>
      <c r="U985">
        <v>-0.03</v>
      </c>
      <c r="W985">
        <f>DataLog_T717420_Aug11_4_59_37pm[[#This Row],[RPM '[1/MIN']]]-Table3[[#This Row],[580C]]</f>
        <v>0</v>
      </c>
      <c r="X985">
        <f>DataLog_T717420_Aug11_4_59_37pm[[#This Row],[OIL TEMP '[Â°C']]]-Table3[[#This Row],[4402]]</f>
        <v>0</v>
      </c>
      <c r="Y985">
        <f>DataLog_T717420_Aug11_4_59_37pm[[#This Row],[INTAKE TEMP '[Â°C']]]-Table3[[#This Row],[580F]]</f>
        <v>0</v>
      </c>
      <c r="Z985">
        <f>DataLog_T717420_Aug11_4_59_37pm[[#This Row],[HPFP PRES. '[BAR']]]-Table3[[#This Row],[58F0]]</f>
        <v>0</v>
      </c>
      <c r="AA985">
        <f>DataLog_T717420_Aug11_4_59_37pm[[#This Row],[COOLANT TEMP '[Â°C']]]-Table3[[#This Row],[5805]]</f>
        <v>0</v>
      </c>
      <c r="AB985">
        <f>DataLog_T717420_Aug11_4_59_37pm[[#This Row],[BOOST '[BAR']]]-Table3[[#This Row],[58DD]]</f>
        <v>0</v>
      </c>
    </row>
    <row r="986" spans="2:28" x14ac:dyDescent="0.25">
      <c r="B986" s="2" t="s">
        <v>189</v>
      </c>
      <c r="C986" s="2" t="s">
        <v>30</v>
      </c>
      <c r="D986" s="2" t="s">
        <v>151</v>
      </c>
      <c r="E986" s="2" t="s">
        <v>93</v>
      </c>
      <c r="F986" s="2" t="s">
        <v>253</v>
      </c>
      <c r="G986" s="2" t="s">
        <v>191</v>
      </c>
      <c r="I986">
        <f>HEX2DEC(_0811_173439[[#This Row],[580C]])*B$4/B$5+B$6</f>
        <v>760</v>
      </c>
      <c r="J986">
        <f>HEX2DEC(_0811_173439[[#This Row],[4402]])*C$4/C$5+C$6</f>
        <v>36</v>
      </c>
      <c r="K986">
        <f>HEX2DEC(_0811_173439[[#This Row],[580F]])*D$4/D$5+D$6</f>
        <v>30</v>
      </c>
      <c r="L986">
        <f>ROUND(HEX2DEC(_0811_173439[[#This Row],[58F0]])*E$4/E$5+E$6,0)</f>
        <v>70</v>
      </c>
      <c r="M986">
        <f>ROUND(HEX2DEC(_0811_173439[[#This Row],[5805]])*F$4/F$5+F$6,0)</f>
        <v>43</v>
      </c>
      <c r="N986">
        <f>ROUND(HEX2DEC(_0811_173439[[#This Row],[58DD]])*G$4/G$5+G$6,2)</f>
        <v>-0.03</v>
      </c>
      <c r="P986">
        <v>760</v>
      </c>
      <c r="Q986">
        <v>36</v>
      </c>
      <c r="R986">
        <v>30</v>
      </c>
      <c r="S986">
        <v>70</v>
      </c>
      <c r="T986">
        <v>43</v>
      </c>
      <c r="U986">
        <v>-0.03</v>
      </c>
      <c r="W986">
        <f>DataLog_T717420_Aug11_4_59_37pm[[#This Row],[RPM '[1/MIN']]]-Table3[[#This Row],[580C]]</f>
        <v>0</v>
      </c>
      <c r="X986">
        <f>DataLog_T717420_Aug11_4_59_37pm[[#This Row],[OIL TEMP '[Â°C']]]-Table3[[#This Row],[4402]]</f>
        <v>0</v>
      </c>
      <c r="Y986">
        <f>DataLog_T717420_Aug11_4_59_37pm[[#This Row],[INTAKE TEMP '[Â°C']]]-Table3[[#This Row],[580F]]</f>
        <v>0</v>
      </c>
      <c r="Z986">
        <f>DataLog_T717420_Aug11_4_59_37pm[[#This Row],[HPFP PRES. '[BAR']]]-Table3[[#This Row],[58F0]]</f>
        <v>0</v>
      </c>
      <c r="AA986">
        <f>DataLog_T717420_Aug11_4_59_37pm[[#This Row],[COOLANT TEMP '[Â°C']]]-Table3[[#This Row],[5805]]</f>
        <v>0</v>
      </c>
      <c r="AB986">
        <f>DataLog_T717420_Aug11_4_59_37pm[[#This Row],[BOOST '[BAR']]]-Table3[[#This Row],[58DD]]</f>
        <v>0</v>
      </c>
    </row>
    <row r="987" spans="2:28" x14ac:dyDescent="0.25">
      <c r="B987" s="2" t="s">
        <v>189</v>
      </c>
      <c r="C987" s="2" t="s">
        <v>30</v>
      </c>
      <c r="D987" s="2" t="s">
        <v>151</v>
      </c>
      <c r="E987" s="2" t="s">
        <v>122</v>
      </c>
      <c r="F987" s="2" t="s">
        <v>253</v>
      </c>
      <c r="G987" s="2" t="s">
        <v>96</v>
      </c>
      <c r="I987">
        <f>HEX2DEC(_0811_173439[[#This Row],[580C]])*B$4/B$5+B$6</f>
        <v>760</v>
      </c>
      <c r="J987">
        <f>HEX2DEC(_0811_173439[[#This Row],[4402]])*C$4/C$5+C$6</f>
        <v>36</v>
      </c>
      <c r="K987">
        <f>HEX2DEC(_0811_173439[[#This Row],[580F]])*D$4/D$5+D$6</f>
        <v>30</v>
      </c>
      <c r="L987">
        <f>ROUND(HEX2DEC(_0811_173439[[#This Row],[58F0]])*E$4/E$5+E$6,0)</f>
        <v>71</v>
      </c>
      <c r="M987">
        <f>ROUND(HEX2DEC(_0811_173439[[#This Row],[5805]])*F$4/F$5+F$6,0)</f>
        <v>43</v>
      </c>
      <c r="N987">
        <f>ROUND(HEX2DEC(_0811_173439[[#This Row],[58DD]])*G$4/G$5+G$6,2)</f>
        <v>-0.03</v>
      </c>
      <c r="P987">
        <v>760</v>
      </c>
      <c r="Q987">
        <v>36</v>
      </c>
      <c r="R987">
        <v>30</v>
      </c>
      <c r="S987">
        <v>71</v>
      </c>
      <c r="T987">
        <v>43</v>
      </c>
      <c r="U987">
        <v>-0.03</v>
      </c>
      <c r="W987">
        <f>DataLog_T717420_Aug11_4_59_37pm[[#This Row],[RPM '[1/MIN']]]-Table3[[#This Row],[580C]]</f>
        <v>0</v>
      </c>
      <c r="X987">
        <f>DataLog_T717420_Aug11_4_59_37pm[[#This Row],[OIL TEMP '[Â°C']]]-Table3[[#This Row],[4402]]</f>
        <v>0</v>
      </c>
      <c r="Y987">
        <f>DataLog_T717420_Aug11_4_59_37pm[[#This Row],[INTAKE TEMP '[Â°C']]]-Table3[[#This Row],[580F]]</f>
        <v>0</v>
      </c>
      <c r="Z987">
        <f>DataLog_T717420_Aug11_4_59_37pm[[#This Row],[HPFP PRES. '[BAR']]]-Table3[[#This Row],[58F0]]</f>
        <v>0</v>
      </c>
      <c r="AA987">
        <f>DataLog_T717420_Aug11_4_59_37pm[[#This Row],[COOLANT TEMP '[Â°C']]]-Table3[[#This Row],[5805]]</f>
        <v>0</v>
      </c>
      <c r="AB987">
        <f>DataLog_T717420_Aug11_4_59_37pm[[#This Row],[BOOST '[BAR']]]-Table3[[#This Row],[58DD]]</f>
        <v>0</v>
      </c>
    </row>
    <row r="988" spans="2:28" x14ac:dyDescent="0.25">
      <c r="B988" s="2" t="s">
        <v>189</v>
      </c>
      <c r="C988" s="2" t="s">
        <v>30</v>
      </c>
      <c r="D988" s="2" t="s">
        <v>151</v>
      </c>
      <c r="E988" s="2" t="s">
        <v>234</v>
      </c>
      <c r="F988" s="2" t="s">
        <v>253</v>
      </c>
      <c r="G988" s="2" t="s">
        <v>96</v>
      </c>
      <c r="I988">
        <f>HEX2DEC(_0811_173439[[#This Row],[580C]])*B$4/B$5+B$6</f>
        <v>760</v>
      </c>
      <c r="J988">
        <f>HEX2DEC(_0811_173439[[#This Row],[4402]])*C$4/C$5+C$6</f>
        <v>36</v>
      </c>
      <c r="K988">
        <f>HEX2DEC(_0811_173439[[#This Row],[580F]])*D$4/D$5+D$6</f>
        <v>30</v>
      </c>
      <c r="L988">
        <f>ROUND(HEX2DEC(_0811_173439[[#This Row],[58F0]])*E$4/E$5+E$6,0)</f>
        <v>71</v>
      </c>
      <c r="M988">
        <f>ROUND(HEX2DEC(_0811_173439[[#This Row],[5805]])*F$4/F$5+F$6,0)</f>
        <v>43</v>
      </c>
      <c r="N988">
        <f>ROUND(HEX2DEC(_0811_173439[[#This Row],[58DD]])*G$4/G$5+G$6,2)</f>
        <v>-0.03</v>
      </c>
      <c r="P988">
        <v>760</v>
      </c>
      <c r="Q988">
        <v>36</v>
      </c>
      <c r="R988">
        <v>30</v>
      </c>
      <c r="S988">
        <v>71</v>
      </c>
      <c r="T988">
        <v>43</v>
      </c>
      <c r="U988">
        <v>-0.03</v>
      </c>
      <c r="W988">
        <f>DataLog_T717420_Aug11_4_59_37pm[[#This Row],[RPM '[1/MIN']]]-Table3[[#This Row],[580C]]</f>
        <v>0</v>
      </c>
      <c r="X988">
        <f>DataLog_T717420_Aug11_4_59_37pm[[#This Row],[OIL TEMP '[Â°C']]]-Table3[[#This Row],[4402]]</f>
        <v>0</v>
      </c>
      <c r="Y988">
        <f>DataLog_T717420_Aug11_4_59_37pm[[#This Row],[INTAKE TEMP '[Â°C']]]-Table3[[#This Row],[580F]]</f>
        <v>0</v>
      </c>
      <c r="Z988">
        <f>DataLog_T717420_Aug11_4_59_37pm[[#This Row],[HPFP PRES. '[BAR']]]-Table3[[#This Row],[58F0]]</f>
        <v>0</v>
      </c>
      <c r="AA988">
        <f>DataLog_T717420_Aug11_4_59_37pm[[#This Row],[COOLANT TEMP '[Â°C']]]-Table3[[#This Row],[5805]]</f>
        <v>0</v>
      </c>
      <c r="AB988">
        <f>DataLog_T717420_Aug11_4_59_37pm[[#This Row],[BOOST '[BAR']]]-Table3[[#This Row],[58DD]]</f>
        <v>0</v>
      </c>
    </row>
    <row r="989" spans="2:28" x14ac:dyDescent="0.25">
      <c r="B989" s="2" t="s">
        <v>189</v>
      </c>
      <c r="C989" s="2" t="s">
        <v>30</v>
      </c>
      <c r="D989" s="2" t="s">
        <v>151</v>
      </c>
      <c r="E989" s="2" t="s">
        <v>132</v>
      </c>
      <c r="F989" s="2" t="s">
        <v>253</v>
      </c>
      <c r="G989" s="2" t="s">
        <v>71</v>
      </c>
      <c r="I989">
        <f>HEX2DEC(_0811_173439[[#This Row],[580C]])*B$4/B$5+B$6</f>
        <v>760</v>
      </c>
      <c r="J989">
        <f>HEX2DEC(_0811_173439[[#This Row],[4402]])*C$4/C$5+C$6</f>
        <v>36</v>
      </c>
      <c r="K989">
        <f>HEX2DEC(_0811_173439[[#This Row],[580F]])*D$4/D$5+D$6</f>
        <v>30</v>
      </c>
      <c r="L989">
        <f>ROUND(HEX2DEC(_0811_173439[[#This Row],[58F0]])*E$4/E$5+E$6,0)</f>
        <v>70</v>
      </c>
      <c r="M989">
        <f>ROUND(HEX2DEC(_0811_173439[[#This Row],[5805]])*F$4/F$5+F$6,0)</f>
        <v>43</v>
      </c>
      <c r="N989">
        <f>ROUND(HEX2DEC(_0811_173439[[#This Row],[58DD]])*G$4/G$5+G$6,2)</f>
        <v>-0.03</v>
      </c>
      <c r="P989">
        <v>760</v>
      </c>
      <c r="Q989">
        <v>36</v>
      </c>
      <c r="R989">
        <v>30</v>
      </c>
      <c r="S989">
        <v>70</v>
      </c>
      <c r="T989">
        <v>43</v>
      </c>
      <c r="U989">
        <v>-0.03</v>
      </c>
      <c r="W989">
        <f>DataLog_T717420_Aug11_4_59_37pm[[#This Row],[RPM '[1/MIN']]]-Table3[[#This Row],[580C]]</f>
        <v>0</v>
      </c>
      <c r="X989">
        <f>DataLog_T717420_Aug11_4_59_37pm[[#This Row],[OIL TEMP '[Â°C']]]-Table3[[#This Row],[4402]]</f>
        <v>0</v>
      </c>
      <c r="Y989">
        <f>DataLog_T717420_Aug11_4_59_37pm[[#This Row],[INTAKE TEMP '[Â°C']]]-Table3[[#This Row],[580F]]</f>
        <v>0</v>
      </c>
      <c r="Z989">
        <f>DataLog_T717420_Aug11_4_59_37pm[[#This Row],[HPFP PRES. '[BAR']]]-Table3[[#This Row],[58F0]]</f>
        <v>0</v>
      </c>
      <c r="AA989">
        <f>DataLog_T717420_Aug11_4_59_37pm[[#This Row],[COOLANT TEMP '[Â°C']]]-Table3[[#This Row],[5805]]</f>
        <v>0</v>
      </c>
      <c r="AB989">
        <f>DataLog_T717420_Aug11_4_59_37pm[[#This Row],[BOOST '[BAR']]]-Table3[[#This Row],[58DD]]</f>
        <v>0</v>
      </c>
    </row>
    <row r="990" spans="2:28" x14ac:dyDescent="0.25">
      <c r="B990" s="2" t="s">
        <v>189</v>
      </c>
      <c r="C990" s="2" t="s">
        <v>30</v>
      </c>
      <c r="D990" s="2" t="s">
        <v>151</v>
      </c>
      <c r="E990" s="2" t="s">
        <v>147</v>
      </c>
      <c r="F990" s="2" t="s">
        <v>253</v>
      </c>
      <c r="G990" s="2" t="s">
        <v>90</v>
      </c>
      <c r="I990">
        <f>HEX2DEC(_0811_173439[[#This Row],[580C]])*B$4/B$5+B$6</f>
        <v>760</v>
      </c>
      <c r="J990">
        <f>HEX2DEC(_0811_173439[[#This Row],[4402]])*C$4/C$5+C$6</f>
        <v>36</v>
      </c>
      <c r="K990">
        <f>HEX2DEC(_0811_173439[[#This Row],[580F]])*D$4/D$5+D$6</f>
        <v>30</v>
      </c>
      <c r="L990">
        <f>ROUND(HEX2DEC(_0811_173439[[#This Row],[58F0]])*E$4/E$5+E$6,0)</f>
        <v>71</v>
      </c>
      <c r="M990">
        <f>ROUND(HEX2DEC(_0811_173439[[#This Row],[5805]])*F$4/F$5+F$6,0)</f>
        <v>43</v>
      </c>
      <c r="N990">
        <f>ROUND(HEX2DEC(_0811_173439[[#This Row],[58DD]])*G$4/G$5+G$6,2)</f>
        <v>-0.03</v>
      </c>
      <c r="P990">
        <v>760</v>
      </c>
      <c r="Q990">
        <v>36</v>
      </c>
      <c r="R990">
        <v>30</v>
      </c>
      <c r="S990">
        <v>71</v>
      </c>
      <c r="T990">
        <v>43</v>
      </c>
      <c r="U990">
        <v>-0.03</v>
      </c>
      <c r="W990">
        <f>DataLog_T717420_Aug11_4_59_37pm[[#This Row],[RPM '[1/MIN']]]-Table3[[#This Row],[580C]]</f>
        <v>0</v>
      </c>
      <c r="X990">
        <f>DataLog_T717420_Aug11_4_59_37pm[[#This Row],[OIL TEMP '[Â°C']]]-Table3[[#This Row],[4402]]</f>
        <v>0</v>
      </c>
      <c r="Y990">
        <f>DataLog_T717420_Aug11_4_59_37pm[[#This Row],[INTAKE TEMP '[Â°C']]]-Table3[[#This Row],[580F]]</f>
        <v>0</v>
      </c>
      <c r="Z990">
        <f>DataLog_T717420_Aug11_4_59_37pm[[#This Row],[HPFP PRES. '[BAR']]]-Table3[[#This Row],[58F0]]</f>
        <v>0</v>
      </c>
      <c r="AA990">
        <f>DataLog_T717420_Aug11_4_59_37pm[[#This Row],[COOLANT TEMP '[Â°C']]]-Table3[[#This Row],[5805]]</f>
        <v>0</v>
      </c>
      <c r="AB990">
        <f>DataLog_T717420_Aug11_4_59_37pm[[#This Row],[BOOST '[BAR']]]-Table3[[#This Row],[58DD]]</f>
        <v>0</v>
      </c>
    </row>
    <row r="991" spans="2:28" x14ac:dyDescent="0.25">
      <c r="B991" s="2" t="s">
        <v>189</v>
      </c>
      <c r="C991" s="2" t="s">
        <v>30</v>
      </c>
      <c r="D991" s="2" t="s">
        <v>151</v>
      </c>
      <c r="E991" s="2" t="s">
        <v>129</v>
      </c>
      <c r="F991" s="2" t="s">
        <v>253</v>
      </c>
      <c r="G991" s="2" t="s">
        <v>71</v>
      </c>
      <c r="I991">
        <f>HEX2DEC(_0811_173439[[#This Row],[580C]])*B$4/B$5+B$6</f>
        <v>760</v>
      </c>
      <c r="J991">
        <f>HEX2DEC(_0811_173439[[#This Row],[4402]])*C$4/C$5+C$6</f>
        <v>36</v>
      </c>
      <c r="K991">
        <f>HEX2DEC(_0811_173439[[#This Row],[580F]])*D$4/D$5+D$6</f>
        <v>30</v>
      </c>
      <c r="L991">
        <f>ROUND(HEX2DEC(_0811_173439[[#This Row],[58F0]])*E$4/E$5+E$6,0)</f>
        <v>71</v>
      </c>
      <c r="M991">
        <f>ROUND(HEX2DEC(_0811_173439[[#This Row],[5805]])*F$4/F$5+F$6,0)</f>
        <v>43</v>
      </c>
      <c r="N991">
        <f>ROUND(HEX2DEC(_0811_173439[[#This Row],[58DD]])*G$4/G$5+G$6,2)</f>
        <v>-0.03</v>
      </c>
      <c r="P991">
        <v>760</v>
      </c>
      <c r="Q991">
        <v>36</v>
      </c>
      <c r="R991">
        <v>30</v>
      </c>
      <c r="S991">
        <v>71</v>
      </c>
      <c r="T991">
        <v>43</v>
      </c>
      <c r="U991">
        <v>-0.03</v>
      </c>
      <c r="W991">
        <f>DataLog_T717420_Aug11_4_59_37pm[[#This Row],[RPM '[1/MIN']]]-Table3[[#This Row],[580C]]</f>
        <v>0</v>
      </c>
      <c r="X991">
        <f>DataLog_T717420_Aug11_4_59_37pm[[#This Row],[OIL TEMP '[Â°C']]]-Table3[[#This Row],[4402]]</f>
        <v>0</v>
      </c>
      <c r="Y991">
        <f>DataLog_T717420_Aug11_4_59_37pm[[#This Row],[INTAKE TEMP '[Â°C']]]-Table3[[#This Row],[580F]]</f>
        <v>0</v>
      </c>
      <c r="Z991">
        <f>DataLog_T717420_Aug11_4_59_37pm[[#This Row],[HPFP PRES. '[BAR']]]-Table3[[#This Row],[58F0]]</f>
        <v>0</v>
      </c>
      <c r="AA991">
        <f>DataLog_T717420_Aug11_4_59_37pm[[#This Row],[COOLANT TEMP '[Â°C']]]-Table3[[#This Row],[5805]]</f>
        <v>0</v>
      </c>
      <c r="AB991">
        <f>DataLog_T717420_Aug11_4_59_37pm[[#This Row],[BOOST '[BAR']]]-Table3[[#This Row],[58DD]]</f>
        <v>0</v>
      </c>
    </row>
    <row r="992" spans="2:28" x14ac:dyDescent="0.25">
      <c r="B992" s="2" t="s">
        <v>189</v>
      </c>
      <c r="C992" s="2" t="s">
        <v>30</v>
      </c>
      <c r="D992" s="2" t="s">
        <v>151</v>
      </c>
      <c r="E992" s="2" t="s">
        <v>207</v>
      </c>
      <c r="F992" s="2" t="s">
        <v>253</v>
      </c>
      <c r="G992" s="2" t="s">
        <v>191</v>
      </c>
      <c r="I992">
        <f>HEX2DEC(_0811_173439[[#This Row],[580C]])*B$4/B$5+B$6</f>
        <v>760</v>
      </c>
      <c r="J992">
        <f>HEX2DEC(_0811_173439[[#This Row],[4402]])*C$4/C$5+C$6</f>
        <v>36</v>
      </c>
      <c r="K992">
        <f>HEX2DEC(_0811_173439[[#This Row],[580F]])*D$4/D$5+D$6</f>
        <v>30</v>
      </c>
      <c r="L992">
        <f>ROUND(HEX2DEC(_0811_173439[[#This Row],[58F0]])*E$4/E$5+E$6,0)</f>
        <v>70</v>
      </c>
      <c r="M992">
        <f>ROUND(HEX2DEC(_0811_173439[[#This Row],[5805]])*F$4/F$5+F$6,0)</f>
        <v>43</v>
      </c>
      <c r="N992">
        <f>ROUND(HEX2DEC(_0811_173439[[#This Row],[58DD]])*G$4/G$5+G$6,2)</f>
        <v>-0.03</v>
      </c>
      <c r="P992">
        <v>760</v>
      </c>
      <c r="Q992">
        <v>36</v>
      </c>
      <c r="R992">
        <v>30</v>
      </c>
      <c r="S992">
        <v>70</v>
      </c>
      <c r="T992">
        <v>43</v>
      </c>
      <c r="U992">
        <v>-0.03</v>
      </c>
      <c r="W992">
        <f>DataLog_T717420_Aug11_4_59_37pm[[#This Row],[RPM '[1/MIN']]]-Table3[[#This Row],[580C]]</f>
        <v>0</v>
      </c>
      <c r="X992">
        <f>DataLog_T717420_Aug11_4_59_37pm[[#This Row],[OIL TEMP '[Â°C']]]-Table3[[#This Row],[4402]]</f>
        <v>0</v>
      </c>
      <c r="Y992">
        <f>DataLog_T717420_Aug11_4_59_37pm[[#This Row],[INTAKE TEMP '[Â°C']]]-Table3[[#This Row],[580F]]</f>
        <v>0</v>
      </c>
      <c r="Z992">
        <f>DataLog_T717420_Aug11_4_59_37pm[[#This Row],[HPFP PRES. '[BAR']]]-Table3[[#This Row],[58F0]]</f>
        <v>0</v>
      </c>
      <c r="AA992">
        <f>DataLog_T717420_Aug11_4_59_37pm[[#This Row],[COOLANT TEMP '[Â°C']]]-Table3[[#This Row],[5805]]</f>
        <v>0</v>
      </c>
      <c r="AB992">
        <f>DataLog_T717420_Aug11_4_59_37pm[[#This Row],[BOOST '[BAR']]]-Table3[[#This Row],[58DD]]</f>
        <v>0</v>
      </c>
    </row>
    <row r="993" spans="2:28" x14ac:dyDescent="0.25">
      <c r="B993" s="2" t="s">
        <v>189</v>
      </c>
      <c r="C993" s="2" t="s">
        <v>30</v>
      </c>
      <c r="D993" s="2" t="s">
        <v>151</v>
      </c>
      <c r="E993" s="2" t="s">
        <v>141</v>
      </c>
      <c r="F993" s="2" t="s">
        <v>253</v>
      </c>
      <c r="G993" s="2" t="s">
        <v>190</v>
      </c>
      <c r="I993">
        <f>HEX2DEC(_0811_173439[[#This Row],[580C]])*B$4/B$5+B$6</f>
        <v>760</v>
      </c>
      <c r="J993">
        <f>HEX2DEC(_0811_173439[[#This Row],[4402]])*C$4/C$5+C$6</f>
        <v>36</v>
      </c>
      <c r="K993">
        <f>HEX2DEC(_0811_173439[[#This Row],[580F]])*D$4/D$5+D$6</f>
        <v>30</v>
      </c>
      <c r="L993">
        <f>ROUND(HEX2DEC(_0811_173439[[#This Row],[58F0]])*E$4/E$5+E$6,0)</f>
        <v>70</v>
      </c>
      <c r="M993">
        <f>ROUND(HEX2DEC(_0811_173439[[#This Row],[5805]])*F$4/F$5+F$6,0)</f>
        <v>43</v>
      </c>
      <c r="N993">
        <f>ROUND(HEX2DEC(_0811_173439[[#This Row],[58DD]])*G$4/G$5+G$6,2)</f>
        <v>-0.03</v>
      </c>
      <c r="P993">
        <v>760</v>
      </c>
      <c r="Q993">
        <v>36</v>
      </c>
      <c r="R993">
        <v>30</v>
      </c>
      <c r="S993">
        <v>70</v>
      </c>
      <c r="T993">
        <v>43</v>
      </c>
      <c r="U993">
        <v>-0.03</v>
      </c>
      <c r="W993">
        <f>DataLog_T717420_Aug11_4_59_37pm[[#This Row],[RPM '[1/MIN']]]-Table3[[#This Row],[580C]]</f>
        <v>0</v>
      </c>
      <c r="X993">
        <f>DataLog_T717420_Aug11_4_59_37pm[[#This Row],[OIL TEMP '[Â°C']]]-Table3[[#This Row],[4402]]</f>
        <v>0</v>
      </c>
      <c r="Y993">
        <f>DataLog_T717420_Aug11_4_59_37pm[[#This Row],[INTAKE TEMP '[Â°C']]]-Table3[[#This Row],[580F]]</f>
        <v>0</v>
      </c>
      <c r="Z993">
        <f>DataLog_T717420_Aug11_4_59_37pm[[#This Row],[HPFP PRES. '[BAR']]]-Table3[[#This Row],[58F0]]</f>
        <v>0</v>
      </c>
      <c r="AA993">
        <f>DataLog_T717420_Aug11_4_59_37pm[[#This Row],[COOLANT TEMP '[Â°C']]]-Table3[[#This Row],[5805]]</f>
        <v>0</v>
      </c>
      <c r="AB993">
        <f>DataLog_T717420_Aug11_4_59_37pm[[#This Row],[BOOST '[BAR']]]-Table3[[#This Row],[58DD]]</f>
        <v>0</v>
      </c>
    </row>
    <row r="994" spans="2:28" x14ac:dyDescent="0.25">
      <c r="B994" s="2" t="s">
        <v>189</v>
      </c>
      <c r="C994" s="2" t="s">
        <v>30</v>
      </c>
      <c r="D994" s="2" t="s">
        <v>151</v>
      </c>
      <c r="E994" s="2" t="s">
        <v>188</v>
      </c>
      <c r="F994" s="2" t="s">
        <v>253</v>
      </c>
      <c r="G994" s="2" t="s">
        <v>190</v>
      </c>
      <c r="I994">
        <f>HEX2DEC(_0811_173439[[#This Row],[580C]])*B$4/B$5+B$6</f>
        <v>760</v>
      </c>
      <c r="J994">
        <f>HEX2DEC(_0811_173439[[#This Row],[4402]])*C$4/C$5+C$6</f>
        <v>36</v>
      </c>
      <c r="K994">
        <f>HEX2DEC(_0811_173439[[#This Row],[580F]])*D$4/D$5+D$6</f>
        <v>30</v>
      </c>
      <c r="L994">
        <f>ROUND(HEX2DEC(_0811_173439[[#This Row],[58F0]])*E$4/E$5+E$6,0)</f>
        <v>71</v>
      </c>
      <c r="M994">
        <f>ROUND(HEX2DEC(_0811_173439[[#This Row],[5805]])*F$4/F$5+F$6,0)</f>
        <v>43</v>
      </c>
      <c r="N994">
        <f>ROUND(HEX2DEC(_0811_173439[[#This Row],[58DD]])*G$4/G$5+G$6,2)</f>
        <v>-0.03</v>
      </c>
      <c r="P994">
        <v>760</v>
      </c>
      <c r="Q994">
        <v>36</v>
      </c>
      <c r="R994">
        <v>30</v>
      </c>
      <c r="S994">
        <v>71</v>
      </c>
      <c r="T994">
        <v>43</v>
      </c>
      <c r="U994">
        <v>-0.03</v>
      </c>
      <c r="W994">
        <f>DataLog_T717420_Aug11_4_59_37pm[[#This Row],[RPM '[1/MIN']]]-Table3[[#This Row],[580C]]</f>
        <v>0</v>
      </c>
      <c r="X994">
        <f>DataLog_T717420_Aug11_4_59_37pm[[#This Row],[OIL TEMP '[Â°C']]]-Table3[[#This Row],[4402]]</f>
        <v>0</v>
      </c>
      <c r="Y994">
        <f>DataLog_T717420_Aug11_4_59_37pm[[#This Row],[INTAKE TEMP '[Â°C']]]-Table3[[#This Row],[580F]]</f>
        <v>0</v>
      </c>
      <c r="Z994">
        <f>DataLog_T717420_Aug11_4_59_37pm[[#This Row],[HPFP PRES. '[BAR']]]-Table3[[#This Row],[58F0]]</f>
        <v>0</v>
      </c>
      <c r="AA994">
        <f>DataLog_T717420_Aug11_4_59_37pm[[#This Row],[COOLANT TEMP '[Â°C']]]-Table3[[#This Row],[5805]]</f>
        <v>0</v>
      </c>
      <c r="AB994">
        <f>DataLog_T717420_Aug11_4_59_37pm[[#This Row],[BOOST '[BAR']]]-Table3[[#This Row],[58DD]]</f>
        <v>0</v>
      </c>
    </row>
    <row r="995" spans="2:28" x14ac:dyDescent="0.25">
      <c r="B995" s="2" t="s">
        <v>189</v>
      </c>
      <c r="C995" s="2" t="s">
        <v>30</v>
      </c>
      <c r="D995" s="2" t="s">
        <v>151</v>
      </c>
      <c r="E995" s="2" t="s">
        <v>163</v>
      </c>
      <c r="F995" s="2" t="s">
        <v>253</v>
      </c>
      <c r="G995" s="2" t="s">
        <v>190</v>
      </c>
      <c r="I995">
        <f>HEX2DEC(_0811_173439[[#This Row],[580C]])*B$4/B$5+B$6</f>
        <v>760</v>
      </c>
      <c r="J995">
        <f>HEX2DEC(_0811_173439[[#This Row],[4402]])*C$4/C$5+C$6</f>
        <v>36</v>
      </c>
      <c r="K995">
        <f>HEX2DEC(_0811_173439[[#This Row],[580F]])*D$4/D$5+D$6</f>
        <v>30</v>
      </c>
      <c r="L995">
        <f>ROUND(HEX2DEC(_0811_173439[[#This Row],[58F0]])*E$4/E$5+E$6,0)</f>
        <v>70</v>
      </c>
      <c r="M995">
        <f>ROUND(HEX2DEC(_0811_173439[[#This Row],[5805]])*F$4/F$5+F$6,0)</f>
        <v>43</v>
      </c>
      <c r="N995">
        <f>ROUND(HEX2DEC(_0811_173439[[#This Row],[58DD]])*G$4/G$5+G$6,2)</f>
        <v>-0.03</v>
      </c>
      <c r="P995">
        <v>760</v>
      </c>
      <c r="Q995">
        <v>36</v>
      </c>
      <c r="R995">
        <v>30</v>
      </c>
      <c r="S995">
        <v>70</v>
      </c>
      <c r="T995">
        <v>43</v>
      </c>
      <c r="U995">
        <v>-0.03</v>
      </c>
      <c r="W995">
        <f>DataLog_T717420_Aug11_4_59_37pm[[#This Row],[RPM '[1/MIN']]]-Table3[[#This Row],[580C]]</f>
        <v>0</v>
      </c>
      <c r="X995">
        <f>DataLog_T717420_Aug11_4_59_37pm[[#This Row],[OIL TEMP '[Â°C']]]-Table3[[#This Row],[4402]]</f>
        <v>0</v>
      </c>
      <c r="Y995">
        <f>DataLog_T717420_Aug11_4_59_37pm[[#This Row],[INTAKE TEMP '[Â°C']]]-Table3[[#This Row],[580F]]</f>
        <v>0</v>
      </c>
      <c r="Z995">
        <f>DataLog_T717420_Aug11_4_59_37pm[[#This Row],[HPFP PRES. '[BAR']]]-Table3[[#This Row],[58F0]]</f>
        <v>0</v>
      </c>
      <c r="AA995">
        <f>DataLog_T717420_Aug11_4_59_37pm[[#This Row],[COOLANT TEMP '[Â°C']]]-Table3[[#This Row],[5805]]</f>
        <v>0</v>
      </c>
      <c r="AB995">
        <f>DataLog_T717420_Aug11_4_59_37pm[[#This Row],[BOOST '[BAR']]]-Table3[[#This Row],[58DD]]</f>
        <v>0</v>
      </c>
    </row>
    <row r="996" spans="2:28" x14ac:dyDescent="0.25">
      <c r="B996" s="2" t="s">
        <v>189</v>
      </c>
      <c r="C996" s="2" t="s">
        <v>30</v>
      </c>
      <c r="D996" s="2" t="s">
        <v>151</v>
      </c>
      <c r="E996" s="2" t="s">
        <v>221</v>
      </c>
      <c r="F996" s="2" t="s">
        <v>253</v>
      </c>
      <c r="G996" s="2" t="s">
        <v>53</v>
      </c>
      <c r="I996">
        <f>HEX2DEC(_0811_173439[[#This Row],[580C]])*B$4/B$5+B$6</f>
        <v>760</v>
      </c>
      <c r="J996">
        <f>HEX2DEC(_0811_173439[[#This Row],[4402]])*C$4/C$5+C$6</f>
        <v>36</v>
      </c>
      <c r="K996">
        <f>HEX2DEC(_0811_173439[[#This Row],[580F]])*D$4/D$5+D$6</f>
        <v>30</v>
      </c>
      <c r="L996">
        <f>ROUND(HEX2DEC(_0811_173439[[#This Row],[58F0]])*E$4/E$5+E$6,0)</f>
        <v>70</v>
      </c>
      <c r="M996">
        <f>ROUND(HEX2DEC(_0811_173439[[#This Row],[5805]])*F$4/F$5+F$6,0)</f>
        <v>43</v>
      </c>
      <c r="N996">
        <f>ROUND(HEX2DEC(_0811_173439[[#This Row],[58DD]])*G$4/G$5+G$6,2)</f>
        <v>-0.03</v>
      </c>
      <c r="P996">
        <v>760</v>
      </c>
      <c r="Q996">
        <v>36</v>
      </c>
      <c r="R996">
        <v>30</v>
      </c>
      <c r="S996">
        <v>70</v>
      </c>
      <c r="T996">
        <v>43</v>
      </c>
      <c r="U996">
        <v>-0.03</v>
      </c>
      <c r="W996">
        <f>DataLog_T717420_Aug11_4_59_37pm[[#This Row],[RPM '[1/MIN']]]-Table3[[#This Row],[580C]]</f>
        <v>0</v>
      </c>
      <c r="X996">
        <f>DataLog_T717420_Aug11_4_59_37pm[[#This Row],[OIL TEMP '[Â°C']]]-Table3[[#This Row],[4402]]</f>
        <v>0</v>
      </c>
      <c r="Y996">
        <f>DataLog_T717420_Aug11_4_59_37pm[[#This Row],[INTAKE TEMP '[Â°C']]]-Table3[[#This Row],[580F]]</f>
        <v>0</v>
      </c>
      <c r="Z996">
        <f>DataLog_T717420_Aug11_4_59_37pm[[#This Row],[HPFP PRES. '[BAR']]]-Table3[[#This Row],[58F0]]</f>
        <v>0</v>
      </c>
      <c r="AA996">
        <f>DataLog_T717420_Aug11_4_59_37pm[[#This Row],[COOLANT TEMP '[Â°C']]]-Table3[[#This Row],[5805]]</f>
        <v>0</v>
      </c>
      <c r="AB996">
        <f>DataLog_T717420_Aug11_4_59_37pm[[#This Row],[BOOST '[BAR']]]-Table3[[#This Row],[58DD]]</f>
        <v>0</v>
      </c>
    </row>
    <row r="997" spans="2:28" x14ac:dyDescent="0.25">
      <c r="B997" s="2" t="s">
        <v>189</v>
      </c>
      <c r="C997" s="2" t="s">
        <v>30</v>
      </c>
      <c r="D997" s="2" t="s">
        <v>151</v>
      </c>
      <c r="E997" s="2" t="s">
        <v>170</v>
      </c>
      <c r="F997" s="2" t="s">
        <v>253</v>
      </c>
      <c r="G997" s="2" t="s">
        <v>71</v>
      </c>
      <c r="I997">
        <f>HEX2DEC(_0811_173439[[#This Row],[580C]])*B$4/B$5+B$6</f>
        <v>760</v>
      </c>
      <c r="J997">
        <f>HEX2DEC(_0811_173439[[#This Row],[4402]])*C$4/C$5+C$6</f>
        <v>36</v>
      </c>
      <c r="K997">
        <f>HEX2DEC(_0811_173439[[#This Row],[580F]])*D$4/D$5+D$6</f>
        <v>30</v>
      </c>
      <c r="L997">
        <f>ROUND(HEX2DEC(_0811_173439[[#This Row],[58F0]])*E$4/E$5+E$6,0)</f>
        <v>71</v>
      </c>
      <c r="M997">
        <f>ROUND(HEX2DEC(_0811_173439[[#This Row],[5805]])*F$4/F$5+F$6,0)</f>
        <v>43</v>
      </c>
      <c r="N997">
        <f>ROUND(HEX2DEC(_0811_173439[[#This Row],[58DD]])*G$4/G$5+G$6,2)</f>
        <v>-0.03</v>
      </c>
      <c r="P997">
        <v>760</v>
      </c>
      <c r="Q997">
        <v>36</v>
      </c>
      <c r="R997">
        <v>30</v>
      </c>
      <c r="S997">
        <v>71</v>
      </c>
      <c r="T997">
        <v>43</v>
      </c>
      <c r="U997">
        <v>-0.03</v>
      </c>
      <c r="W997">
        <f>DataLog_T717420_Aug11_4_59_37pm[[#This Row],[RPM '[1/MIN']]]-Table3[[#This Row],[580C]]</f>
        <v>0</v>
      </c>
      <c r="X997">
        <f>DataLog_T717420_Aug11_4_59_37pm[[#This Row],[OIL TEMP '[Â°C']]]-Table3[[#This Row],[4402]]</f>
        <v>0</v>
      </c>
      <c r="Y997">
        <f>DataLog_T717420_Aug11_4_59_37pm[[#This Row],[INTAKE TEMP '[Â°C']]]-Table3[[#This Row],[580F]]</f>
        <v>0</v>
      </c>
      <c r="Z997">
        <f>DataLog_T717420_Aug11_4_59_37pm[[#This Row],[HPFP PRES. '[BAR']]]-Table3[[#This Row],[58F0]]</f>
        <v>0</v>
      </c>
      <c r="AA997">
        <f>DataLog_T717420_Aug11_4_59_37pm[[#This Row],[COOLANT TEMP '[Â°C']]]-Table3[[#This Row],[5805]]</f>
        <v>0</v>
      </c>
      <c r="AB997">
        <f>DataLog_T717420_Aug11_4_59_37pm[[#This Row],[BOOST '[BAR']]]-Table3[[#This Row],[58DD]]</f>
        <v>0</v>
      </c>
    </row>
    <row r="998" spans="2:28" x14ac:dyDescent="0.25">
      <c r="B998" s="2" t="s">
        <v>189</v>
      </c>
      <c r="C998" s="2" t="s">
        <v>30</v>
      </c>
      <c r="D998" s="2" t="s">
        <v>151</v>
      </c>
      <c r="E998" s="2" t="s">
        <v>165</v>
      </c>
      <c r="F998" s="2" t="s">
        <v>253</v>
      </c>
      <c r="G998" s="2" t="s">
        <v>53</v>
      </c>
      <c r="I998">
        <f>HEX2DEC(_0811_173439[[#This Row],[580C]])*B$4/B$5+B$6</f>
        <v>760</v>
      </c>
      <c r="J998">
        <f>HEX2DEC(_0811_173439[[#This Row],[4402]])*C$4/C$5+C$6</f>
        <v>36</v>
      </c>
      <c r="K998">
        <f>HEX2DEC(_0811_173439[[#This Row],[580F]])*D$4/D$5+D$6</f>
        <v>30</v>
      </c>
      <c r="L998">
        <f>ROUND(HEX2DEC(_0811_173439[[#This Row],[58F0]])*E$4/E$5+E$6,0)</f>
        <v>70</v>
      </c>
      <c r="M998">
        <f>ROUND(HEX2DEC(_0811_173439[[#This Row],[5805]])*F$4/F$5+F$6,0)</f>
        <v>43</v>
      </c>
      <c r="N998">
        <f>ROUND(HEX2DEC(_0811_173439[[#This Row],[58DD]])*G$4/G$5+G$6,2)</f>
        <v>-0.03</v>
      </c>
      <c r="P998">
        <v>760</v>
      </c>
      <c r="Q998">
        <v>36</v>
      </c>
      <c r="R998">
        <v>30</v>
      </c>
      <c r="S998">
        <v>70</v>
      </c>
      <c r="T998">
        <v>43</v>
      </c>
      <c r="U998">
        <v>-0.03</v>
      </c>
      <c r="W998">
        <f>DataLog_T717420_Aug11_4_59_37pm[[#This Row],[RPM '[1/MIN']]]-Table3[[#This Row],[580C]]</f>
        <v>0</v>
      </c>
      <c r="X998">
        <f>DataLog_T717420_Aug11_4_59_37pm[[#This Row],[OIL TEMP '[Â°C']]]-Table3[[#This Row],[4402]]</f>
        <v>0</v>
      </c>
      <c r="Y998">
        <f>DataLog_T717420_Aug11_4_59_37pm[[#This Row],[INTAKE TEMP '[Â°C']]]-Table3[[#This Row],[580F]]</f>
        <v>0</v>
      </c>
      <c r="Z998">
        <f>DataLog_T717420_Aug11_4_59_37pm[[#This Row],[HPFP PRES. '[BAR']]]-Table3[[#This Row],[58F0]]</f>
        <v>0</v>
      </c>
      <c r="AA998">
        <f>DataLog_T717420_Aug11_4_59_37pm[[#This Row],[COOLANT TEMP '[Â°C']]]-Table3[[#This Row],[5805]]</f>
        <v>0</v>
      </c>
      <c r="AB998">
        <f>DataLog_T717420_Aug11_4_59_37pm[[#This Row],[BOOST '[BAR']]]-Table3[[#This Row],[58DD]]</f>
        <v>0</v>
      </c>
    </row>
    <row r="999" spans="2:28" x14ac:dyDescent="0.25">
      <c r="B999" s="2" t="s">
        <v>183</v>
      </c>
      <c r="C999" s="2" t="s">
        <v>30</v>
      </c>
      <c r="D999" s="2" t="s">
        <v>151</v>
      </c>
      <c r="E999" s="2" t="s">
        <v>93</v>
      </c>
      <c r="F999" s="2" t="s">
        <v>253</v>
      </c>
      <c r="G999" s="2" t="s">
        <v>236</v>
      </c>
      <c r="I999">
        <f>HEX2DEC(_0811_173439[[#This Row],[580C]])*B$4/B$5+B$6</f>
        <v>800</v>
      </c>
      <c r="J999">
        <f>HEX2DEC(_0811_173439[[#This Row],[4402]])*C$4/C$5+C$6</f>
        <v>36</v>
      </c>
      <c r="K999">
        <f>HEX2DEC(_0811_173439[[#This Row],[580F]])*D$4/D$5+D$6</f>
        <v>30</v>
      </c>
      <c r="L999">
        <f>ROUND(HEX2DEC(_0811_173439[[#This Row],[58F0]])*E$4/E$5+E$6,0)</f>
        <v>70</v>
      </c>
      <c r="M999">
        <f>ROUND(HEX2DEC(_0811_173439[[#This Row],[5805]])*F$4/F$5+F$6,0)</f>
        <v>43</v>
      </c>
      <c r="N999">
        <f>ROUND(HEX2DEC(_0811_173439[[#This Row],[58DD]])*G$4/G$5+G$6,2)</f>
        <v>-0.03</v>
      </c>
      <c r="P999">
        <v>800</v>
      </c>
      <c r="Q999">
        <v>36</v>
      </c>
      <c r="R999">
        <v>30</v>
      </c>
      <c r="S999">
        <v>70</v>
      </c>
      <c r="T999">
        <v>43</v>
      </c>
      <c r="U999">
        <v>-0.03</v>
      </c>
      <c r="W999">
        <f>DataLog_T717420_Aug11_4_59_37pm[[#This Row],[RPM '[1/MIN']]]-Table3[[#This Row],[580C]]</f>
        <v>0</v>
      </c>
      <c r="X999">
        <f>DataLog_T717420_Aug11_4_59_37pm[[#This Row],[OIL TEMP '[Â°C']]]-Table3[[#This Row],[4402]]</f>
        <v>0</v>
      </c>
      <c r="Y999">
        <f>DataLog_T717420_Aug11_4_59_37pm[[#This Row],[INTAKE TEMP '[Â°C']]]-Table3[[#This Row],[580F]]</f>
        <v>0</v>
      </c>
      <c r="Z999">
        <f>DataLog_T717420_Aug11_4_59_37pm[[#This Row],[HPFP PRES. '[BAR']]]-Table3[[#This Row],[58F0]]</f>
        <v>0</v>
      </c>
      <c r="AA999">
        <f>DataLog_T717420_Aug11_4_59_37pm[[#This Row],[COOLANT TEMP '[Â°C']]]-Table3[[#This Row],[5805]]</f>
        <v>0</v>
      </c>
      <c r="AB999">
        <f>DataLog_T717420_Aug11_4_59_37pm[[#This Row],[BOOST '[BAR']]]-Table3[[#This Row],[58DD]]</f>
        <v>0</v>
      </c>
    </row>
    <row r="1000" spans="2:28" x14ac:dyDescent="0.25">
      <c r="B1000" s="2" t="s">
        <v>183</v>
      </c>
      <c r="C1000" s="2" t="s">
        <v>30</v>
      </c>
      <c r="D1000" s="2" t="s">
        <v>151</v>
      </c>
      <c r="E1000" s="2" t="s">
        <v>207</v>
      </c>
      <c r="F1000" s="2" t="s">
        <v>253</v>
      </c>
      <c r="G1000" s="2" t="s">
        <v>71</v>
      </c>
      <c r="I1000">
        <f>HEX2DEC(_0811_173439[[#This Row],[580C]])*B$4/B$5+B$6</f>
        <v>800</v>
      </c>
      <c r="J1000">
        <f>HEX2DEC(_0811_173439[[#This Row],[4402]])*C$4/C$5+C$6</f>
        <v>36</v>
      </c>
      <c r="K1000">
        <f>HEX2DEC(_0811_173439[[#This Row],[580F]])*D$4/D$5+D$6</f>
        <v>30</v>
      </c>
      <c r="L1000">
        <f>ROUND(HEX2DEC(_0811_173439[[#This Row],[58F0]])*E$4/E$5+E$6,0)</f>
        <v>70</v>
      </c>
      <c r="M1000">
        <f>ROUND(HEX2DEC(_0811_173439[[#This Row],[5805]])*F$4/F$5+F$6,0)</f>
        <v>43</v>
      </c>
      <c r="N1000">
        <f>ROUND(HEX2DEC(_0811_173439[[#This Row],[58DD]])*G$4/G$5+G$6,2)</f>
        <v>-0.03</v>
      </c>
      <c r="P1000">
        <v>800</v>
      </c>
      <c r="Q1000">
        <v>36</v>
      </c>
      <c r="R1000">
        <v>30</v>
      </c>
      <c r="S1000">
        <v>70</v>
      </c>
      <c r="T1000">
        <v>43</v>
      </c>
      <c r="U1000">
        <v>-0.03</v>
      </c>
      <c r="W1000">
        <f>DataLog_T717420_Aug11_4_59_37pm[[#This Row],[RPM '[1/MIN']]]-Table3[[#This Row],[580C]]</f>
        <v>0</v>
      </c>
      <c r="X1000">
        <f>DataLog_T717420_Aug11_4_59_37pm[[#This Row],[OIL TEMP '[Â°C']]]-Table3[[#This Row],[4402]]</f>
        <v>0</v>
      </c>
      <c r="Y1000">
        <f>DataLog_T717420_Aug11_4_59_37pm[[#This Row],[INTAKE TEMP '[Â°C']]]-Table3[[#This Row],[580F]]</f>
        <v>0</v>
      </c>
      <c r="Z1000">
        <f>DataLog_T717420_Aug11_4_59_37pm[[#This Row],[HPFP PRES. '[BAR']]]-Table3[[#This Row],[58F0]]</f>
        <v>0</v>
      </c>
      <c r="AA1000">
        <f>DataLog_T717420_Aug11_4_59_37pm[[#This Row],[COOLANT TEMP '[Â°C']]]-Table3[[#This Row],[5805]]</f>
        <v>0</v>
      </c>
      <c r="AB1000">
        <f>DataLog_T717420_Aug11_4_59_37pm[[#This Row],[BOOST '[BAR']]]-Table3[[#This Row],[58DD]]</f>
        <v>0</v>
      </c>
    </row>
    <row r="1001" spans="2:28" x14ac:dyDescent="0.25">
      <c r="B1001" s="2" t="s">
        <v>189</v>
      </c>
      <c r="C1001" s="2" t="s">
        <v>30</v>
      </c>
      <c r="D1001" s="2" t="s">
        <v>151</v>
      </c>
      <c r="E1001" s="2" t="s">
        <v>170</v>
      </c>
      <c r="F1001" s="2" t="s">
        <v>253</v>
      </c>
      <c r="G1001" s="2" t="s">
        <v>71</v>
      </c>
      <c r="I1001">
        <f>HEX2DEC(_0811_173439[[#This Row],[580C]])*B$4/B$5+B$6</f>
        <v>760</v>
      </c>
      <c r="J1001">
        <f>HEX2DEC(_0811_173439[[#This Row],[4402]])*C$4/C$5+C$6</f>
        <v>36</v>
      </c>
      <c r="K1001">
        <f>HEX2DEC(_0811_173439[[#This Row],[580F]])*D$4/D$5+D$6</f>
        <v>30</v>
      </c>
      <c r="L1001">
        <f>ROUND(HEX2DEC(_0811_173439[[#This Row],[58F0]])*E$4/E$5+E$6,0)</f>
        <v>71</v>
      </c>
      <c r="M1001">
        <f>ROUND(HEX2DEC(_0811_173439[[#This Row],[5805]])*F$4/F$5+F$6,0)</f>
        <v>43</v>
      </c>
      <c r="N1001">
        <f>ROUND(HEX2DEC(_0811_173439[[#This Row],[58DD]])*G$4/G$5+G$6,2)</f>
        <v>-0.03</v>
      </c>
      <c r="P1001">
        <v>760</v>
      </c>
      <c r="Q1001">
        <v>36</v>
      </c>
      <c r="R1001">
        <v>30</v>
      </c>
      <c r="S1001">
        <v>71</v>
      </c>
      <c r="T1001">
        <v>43</v>
      </c>
      <c r="U1001">
        <v>-0.03</v>
      </c>
      <c r="W1001">
        <f>DataLog_T717420_Aug11_4_59_37pm[[#This Row],[RPM '[1/MIN']]]-Table3[[#This Row],[580C]]</f>
        <v>0</v>
      </c>
      <c r="X1001">
        <f>DataLog_T717420_Aug11_4_59_37pm[[#This Row],[OIL TEMP '[Â°C']]]-Table3[[#This Row],[4402]]</f>
        <v>0</v>
      </c>
      <c r="Y1001">
        <f>DataLog_T717420_Aug11_4_59_37pm[[#This Row],[INTAKE TEMP '[Â°C']]]-Table3[[#This Row],[580F]]</f>
        <v>0</v>
      </c>
      <c r="Z1001">
        <f>DataLog_T717420_Aug11_4_59_37pm[[#This Row],[HPFP PRES. '[BAR']]]-Table3[[#This Row],[58F0]]</f>
        <v>0</v>
      </c>
      <c r="AA1001">
        <f>DataLog_T717420_Aug11_4_59_37pm[[#This Row],[COOLANT TEMP '[Â°C']]]-Table3[[#This Row],[5805]]</f>
        <v>0</v>
      </c>
      <c r="AB1001">
        <f>DataLog_T717420_Aug11_4_59_37pm[[#This Row],[BOOST '[BAR']]]-Table3[[#This Row],[58DD]]</f>
        <v>0</v>
      </c>
    </row>
    <row r="1002" spans="2:28" x14ac:dyDescent="0.25">
      <c r="B1002" s="2" t="s">
        <v>183</v>
      </c>
      <c r="C1002" s="2" t="s">
        <v>30</v>
      </c>
      <c r="D1002" s="2" t="s">
        <v>151</v>
      </c>
      <c r="E1002" s="2" t="s">
        <v>118</v>
      </c>
      <c r="F1002" s="2" t="s">
        <v>253</v>
      </c>
      <c r="G1002" s="2" t="s">
        <v>71</v>
      </c>
      <c r="I1002">
        <f>HEX2DEC(_0811_173439[[#This Row],[580C]])*B$4/B$5+B$6</f>
        <v>800</v>
      </c>
      <c r="J1002">
        <f>HEX2DEC(_0811_173439[[#This Row],[4402]])*C$4/C$5+C$6</f>
        <v>36</v>
      </c>
      <c r="K1002">
        <f>HEX2DEC(_0811_173439[[#This Row],[580F]])*D$4/D$5+D$6</f>
        <v>30</v>
      </c>
      <c r="L1002">
        <f>ROUND(HEX2DEC(_0811_173439[[#This Row],[58F0]])*E$4/E$5+E$6,0)</f>
        <v>70</v>
      </c>
      <c r="M1002">
        <f>ROUND(HEX2DEC(_0811_173439[[#This Row],[5805]])*F$4/F$5+F$6,0)</f>
        <v>43</v>
      </c>
      <c r="N1002">
        <f>ROUND(HEX2DEC(_0811_173439[[#This Row],[58DD]])*G$4/G$5+G$6,2)</f>
        <v>-0.03</v>
      </c>
      <c r="P1002">
        <v>800</v>
      </c>
      <c r="Q1002">
        <v>36</v>
      </c>
      <c r="R1002">
        <v>30</v>
      </c>
      <c r="S1002">
        <v>70</v>
      </c>
      <c r="T1002">
        <v>43</v>
      </c>
      <c r="U1002">
        <v>-0.03</v>
      </c>
      <c r="W1002">
        <f>DataLog_T717420_Aug11_4_59_37pm[[#This Row],[RPM '[1/MIN']]]-Table3[[#This Row],[580C]]</f>
        <v>0</v>
      </c>
      <c r="X1002">
        <f>DataLog_T717420_Aug11_4_59_37pm[[#This Row],[OIL TEMP '[Â°C']]]-Table3[[#This Row],[4402]]</f>
        <v>0</v>
      </c>
      <c r="Y1002">
        <f>DataLog_T717420_Aug11_4_59_37pm[[#This Row],[INTAKE TEMP '[Â°C']]]-Table3[[#This Row],[580F]]</f>
        <v>0</v>
      </c>
      <c r="Z1002">
        <f>DataLog_T717420_Aug11_4_59_37pm[[#This Row],[HPFP PRES. '[BAR']]]-Table3[[#This Row],[58F0]]</f>
        <v>0</v>
      </c>
      <c r="AA1002">
        <f>DataLog_T717420_Aug11_4_59_37pm[[#This Row],[COOLANT TEMP '[Â°C']]]-Table3[[#This Row],[5805]]</f>
        <v>0</v>
      </c>
      <c r="AB1002">
        <f>DataLog_T717420_Aug11_4_59_37pm[[#This Row],[BOOST '[BAR']]]-Table3[[#This Row],[58DD]]</f>
        <v>0</v>
      </c>
    </row>
    <row r="1003" spans="2:28" x14ac:dyDescent="0.25">
      <c r="B1003" s="2" t="s">
        <v>183</v>
      </c>
      <c r="C1003" s="2" t="s">
        <v>30</v>
      </c>
      <c r="D1003" s="2" t="s">
        <v>151</v>
      </c>
      <c r="E1003" s="2" t="s">
        <v>125</v>
      </c>
      <c r="F1003" s="2" t="s">
        <v>253</v>
      </c>
      <c r="G1003" s="2" t="s">
        <v>236</v>
      </c>
      <c r="I1003">
        <f>HEX2DEC(_0811_173439[[#This Row],[580C]])*B$4/B$5+B$6</f>
        <v>800</v>
      </c>
      <c r="J1003">
        <f>HEX2DEC(_0811_173439[[#This Row],[4402]])*C$4/C$5+C$6</f>
        <v>36</v>
      </c>
      <c r="K1003">
        <f>HEX2DEC(_0811_173439[[#This Row],[580F]])*D$4/D$5+D$6</f>
        <v>30</v>
      </c>
      <c r="L1003">
        <f>ROUND(HEX2DEC(_0811_173439[[#This Row],[58F0]])*E$4/E$5+E$6,0)</f>
        <v>70</v>
      </c>
      <c r="M1003">
        <f>ROUND(HEX2DEC(_0811_173439[[#This Row],[5805]])*F$4/F$5+F$6,0)</f>
        <v>43</v>
      </c>
      <c r="N1003">
        <f>ROUND(HEX2DEC(_0811_173439[[#This Row],[58DD]])*G$4/G$5+G$6,2)</f>
        <v>-0.03</v>
      </c>
      <c r="P1003">
        <v>800</v>
      </c>
      <c r="Q1003">
        <v>36</v>
      </c>
      <c r="R1003">
        <v>30</v>
      </c>
      <c r="S1003">
        <v>70</v>
      </c>
      <c r="T1003">
        <v>43</v>
      </c>
      <c r="U1003">
        <v>-0.03</v>
      </c>
      <c r="W1003">
        <f>DataLog_T717420_Aug11_4_59_37pm[[#This Row],[RPM '[1/MIN']]]-Table3[[#This Row],[580C]]</f>
        <v>0</v>
      </c>
      <c r="X1003">
        <f>DataLog_T717420_Aug11_4_59_37pm[[#This Row],[OIL TEMP '[Â°C']]]-Table3[[#This Row],[4402]]</f>
        <v>0</v>
      </c>
      <c r="Y1003">
        <f>DataLog_T717420_Aug11_4_59_37pm[[#This Row],[INTAKE TEMP '[Â°C']]]-Table3[[#This Row],[580F]]</f>
        <v>0</v>
      </c>
      <c r="Z1003">
        <f>DataLog_T717420_Aug11_4_59_37pm[[#This Row],[HPFP PRES. '[BAR']]]-Table3[[#This Row],[58F0]]</f>
        <v>0</v>
      </c>
      <c r="AA1003">
        <f>DataLog_T717420_Aug11_4_59_37pm[[#This Row],[COOLANT TEMP '[Â°C']]]-Table3[[#This Row],[5805]]</f>
        <v>0</v>
      </c>
      <c r="AB1003">
        <f>DataLog_T717420_Aug11_4_59_37pm[[#This Row],[BOOST '[BAR']]]-Table3[[#This Row],[58DD]]</f>
        <v>0</v>
      </c>
    </row>
    <row r="1004" spans="2:28" x14ac:dyDescent="0.25">
      <c r="B1004" s="2" t="s">
        <v>189</v>
      </c>
      <c r="C1004" s="2" t="s">
        <v>30</v>
      </c>
      <c r="D1004" s="2" t="s">
        <v>151</v>
      </c>
      <c r="E1004" s="2" t="s">
        <v>217</v>
      </c>
      <c r="F1004" s="2" t="s">
        <v>253</v>
      </c>
      <c r="G1004" s="2" t="s">
        <v>53</v>
      </c>
      <c r="I1004">
        <f>HEX2DEC(_0811_173439[[#This Row],[580C]])*B$4/B$5+B$6</f>
        <v>760</v>
      </c>
      <c r="J1004">
        <f>HEX2DEC(_0811_173439[[#This Row],[4402]])*C$4/C$5+C$6</f>
        <v>36</v>
      </c>
      <c r="K1004">
        <f>HEX2DEC(_0811_173439[[#This Row],[580F]])*D$4/D$5+D$6</f>
        <v>30</v>
      </c>
      <c r="L1004">
        <f>ROUND(HEX2DEC(_0811_173439[[#This Row],[58F0]])*E$4/E$5+E$6,0)</f>
        <v>71</v>
      </c>
      <c r="M1004">
        <f>ROUND(HEX2DEC(_0811_173439[[#This Row],[5805]])*F$4/F$5+F$6,0)</f>
        <v>43</v>
      </c>
      <c r="N1004">
        <f>ROUND(HEX2DEC(_0811_173439[[#This Row],[58DD]])*G$4/G$5+G$6,2)</f>
        <v>-0.03</v>
      </c>
      <c r="P1004">
        <v>760</v>
      </c>
      <c r="Q1004">
        <v>36</v>
      </c>
      <c r="R1004">
        <v>30</v>
      </c>
      <c r="S1004">
        <v>71</v>
      </c>
      <c r="T1004">
        <v>43</v>
      </c>
      <c r="U1004">
        <v>-0.03</v>
      </c>
      <c r="W1004">
        <f>DataLog_T717420_Aug11_4_59_37pm[[#This Row],[RPM '[1/MIN']]]-Table3[[#This Row],[580C]]</f>
        <v>0</v>
      </c>
      <c r="X1004">
        <f>DataLog_T717420_Aug11_4_59_37pm[[#This Row],[OIL TEMP '[Â°C']]]-Table3[[#This Row],[4402]]</f>
        <v>0</v>
      </c>
      <c r="Y1004">
        <f>DataLog_T717420_Aug11_4_59_37pm[[#This Row],[INTAKE TEMP '[Â°C']]]-Table3[[#This Row],[580F]]</f>
        <v>0</v>
      </c>
      <c r="Z1004">
        <f>DataLog_T717420_Aug11_4_59_37pm[[#This Row],[HPFP PRES. '[BAR']]]-Table3[[#This Row],[58F0]]</f>
        <v>0</v>
      </c>
      <c r="AA1004">
        <f>DataLog_T717420_Aug11_4_59_37pm[[#This Row],[COOLANT TEMP '[Â°C']]]-Table3[[#This Row],[5805]]</f>
        <v>0</v>
      </c>
      <c r="AB1004">
        <f>DataLog_T717420_Aug11_4_59_37pm[[#This Row],[BOOST '[BAR']]]-Table3[[#This Row],[58DD]]</f>
        <v>0</v>
      </c>
    </row>
    <row r="1005" spans="2:28" x14ac:dyDescent="0.25">
      <c r="B1005" s="2" t="s">
        <v>189</v>
      </c>
      <c r="C1005" s="2" t="s">
        <v>30</v>
      </c>
      <c r="D1005" s="2" t="s">
        <v>151</v>
      </c>
      <c r="E1005" s="2" t="s">
        <v>172</v>
      </c>
      <c r="F1005" s="2" t="s">
        <v>253</v>
      </c>
      <c r="G1005" s="2" t="s">
        <v>71</v>
      </c>
      <c r="I1005">
        <f>HEX2DEC(_0811_173439[[#This Row],[580C]])*B$4/B$5+B$6</f>
        <v>760</v>
      </c>
      <c r="J1005">
        <f>HEX2DEC(_0811_173439[[#This Row],[4402]])*C$4/C$5+C$6</f>
        <v>36</v>
      </c>
      <c r="K1005">
        <f>HEX2DEC(_0811_173439[[#This Row],[580F]])*D$4/D$5+D$6</f>
        <v>30</v>
      </c>
      <c r="L1005">
        <f>ROUND(HEX2DEC(_0811_173439[[#This Row],[58F0]])*E$4/E$5+E$6,0)</f>
        <v>70</v>
      </c>
      <c r="M1005">
        <f>ROUND(HEX2DEC(_0811_173439[[#This Row],[5805]])*F$4/F$5+F$6,0)</f>
        <v>43</v>
      </c>
      <c r="N1005">
        <f>ROUND(HEX2DEC(_0811_173439[[#This Row],[58DD]])*G$4/G$5+G$6,2)</f>
        <v>-0.03</v>
      </c>
      <c r="P1005">
        <v>760</v>
      </c>
      <c r="Q1005">
        <v>36</v>
      </c>
      <c r="R1005">
        <v>30</v>
      </c>
      <c r="S1005">
        <v>70</v>
      </c>
      <c r="T1005">
        <v>43</v>
      </c>
      <c r="U1005">
        <v>-0.03</v>
      </c>
      <c r="W1005">
        <f>DataLog_T717420_Aug11_4_59_37pm[[#This Row],[RPM '[1/MIN']]]-Table3[[#This Row],[580C]]</f>
        <v>0</v>
      </c>
      <c r="X1005">
        <f>DataLog_T717420_Aug11_4_59_37pm[[#This Row],[OIL TEMP '[Â°C']]]-Table3[[#This Row],[4402]]</f>
        <v>0</v>
      </c>
      <c r="Y1005">
        <f>DataLog_T717420_Aug11_4_59_37pm[[#This Row],[INTAKE TEMP '[Â°C']]]-Table3[[#This Row],[580F]]</f>
        <v>0</v>
      </c>
      <c r="Z1005">
        <f>DataLog_T717420_Aug11_4_59_37pm[[#This Row],[HPFP PRES. '[BAR']]]-Table3[[#This Row],[58F0]]</f>
        <v>0</v>
      </c>
      <c r="AA1005">
        <f>DataLog_T717420_Aug11_4_59_37pm[[#This Row],[COOLANT TEMP '[Â°C']]]-Table3[[#This Row],[5805]]</f>
        <v>0</v>
      </c>
      <c r="AB1005">
        <f>DataLog_T717420_Aug11_4_59_37pm[[#This Row],[BOOST '[BAR']]]-Table3[[#This Row],[58DD]]</f>
        <v>0</v>
      </c>
    </row>
    <row r="1006" spans="2:28" x14ac:dyDescent="0.25">
      <c r="B1006" s="2" t="s">
        <v>189</v>
      </c>
      <c r="C1006" s="2" t="s">
        <v>30</v>
      </c>
      <c r="D1006" s="2" t="s">
        <v>151</v>
      </c>
      <c r="E1006" s="2" t="s">
        <v>207</v>
      </c>
      <c r="F1006" s="2" t="s">
        <v>253</v>
      </c>
      <c r="G1006" s="2" t="s">
        <v>71</v>
      </c>
      <c r="I1006">
        <f>HEX2DEC(_0811_173439[[#This Row],[580C]])*B$4/B$5+B$6</f>
        <v>760</v>
      </c>
      <c r="J1006">
        <f>HEX2DEC(_0811_173439[[#This Row],[4402]])*C$4/C$5+C$6</f>
        <v>36</v>
      </c>
      <c r="K1006">
        <f>HEX2DEC(_0811_173439[[#This Row],[580F]])*D$4/D$5+D$6</f>
        <v>30</v>
      </c>
      <c r="L1006">
        <f>ROUND(HEX2DEC(_0811_173439[[#This Row],[58F0]])*E$4/E$5+E$6,0)</f>
        <v>70</v>
      </c>
      <c r="M1006">
        <f>ROUND(HEX2DEC(_0811_173439[[#This Row],[5805]])*F$4/F$5+F$6,0)</f>
        <v>43</v>
      </c>
      <c r="N1006">
        <f>ROUND(HEX2DEC(_0811_173439[[#This Row],[58DD]])*G$4/G$5+G$6,2)</f>
        <v>-0.03</v>
      </c>
      <c r="P1006">
        <v>760</v>
      </c>
      <c r="Q1006">
        <v>36</v>
      </c>
      <c r="R1006">
        <v>30</v>
      </c>
      <c r="S1006">
        <v>70</v>
      </c>
      <c r="T1006">
        <v>43</v>
      </c>
      <c r="U1006">
        <v>-0.03</v>
      </c>
      <c r="W1006">
        <f>DataLog_T717420_Aug11_4_59_37pm[[#This Row],[RPM '[1/MIN']]]-Table3[[#This Row],[580C]]</f>
        <v>0</v>
      </c>
      <c r="X1006">
        <f>DataLog_T717420_Aug11_4_59_37pm[[#This Row],[OIL TEMP '[Â°C']]]-Table3[[#This Row],[4402]]</f>
        <v>0</v>
      </c>
      <c r="Y1006">
        <f>DataLog_T717420_Aug11_4_59_37pm[[#This Row],[INTAKE TEMP '[Â°C']]]-Table3[[#This Row],[580F]]</f>
        <v>0</v>
      </c>
      <c r="Z1006">
        <f>DataLog_T717420_Aug11_4_59_37pm[[#This Row],[HPFP PRES. '[BAR']]]-Table3[[#This Row],[58F0]]</f>
        <v>0</v>
      </c>
      <c r="AA1006">
        <f>DataLog_T717420_Aug11_4_59_37pm[[#This Row],[COOLANT TEMP '[Â°C']]]-Table3[[#This Row],[5805]]</f>
        <v>0</v>
      </c>
      <c r="AB1006">
        <f>DataLog_T717420_Aug11_4_59_37pm[[#This Row],[BOOST '[BAR']]]-Table3[[#This Row],[58DD]]</f>
        <v>0</v>
      </c>
    </row>
    <row r="1007" spans="2:28" x14ac:dyDescent="0.25">
      <c r="B1007" s="2" t="s">
        <v>189</v>
      </c>
      <c r="C1007" s="2" t="s">
        <v>30</v>
      </c>
      <c r="D1007" s="2" t="s">
        <v>151</v>
      </c>
      <c r="E1007" s="2" t="s">
        <v>162</v>
      </c>
      <c r="F1007" s="2" t="s">
        <v>253</v>
      </c>
      <c r="G1007" s="2" t="s">
        <v>96</v>
      </c>
      <c r="I1007">
        <f>HEX2DEC(_0811_173439[[#This Row],[580C]])*B$4/B$5+B$6</f>
        <v>760</v>
      </c>
      <c r="J1007">
        <f>HEX2DEC(_0811_173439[[#This Row],[4402]])*C$4/C$5+C$6</f>
        <v>36</v>
      </c>
      <c r="K1007">
        <f>HEX2DEC(_0811_173439[[#This Row],[580F]])*D$4/D$5+D$6</f>
        <v>30</v>
      </c>
      <c r="L1007">
        <f>ROUND(HEX2DEC(_0811_173439[[#This Row],[58F0]])*E$4/E$5+E$6,0)</f>
        <v>71</v>
      </c>
      <c r="M1007">
        <f>ROUND(HEX2DEC(_0811_173439[[#This Row],[5805]])*F$4/F$5+F$6,0)</f>
        <v>43</v>
      </c>
      <c r="N1007">
        <f>ROUND(HEX2DEC(_0811_173439[[#This Row],[58DD]])*G$4/G$5+G$6,2)</f>
        <v>-0.03</v>
      </c>
      <c r="P1007">
        <v>760</v>
      </c>
      <c r="Q1007">
        <v>36</v>
      </c>
      <c r="R1007">
        <v>30</v>
      </c>
      <c r="S1007">
        <v>71</v>
      </c>
      <c r="T1007">
        <v>43</v>
      </c>
      <c r="U1007">
        <v>-0.03</v>
      </c>
      <c r="W1007">
        <f>DataLog_T717420_Aug11_4_59_37pm[[#This Row],[RPM '[1/MIN']]]-Table3[[#This Row],[580C]]</f>
        <v>0</v>
      </c>
      <c r="X1007">
        <f>DataLog_T717420_Aug11_4_59_37pm[[#This Row],[OIL TEMP '[Â°C']]]-Table3[[#This Row],[4402]]</f>
        <v>0</v>
      </c>
      <c r="Y1007">
        <f>DataLog_T717420_Aug11_4_59_37pm[[#This Row],[INTAKE TEMP '[Â°C']]]-Table3[[#This Row],[580F]]</f>
        <v>0</v>
      </c>
      <c r="Z1007">
        <f>DataLog_T717420_Aug11_4_59_37pm[[#This Row],[HPFP PRES. '[BAR']]]-Table3[[#This Row],[58F0]]</f>
        <v>0</v>
      </c>
      <c r="AA1007">
        <f>DataLog_T717420_Aug11_4_59_37pm[[#This Row],[COOLANT TEMP '[Â°C']]]-Table3[[#This Row],[5805]]</f>
        <v>0</v>
      </c>
      <c r="AB1007">
        <f>DataLog_T717420_Aug11_4_59_37pm[[#This Row],[BOOST '[BAR']]]-Table3[[#This Row],[58DD]]</f>
        <v>0</v>
      </c>
    </row>
    <row r="1008" spans="2:28" x14ac:dyDescent="0.25">
      <c r="B1008" s="2" t="s">
        <v>189</v>
      </c>
      <c r="C1008" s="2" t="s">
        <v>30</v>
      </c>
      <c r="D1008" s="2" t="s">
        <v>151</v>
      </c>
      <c r="E1008" s="2" t="s">
        <v>165</v>
      </c>
      <c r="F1008" s="2" t="s">
        <v>253</v>
      </c>
      <c r="G1008" s="2" t="s">
        <v>216</v>
      </c>
      <c r="I1008">
        <f>HEX2DEC(_0811_173439[[#This Row],[580C]])*B$4/B$5+B$6</f>
        <v>760</v>
      </c>
      <c r="J1008">
        <f>HEX2DEC(_0811_173439[[#This Row],[4402]])*C$4/C$5+C$6</f>
        <v>36</v>
      </c>
      <c r="K1008">
        <f>HEX2DEC(_0811_173439[[#This Row],[580F]])*D$4/D$5+D$6</f>
        <v>30</v>
      </c>
      <c r="L1008">
        <f>ROUND(HEX2DEC(_0811_173439[[#This Row],[58F0]])*E$4/E$5+E$6,0)</f>
        <v>70</v>
      </c>
      <c r="M1008">
        <f>ROUND(HEX2DEC(_0811_173439[[#This Row],[5805]])*F$4/F$5+F$6,0)</f>
        <v>43</v>
      </c>
      <c r="N1008">
        <f>ROUND(HEX2DEC(_0811_173439[[#This Row],[58DD]])*G$4/G$5+G$6,2)</f>
        <v>-0.03</v>
      </c>
      <c r="P1008">
        <v>760</v>
      </c>
      <c r="Q1008">
        <v>36</v>
      </c>
      <c r="R1008">
        <v>30</v>
      </c>
      <c r="S1008">
        <v>70</v>
      </c>
      <c r="T1008">
        <v>43</v>
      </c>
      <c r="U1008">
        <v>-0.03</v>
      </c>
      <c r="W1008">
        <f>DataLog_T717420_Aug11_4_59_37pm[[#This Row],[RPM '[1/MIN']]]-Table3[[#This Row],[580C]]</f>
        <v>0</v>
      </c>
      <c r="X1008">
        <f>DataLog_T717420_Aug11_4_59_37pm[[#This Row],[OIL TEMP '[Â°C']]]-Table3[[#This Row],[4402]]</f>
        <v>0</v>
      </c>
      <c r="Y1008">
        <f>DataLog_T717420_Aug11_4_59_37pm[[#This Row],[INTAKE TEMP '[Â°C']]]-Table3[[#This Row],[580F]]</f>
        <v>0</v>
      </c>
      <c r="Z1008">
        <f>DataLog_T717420_Aug11_4_59_37pm[[#This Row],[HPFP PRES. '[BAR']]]-Table3[[#This Row],[58F0]]</f>
        <v>0</v>
      </c>
      <c r="AA1008">
        <f>DataLog_T717420_Aug11_4_59_37pm[[#This Row],[COOLANT TEMP '[Â°C']]]-Table3[[#This Row],[5805]]</f>
        <v>0</v>
      </c>
      <c r="AB1008">
        <f>DataLog_T717420_Aug11_4_59_37pm[[#This Row],[BOOST '[BAR']]]-Table3[[#This Row],[58DD]]</f>
        <v>0</v>
      </c>
    </row>
    <row r="1009" spans="2:28" x14ac:dyDescent="0.25">
      <c r="B1009" s="2" t="s">
        <v>189</v>
      </c>
      <c r="C1009" s="2" t="s">
        <v>30</v>
      </c>
      <c r="D1009" s="2" t="s">
        <v>151</v>
      </c>
      <c r="E1009" s="2" t="s">
        <v>148</v>
      </c>
      <c r="F1009" s="2" t="s">
        <v>253</v>
      </c>
      <c r="G1009" s="2" t="s">
        <v>190</v>
      </c>
      <c r="I1009">
        <f>HEX2DEC(_0811_173439[[#This Row],[580C]])*B$4/B$5+B$6</f>
        <v>760</v>
      </c>
      <c r="J1009">
        <f>HEX2DEC(_0811_173439[[#This Row],[4402]])*C$4/C$5+C$6</f>
        <v>36</v>
      </c>
      <c r="K1009">
        <f>HEX2DEC(_0811_173439[[#This Row],[580F]])*D$4/D$5+D$6</f>
        <v>30</v>
      </c>
      <c r="L1009">
        <f>ROUND(HEX2DEC(_0811_173439[[#This Row],[58F0]])*E$4/E$5+E$6,0)</f>
        <v>70</v>
      </c>
      <c r="M1009">
        <f>ROUND(HEX2DEC(_0811_173439[[#This Row],[5805]])*F$4/F$5+F$6,0)</f>
        <v>43</v>
      </c>
      <c r="N1009">
        <f>ROUND(HEX2DEC(_0811_173439[[#This Row],[58DD]])*G$4/G$5+G$6,2)</f>
        <v>-0.03</v>
      </c>
      <c r="P1009">
        <v>760</v>
      </c>
      <c r="Q1009">
        <v>36</v>
      </c>
      <c r="R1009">
        <v>30</v>
      </c>
      <c r="S1009">
        <v>70</v>
      </c>
      <c r="T1009">
        <v>43</v>
      </c>
      <c r="U1009">
        <v>-0.03</v>
      </c>
      <c r="W1009">
        <f>DataLog_T717420_Aug11_4_59_37pm[[#This Row],[RPM '[1/MIN']]]-Table3[[#This Row],[580C]]</f>
        <v>0</v>
      </c>
      <c r="X1009">
        <f>DataLog_T717420_Aug11_4_59_37pm[[#This Row],[OIL TEMP '[Â°C']]]-Table3[[#This Row],[4402]]</f>
        <v>0</v>
      </c>
      <c r="Y1009">
        <f>DataLog_T717420_Aug11_4_59_37pm[[#This Row],[INTAKE TEMP '[Â°C']]]-Table3[[#This Row],[580F]]</f>
        <v>0</v>
      </c>
      <c r="Z1009">
        <f>DataLog_T717420_Aug11_4_59_37pm[[#This Row],[HPFP PRES. '[BAR']]]-Table3[[#This Row],[58F0]]</f>
        <v>0</v>
      </c>
      <c r="AA1009">
        <f>DataLog_T717420_Aug11_4_59_37pm[[#This Row],[COOLANT TEMP '[Â°C']]]-Table3[[#This Row],[5805]]</f>
        <v>0</v>
      </c>
      <c r="AB1009">
        <f>DataLog_T717420_Aug11_4_59_37pm[[#This Row],[BOOST '[BAR']]]-Table3[[#This Row],[58DD]]</f>
        <v>0</v>
      </c>
    </row>
    <row r="1010" spans="2:28" x14ac:dyDescent="0.25">
      <c r="B1010" s="2" t="s">
        <v>189</v>
      </c>
      <c r="C1010" s="2" t="s">
        <v>30</v>
      </c>
      <c r="D1010" s="2" t="s">
        <v>151</v>
      </c>
      <c r="E1010" s="2" t="s">
        <v>178</v>
      </c>
      <c r="F1010" s="2" t="s">
        <v>253</v>
      </c>
      <c r="G1010" s="2" t="s">
        <v>71</v>
      </c>
      <c r="I1010">
        <f>HEX2DEC(_0811_173439[[#This Row],[580C]])*B$4/B$5+B$6</f>
        <v>760</v>
      </c>
      <c r="J1010">
        <f>HEX2DEC(_0811_173439[[#This Row],[4402]])*C$4/C$5+C$6</f>
        <v>36</v>
      </c>
      <c r="K1010">
        <f>HEX2DEC(_0811_173439[[#This Row],[580F]])*D$4/D$5+D$6</f>
        <v>30</v>
      </c>
      <c r="L1010">
        <f>ROUND(HEX2DEC(_0811_173439[[#This Row],[58F0]])*E$4/E$5+E$6,0)</f>
        <v>71</v>
      </c>
      <c r="M1010">
        <f>ROUND(HEX2DEC(_0811_173439[[#This Row],[5805]])*F$4/F$5+F$6,0)</f>
        <v>43</v>
      </c>
      <c r="N1010">
        <f>ROUND(HEX2DEC(_0811_173439[[#This Row],[58DD]])*G$4/G$5+G$6,2)</f>
        <v>-0.03</v>
      </c>
      <c r="P1010">
        <v>760</v>
      </c>
      <c r="Q1010">
        <v>36</v>
      </c>
      <c r="R1010">
        <v>30</v>
      </c>
      <c r="S1010">
        <v>71</v>
      </c>
      <c r="T1010">
        <v>43</v>
      </c>
      <c r="U1010">
        <v>-0.03</v>
      </c>
      <c r="W1010">
        <f>DataLog_T717420_Aug11_4_59_37pm[[#This Row],[RPM '[1/MIN']]]-Table3[[#This Row],[580C]]</f>
        <v>0</v>
      </c>
      <c r="X1010">
        <f>DataLog_T717420_Aug11_4_59_37pm[[#This Row],[OIL TEMP '[Â°C']]]-Table3[[#This Row],[4402]]</f>
        <v>0</v>
      </c>
      <c r="Y1010">
        <f>DataLog_T717420_Aug11_4_59_37pm[[#This Row],[INTAKE TEMP '[Â°C']]]-Table3[[#This Row],[580F]]</f>
        <v>0</v>
      </c>
      <c r="Z1010">
        <f>DataLog_T717420_Aug11_4_59_37pm[[#This Row],[HPFP PRES. '[BAR']]]-Table3[[#This Row],[58F0]]</f>
        <v>0</v>
      </c>
      <c r="AA1010">
        <f>DataLog_T717420_Aug11_4_59_37pm[[#This Row],[COOLANT TEMP '[Â°C']]]-Table3[[#This Row],[5805]]</f>
        <v>0</v>
      </c>
      <c r="AB1010">
        <f>DataLog_T717420_Aug11_4_59_37pm[[#This Row],[BOOST '[BAR']]]-Table3[[#This Row],[58DD]]</f>
        <v>0</v>
      </c>
    </row>
    <row r="1011" spans="2:28" x14ac:dyDescent="0.25">
      <c r="B1011" s="2" t="s">
        <v>183</v>
      </c>
      <c r="C1011" s="2" t="s">
        <v>30</v>
      </c>
      <c r="D1011" s="2" t="s">
        <v>151</v>
      </c>
      <c r="E1011" s="2" t="s">
        <v>152</v>
      </c>
      <c r="F1011" s="2" t="s">
        <v>253</v>
      </c>
      <c r="G1011" s="2" t="s">
        <v>71</v>
      </c>
      <c r="I1011">
        <f>HEX2DEC(_0811_173439[[#This Row],[580C]])*B$4/B$5+B$6</f>
        <v>800</v>
      </c>
      <c r="J1011">
        <f>HEX2DEC(_0811_173439[[#This Row],[4402]])*C$4/C$5+C$6</f>
        <v>36</v>
      </c>
      <c r="K1011">
        <f>HEX2DEC(_0811_173439[[#This Row],[580F]])*D$4/D$5+D$6</f>
        <v>30</v>
      </c>
      <c r="L1011">
        <f>ROUND(HEX2DEC(_0811_173439[[#This Row],[58F0]])*E$4/E$5+E$6,0)</f>
        <v>70</v>
      </c>
      <c r="M1011">
        <f>ROUND(HEX2DEC(_0811_173439[[#This Row],[5805]])*F$4/F$5+F$6,0)</f>
        <v>43</v>
      </c>
      <c r="N1011">
        <f>ROUND(HEX2DEC(_0811_173439[[#This Row],[58DD]])*G$4/G$5+G$6,2)</f>
        <v>-0.03</v>
      </c>
      <c r="P1011">
        <v>800</v>
      </c>
      <c r="Q1011">
        <v>36</v>
      </c>
      <c r="R1011">
        <v>30</v>
      </c>
      <c r="S1011">
        <v>70</v>
      </c>
      <c r="T1011">
        <v>43</v>
      </c>
      <c r="U1011">
        <v>-0.03</v>
      </c>
      <c r="W1011">
        <f>DataLog_T717420_Aug11_4_59_37pm[[#This Row],[RPM '[1/MIN']]]-Table3[[#This Row],[580C]]</f>
        <v>0</v>
      </c>
      <c r="X1011">
        <f>DataLog_T717420_Aug11_4_59_37pm[[#This Row],[OIL TEMP '[Â°C']]]-Table3[[#This Row],[4402]]</f>
        <v>0</v>
      </c>
      <c r="Y1011">
        <f>DataLog_T717420_Aug11_4_59_37pm[[#This Row],[INTAKE TEMP '[Â°C']]]-Table3[[#This Row],[580F]]</f>
        <v>0</v>
      </c>
      <c r="Z1011">
        <f>DataLog_T717420_Aug11_4_59_37pm[[#This Row],[HPFP PRES. '[BAR']]]-Table3[[#This Row],[58F0]]</f>
        <v>0</v>
      </c>
      <c r="AA1011">
        <f>DataLog_T717420_Aug11_4_59_37pm[[#This Row],[COOLANT TEMP '[Â°C']]]-Table3[[#This Row],[5805]]</f>
        <v>0</v>
      </c>
      <c r="AB1011">
        <f>DataLog_T717420_Aug11_4_59_37pm[[#This Row],[BOOST '[BAR']]]-Table3[[#This Row],[58DD]]</f>
        <v>0</v>
      </c>
    </row>
    <row r="1012" spans="2:28" x14ac:dyDescent="0.25">
      <c r="B1012" s="2" t="s">
        <v>183</v>
      </c>
      <c r="C1012" s="2" t="s">
        <v>30</v>
      </c>
      <c r="D1012" s="2" t="s">
        <v>151</v>
      </c>
      <c r="E1012" s="2" t="s">
        <v>148</v>
      </c>
      <c r="F1012" s="2" t="s">
        <v>253</v>
      </c>
      <c r="G1012" s="2" t="s">
        <v>96</v>
      </c>
      <c r="I1012">
        <f>HEX2DEC(_0811_173439[[#This Row],[580C]])*B$4/B$5+B$6</f>
        <v>800</v>
      </c>
      <c r="J1012">
        <f>HEX2DEC(_0811_173439[[#This Row],[4402]])*C$4/C$5+C$6</f>
        <v>36</v>
      </c>
      <c r="K1012">
        <f>HEX2DEC(_0811_173439[[#This Row],[580F]])*D$4/D$5+D$6</f>
        <v>30</v>
      </c>
      <c r="L1012">
        <f>ROUND(HEX2DEC(_0811_173439[[#This Row],[58F0]])*E$4/E$5+E$6,0)</f>
        <v>70</v>
      </c>
      <c r="M1012">
        <f>ROUND(HEX2DEC(_0811_173439[[#This Row],[5805]])*F$4/F$5+F$6,0)</f>
        <v>43</v>
      </c>
      <c r="N1012">
        <f>ROUND(HEX2DEC(_0811_173439[[#This Row],[58DD]])*G$4/G$5+G$6,2)</f>
        <v>-0.03</v>
      </c>
      <c r="P1012">
        <v>800</v>
      </c>
      <c r="Q1012">
        <v>36</v>
      </c>
      <c r="R1012">
        <v>30</v>
      </c>
      <c r="S1012">
        <v>70</v>
      </c>
      <c r="T1012">
        <v>43</v>
      </c>
      <c r="U1012">
        <v>-0.03</v>
      </c>
      <c r="W1012">
        <f>DataLog_T717420_Aug11_4_59_37pm[[#This Row],[RPM '[1/MIN']]]-Table3[[#This Row],[580C]]</f>
        <v>0</v>
      </c>
      <c r="X1012">
        <f>DataLog_T717420_Aug11_4_59_37pm[[#This Row],[OIL TEMP '[Â°C']]]-Table3[[#This Row],[4402]]</f>
        <v>0</v>
      </c>
      <c r="Y1012">
        <f>DataLog_T717420_Aug11_4_59_37pm[[#This Row],[INTAKE TEMP '[Â°C']]]-Table3[[#This Row],[580F]]</f>
        <v>0</v>
      </c>
      <c r="Z1012">
        <f>DataLog_T717420_Aug11_4_59_37pm[[#This Row],[HPFP PRES. '[BAR']]]-Table3[[#This Row],[58F0]]</f>
        <v>0</v>
      </c>
      <c r="AA1012">
        <f>DataLog_T717420_Aug11_4_59_37pm[[#This Row],[COOLANT TEMP '[Â°C']]]-Table3[[#This Row],[5805]]</f>
        <v>0</v>
      </c>
      <c r="AB1012">
        <f>DataLog_T717420_Aug11_4_59_37pm[[#This Row],[BOOST '[BAR']]]-Table3[[#This Row],[58DD]]</f>
        <v>0</v>
      </c>
    </row>
    <row r="1013" spans="2:28" x14ac:dyDescent="0.25">
      <c r="B1013" s="2" t="s">
        <v>183</v>
      </c>
      <c r="C1013" s="2" t="s">
        <v>30</v>
      </c>
      <c r="D1013" s="2" t="s">
        <v>151</v>
      </c>
      <c r="E1013" s="2" t="s">
        <v>121</v>
      </c>
      <c r="F1013" s="2" t="s">
        <v>253</v>
      </c>
      <c r="G1013" s="2" t="s">
        <v>96</v>
      </c>
      <c r="I1013">
        <f>HEX2DEC(_0811_173439[[#This Row],[580C]])*B$4/B$5+B$6</f>
        <v>800</v>
      </c>
      <c r="J1013">
        <f>HEX2DEC(_0811_173439[[#This Row],[4402]])*C$4/C$5+C$6</f>
        <v>36</v>
      </c>
      <c r="K1013">
        <f>HEX2DEC(_0811_173439[[#This Row],[580F]])*D$4/D$5+D$6</f>
        <v>30</v>
      </c>
      <c r="L1013">
        <f>ROUND(HEX2DEC(_0811_173439[[#This Row],[58F0]])*E$4/E$5+E$6,0)</f>
        <v>71</v>
      </c>
      <c r="M1013">
        <f>ROUND(HEX2DEC(_0811_173439[[#This Row],[5805]])*F$4/F$5+F$6,0)</f>
        <v>43</v>
      </c>
      <c r="N1013">
        <f>ROUND(HEX2DEC(_0811_173439[[#This Row],[58DD]])*G$4/G$5+G$6,2)</f>
        <v>-0.03</v>
      </c>
      <c r="P1013">
        <v>800</v>
      </c>
      <c r="Q1013">
        <v>36</v>
      </c>
      <c r="R1013">
        <v>30</v>
      </c>
      <c r="S1013">
        <v>71</v>
      </c>
      <c r="T1013">
        <v>43</v>
      </c>
      <c r="U1013">
        <v>-0.03</v>
      </c>
      <c r="W1013">
        <f>DataLog_T717420_Aug11_4_59_37pm[[#This Row],[RPM '[1/MIN']]]-Table3[[#This Row],[580C]]</f>
        <v>0</v>
      </c>
      <c r="X1013">
        <f>DataLog_T717420_Aug11_4_59_37pm[[#This Row],[OIL TEMP '[Â°C']]]-Table3[[#This Row],[4402]]</f>
        <v>0</v>
      </c>
      <c r="Y1013">
        <f>DataLog_T717420_Aug11_4_59_37pm[[#This Row],[INTAKE TEMP '[Â°C']]]-Table3[[#This Row],[580F]]</f>
        <v>0</v>
      </c>
      <c r="Z1013">
        <f>DataLog_T717420_Aug11_4_59_37pm[[#This Row],[HPFP PRES. '[BAR']]]-Table3[[#This Row],[58F0]]</f>
        <v>0</v>
      </c>
      <c r="AA1013">
        <f>DataLog_T717420_Aug11_4_59_37pm[[#This Row],[COOLANT TEMP '[Â°C']]]-Table3[[#This Row],[5805]]</f>
        <v>0</v>
      </c>
      <c r="AB1013">
        <f>DataLog_T717420_Aug11_4_59_37pm[[#This Row],[BOOST '[BAR']]]-Table3[[#This Row],[58DD]]</f>
        <v>0</v>
      </c>
    </row>
    <row r="1014" spans="2:28" x14ac:dyDescent="0.25">
      <c r="B1014" s="2" t="s">
        <v>183</v>
      </c>
      <c r="C1014" s="2" t="s">
        <v>30</v>
      </c>
      <c r="D1014" s="2" t="s">
        <v>151</v>
      </c>
      <c r="E1014" s="2" t="s">
        <v>127</v>
      </c>
      <c r="F1014" s="2" t="s">
        <v>253</v>
      </c>
      <c r="G1014" s="2" t="s">
        <v>71</v>
      </c>
      <c r="I1014">
        <f>HEX2DEC(_0811_173439[[#This Row],[580C]])*B$4/B$5+B$6</f>
        <v>800</v>
      </c>
      <c r="J1014">
        <f>HEX2DEC(_0811_173439[[#This Row],[4402]])*C$4/C$5+C$6</f>
        <v>36</v>
      </c>
      <c r="K1014">
        <f>HEX2DEC(_0811_173439[[#This Row],[580F]])*D$4/D$5+D$6</f>
        <v>30</v>
      </c>
      <c r="L1014">
        <f>ROUND(HEX2DEC(_0811_173439[[#This Row],[58F0]])*E$4/E$5+E$6,0)</f>
        <v>70</v>
      </c>
      <c r="M1014">
        <f>ROUND(HEX2DEC(_0811_173439[[#This Row],[5805]])*F$4/F$5+F$6,0)</f>
        <v>43</v>
      </c>
      <c r="N1014">
        <f>ROUND(HEX2DEC(_0811_173439[[#This Row],[58DD]])*G$4/G$5+G$6,2)</f>
        <v>-0.03</v>
      </c>
      <c r="P1014">
        <v>800</v>
      </c>
      <c r="Q1014">
        <v>36</v>
      </c>
      <c r="R1014">
        <v>30</v>
      </c>
      <c r="S1014">
        <v>70</v>
      </c>
      <c r="T1014">
        <v>43</v>
      </c>
      <c r="U1014">
        <v>-0.03</v>
      </c>
      <c r="W1014">
        <f>DataLog_T717420_Aug11_4_59_37pm[[#This Row],[RPM '[1/MIN']]]-Table3[[#This Row],[580C]]</f>
        <v>0</v>
      </c>
      <c r="X1014">
        <f>DataLog_T717420_Aug11_4_59_37pm[[#This Row],[OIL TEMP '[Â°C']]]-Table3[[#This Row],[4402]]</f>
        <v>0</v>
      </c>
      <c r="Y1014">
        <f>DataLog_T717420_Aug11_4_59_37pm[[#This Row],[INTAKE TEMP '[Â°C']]]-Table3[[#This Row],[580F]]</f>
        <v>0</v>
      </c>
      <c r="Z1014">
        <f>DataLog_T717420_Aug11_4_59_37pm[[#This Row],[HPFP PRES. '[BAR']]]-Table3[[#This Row],[58F0]]</f>
        <v>0</v>
      </c>
      <c r="AA1014">
        <f>DataLog_T717420_Aug11_4_59_37pm[[#This Row],[COOLANT TEMP '[Â°C']]]-Table3[[#This Row],[5805]]</f>
        <v>0</v>
      </c>
      <c r="AB1014">
        <f>DataLog_T717420_Aug11_4_59_37pm[[#This Row],[BOOST '[BAR']]]-Table3[[#This Row],[58DD]]</f>
        <v>0</v>
      </c>
    </row>
    <row r="1015" spans="2:28" x14ac:dyDescent="0.25">
      <c r="B1015" s="2" t="s">
        <v>183</v>
      </c>
      <c r="C1015" s="2" t="s">
        <v>30</v>
      </c>
      <c r="D1015" s="2" t="s">
        <v>151</v>
      </c>
      <c r="E1015" s="2" t="s">
        <v>248</v>
      </c>
      <c r="F1015" s="2" t="s">
        <v>253</v>
      </c>
      <c r="G1015" s="2" t="s">
        <v>190</v>
      </c>
      <c r="I1015">
        <f>HEX2DEC(_0811_173439[[#This Row],[580C]])*B$4/B$5+B$6</f>
        <v>800</v>
      </c>
      <c r="J1015">
        <f>HEX2DEC(_0811_173439[[#This Row],[4402]])*C$4/C$5+C$6</f>
        <v>36</v>
      </c>
      <c r="K1015">
        <f>HEX2DEC(_0811_173439[[#This Row],[580F]])*D$4/D$5+D$6</f>
        <v>30</v>
      </c>
      <c r="L1015">
        <f>ROUND(HEX2DEC(_0811_173439[[#This Row],[58F0]])*E$4/E$5+E$6,0)</f>
        <v>70</v>
      </c>
      <c r="M1015">
        <f>ROUND(HEX2DEC(_0811_173439[[#This Row],[5805]])*F$4/F$5+F$6,0)</f>
        <v>43</v>
      </c>
      <c r="N1015">
        <f>ROUND(HEX2DEC(_0811_173439[[#This Row],[58DD]])*G$4/G$5+G$6,2)</f>
        <v>-0.03</v>
      </c>
      <c r="P1015">
        <v>800</v>
      </c>
      <c r="Q1015">
        <v>36</v>
      </c>
      <c r="R1015">
        <v>30</v>
      </c>
      <c r="S1015">
        <v>70</v>
      </c>
      <c r="T1015">
        <v>43</v>
      </c>
      <c r="U1015">
        <v>-0.03</v>
      </c>
      <c r="W1015">
        <f>DataLog_T717420_Aug11_4_59_37pm[[#This Row],[RPM '[1/MIN']]]-Table3[[#This Row],[580C]]</f>
        <v>0</v>
      </c>
      <c r="X1015">
        <f>DataLog_T717420_Aug11_4_59_37pm[[#This Row],[OIL TEMP '[Â°C']]]-Table3[[#This Row],[4402]]</f>
        <v>0</v>
      </c>
      <c r="Y1015">
        <f>DataLog_T717420_Aug11_4_59_37pm[[#This Row],[INTAKE TEMP '[Â°C']]]-Table3[[#This Row],[580F]]</f>
        <v>0</v>
      </c>
      <c r="Z1015">
        <f>DataLog_T717420_Aug11_4_59_37pm[[#This Row],[HPFP PRES. '[BAR']]]-Table3[[#This Row],[58F0]]</f>
        <v>0</v>
      </c>
      <c r="AA1015">
        <f>DataLog_T717420_Aug11_4_59_37pm[[#This Row],[COOLANT TEMP '[Â°C']]]-Table3[[#This Row],[5805]]</f>
        <v>0</v>
      </c>
      <c r="AB1015">
        <f>DataLog_T717420_Aug11_4_59_37pm[[#This Row],[BOOST '[BAR']]]-Table3[[#This Row],[58DD]]</f>
        <v>0</v>
      </c>
    </row>
    <row r="1016" spans="2:28" x14ac:dyDescent="0.25">
      <c r="B1016" s="2" t="s">
        <v>189</v>
      </c>
      <c r="C1016" s="2" t="s">
        <v>30</v>
      </c>
      <c r="D1016" s="2" t="s">
        <v>151</v>
      </c>
      <c r="E1016" s="2" t="s">
        <v>205</v>
      </c>
      <c r="F1016" s="2" t="s">
        <v>253</v>
      </c>
      <c r="G1016" s="2" t="s">
        <v>216</v>
      </c>
      <c r="I1016">
        <f>HEX2DEC(_0811_173439[[#This Row],[580C]])*B$4/B$5+B$6</f>
        <v>760</v>
      </c>
      <c r="J1016">
        <f>HEX2DEC(_0811_173439[[#This Row],[4402]])*C$4/C$5+C$6</f>
        <v>36</v>
      </c>
      <c r="K1016">
        <f>HEX2DEC(_0811_173439[[#This Row],[580F]])*D$4/D$5+D$6</f>
        <v>30</v>
      </c>
      <c r="L1016">
        <f>ROUND(HEX2DEC(_0811_173439[[#This Row],[58F0]])*E$4/E$5+E$6,0)</f>
        <v>71</v>
      </c>
      <c r="M1016">
        <f>ROUND(HEX2DEC(_0811_173439[[#This Row],[5805]])*F$4/F$5+F$6,0)</f>
        <v>43</v>
      </c>
      <c r="N1016">
        <f>ROUND(HEX2DEC(_0811_173439[[#This Row],[58DD]])*G$4/G$5+G$6,2)</f>
        <v>-0.03</v>
      </c>
      <c r="P1016">
        <v>760</v>
      </c>
      <c r="Q1016">
        <v>36</v>
      </c>
      <c r="R1016">
        <v>30</v>
      </c>
      <c r="S1016">
        <v>71</v>
      </c>
      <c r="T1016">
        <v>43</v>
      </c>
      <c r="U1016">
        <v>-0.03</v>
      </c>
      <c r="W1016">
        <f>DataLog_T717420_Aug11_4_59_37pm[[#This Row],[RPM '[1/MIN']]]-Table3[[#This Row],[580C]]</f>
        <v>0</v>
      </c>
      <c r="X1016">
        <f>DataLog_T717420_Aug11_4_59_37pm[[#This Row],[OIL TEMP '[Â°C']]]-Table3[[#This Row],[4402]]</f>
        <v>0</v>
      </c>
      <c r="Y1016">
        <f>DataLog_T717420_Aug11_4_59_37pm[[#This Row],[INTAKE TEMP '[Â°C']]]-Table3[[#This Row],[580F]]</f>
        <v>0</v>
      </c>
      <c r="Z1016">
        <f>DataLog_T717420_Aug11_4_59_37pm[[#This Row],[HPFP PRES. '[BAR']]]-Table3[[#This Row],[58F0]]</f>
        <v>0</v>
      </c>
      <c r="AA1016">
        <f>DataLog_T717420_Aug11_4_59_37pm[[#This Row],[COOLANT TEMP '[Â°C']]]-Table3[[#This Row],[5805]]</f>
        <v>0</v>
      </c>
      <c r="AB1016">
        <f>DataLog_T717420_Aug11_4_59_37pm[[#This Row],[BOOST '[BAR']]]-Table3[[#This Row],[58DD]]</f>
        <v>0</v>
      </c>
    </row>
    <row r="1017" spans="2:28" x14ac:dyDescent="0.25">
      <c r="B1017" s="2" t="s">
        <v>189</v>
      </c>
      <c r="C1017" s="2" t="s">
        <v>30</v>
      </c>
      <c r="D1017" s="2" t="s">
        <v>151</v>
      </c>
      <c r="E1017" s="2" t="s">
        <v>93</v>
      </c>
      <c r="F1017" s="2" t="s">
        <v>253</v>
      </c>
      <c r="G1017" s="2" t="s">
        <v>236</v>
      </c>
      <c r="I1017">
        <f>HEX2DEC(_0811_173439[[#This Row],[580C]])*B$4/B$5+B$6</f>
        <v>760</v>
      </c>
      <c r="J1017">
        <f>HEX2DEC(_0811_173439[[#This Row],[4402]])*C$4/C$5+C$6</f>
        <v>36</v>
      </c>
      <c r="K1017">
        <f>HEX2DEC(_0811_173439[[#This Row],[580F]])*D$4/D$5+D$6</f>
        <v>30</v>
      </c>
      <c r="L1017">
        <f>ROUND(HEX2DEC(_0811_173439[[#This Row],[58F0]])*E$4/E$5+E$6,0)</f>
        <v>70</v>
      </c>
      <c r="M1017">
        <f>ROUND(HEX2DEC(_0811_173439[[#This Row],[5805]])*F$4/F$5+F$6,0)</f>
        <v>43</v>
      </c>
      <c r="N1017">
        <f>ROUND(HEX2DEC(_0811_173439[[#This Row],[58DD]])*G$4/G$5+G$6,2)</f>
        <v>-0.03</v>
      </c>
      <c r="P1017">
        <v>760</v>
      </c>
      <c r="Q1017">
        <v>36</v>
      </c>
      <c r="R1017">
        <v>30</v>
      </c>
      <c r="S1017">
        <v>70</v>
      </c>
      <c r="T1017">
        <v>43</v>
      </c>
      <c r="U1017">
        <v>-0.03</v>
      </c>
      <c r="W1017">
        <f>DataLog_T717420_Aug11_4_59_37pm[[#This Row],[RPM '[1/MIN']]]-Table3[[#This Row],[580C]]</f>
        <v>0</v>
      </c>
      <c r="X1017">
        <f>DataLog_T717420_Aug11_4_59_37pm[[#This Row],[OIL TEMP '[Â°C']]]-Table3[[#This Row],[4402]]</f>
        <v>0</v>
      </c>
      <c r="Y1017">
        <f>DataLog_T717420_Aug11_4_59_37pm[[#This Row],[INTAKE TEMP '[Â°C']]]-Table3[[#This Row],[580F]]</f>
        <v>0</v>
      </c>
      <c r="Z1017">
        <f>DataLog_T717420_Aug11_4_59_37pm[[#This Row],[HPFP PRES. '[BAR']]]-Table3[[#This Row],[58F0]]</f>
        <v>0</v>
      </c>
      <c r="AA1017">
        <f>DataLog_T717420_Aug11_4_59_37pm[[#This Row],[COOLANT TEMP '[Â°C']]]-Table3[[#This Row],[5805]]</f>
        <v>0</v>
      </c>
      <c r="AB1017">
        <f>DataLog_T717420_Aug11_4_59_37pm[[#This Row],[BOOST '[BAR']]]-Table3[[#This Row],[58DD]]</f>
        <v>0</v>
      </c>
    </row>
    <row r="1018" spans="2:28" x14ac:dyDescent="0.25">
      <c r="B1018" s="2" t="s">
        <v>189</v>
      </c>
      <c r="C1018" s="2" t="s">
        <v>30</v>
      </c>
      <c r="D1018" s="2" t="s">
        <v>151</v>
      </c>
      <c r="E1018" s="2" t="s">
        <v>165</v>
      </c>
      <c r="F1018" s="2" t="s">
        <v>253</v>
      </c>
      <c r="G1018" s="2" t="s">
        <v>53</v>
      </c>
      <c r="I1018">
        <f>HEX2DEC(_0811_173439[[#This Row],[580C]])*B$4/B$5+B$6</f>
        <v>760</v>
      </c>
      <c r="J1018">
        <f>HEX2DEC(_0811_173439[[#This Row],[4402]])*C$4/C$5+C$6</f>
        <v>36</v>
      </c>
      <c r="K1018">
        <f>HEX2DEC(_0811_173439[[#This Row],[580F]])*D$4/D$5+D$6</f>
        <v>30</v>
      </c>
      <c r="L1018">
        <f>ROUND(HEX2DEC(_0811_173439[[#This Row],[58F0]])*E$4/E$5+E$6,0)</f>
        <v>70</v>
      </c>
      <c r="M1018">
        <f>ROUND(HEX2DEC(_0811_173439[[#This Row],[5805]])*F$4/F$5+F$6,0)</f>
        <v>43</v>
      </c>
      <c r="N1018">
        <f>ROUND(HEX2DEC(_0811_173439[[#This Row],[58DD]])*G$4/G$5+G$6,2)</f>
        <v>-0.03</v>
      </c>
      <c r="P1018">
        <v>760</v>
      </c>
      <c r="Q1018">
        <v>36</v>
      </c>
      <c r="R1018">
        <v>30</v>
      </c>
      <c r="S1018">
        <v>70</v>
      </c>
      <c r="T1018">
        <v>43</v>
      </c>
      <c r="U1018">
        <v>-0.03</v>
      </c>
      <c r="W1018">
        <f>DataLog_T717420_Aug11_4_59_37pm[[#This Row],[RPM '[1/MIN']]]-Table3[[#This Row],[580C]]</f>
        <v>0</v>
      </c>
      <c r="X1018">
        <f>DataLog_T717420_Aug11_4_59_37pm[[#This Row],[OIL TEMP '[Â°C']]]-Table3[[#This Row],[4402]]</f>
        <v>0</v>
      </c>
      <c r="Y1018">
        <f>DataLog_T717420_Aug11_4_59_37pm[[#This Row],[INTAKE TEMP '[Â°C']]]-Table3[[#This Row],[580F]]</f>
        <v>0</v>
      </c>
      <c r="Z1018">
        <f>DataLog_T717420_Aug11_4_59_37pm[[#This Row],[HPFP PRES. '[BAR']]]-Table3[[#This Row],[58F0]]</f>
        <v>0</v>
      </c>
      <c r="AA1018">
        <f>DataLog_T717420_Aug11_4_59_37pm[[#This Row],[COOLANT TEMP '[Â°C']]]-Table3[[#This Row],[5805]]</f>
        <v>0</v>
      </c>
      <c r="AB1018">
        <f>DataLog_T717420_Aug11_4_59_37pm[[#This Row],[BOOST '[BAR']]]-Table3[[#This Row],[58DD]]</f>
        <v>0</v>
      </c>
    </row>
    <row r="1019" spans="2:28" x14ac:dyDescent="0.25">
      <c r="B1019" s="2" t="s">
        <v>189</v>
      </c>
      <c r="C1019" s="2" t="s">
        <v>30</v>
      </c>
      <c r="D1019" s="2" t="s">
        <v>151</v>
      </c>
      <c r="E1019" s="2" t="s">
        <v>162</v>
      </c>
      <c r="F1019" s="2" t="s">
        <v>253</v>
      </c>
      <c r="G1019" s="2" t="s">
        <v>96</v>
      </c>
      <c r="I1019">
        <f>HEX2DEC(_0811_173439[[#This Row],[580C]])*B$4/B$5+B$6</f>
        <v>760</v>
      </c>
      <c r="J1019">
        <f>HEX2DEC(_0811_173439[[#This Row],[4402]])*C$4/C$5+C$6</f>
        <v>36</v>
      </c>
      <c r="K1019">
        <f>HEX2DEC(_0811_173439[[#This Row],[580F]])*D$4/D$5+D$6</f>
        <v>30</v>
      </c>
      <c r="L1019">
        <f>ROUND(HEX2DEC(_0811_173439[[#This Row],[58F0]])*E$4/E$5+E$6,0)</f>
        <v>71</v>
      </c>
      <c r="M1019">
        <f>ROUND(HEX2DEC(_0811_173439[[#This Row],[5805]])*F$4/F$5+F$6,0)</f>
        <v>43</v>
      </c>
      <c r="N1019">
        <f>ROUND(HEX2DEC(_0811_173439[[#This Row],[58DD]])*G$4/G$5+G$6,2)</f>
        <v>-0.03</v>
      </c>
      <c r="P1019">
        <v>760</v>
      </c>
      <c r="Q1019">
        <v>36</v>
      </c>
      <c r="R1019">
        <v>30</v>
      </c>
      <c r="S1019">
        <v>71</v>
      </c>
      <c r="T1019">
        <v>43</v>
      </c>
      <c r="U1019">
        <v>-0.03</v>
      </c>
      <c r="W1019">
        <f>DataLog_T717420_Aug11_4_59_37pm[[#This Row],[RPM '[1/MIN']]]-Table3[[#This Row],[580C]]</f>
        <v>0</v>
      </c>
      <c r="X1019">
        <f>DataLog_T717420_Aug11_4_59_37pm[[#This Row],[OIL TEMP '[Â°C']]]-Table3[[#This Row],[4402]]</f>
        <v>0</v>
      </c>
      <c r="Y1019">
        <f>DataLog_T717420_Aug11_4_59_37pm[[#This Row],[INTAKE TEMP '[Â°C']]]-Table3[[#This Row],[580F]]</f>
        <v>0</v>
      </c>
      <c r="Z1019">
        <f>DataLog_T717420_Aug11_4_59_37pm[[#This Row],[HPFP PRES. '[BAR']]]-Table3[[#This Row],[58F0]]</f>
        <v>0</v>
      </c>
      <c r="AA1019">
        <f>DataLog_T717420_Aug11_4_59_37pm[[#This Row],[COOLANT TEMP '[Â°C']]]-Table3[[#This Row],[5805]]</f>
        <v>0</v>
      </c>
      <c r="AB1019">
        <f>DataLog_T717420_Aug11_4_59_37pm[[#This Row],[BOOST '[BAR']]]-Table3[[#This Row],[58DD]]</f>
        <v>0</v>
      </c>
    </row>
    <row r="1020" spans="2:28" x14ac:dyDescent="0.25">
      <c r="B1020" s="2" t="s">
        <v>183</v>
      </c>
      <c r="C1020" s="2" t="s">
        <v>30</v>
      </c>
      <c r="D1020" s="2" t="s">
        <v>151</v>
      </c>
      <c r="E1020" s="2" t="s">
        <v>260</v>
      </c>
      <c r="F1020" s="2" t="s">
        <v>253</v>
      </c>
      <c r="G1020" s="2" t="s">
        <v>245</v>
      </c>
      <c r="I1020">
        <f>HEX2DEC(_0811_173439[[#This Row],[580C]])*B$4/B$5+B$6</f>
        <v>800</v>
      </c>
      <c r="J1020">
        <f>HEX2DEC(_0811_173439[[#This Row],[4402]])*C$4/C$5+C$6</f>
        <v>36</v>
      </c>
      <c r="K1020">
        <f>HEX2DEC(_0811_173439[[#This Row],[580F]])*D$4/D$5+D$6</f>
        <v>30</v>
      </c>
      <c r="L1020">
        <f>ROUND(HEX2DEC(_0811_173439[[#This Row],[58F0]])*E$4/E$5+E$6,0)</f>
        <v>70</v>
      </c>
      <c r="M1020">
        <f>ROUND(HEX2DEC(_0811_173439[[#This Row],[5805]])*F$4/F$5+F$6,0)</f>
        <v>43</v>
      </c>
      <c r="N1020">
        <f>ROUND(HEX2DEC(_0811_173439[[#This Row],[58DD]])*G$4/G$5+G$6,2)</f>
        <v>-0.03</v>
      </c>
      <c r="P1020">
        <v>800</v>
      </c>
      <c r="Q1020">
        <v>36</v>
      </c>
      <c r="R1020">
        <v>30</v>
      </c>
      <c r="S1020">
        <v>70</v>
      </c>
      <c r="T1020">
        <v>43</v>
      </c>
      <c r="U1020">
        <v>-0.03</v>
      </c>
      <c r="W1020">
        <f>DataLog_T717420_Aug11_4_59_37pm[[#This Row],[RPM '[1/MIN']]]-Table3[[#This Row],[580C]]</f>
        <v>0</v>
      </c>
      <c r="X1020">
        <f>DataLog_T717420_Aug11_4_59_37pm[[#This Row],[OIL TEMP '[Â°C']]]-Table3[[#This Row],[4402]]</f>
        <v>0</v>
      </c>
      <c r="Y1020">
        <f>DataLog_T717420_Aug11_4_59_37pm[[#This Row],[INTAKE TEMP '[Â°C']]]-Table3[[#This Row],[580F]]</f>
        <v>0</v>
      </c>
      <c r="Z1020">
        <f>DataLog_T717420_Aug11_4_59_37pm[[#This Row],[HPFP PRES. '[BAR']]]-Table3[[#This Row],[58F0]]</f>
        <v>0</v>
      </c>
      <c r="AA1020">
        <f>DataLog_T717420_Aug11_4_59_37pm[[#This Row],[COOLANT TEMP '[Â°C']]]-Table3[[#This Row],[5805]]</f>
        <v>0</v>
      </c>
      <c r="AB1020">
        <f>DataLog_T717420_Aug11_4_59_37pm[[#This Row],[BOOST '[BAR']]]-Table3[[#This Row],[58DD]]</f>
        <v>0</v>
      </c>
    </row>
    <row r="1021" spans="2:28" x14ac:dyDescent="0.25">
      <c r="B1021" s="2" t="s">
        <v>183</v>
      </c>
      <c r="C1021" s="2" t="s">
        <v>30</v>
      </c>
      <c r="D1021" s="2" t="s">
        <v>151</v>
      </c>
      <c r="E1021" s="2" t="s">
        <v>248</v>
      </c>
      <c r="F1021" s="2" t="s">
        <v>253</v>
      </c>
      <c r="G1021" s="2" t="s">
        <v>90</v>
      </c>
      <c r="I1021">
        <f>HEX2DEC(_0811_173439[[#This Row],[580C]])*B$4/B$5+B$6</f>
        <v>800</v>
      </c>
      <c r="J1021">
        <f>HEX2DEC(_0811_173439[[#This Row],[4402]])*C$4/C$5+C$6</f>
        <v>36</v>
      </c>
      <c r="K1021">
        <f>HEX2DEC(_0811_173439[[#This Row],[580F]])*D$4/D$5+D$6</f>
        <v>30</v>
      </c>
      <c r="L1021">
        <f>ROUND(HEX2DEC(_0811_173439[[#This Row],[58F0]])*E$4/E$5+E$6,0)</f>
        <v>70</v>
      </c>
      <c r="M1021">
        <f>ROUND(HEX2DEC(_0811_173439[[#This Row],[5805]])*F$4/F$5+F$6,0)</f>
        <v>43</v>
      </c>
      <c r="N1021">
        <f>ROUND(HEX2DEC(_0811_173439[[#This Row],[58DD]])*G$4/G$5+G$6,2)</f>
        <v>-0.03</v>
      </c>
      <c r="P1021">
        <v>800</v>
      </c>
      <c r="Q1021">
        <v>36</v>
      </c>
      <c r="R1021">
        <v>30</v>
      </c>
      <c r="S1021">
        <v>70</v>
      </c>
      <c r="T1021">
        <v>43</v>
      </c>
      <c r="U1021">
        <v>-0.03</v>
      </c>
      <c r="W1021">
        <f>DataLog_T717420_Aug11_4_59_37pm[[#This Row],[RPM '[1/MIN']]]-Table3[[#This Row],[580C]]</f>
        <v>0</v>
      </c>
      <c r="X1021">
        <f>DataLog_T717420_Aug11_4_59_37pm[[#This Row],[OIL TEMP '[Â°C']]]-Table3[[#This Row],[4402]]</f>
        <v>0</v>
      </c>
      <c r="Y1021">
        <f>DataLog_T717420_Aug11_4_59_37pm[[#This Row],[INTAKE TEMP '[Â°C']]]-Table3[[#This Row],[580F]]</f>
        <v>0</v>
      </c>
      <c r="Z1021">
        <f>DataLog_T717420_Aug11_4_59_37pm[[#This Row],[HPFP PRES. '[BAR']]]-Table3[[#This Row],[58F0]]</f>
        <v>0</v>
      </c>
      <c r="AA1021">
        <f>DataLog_T717420_Aug11_4_59_37pm[[#This Row],[COOLANT TEMP '[Â°C']]]-Table3[[#This Row],[5805]]</f>
        <v>0</v>
      </c>
      <c r="AB1021">
        <f>DataLog_T717420_Aug11_4_59_37pm[[#This Row],[BOOST '[BAR']]]-Table3[[#This Row],[58DD]]</f>
        <v>0</v>
      </c>
    </row>
    <row r="1022" spans="2:28" x14ac:dyDescent="0.25">
      <c r="B1022" s="2" t="s">
        <v>183</v>
      </c>
      <c r="C1022" s="2" t="s">
        <v>30</v>
      </c>
      <c r="D1022" s="2" t="s">
        <v>151</v>
      </c>
      <c r="E1022" s="2" t="s">
        <v>125</v>
      </c>
      <c r="F1022" s="2" t="s">
        <v>253</v>
      </c>
      <c r="G1022" s="2" t="s">
        <v>96</v>
      </c>
      <c r="I1022">
        <f>HEX2DEC(_0811_173439[[#This Row],[580C]])*B$4/B$5+B$6</f>
        <v>800</v>
      </c>
      <c r="J1022">
        <f>HEX2DEC(_0811_173439[[#This Row],[4402]])*C$4/C$5+C$6</f>
        <v>36</v>
      </c>
      <c r="K1022">
        <f>HEX2DEC(_0811_173439[[#This Row],[580F]])*D$4/D$5+D$6</f>
        <v>30</v>
      </c>
      <c r="L1022">
        <f>ROUND(HEX2DEC(_0811_173439[[#This Row],[58F0]])*E$4/E$5+E$6,0)</f>
        <v>70</v>
      </c>
      <c r="M1022">
        <f>ROUND(HEX2DEC(_0811_173439[[#This Row],[5805]])*F$4/F$5+F$6,0)</f>
        <v>43</v>
      </c>
      <c r="N1022">
        <f>ROUND(HEX2DEC(_0811_173439[[#This Row],[58DD]])*G$4/G$5+G$6,2)</f>
        <v>-0.03</v>
      </c>
      <c r="P1022">
        <v>800</v>
      </c>
      <c r="Q1022">
        <v>36</v>
      </c>
      <c r="R1022">
        <v>30</v>
      </c>
      <c r="S1022">
        <v>70</v>
      </c>
      <c r="T1022">
        <v>43</v>
      </c>
      <c r="U1022">
        <v>-0.03</v>
      </c>
      <c r="W1022">
        <f>DataLog_T717420_Aug11_4_59_37pm[[#This Row],[RPM '[1/MIN']]]-Table3[[#This Row],[580C]]</f>
        <v>0</v>
      </c>
      <c r="X1022">
        <f>DataLog_T717420_Aug11_4_59_37pm[[#This Row],[OIL TEMP '[Â°C']]]-Table3[[#This Row],[4402]]</f>
        <v>0</v>
      </c>
      <c r="Y1022">
        <f>DataLog_T717420_Aug11_4_59_37pm[[#This Row],[INTAKE TEMP '[Â°C']]]-Table3[[#This Row],[580F]]</f>
        <v>0</v>
      </c>
      <c r="Z1022">
        <f>DataLog_T717420_Aug11_4_59_37pm[[#This Row],[HPFP PRES. '[BAR']]]-Table3[[#This Row],[58F0]]</f>
        <v>0</v>
      </c>
      <c r="AA1022">
        <f>DataLog_T717420_Aug11_4_59_37pm[[#This Row],[COOLANT TEMP '[Â°C']]]-Table3[[#This Row],[5805]]</f>
        <v>0</v>
      </c>
      <c r="AB1022">
        <f>DataLog_T717420_Aug11_4_59_37pm[[#This Row],[BOOST '[BAR']]]-Table3[[#This Row],[58DD]]</f>
        <v>0</v>
      </c>
    </row>
    <row r="1023" spans="2:28" x14ac:dyDescent="0.25">
      <c r="B1023" s="2" t="s">
        <v>183</v>
      </c>
      <c r="C1023" s="2" t="s">
        <v>30</v>
      </c>
      <c r="D1023" s="2" t="s">
        <v>151</v>
      </c>
      <c r="E1023" s="2" t="s">
        <v>127</v>
      </c>
      <c r="F1023" s="2" t="s">
        <v>253</v>
      </c>
      <c r="G1023" s="2" t="s">
        <v>236</v>
      </c>
      <c r="I1023">
        <f>HEX2DEC(_0811_173439[[#This Row],[580C]])*B$4/B$5+B$6</f>
        <v>800</v>
      </c>
      <c r="J1023">
        <f>HEX2DEC(_0811_173439[[#This Row],[4402]])*C$4/C$5+C$6</f>
        <v>36</v>
      </c>
      <c r="K1023">
        <f>HEX2DEC(_0811_173439[[#This Row],[580F]])*D$4/D$5+D$6</f>
        <v>30</v>
      </c>
      <c r="L1023">
        <f>ROUND(HEX2DEC(_0811_173439[[#This Row],[58F0]])*E$4/E$5+E$6,0)</f>
        <v>70</v>
      </c>
      <c r="M1023">
        <f>ROUND(HEX2DEC(_0811_173439[[#This Row],[5805]])*F$4/F$5+F$6,0)</f>
        <v>43</v>
      </c>
      <c r="N1023">
        <f>ROUND(HEX2DEC(_0811_173439[[#This Row],[58DD]])*G$4/G$5+G$6,2)</f>
        <v>-0.03</v>
      </c>
      <c r="P1023">
        <v>800</v>
      </c>
      <c r="Q1023">
        <v>36</v>
      </c>
      <c r="R1023">
        <v>30</v>
      </c>
      <c r="S1023">
        <v>70</v>
      </c>
      <c r="T1023">
        <v>43</v>
      </c>
      <c r="U1023">
        <v>-0.03</v>
      </c>
      <c r="W1023">
        <f>DataLog_T717420_Aug11_4_59_37pm[[#This Row],[RPM '[1/MIN']]]-Table3[[#This Row],[580C]]</f>
        <v>0</v>
      </c>
      <c r="X1023">
        <f>DataLog_T717420_Aug11_4_59_37pm[[#This Row],[OIL TEMP '[Â°C']]]-Table3[[#This Row],[4402]]</f>
        <v>0</v>
      </c>
      <c r="Y1023">
        <f>DataLog_T717420_Aug11_4_59_37pm[[#This Row],[INTAKE TEMP '[Â°C']]]-Table3[[#This Row],[580F]]</f>
        <v>0</v>
      </c>
      <c r="Z1023">
        <f>DataLog_T717420_Aug11_4_59_37pm[[#This Row],[HPFP PRES. '[BAR']]]-Table3[[#This Row],[58F0]]</f>
        <v>0</v>
      </c>
      <c r="AA1023">
        <f>DataLog_T717420_Aug11_4_59_37pm[[#This Row],[COOLANT TEMP '[Â°C']]]-Table3[[#This Row],[5805]]</f>
        <v>0</v>
      </c>
      <c r="AB1023">
        <f>DataLog_T717420_Aug11_4_59_37pm[[#This Row],[BOOST '[BAR']]]-Table3[[#This Row],[58DD]]</f>
        <v>0</v>
      </c>
    </row>
    <row r="1024" spans="2:28" x14ac:dyDescent="0.25">
      <c r="B1024" s="2" t="s">
        <v>183</v>
      </c>
      <c r="C1024" s="2" t="s">
        <v>30</v>
      </c>
      <c r="D1024" s="2" t="s">
        <v>151</v>
      </c>
      <c r="E1024" s="2" t="s">
        <v>248</v>
      </c>
      <c r="F1024" s="2" t="s">
        <v>253</v>
      </c>
      <c r="G1024" s="2" t="s">
        <v>96</v>
      </c>
      <c r="I1024">
        <f>HEX2DEC(_0811_173439[[#This Row],[580C]])*B$4/B$5+B$6</f>
        <v>800</v>
      </c>
      <c r="J1024">
        <f>HEX2DEC(_0811_173439[[#This Row],[4402]])*C$4/C$5+C$6</f>
        <v>36</v>
      </c>
      <c r="K1024">
        <f>HEX2DEC(_0811_173439[[#This Row],[580F]])*D$4/D$5+D$6</f>
        <v>30</v>
      </c>
      <c r="L1024">
        <f>ROUND(HEX2DEC(_0811_173439[[#This Row],[58F0]])*E$4/E$5+E$6,0)</f>
        <v>70</v>
      </c>
      <c r="M1024">
        <f>ROUND(HEX2DEC(_0811_173439[[#This Row],[5805]])*F$4/F$5+F$6,0)</f>
        <v>43</v>
      </c>
      <c r="N1024">
        <f>ROUND(HEX2DEC(_0811_173439[[#This Row],[58DD]])*G$4/G$5+G$6,2)</f>
        <v>-0.03</v>
      </c>
      <c r="P1024">
        <v>800</v>
      </c>
      <c r="Q1024">
        <v>36</v>
      </c>
      <c r="R1024">
        <v>30</v>
      </c>
      <c r="S1024">
        <v>70</v>
      </c>
      <c r="T1024">
        <v>43</v>
      </c>
      <c r="U1024">
        <v>-0.03</v>
      </c>
      <c r="W1024">
        <f>DataLog_T717420_Aug11_4_59_37pm[[#This Row],[RPM '[1/MIN']]]-Table3[[#This Row],[580C]]</f>
        <v>0</v>
      </c>
      <c r="X1024">
        <f>DataLog_T717420_Aug11_4_59_37pm[[#This Row],[OIL TEMP '[Â°C']]]-Table3[[#This Row],[4402]]</f>
        <v>0</v>
      </c>
      <c r="Y1024">
        <f>DataLog_T717420_Aug11_4_59_37pm[[#This Row],[INTAKE TEMP '[Â°C']]]-Table3[[#This Row],[580F]]</f>
        <v>0</v>
      </c>
      <c r="Z1024">
        <f>DataLog_T717420_Aug11_4_59_37pm[[#This Row],[HPFP PRES. '[BAR']]]-Table3[[#This Row],[58F0]]</f>
        <v>0</v>
      </c>
      <c r="AA1024">
        <f>DataLog_T717420_Aug11_4_59_37pm[[#This Row],[COOLANT TEMP '[Â°C']]]-Table3[[#This Row],[5805]]</f>
        <v>0</v>
      </c>
      <c r="AB1024">
        <f>DataLog_T717420_Aug11_4_59_37pm[[#This Row],[BOOST '[BAR']]]-Table3[[#This Row],[58DD]]</f>
        <v>0</v>
      </c>
    </row>
    <row r="1025" spans="2:28" x14ac:dyDescent="0.25">
      <c r="B1025" s="2" t="s">
        <v>189</v>
      </c>
      <c r="C1025" s="2" t="s">
        <v>30</v>
      </c>
      <c r="D1025" s="2" t="s">
        <v>151</v>
      </c>
      <c r="E1025" s="2" t="s">
        <v>121</v>
      </c>
      <c r="F1025" s="2" t="s">
        <v>253</v>
      </c>
      <c r="G1025" s="2" t="s">
        <v>53</v>
      </c>
      <c r="I1025">
        <f>HEX2DEC(_0811_173439[[#This Row],[580C]])*B$4/B$5+B$6</f>
        <v>760</v>
      </c>
      <c r="J1025">
        <f>HEX2DEC(_0811_173439[[#This Row],[4402]])*C$4/C$5+C$6</f>
        <v>36</v>
      </c>
      <c r="K1025">
        <f>HEX2DEC(_0811_173439[[#This Row],[580F]])*D$4/D$5+D$6</f>
        <v>30</v>
      </c>
      <c r="L1025">
        <f>ROUND(HEX2DEC(_0811_173439[[#This Row],[58F0]])*E$4/E$5+E$6,0)</f>
        <v>71</v>
      </c>
      <c r="M1025">
        <f>ROUND(HEX2DEC(_0811_173439[[#This Row],[5805]])*F$4/F$5+F$6,0)</f>
        <v>43</v>
      </c>
      <c r="N1025">
        <f>ROUND(HEX2DEC(_0811_173439[[#This Row],[58DD]])*G$4/G$5+G$6,2)</f>
        <v>-0.03</v>
      </c>
      <c r="P1025">
        <v>760</v>
      </c>
      <c r="Q1025">
        <v>36</v>
      </c>
      <c r="R1025">
        <v>30</v>
      </c>
      <c r="S1025">
        <v>71</v>
      </c>
      <c r="T1025">
        <v>43</v>
      </c>
      <c r="U1025">
        <v>-0.03</v>
      </c>
      <c r="W1025">
        <f>DataLog_T717420_Aug11_4_59_37pm[[#This Row],[RPM '[1/MIN']]]-Table3[[#This Row],[580C]]</f>
        <v>0</v>
      </c>
      <c r="X1025">
        <f>DataLog_T717420_Aug11_4_59_37pm[[#This Row],[OIL TEMP '[Â°C']]]-Table3[[#This Row],[4402]]</f>
        <v>0</v>
      </c>
      <c r="Y1025">
        <f>DataLog_T717420_Aug11_4_59_37pm[[#This Row],[INTAKE TEMP '[Â°C']]]-Table3[[#This Row],[580F]]</f>
        <v>0</v>
      </c>
      <c r="Z1025">
        <f>DataLog_T717420_Aug11_4_59_37pm[[#This Row],[HPFP PRES. '[BAR']]]-Table3[[#This Row],[58F0]]</f>
        <v>0</v>
      </c>
      <c r="AA1025">
        <f>DataLog_T717420_Aug11_4_59_37pm[[#This Row],[COOLANT TEMP '[Â°C']]]-Table3[[#This Row],[5805]]</f>
        <v>0</v>
      </c>
      <c r="AB1025">
        <f>DataLog_T717420_Aug11_4_59_37pm[[#This Row],[BOOST '[BAR']]]-Table3[[#This Row],[58DD]]</f>
        <v>0</v>
      </c>
    </row>
    <row r="1026" spans="2:28" x14ac:dyDescent="0.25">
      <c r="B1026" s="2" t="s">
        <v>183</v>
      </c>
      <c r="C1026" s="2" t="s">
        <v>30</v>
      </c>
      <c r="D1026" s="2" t="s">
        <v>151</v>
      </c>
      <c r="E1026" s="2" t="s">
        <v>141</v>
      </c>
      <c r="F1026" s="2" t="s">
        <v>253</v>
      </c>
      <c r="G1026" s="2" t="s">
        <v>245</v>
      </c>
      <c r="I1026">
        <f>HEX2DEC(_0811_173439[[#This Row],[580C]])*B$4/B$5+B$6</f>
        <v>800</v>
      </c>
      <c r="J1026">
        <f>HEX2DEC(_0811_173439[[#This Row],[4402]])*C$4/C$5+C$6</f>
        <v>36</v>
      </c>
      <c r="K1026">
        <f>HEX2DEC(_0811_173439[[#This Row],[580F]])*D$4/D$5+D$6</f>
        <v>30</v>
      </c>
      <c r="L1026">
        <f>ROUND(HEX2DEC(_0811_173439[[#This Row],[58F0]])*E$4/E$5+E$6,0)</f>
        <v>70</v>
      </c>
      <c r="M1026">
        <f>ROUND(HEX2DEC(_0811_173439[[#This Row],[5805]])*F$4/F$5+F$6,0)</f>
        <v>43</v>
      </c>
      <c r="N1026">
        <f>ROUND(HEX2DEC(_0811_173439[[#This Row],[58DD]])*G$4/G$5+G$6,2)</f>
        <v>-0.03</v>
      </c>
      <c r="P1026">
        <v>800</v>
      </c>
      <c r="Q1026">
        <v>36</v>
      </c>
      <c r="R1026">
        <v>30</v>
      </c>
      <c r="S1026">
        <v>70</v>
      </c>
      <c r="T1026">
        <v>43</v>
      </c>
      <c r="U1026">
        <v>-0.03</v>
      </c>
      <c r="W1026">
        <f>DataLog_T717420_Aug11_4_59_37pm[[#This Row],[RPM '[1/MIN']]]-Table3[[#This Row],[580C]]</f>
        <v>0</v>
      </c>
      <c r="X1026">
        <f>DataLog_T717420_Aug11_4_59_37pm[[#This Row],[OIL TEMP '[Â°C']]]-Table3[[#This Row],[4402]]</f>
        <v>0</v>
      </c>
      <c r="Y1026">
        <f>DataLog_T717420_Aug11_4_59_37pm[[#This Row],[INTAKE TEMP '[Â°C']]]-Table3[[#This Row],[580F]]</f>
        <v>0</v>
      </c>
      <c r="Z1026">
        <f>DataLog_T717420_Aug11_4_59_37pm[[#This Row],[HPFP PRES. '[BAR']]]-Table3[[#This Row],[58F0]]</f>
        <v>0</v>
      </c>
      <c r="AA1026">
        <f>DataLog_T717420_Aug11_4_59_37pm[[#This Row],[COOLANT TEMP '[Â°C']]]-Table3[[#This Row],[5805]]</f>
        <v>0</v>
      </c>
      <c r="AB1026">
        <f>DataLog_T717420_Aug11_4_59_37pm[[#This Row],[BOOST '[BAR']]]-Table3[[#This Row],[58DD]]</f>
        <v>0</v>
      </c>
    </row>
    <row r="1027" spans="2:28" x14ac:dyDescent="0.25">
      <c r="B1027" s="2" t="s">
        <v>183</v>
      </c>
      <c r="C1027" s="2" t="s">
        <v>30</v>
      </c>
      <c r="D1027" s="2" t="s">
        <v>151</v>
      </c>
      <c r="E1027" s="2" t="s">
        <v>127</v>
      </c>
      <c r="F1027" s="2" t="s">
        <v>253</v>
      </c>
      <c r="G1027" s="2" t="s">
        <v>236</v>
      </c>
      <c r="I1027">
        <f>HEX2DEC(_0811_173439[[#This Row],[580C]])*B$4/B$5+B$6</f>
        <v>800</v>
      </c>
      <c r="J1027">
        <f>HEX2DEC(_0811_173439[[#This Row],[4402]])*C$4/C$5+C$6</f>
        <v>36</v>
      </c>
      <c r="K1027">
        <f>HEX2DEC(_0811_173439[[#This Row],[580F]])*D$4/D$5+D$6</f>
        <v>30</v>
      </c>
      <c r="L1027">
        <f>ROUND(HEX2DEC(_0811_173439[[#This Row],[58F0]])*E$4/E$5+E$6,0)</f>
        <v>70</v>
      </c>
      <c r="M1027">
        <f>ROUND(HEX2DEC(_0811_173439[[#This Row],[5805]])*F$4/F$5+F$6,0)</f>
        <v>43</v>
      </c>
      <c r="N1027">
        <f>ROUND(HEX2DEC(_0811_173439[[#This Row],[58DD]])*G$4/G$5+G$6,2)</f>
        <v>-0.03</v>
      </c>
      <c r="P1027">
        <v>800</v>
      </c>
      <c r="Q1027">
        <v>36</v>
      </c>
      <c r="R1027">
        <v>30</v>
      </c>
      <c r="S1027">
        <v>70</v>
      </c>
      <c r="T1027">
        <v>43</v>
      </c>
      <c r="U1027">
        <v>-0.03</v>
      </c>
      <c r="W1027">
        <f>DataLog_T717420_Aug11_4_59_37pm[[#This Row],[RPM '[1/MIN']]]-Table3[[#This Row],[580C]]</f>
        <v>0</v>
      </c>
      <c r="X1027">
        <f>DataLog_T717420_Aug11_4_59_37pm[[#This Row],[OIL TEMP '[Â°C']]]-Table3[[#This Row],[4402]]</f>
        <v>0</v>
      </c>
      <c r="Y1027">
        <f>DataLog_T717420_Aug11_4_59_37pm[[#This Row],[INTAKE TEMP '[Â°C']]]-Table3[[#This Row],[580F]]</f>
        <v>0</v>
      </c>
      <c r="Z1027">
        <f>DataLog_T717420_Aug11_4_59_37pm[[#This Row],[HPFP PRES. '[BAR']]]-Table3[[#This Row],[58F0]]</f>
        <v>0</v>
      </c>
      <c r="AA1027">
        <f>DataLog_T717420_Aug11_4_59_37pm[[#This Row],[COOLANT TEMP '[Â°C']]]-Table3[[#This Row],[5805]]</f>
        <v>0</v>
      </c>
      <c r="AB1027">
        <f>DataLog_T717420_Aug11_4_59_37pm[[#This Row],[BOOST '[BAR']]]-Table3[[#This Row],[58DD]]</f>
        <v>0</v>
      </c>
    </row>
    <row r="1028" spans="2:28" x14ac:dyDescent="0.25">
      <c r="B1028" s="2" t="s">
        <v>189</v>
      </c>
      <c r="C1028" s="2" t="s">
        <v>30</v>
      </c>
      <c r="D1028" s="2" t="s">
        <v>151</v>
      </c>
      <c r="E1028" s="2" t="s">
        <v>139</v>
      </c>
      <c r="F1028" s="2" t="s">
        <v>253</v>
      </c>
      <c r="G1028" s="2" t="s">
        <v>236</v>
      </c>
      <c r="I1028">
        <f>HEX2DEC(_0811_173439[[#This Row],[580C]])*B$4/B$5+B$6</f>
        <v>760</v>
      </c>
      <c r="J1028">
        <f>HEX2DEC(_0811_173439[[#This Row],[4402]])*C$4/C$5+C$6</f>
        <v>36</v>
      </c>
      <c r="K1028">
        <f>HEX2DEC(_0811_173439[[#This Row],[580F]])*D$4/D$5+D$6</f>
        <v>30</v>
      </c>
      <c r="L1028">
        <f>ROUND(HEX2DEC(_0811_173439[[#This Row],[58F0]])*E$4/E$5+E$6,0)</f>
        <v>71</v>
      </c>
      <c r="M1028">
        <f>ROUND(HEX2DEC(_0811_173439[[#This Row],[5805]])*F$4/F$5+F$6,0)</f>
        <v>43</v>
      </c>
      <c r="N1028">
        <f>ROUND(HEX2DEC(_0811_173439[[#This Row],[58DD]])*G$4/G$5+G$6,2)</f>
        <v>-0.03</v>
      </c>
      <c r="P1028">
        <v>760</v>
      </c>
      <c r="Q1028">
        <v>36</v>
      </c>
      <c r="R1028">
        <v>30</v>
      </c>
      <c r="S1028">
        <v>71</v>
      </c>
      <c r="T1028">
        <v>43</v>
      </c>
      <c r="U1028">
        <v>-0.03</v>
      </c>
      <c r="W1028">
        <f>DataLog_T717420_Aug11_4_59_37pm[[#This Row],[RPM '[1/MIN']]]-Table3[[#This Row],[580C]]</f>
        <v>0</v>
      </c>
      <c r="X1028">
        <f>DataLog_T717420_Aug11_4_59_37pm[[#This Row],[OIL TEMP '[Â°C']]]-Table3[[#This Row],[4402]]</f>
        <v>0</v>
      </c>
      <c r="Y1028">
        <f>DataLog_T717420_Aug11_4_59_37pm[[#This Row],[INTAKE TEMP '[Â°C']]]-Table3[[#This Row],[580F]]</f>
        <v>0</v>
      </c>
      <c r="Z1028">
        <f>DataLog_T717420_Aug11_4_59_37pm[[#This Row],[HPFP PRES. '[BAR']]]-Table3[[#This Row],[58F0]]</f>
        <v>0</v>
      </c>
      <c r="AA1028">
        <f>DataLog_T717420_Aug11_4_59_37pm[[#This Row],[COOLANT TEMP '[Â°C']]]-Table3[[#This Row],[5805]]</f>
        <v>0</v>
      </c>
      <c r="AB1028">
        <f>DataLog_T717420_Aug11_4_59_37pm[[#This Row],[BOOST '[BAR']]]-Table3[[#This Row],[58DD]]</f>
        <v>0</v>
      </c>
    </row>
    <row r="1029" spans="2:28" x14ac:dyDescent="0.25">
      <c r="B1029" s="2" t="s">
        <v>183</v>
      </c>
      <c r="C1029" s="2" t="s">
        <v>30</v>
      </c>
      <c r="D1029" s="2" t="s">
        <v>151</v>
      </c>
      <c r="E1029" s="2" t="s">
        <v>165</v>
      </c>
      <c r="F1029" s="2" t="s">
        <v>253</v>
      </c>
      <c r="G1029" s="2" t="s">
        <v>71</v>
      </c>
      <c r="I1029">
        <f>HEX2DEC(_0811_173439[[#This Row],[580C]])*B$4/B$5+B$6</f>
        <v>800</v>
      </c>
      <c r="J1029">
        <f>HEX2DEC(_0811_173439[[#This Row],[4402]])*C$4/C$5+C$6</f>
        <v>36</v>
      </c>
      <c r="K1029">
        <f>HEX2DEC(_0811_173439[[#This Row],[580F]])*D$4/D$5+D$6</f>
        <v>30</v>
      </c>
      <c r="L1029">
        <f>ROUND(HEX2DEC(_0811_173439[[#This Row],[58F0]])*E$4/E$5+E$6,0)</f>
        <v>70</v>
      </c>
      <c r="M1029">
        <f>ROUND(HEX2DEC(_0811_173439[[#This Row],[5805]])*F$4/F$5+F$6,0)</f>
        <v>43</v>
      </c>
      <c r="N1029">
        <f>ROUND(HEX2DEC(_0811_173439[[#This Row],[58DD]])*G$4/G$5+G$6,2)</f>
        <v>-0.03</v>
      </c>
      <c r="P1029">
        <v>800</v>
      </c>
      <c r="Q1029">
        <v>36</v>
      </c>
      <c r="R1029">
        <v>30</v>
      </c>
      <c r="S1029">
        <v>70</v>
      </c>
      <c r="T1029">
        <v>43</v>
      </c>
      <c r="U1029">
        <v>-0.03</v>
      </c>
      <c r="W1029">
        <f>DataLog_T717420_Aug11_4_59_37pm[[#This Row],[RPM '[1/MIN']]]-Table3[[#This Row],[580C]]</f>
        <v>0</v>
      </c>
      <c r="X1029">
        <f>DataLog_T717420_Aug11_4_59_37pm[[#This Row],[OIL TEMP '[Â°C']]]-Table3[[#This Row],[4402]]</f>
        <v>0</v>
      </c>
      <c r="Y1029">
        <f>DataLog_T717420_Aug11_4_59_37pm[[#This Row],[INTAKE TEMP '[Â°C']]]-Table3[[#This Row],[580F]]</f>
        <v>0</v>
      </c>
      <c r="Z1029">
        <f>DataLog_T717420_Aug11_4_59_37pm[[#This Row],[HPFP PRES. '[BAR']]]-Table3[[#This Row],[58F0]]</f>
        <v>0</v>
      </c>
      <c r="AA1029">
        <f>DataLog_T717420_Aug11_4_59_37pm[[#This Row],[COOLANT TEMP '[Â°C']]]-Table3[[#This Row],[5805]]</f>
        <v>0</v>
      </c>
      <c r="AB1029">
        <f>DataLog_T717420_Aug11_4_59_37pm[[#This Row],[BOOST '[BAR']]]-Table3[[#This Row],[58DD]]</f>
        <v>0</v>
      </c>
    </row>
    <row r="1030" spans="2:28" x14ac:dyDescent="0.25">
      <c r="B1030" s="2" t="s">
        <v>183</v>
      </c>
      <c r="C1030" s="2" t="s">
        <v>30</v>
      </c>
      <c r="D1030" s="2" t="s">
        <v>151</v>
      </c>
      <c r="E1030" s="2" t="s">
        <v>141</v>
      </c>
      <c r="F1030" s="2" t="s">
        <v>261</v>
      </c>
      <c r="G1030" s="2" t="s">
        <v>236</v>
      </c>
      <c r="I1030">
        <f>HEX2DEC(_0811_173439[[#This Row],[580C]])*B$4/B$5+B$6</f>
        <v>800</v>
      </c>
      <c r="J1030">
        <f>HEX2DEC(_0811_173439[[#This Row],[4402]])*C$4/C$5+C$6</f>
        <v>36</v>
      </c>
      <c r="K1030">
        <f>HEX2DEC(_0811_173439[[#This Row],[580F]])*D$4/D$5+D$6</f>
        <v>30</v>
      </c>
      <c r="L1030">
        <f>ROUND(HEX2DEC(_0811_173439[[#This Row],[58F0]])*E$4/E$5+E$6,0)</f>
        <v>70</v>
      </c>
      <c r="M1030">
        <f>ROUND(HEX2DEC(_0811_173439[[#This Row],[5805]])*F$4/F$5+F$6,0)</f>
        <v>44</v>
      </c>
      <c r="N1030">
        <f>ROUND(HEX2DEC(_0811_173439[[#This Row],[58DD]])*G$4/G$5+G$6,2)</f>
        <v>-0.03</v>
      </c>
      <c r="P1030">
        <v>800</v>
      </c>
      <c r="Q1030">
        <v>36</v>
      </c>
      <c r="R1030">
        <v>30</v>
      </c>
      <c r="S1030">
        <v>70</v>
      </c>
      <c r="T1030">
        <v>44</v>
      </c>
      <c r="U1030">
        <v>-0.03</v>
      </c>
      <c r="W1030">
        <f>DataLog_T717420_Aug11_4_59_37pm[[#This Row],[RPM '[1/MIN']]]-Table3[[#This Row],[580C]]</f>
        <v>0</v>
      </c>
      <c r="X1030">
        <f>DataLog_T717420_Aug11_4_59_37pm[[#This Row],[OIL TEMP '[Â°C']]]-Table3[[#This Row],[4402]]</f>
        <v>0</v>
      </c>
      <c r="Y1030">
        <f>DataLog_T717420_Aug11_4_59_37pm[[#This Row],[INTAKE TEMP '[Â°C']]]-Table3[[#This Row],[580F]]</f>
        <v>0</v>
      </c>
      <c r="Z1030">
        <f>DataLog_T717420_Aug11_4_59_37pm[[#This Row],[HPFP PRES. '[BAR']]]-Table3[[#This Row],[58F0]]</f>
        <v>0</v>
      </c>
      <c r="AA1030">
        <f>DataLog_T717420_Aug11_4_59_37pm[[#This Row],[COOLANT TEMP '[Â°C']]]-Table3[[#This Row],[5805]]</f>
        <v>0</v>
      </c>
      <c r="AB1030">
        <f>DataLog_T717420_Aug11_4_59_37pm[[#This Row],[BOOST '[BAR']]]-Table3[[#This Row],[58DD]]</f>
        <v>0</v>
      </c>
    </row>
    <row r="1031" spans="2:28" x14ac:dyDescent="0.25">
      <c r="B1031" s="2" t="s">
        <v>183</v>
      </c>
      <c r="C1031" s="2" t="s">
        <v>30</v>
      </c>
      <c r="D1031" s="2" t="s">
        <v>151</v>
      </c>
      <c r="E1031" s="2" t="s">
        <v>188</v>
      </c>
      <c r="F1031" s="2" t="s">
        <v>261</v>
      </c>
      <c r="G1031" s="2" t="s">
        <v>96</v>
      </c>
      <c r="I1031">
        <f>HEX2DEC(_0811_173439[[#This Row],[580C]])*B$4/B$5+B$6</f>
        <v>800</v>
      </c>
      <c r="J1031">
        <f>HEX2DEC(_0811_173439[[#This Row],[4402]])*C$4/C$5+C$6</f>
        <v>36</v>
      </c>
      <c r="K1031">
        <f>HEX2DEC(_0811_173439[[#This Row],[580F]])*D$4/D$5+D$6</f>
        <v>30</v>
      </c>
      <c r="L1031">
        <f>ROUND(HEX2DEC(_0811_173439[[#This Row],[58F0]])*E$4/E$5+E$6,0)</f>
        <v>71</v>
      </c>
      <c r="M1031">
        <f>ROUND(HEX2DEC(_0811_173439[[#This Row],[5805]])*F$4/F$5+F$6,0)</f>
        <v>44</v>
      </c>
      <c r="N1031">
        <f>ROUND(HEX2DEC(_0811_173439[[#This Row],[58DD]])*G$4/G$5+G$6,2)</f>
        <v>-0.03</v>
      </c>
      <c r="P1031">
        <v>800</v>
      </c>
      <c r="Q1031">
        <v>36</v>
      </c>
      <c r="R1031">
        <v>30</v>
      </c>
      <c r="S1031">
        <v>71</v>
      </c>
      <c r="T1031">
        <v>44</v>
      </c>
      <c r="U1031">
        <v>-0.03</v>
      </c>
      <c r="W1031">
        <f>DataLog_T717420_Aug11_4_59_37pm[[#This Row],[RPM '[1/MIN']]]-Table3[[#This Row],[580C]]</f>
        <v>0</v>
      </c>
      <c r="X1031">
        <f>DataLog_T717420_Aug11_4_59_37pm[[#This Row],[OIL TEMP '[Â°C']]]-Table3[[#This Row],[4402]]</f>
        <v>0</v>
      </c>
      <c r="Y1031">
        <f>DataLog_T717420_Aug11_4_59_37pm[[#This Row],[INTAKE TEMP '[Â°C']]]-Table3[[#This Row],[580F]]</f>
        <v>0</v>
      </c>
      <c r="Z1031">
        <f>DataLog_T717420_Aug11_4_59_37pm[[#This Row],[HPFP PRES. '[BAR']]]-Table3[[#This Row],[58F0]]</f>
        <v>0</v>
      </c>
      <c r="AA1031">
        <f>DataLog_T717420_Aug11_4_59_37pm[[#This Row],[COOLANT TEMP '[Â°C']]]-Table3[[#This Row],[5805]]</f>
        <v>0</v>
      </c>
      <c r="AB1031">
        <f>DataLog_T717420_Aug11_4_59_37pm[[#This Row],[BOOST '[BAR']]]-Table3[[#This Row],[58DD]]</f>
        <v>0</v>
      </c>
    </row>
    <row r="1032" spans="2:28" x14ac:dyDescent="0.25">
      <c r="B1032" s="2" t="s">
        <v>183</v>
      </c>
      <c r="C1032" s="2" t="s">
        <v>30</v>
      </c>
      <c r="D1032" s="2" t="s">
        <v>151</v>
      </c>
      <c r="E1032" s="2" t="s">
        <v>150</v>
      </c>
      <c r="F1032" s="2" t="s">
        <v>261</v>
      </c>
      <c r="G1032" s="2" t="s">
        <v>255</v>
      </c>
      <c r="I1032">
        <f>HEX2DEC(_0811_173439[[#This Row],[580C]])*B$4/B$5+B$6</f>
        <v>800</v>
      </c>
      <c r="J1032">
        <f>HEX2DEC(_0811_173439[[#This Row],[4402]])*C$4/C$5+C$6</f>
        <v>36</v>
      </c>
      <c r="K1032">
        <f>HEX2DEC(_0811_173439[[#This Row],[580F]])*D$4/D$5+D$6</f>
        <v>30</v>
      </c>
      <c r="L1032">
        <f>ROUND(HEX2DEC(_0811_173439[[#This Row],[58F0]])*E$4/E$5+E$6,0)</f>
        <v>70</v>
      </c>
      <c r="M1032">
        <f>ROUND(HEX2DEC(_0811_173439[[#This Row],[5805]])*F$4/F$5+F$6,0)</f>
        <v>44</v>
      </c>
      <c r="N1032">
        <f>ROUND(HEX2DEC(_0811_173439[[#This Row],[58DD]])*G$4/G$5+G$6,2)</f>
        <v>-0.03</v>
      </c>
      <c r="P1032">
        <v>800</v>
      </c>
      <c r="Q1032">
        <v>36</v>
      </c>
      <c r="R1032">
        <v>30</v>
      </c>
      <c r="S1032">
        <v>70</v>
      </c>
      <c r="T1032">
        <v>44</v>
      </c>
      <c r="U1032">
        <v>-0.03</v>
      </c>
      <c r="W1032">
        <f>DataLog_T717420_Aug11_4_59_37pm[[#This Row],[RPM '[1/MIN']]]-Table3[[#This Row],[580C]]</f>
        <v>0</v>
      </c>
      <c r="X1032">
        <f>DataLog_T717420_Aug11_4_59_37pm[[#This Row],[OIL TEMP '[Â°C']]]-Table3[[#This Row],[4402]]</f>
        <v>0</v>
      </c>
      <c r="Y1032">
        <f>DataLog_T717420_Aug11_4_59_37pm[[#This Row],[INTAKE TEMP '[Â°C']]]-Table3[[#This Row],[580F]]</f>
        <v>0</v>
      </c>
      <c r="Z1032">
        <f>DataLog_T717420_Aug11_4_59_37pm[[#This Row],[HPFP PRES. '[BAR']]]-Table3[[#This Row],[58F0]]</f>
        <v>0</v>
      </c>
      <c r="AA1032">
        <f>DataLog_T717420_Aug11_4_59_37pm[[#This Row],[COOLANT TEMP '[Â°C']]]-Table3[[#This Row],[5805]]</f>
        <v>0</v>
      </c>
      <c r="AB1032">
        <f>DataLog_T717420_Aug11_4_59_37pm[[#This Row],[BOOST '[BAR']]]-Table3[[#This Row],[58DD]]</f>
        <v>0</v>
      </c>
    </row>
    <row r="1033" spans="2:28" x14ac:dyDescent="0.25">
      <c r="B1033" s="2" t="s">
        <v>183</v>
      </c>
      <c r="C1033" s="2" t="s">
        <v>30</v>
      </c>
      <c r="D1033" s="2" t="s">
        <v>151</v>
      </c>
      <c r="E1033" s="2" t="s">
        <v>135</v>
      </c>
      <c r="F1033" s="2" t="s">
        <v>261</v>
      </c>
      <c r="G1033" s="2" t="s">
        <v>71</v>
      </c>
      <c r="I1033">
        <f>HEX2DEC(_0811_173439[[#This Row],[580C]])*B$4/B$5+B$6</f>
        <v>800</v>
      </c>
      <c r="J1033">
        <f>HEX2DEC(_0811_173439[[#This Row],[4402]])*C$4/C$5+C$6</f>
        <v>36</v>
      </c>
      <c r="K1033">
        <f>HEX2DEC(_0811_173439[[#This Row],[580F]])*D$4/D$5+D$6</f>
        <v>30</v>
      </c>
      <c r="L1033">
        <f>ROUND(HEX2DEC(_0811_173439[[#This Row],[58F0]])*E$4/E$5+E$6,0)</f>
        <v>71</v>
      </c>
      <c r="M1033">
        <f>ROUND(HEX2DEC(_0811_173439[[#This Row],[5805]])*F$4/F$5+F$6,0)</f>
        <v>44</v>
      </c>
      <c r="N1033">
        <f>ROUND(HEX2DEC(_0811_173439[[#This Row],[58DD]])*G$4/G$5+G$6,2)</f>
        <v>-0.03</v>
      </c>
      <c r="P1033">
        <v>800</v>
      </c>
      <c r="Q1033">
        <v>36</v>
      </c>
      <c r="R1033">
        <v>30</v>
      </c>
      <c r="S1033">
        <v>71</v>
      </c>
      <c r="T1033">
        <v>44</v>
      </c>
      <c r="U1033">
        <v>-0.03</v>
      </c>
      <c r="W1033">
        <f>DataLog_T717420_Aug11_4_59_37pm[[#This Row],[RPM '[1/MIN']]]-Table3[[#This Row],[580C]]</f>
        <v>0</v>
      </c>
      <c r="X1033">
        <f>DataLog_T717420_Aug11_4_59_37pm[[#This Row],[OIL TEMP '[Â°C']]]-Table3[[#This Row],[4402]]</f>
        <v>0</v>
      </c>
      <c r="Y1033">
        <f>DataLog_T717420_Aug11_4_59_37pm[[#This Row],[INTAKE TEMP '[Â°C']]]-Table3[[#This Row],[580F]]</f>
        <v>0</v>
      </c>
      <c r="Z1033">
        <f>DataLog_T717420_Aug11_4_59_37pm[[#This Row],[HPFP PRES. '[BAR']]]-Table3[[#This Row],[58F0]]</f>
        <v>0</v>
      </c>
      <c r="AA1033">
        <f>DataLog_T717420_Aug11_4_59_37pm[[#This Row],[COOLANT TEMP '[Â°C']]]-Table3[[#This Row],[5805]]</f>
        <v>0</v>
      </c>
      <c r="AB1033">
        <f>DataLog_T717420_Aug11_4_59_37pm[[#This Row],[BOOST '[BAR']]]-Table3[[#This Row],[58DD]]</f>
        <v>0</v>
      </c>
    </row>
    <row r="1034" spans="2:28" x14ac:dyDescent="0.25">
      <c r="B1034" s="2" t="s">
        <v>189</v>
      </c>
      <c r="C1034" s="2" t="s">
        <v>30</v>
      </c>
      <c r="D1034" s="2" t="s">
        <v>151</v>
      </c>
      <c r="E1034" s="2" t="s">
        <v>140</v>
      </c>
      <c r="F1034" s="2" t="s">
        <v>261</v>
      </c>
      <c r="G1034" s="2" t="s">
        <v>96</v>
      </c>
      <c r="I1034">
        <f>HEX2DEC(_0811_173439[[#This Row],[580C]])*B$4/B$5+B$6</f>
        <v>760</v>
      </c>
      <c r="J1034">
        <f>HEX2DEC(_0811_173439[[#This Row],[4402]])*C$4/C$5+C$6</f>
        <v>36</v>
      </c>
      <c r="K1034">
        <f>HEX2DEC(_0811_173439[[#This Row],[580F]])*D$4/D$5+D$6</f>
        <v>30</v>
      </c>
      <c r="L1034">
        <f>ROUND(HEX2DEC(_0811_173439[[#This Row],[58F0]])*E$4/E$5+E$6,0)</f>
        <v>71</v>
      </c>
      <c r="M1034">
        <f>ROUND(HEX2DEC(_0811_173439[[#This Row],[5805]])*F$4/F$5+F$6,0)</f>
        <v>44</v>
      </c>
      <c r="N1034">
        <f>ROUND(HEX2DEC(_0811_173439[[#This Row],[58DD]])*G$4/G$5+G$6,2)</f>
        <v>-0.03</v>
      </c>
      <c r="P1034">
        <v>760</v>
      </c>
      <c r="Q1034">
        <v>36</v>
      </c>
      <c r="R1034">
        <v>30</v>
      </c>
      <c r="S1034">
        <v>71</v>
      </c>
      <c r="T1034">
        <v>44</v>
      </c>
      <c r="U1034">
        <v>-0.03</v>
      </c>
      <c r="W1034">
        <f>DataLog_T717420_Aug11_4_59_37pm[[#This Row],[RPM '[1/MIN']]]-Table3[[#This Row],[580C]]</f>
        <v>0</v>
      </c>
      <c r="X1034">
        <f>DataLog_T717420_Aug11_4_59_37pm[[#This Row],[OIL TEMP '[Â°C']]]-Table3[[#This Row],[4402]]</f>
        <v>0</v>
      </c>
      <c r="Y1034">
        <f>DataLog_T717420_Aug11_4_59_37pm[[#This Row],[INTAKE TEMP '[Â°C']]]-Table3[[#This Row],[580F]]</f>
        <v>0</v>
      </c>
      <c r="Z1034">
        <f>DataLog_T717420_Aug11_4_59_37pm[[#This Row],[HPFP PRES. '[BAR']]]-Table3[[#This Row],[58F0]]</f>
        <v>0</v>
      </c>
      <c r="AA1034">
        <f>DataLog_T717420_Aug11_4_59_37pm[[#This Row],[COOLANT TEMP '[Â°C']]]-Table3[[#This Row],[5805]]</f>
        <v>0</v>
      </c>
      <c r="AB1034">
        <f>DataLog_T717420_Aug11_4_59_37pm[[#This Row],[BOOST '[BAR']]]-Table3[[#This Row],[58DD]]</f>
        <v>0</v>
      </c>
    </row>
    <row r="1035" spans="2:28" x14ac:dyDescent="0.25">
      <c r="B1035" s="2" t="s">
        <v>189</v>
      </c>
      <c r="C1035" s="2" t="s">
        <v>30</v>
      </c>
      <c r="D1035" s="2" t="s">
        <v>151</v>
      </c>
      <c r="E1035" s="2" t="s">
        <v>121</v>
      </c>
      <c r="F1035" s="2" t="s">
        <v>261</v>
      </c>
      <c r="G1035" s="2" t="s">
        <v>236</v>
      </c>
      <c r="I1035">
        <f>HEX2DEC(_0811_173439[[#This Row],[580C]])*B$4/B$5+B$6</f>
        <v>760</v>
      </c>
      <c r="J1035">
        <f>HEX2DEC(_0811_173439[[#This Row],[4402]])*C$4/C$5+C$6</f>
        <v>36</v>
      </c>
      <c r="K1035">
        <f>HEX2DEC(_0811_173439[[#This Row],[580F]])*D$4/D$5+D$6</f>
        <v>30</v>
      </c>
      <c r="L1035">
        <f>ROUND(HEX2DEC(_0811_173439[[#This Row],[58F0]])*E$4/E$5+E$6,0)</f>
        <v>71</v>
      </c>
      <c r="M1035">
        <f>ROUND(HEX2DEC(_0811_173439[[#This Row],[5805]])*F$4/F$5+F$6,0)</f>
        <v>44</v>
      </c>
      <c r="N1035">
        <f>ROUND(HEX2DEC(_0811_173439[[#This Row],[58DD]])*G$4/G$5+G$6,2)</f>
        <v>-0.03</v>
      </c>
      <c r="P1035">
        <v>760</v>
      </c>
      <c r="Q1035">
        <v>36</v>
      </c>
      <c r="R1035">
        <v>30</v>
      </c>
      <c r="S1035">
        <v>71</v>
      </c>
      <c r="T1035">
        <v>44</v>
      </c>
      <c r="U1035">
        <v>-0.03</v>
      </c>
      <c r="W1035">
        <f>DataLog_T717420_Aug11_4_59_37pm[[#This Row],[RPM '[1/MIN']]]-Table3[[#This Row],[580C]]</f>
        <v>0</v>
      </c>
      <c r="X1035">
        <f>DataLog_T717420_Aug11_4_59_37pm[[#This Row],[OIL TEMP '[Â°C']]]-Table3[[#This Row],[4402]]</f>
        <v>0</v>
      </c>
      <c r="Y1035">
        <f>DataLog_T717420_Aug11_4_59_37pm[[#This Row],[INTAKE TEMP '[Â°C']]]-Table3[[#This Row],[580F]]</f>
        <v>0</v>
      </c>
      <c r="Z1035">
        <f>DataLog_T717420_Aug11_4_59_37pm[[#This Row],[HPFP PRES. '[BAR']]]-Table3[[#This Row],[58F0]]</f>
        <v>0</v>
      </c>
      <c r="AA1035">
        <f>DataLog_T717420_Aug11_4_59_37pm[[#This Row],[COOLANT TEMP '[Â°C']]]-Table3[[#This Row],[5805]]</f>
        <v>0</v>
      </c>
      <c r="AB1035">
        <f>DataLog_T717420_Aug11_4_59_37pm[[#This Row],[BOOST '[BAR']]]-Table3[[#This Row],[58DD]]</f>
        <v>0</v>
      </c>
    </row>
    <row r="1036" spans="2:28" x14ac:dyDescent="0.25">
      <c r="B1036" s="2" t="s">
        <v>189</v>
      </c>
      <c r="C1036" s="2" t="s">
        <v>30</v>
      </c>
      <c r="D1036" s="2" t="s">
        <v>151</v>
      </c>
      <c r="E1036" s="2" t="s">
        <v>165</v>
      </c>
      <c r="F1036" s="2" t="s">
        <v>261</v>
      </c>
      <c r="G1036" s="2" t="s">
        <v>236</v>
      </c>
      <c r="I1036">
        <f>HEX2DEC(_0811_173439[[#This Row],[580C]])*B$4/B$5+B$6</f>
        <v>760</v>
      </c>
      <c r="J1036">
        <f>HEX2DEC(_0811_173439[[#This Row],[4402]])*C$4/C$5+C$6</f>
        <v>36</v>
      </c>
      <c r="K1036">
        <f>HEX2DEC(_0811_173439[[#This Row],[580F]])*D$4/D$5+D$6</f>
        <v>30</v>
      </c>
      <c r="L1036">
        <f>ROUND(HEX2DEC(_0811_173439[[#This Row],[58F0]])*E$4/E$5+E$6,0)</f>
        <v>70</v>
      </c>
      <c r="M1036">
        <f>ROUND(HEX2DEC(_0811_173439[[#This Row],[5805]])*F$4/F$5+F$6,0)</f>
        <v>44</v>
      </c>
      <c r="N1036">
        <f>ROUND(HEX2DEC(_0811_173439[[#This Row],[58DD]])*G$4/G$5+G$6,2)</f>
        <v>-0.03</v>
      </c>
      <c r="P1036">
        <v>760</v>
      </c>
      <c r="Q1036">
        <v>36</v>
      </c>
      <c r="R1036">
        <v>30</v>
      </c>
      <c r="S1036">
        <v>70</v>
      </c>
      <c r="T1036">
        <v>44</v>
      </c>
      <c r="U1036">
        <v>-0.03</v>
      </c>
      <c r="W1036">
        <f>DataLog_T717420_Aug11_4_59_37pm[[#This Row],[RPM '[1/MIN']]]-Table3[[#This Row],[580C]]</f>
        <v>0</v>
      </c>
      <c r="X1036">
        <f>DataLog_T717420_Aug11_4_59_37pm[[#This Row],[OIL TEMP '[Â°C']]]-Table3[[#This Row],[4402]]</f>
        <v>0</v>
      </c>
      <c r="Y1036">
        <f>DataLog_T717420_Aug11_4_59_37pm[[#This Row],[INTAKE TEMP '[Â°C']]]-Table3[[#This Row],[580F]]</f>
        <v>0</v>
      </c>
      <c r="Z1036">
        <f>DataLog_T717420_Aug11_4_59_37pm[[#This Row],[HPFP PRES. '[BAR']]]-Table3[[#This Row],[58F0]]</f>
        <v>0</v>
      </c>
      <c r="AA1036">
        <f>DataLog_T717420_Aug11_4_59_37pm[[#This Row],[COOLANT TEMP '[Â°C']]]-Table3[[#This Row],[5805]]</f>
        <v>0</v>
      </c>
      <c r="AB1036">
        <f>DataLog_T717420_Aug11_4_59_37pm[[#This Row],[BOOST '[BAR']]]-Table3[[#This Row],[58DD]]</f>
        <v>0</v>
      </c>
    </row>
    <row r="1037" spans="2:28" x14ac:dyDescent="0.25">
      <c r="B1037" s="2" t="s">
        <v>189</v>
      </c>
      <c r="C1037" s="2" t="s">
        <v>30</v>
      </c>
      <c r="D1037" s="2" t="s">
        <v>151</v>
      </c>
      <c r="E1037" s="2" t="s">
        <v>122</v>
      </c>
      <c r="F1037" s="2" t="s">
        <v>261</v>
      </c>
      <c r="G1037" s="2" t="s">
        <v>236</v>
      </c>
      <c r="I1037">
        <f>HEX2DEC(_0811_173439[[#This Row],[580C]])*B$4/B$5+B$6</f>
        <v>760</v>
      </c>
      <c r="J1037">
        <f>HEX2DEC(_0811_173439[[#This Row],[4402]])*C$4/C$5+C$6</f>
        <v>36</v>
      </c>
      <c r="K1037">
        <f>HEX2DEC(_0811_173439[[#This Row],[580F]])*D$4/D$5+D$6</f>
        <v>30</v>
      </c>
      <c r="L1037">
        <f>ROUND(HEX2DEC(_0811_173439[[#This Row],[58F0]])*E$4/E$5+E$6,0)</f>
        <v>71</v>
      </c>
      <c r="M1037">
        <f>ROUND(HEX2DEC(_0811_173439[[#This Row],[5805]])*F$4/F$5+F$6,0)</f>
        <v>44</v>
      </c>
      <c r="N1037">
        <f>ROUND(HEX2DEC(_0811_173439[[#This Row],[58DD]])*G$4/G$5+G$6,2)</f>
        <v>-0.03</v>
      </c>
      <c r="P1037">
        <v>760</v>
      </c>
      <c r="Q1037">
        <v>36</v>
      </c>
      <c r="R1037">
        <v>30</v>
      </c>
      <c r="S1037">
        <v>71</v>
      </c>
      <c r="T1037">
        <v>44</v>
      </c>
      <c r="U1037">
        <v>-0.03</v>
      </c>
      <c r="W1037">
        <f>DataLog_T717420_Aug11_4_59_37pm[[#This Row],[RPM '[1/MIN']]]-Table3[[#This Row],[580C]]</f>
        <v>0</v>
      </c>
      <c r="X1037">
        <f>DataLog_T717420_Aug11_4_59_37pm[[#This Row],[OIL TEMP '[Â°C']]]-Table3[[#This Row],[4402]]</f>
        <v>0</v>
      </c>
      <c r="Y1037">
        <f>DataLog_T717420_Aug11_4_59_37pm[[#This Row],[INTAKE TEMP '[Â°C']]]-Table3[[#This Row],[580F]]</f>
        <v>0</v>
      </c>
      <c r="Z1037">
        <f>DataLog_T717420_Aug11_4_59_37pm[[#This Row],[HPFP PRES. '[BAR']]]-Table3[[#This Row],[58F0]]</f>
        <v>0</v>
      </c>
      <c r="AA1037">
        <f>DataLog_T717420_Aug11_4_59_37pm[[#This Row],[COOLANT TEMP '[Â°C']]]-Table3[[#This Row],[5805]]</f>
        <v>0</v>
      </c>
      <c r="AB1037">
        <f>DataLog_T717420_Aug11_4_59_37pm[[#This Row],[BOOST '[BAR']]]-Table3[[#This Row],[58DD]]</f>
        <v>0</v>
      </c>
    </row>
    <row r="1038" spans="2:28" x14ac:dyDescent="0.25">
      <c r="B1038" s="2" t="s">
        <v>189</v>
      </c>
      <c r="C1038" s="2" t="s">
        <v>30</v>
      </c>
      <c r="D1038" s="2" t="s">
        <v>151</v>
      </c>
      <c r="E1038" s="2" t="s">
        <v>165</v>
      </c>
      <c r="F1038" s="2" t="s">
        <v>261</v>
      </c>
      <c r="G1038" s="2" t="s">
        <v>96</v>
      </c>
      <c r="I1038">
        <f>HEX2DEC(_0811_173439[[#This Row],[580C]])*B$4/B$5+B$6</f>
        <v>760</v>
      </c>
      <c r="J1038">
        <f>HEX2DEC(_0811_173439[[#This Row],[4402]])*C$4/C$5+C$6</f>
        <v>36</v>
      </c>
      <c r="K1038">
        <f>HEX2DEC(_0811_173439[[#This Row],[580F]])*D$4/D$5+D$6</f>
        <v>30</v>
      </c>
      <c r="L1038">
        <f>ROUND(HEX2DEC(_0811_173439[[#This Row],[58F0]])*E$4/E$5+E$6,0)</f>
        <v>70</v>
      </c>
      <c r="M1038">
        <f>ROUND(HEX2DEC(_0811_173439[[#This Row],[5805]])*F$4/F$5+F$6,0)</f>
        <v>44</v>
      </c>
      <c r="N1038">
        <f>ROUND(HEX2DEC(_0811_173439[[#This Row],[58DD]])*G$4/G$5+G$6,2)</f>
        <v>-0.03</v>
      </c>
      <c r="P1038">
        <v>760</v>
      </c>
      <c r="Q1038">
        <v>36</v>
      </c>
      <c r="R1038">
        <v>30</v>
      </c>
      <c r="S1038">
        <v>70</v>
      </c>
      <c r="T1038">
        <v>44</v>
      </c>
      <c r="U1038">
        <v>-0.03</v>
      </c>
      <c r="W1038">
        <f>DataLog_T717420_Aug11_4_59_37pm[[#This Row],[RPM '[1/MIN']]]-Table3[[#This Row],[580C]]</f>
        <v>0</v>
      </c>
      <c r="X1038">
        <f>DataLog_T717420_Aug11_4_59_37pm[[#This Row],[OIL TEMP '[Â°C']]]-Table3[[#This Row],[4402]]</f>
        <v>0</v>
      </c>
      <c r="Y1038">
        <f>DataLog_T717420_Aug11_4_59_37pm[[#This Row],[INTAKE TEMP '[Â°C']]]-Table3[[#This Row],[580F]]</f>
        <v>0</v>
      </c>
      <c r="Z1038">
        <f>DataLog_T717420_Aug11_4_59_37pm[[#This Row],[HPFP PRES. '[BAR']]]-Table3[[#This Row],[58F0]]</f>
        <v>0</v>
      </c>
      <c r="AA1038">
        <f>DataLog_T717420_Aug11_4_59_37pm[[#This Row],[COOLANT TEMP '[Â°C']]]-Table3[[#This Row],[5805]]</f>
        <v>0</v>
      </c>
      <c r="AB1038">
        <f>DataLog_T717420_Aug11_4_59_37pm[[#This Row],[BOOST '[BAR']]]-Table3[[#This Row],[58DD]]</f>
        <v>0</v>
      </c>
    </row>
    <row r="1039" spans="2:28" x14ac:dyDescent="0.25">
      <c r="B1039" s="2" t="s">
        <v>189</v>
      </c>
      <c r="C1039" s="2" t="s">
        <v>30</v>
      </c>
      <c r="D1039" s="2" t="s">
        <v>151</v>
      </c>
      <c r="E1039" s="2" t="s">
        <v>195</v>
      </c>
      <c r="F1039" s="2" t="s">
        <v>261</v>
      </c>
      <c r="G1039" s="2" t="s">
        <v>191</v>
      </c>
      <c r="I1039">
        <f>HEX2DEC(_0811_173439[[#This Row],[580C]])*B$4/B$5+B$6</f>
        <v>760</v>
      </c>
      <c r="J1039">
        <f>HEX2DEC(_0811_173439[[#This Row],[4402]])*C$4/C$5+C$6</f>
        <v>36</v>
      </c>
      <c r="K1039">
        <f>HEX2DEC(_0811_173439[[#This Row],[580F]])*D$4/D$5+D$6</f>
        <v>30</v>
      </c>
      <c r="L1039">
        <f>ROUND(HEX2DEC(_0811_173439[[#This Row],[58F0]])*E$4/E$5+E$6,0)</f>
        <v>70</v>
      </c>
      <c r="M1039">
        <f>ROUND(HEX2DEC(_0811_173439[[#This Row],[5805]])*F$4/F$5+F$6,0)</f>
        <v>44</v>
      </c>
      <c r="N1039">
        <f>ROUND(HEX2DEC(_0811_173439[[#This Row],[58DD]])*G$4/G$5+G$6,2)</f>
        <v>-0.03</v>
      </c>
      <c r="P1039">
        <v>760</v>
      </c>
      <c r="Q1039">
        <v>36</v>
      </c>
      <c r="R1039">
        <v>30</v>
      </c>
      <c r="S1039">
        <v>70</v>
      </c>
      <c r="T1039">
        <v>44</v>
      </c>
      <c r="U1039">
        <v>-0.03</v>
      </c>
      <c r="W1039">
        <f>DataLog_T717420_Aug11_4_59_37pm[[#This Row],[RPM '[1/MIN']]]-Table3[[#This Row],[580C]]</f>
        <v>0</v>
      </c>
      <c r="X1039">
        <f>DataLog_T717420_Aug11_4_59_37pm[[#This Row],[OIL TEMP '[Â°C']]]-Table3[[#This Row],[4402]]</f>
        <v>0</v>
      </c>
      <c r="Y1039">
        <f>DataLog_T717420_Aug11_4_59_37pm[[#This Row],[INTAKE TEMP '[Â°C']]]-Table3[[#This Row],[580F]]</f>
        <v>0</v>
      </c>
      <c r="Z1039">
        <f>DataLog_T717420_Aug11_4_59_37pm[[#This Row],[HPFP PRES. '[BAR']]]-Table3[[#This Row],[58F0]]</f>
        <v>0</v>
      </c>
      <c r="AA1039">
        <f>DataLog_T717420_Aug11_4_59_37pm[[#This Row],[COOLANT TEMP '[Â°C']]]-Table3[[#This Row],[5805]]</f>
        <v>0</v>
      </c>
      <c r="AB1039">
        <f>DataLog_T717420_Aug11_4_59_37pm[[#This Row],[BOOST '[BAR']]]-Table3[[#This Row],[58DD]]</f>
        <v>0</v>
      </c>
    </row>
    <row r="1040" spans="2:28" x14ac:dyDescent="0.25">
      <c r="B1040" s="2" t="s">
        <v>189</v>
      </c>
      <c r="C1040" s="2" t="s">
        <v>30</v>
      </c>
      <c r="D1040" s="2" t="s">
        <v>151</v>
      </c>
      <c r="E1040" s="2" t="s">
        <v>132</v>
      </c>
      <c r="F1040" s="2" t="s">
        <v>261</v>
      </c>
      <c r="G1040" s="2" t="s">
        <v>53</v>
      </c>
      <c r="I1040">
        <f>HEX2DEC(_0811_173439[[#This Row],[580C]])*B$4/B$5+B$6</f>
        <v>760</v>
      </c>
      <c r="J1040">
        <f>HEX2DEC(_0811_173439[[#This Row],[4402]])*C$4/C$5+C$6</f>
        <v>36</v>
      </c>
      <c r="K1040">
        <f>HEX2DEC(_0811_173439[[#This Row],[580F]])*D$4/D$5+D$6</f>
        <v>30</v>
      </c>
      <c r="L1040">
        <f>ROUND(HEX2DEC(_0811_173439[[#This Row],[58F0]])*E$4/E$5+E$6,0)</f>
        <v>70</v>
      </c>
      <c r="M1040">
        <f>ROUND(HEX2DEC(_0811_173439[[#This Row],[5805]])*F$4/F$5+F$6,0)</f>
        <v>44</v>
      </c>
      <c r="N1040">
        <f>ROUND(HEX2DEC(_0811_173439[[#This Row],[58DD]])*G$4/G$5+G$6,2)</f>
        <v>-0.03</v>
      </c>
      <c r="P1040">
        <v>760</v>
      </c>
      <c r="Q1040">
        <v>36</v>
      </c>
      <c r="R1040">
        <v>30</v>
      </c>
      <c r="S1040">
        <v>70</v>
      </c>
      <c r="T1040">
        <v>44</v>
      </c>
      <c r="U1040">
        <v>-0.03</v>
      </c>
      <c r="W1040">
        <f>DataLog_T717420_Aug11_4_59_37pm[[#This Row],[RPM '[1/MIN']]]-Table3[[#This Row],[580C]]</f>
        <v>0</v>
      </c>
      <c r="X1040">
        <f>DataLog_T717420_Aug11_4_59_37pm[[#This Row],[OIL TEMP '[Â°C']]]-Table3[[#This Row],[4402]]</f>
        <v>0</v>
      </c>
      <c r="Y1040">
        <f>DataLog_T717420_Aug11_4_59_37pm[[#This Row],[INTAKE TEMP '[Â°C']]]-Table3[[#This Row],[580F]]</f>
        <v>0</v>
      </c>
      <c r="Z1040">
        <f>DataLog_T717420_Aug11_4_59_37pm[[#This Row],[HPFP PRES. '[BAR']]]-Table3[[#This Row],[58F0]]</f>
        <v>0</v>
      </c>
      <c r="AA1040">
        <f>DataLog_T717420_Aug11_4_59_37pm[[#This Row],[COOLANT TEMP '[Â°C']]]-Table3[[#This Row],[5805]]</f>
        <v>0</v>
      </c>
      <c r="AB1040">
        <f>DataLog_T717420_Aug11_4_59_37pm[[#This Row],[BOOST '[BAR']]]-Table3[[#This Row],[58DD]]</f>
        <v>0</v>
      </c>
    </row>
    <row r="1041" spans="2:28" x14ac:dyDescent="0.25">
      <c r="B1041" s="2" t="s">
        <v>189</v>
      </c>
      <c r="C1041" s="2" t="s">
        <v>30</v>
      </c>
      <c r="D1041" s="2" t="s">
        <v>151</v>
      </c>
      <c r="E1041" s="2" t="s">
        <v>252</v>
      </c>
      <c r="F1041" s="2" t="s">
        <v>261</v>
      </c>
      <c r="G1041" s="2" t="s">
        <v>191</v>
      </c>
      <c r="I1041">
        <f>HEX2DEC(_0811_173439[[#This Row],[580C]])*B$4/B$5+B$6</f>
        <v>760</v>
      </c>
      <c r="J1041">
        <f>HEX2DEC(_0811_173439[[#This Row],[4402]])*C$4/C$5+C$6</f>
        <v>36</v>
      </c>
      <c r="K1041">
        <f>HEX2DEC(_0811_173439[[#This Row],[580F]])*D$4/D$5+D$6</f>
        <v>30</v>
      </c>
      <c r="L1041">
        <f>ROUND(HEX2DEC(_0811_173439[[#This Row],[58F0]])*E$4/E$5+E$6,0)</f>
        <v>70</v>
      </c>
      <c r="M1041">
        <f>ROUND(HEX2DEC(_0811_173439[[#This Row],[5805]])*F$4/F$5+F$6,0)</f>
        <v>44</v>
      </c>
      <c r="N1041">
        <f>ROUND(HEX2DEC(_0811_173439[[#This Row],[58DD]])*G$4/G$5+G$6,2)</f>
        <v>-0.03</v>
      </c>
      <c r="P1041">
        <v>760</v>
      </c>
      <c r="Q1041">
        <v>36</v>
      </c>
      <c r="R1041">
        <v>30</v>
      </c>
      <c r="S1041">
        <v>70</v>
      </c>
      <c r="T1041">
        <v>44</v>
      </c>
      <c r="U1041">
        <v>-0.03</v>
      </c>
      <c r="W1041">
        <f>DataLog_T717420_Aug11_4_59_37pm[[#This Row],[RPM '[1/MIN']]]-Table3[[#This Row],[580C]]</f>
        <v>0</v>
      </c>
      <c r="X1041">
        <f>DataLog_T717420_Aug11_4_59_37pm[[#This Row],[OIL TEMP '[Â°C']]]-Table3[[#This Row],[4402]]</f>
        <v>0</v>
      </c>
      <c r="Y1041">
        <f>DataLog_T717420_Aug11_4_59_37pm[[#This Row],[INTAKE TEMP '[Â°C']]]-Table3[[#This Row],[580F]]</f>
        <v>0</v>
      </c>
      <c r="Z1041">
        <f>DataLog_T717420_Aug11_4_59_37pm[[#This Row],[HPFP PRES. '[BAR']]]-Table3[[#This Row],[58F0]]</f>
        <v>0</v>
      </c>
      <c r="AA1041">
        <f>DataLog_T717420_Aug11_4_59_37pm[[#This Row],[COOLANT TEMP '[Â°C']]]-Table3[[#This Row],[5805]]</f>
        <v>0</v>
      </c>
      <c r="AB1041">
        <f>DataLog_T717420_Aug11_4_59_37pm[[#This Row],[BOOST '[BAR']]]-Table3[[#This Row],[58DD]]</f>
        <v>0</v>
      </c>
    </row>
    <row r="1042" spans="2:28" x14ac:dyDescent="0.25">
      <c r="B1042" s="2" t="s">
        <v>189</v>
      </c>
      <c r="C1042" s="2" t="s">
        <v>30</v>
      </c>
      <c r="D1042" s="2" t="s">
        <v>151</v>
      </c>
      <c r="E1042" s="2" t="s">
        <v>134</v>
      </c>
      <c r="F1042" s="2" t="s">
        <v>261</v>
      </c>
      <c r="G1042" s="2" t="s">
        <v>213</v>
      </c>
      <c r="I1042">
        <f>HEX2DEC(_0811_173439[[#This Row],[580C]])*B$4/B$5+B$6</f>
        <v>760</v>
      </c>
      <c r="J1042">
        <f>HEX2DEC(_0811_173439[[#This Row],[4402]])*C$4/C$5+C$6</f>
        <v>36</v>
      </c>
      <c r="K1042">
        <f>HEX2DEC(_0811_173439[[#This Row],[580F]])*D$4/D$5+D$6</f>
        <v>30</v>
      </c>
      <c r="L1042">
        <f>ROUND(HEX2DEC(_0811_173439[[#This Row],[58F0]])*E$4/E$5+E$6,0)</f>
        <v>70</v>
      </c>
      <c r="M1042">
        <f>ROUND(HEX2DEC(_0811_173439[[#This Row],[5805]])*F$4/F$5+F$6,0)</f>
        <v>44</v>
      </c>
      <c r="N1042">
        <f>ROUND(HEX2DEC(_0811_173439[[#This Row],[58DD]])*G$4/G$5+G$6,2)</f>
        <v>-0.03</v>
      </c>
      <c r="P1042">
        <v>760</v>
      </c>
      <c r="Q1042">
        <v>36</v>
      </c>
      <c r="R1042">
        <v>30</v>
      </c>
      <c r="S1042">
        <v>70</v>
      </c>
      <c r="T1042">
        <v>44</v>
      </c>
      <c r="U1042">
        <v>-0.03</v>
      </c>
      <c r="W1042">
        <f>DataLog_T717420_Aug11_4_59_37pm[[#This Row],[RPM '[1/MIN']]]-Table3[[#This Row],[580C]]</f>
        <v>0</v>
      </c>
      <c r="X1042">
        <f>DataLog_T717420_Aug11_4_59_37pm[[#This Row],[OIL TEMP '[Â°C']]]-Table3[[#This Row],[4402]]</f>
        <v>0</v>
      </c>
      <c r="Y1042">
        <f>DataLog_T717420_Aug11_4_59_37pm[[#This Row],[INTAKE TEMP '[Â°C']]]-Table3[[#This Row],[580F]]</f>
        <v>0</v>
      </c>
      <c r="Z1042">
        <f>DataLog_T717420_Aug11_4_59_37pm[[#This Row],[HPFP PRES. '[BAR']]]-Table3[[#This Row],[58F0]]</f>
        <v>0</v>
      </c>
      <c r="AA1042">
        <f>DataLog_T717420_Aug11_4_59_37pm[[#This Row],[COOLANT TEMP '[Â°C']]]-Table3[[#This Row],[5805]]</f>
        <v>0</v>
      </c>
      <c r="AB1042">
        <f>DataLog_T717420_Aug11_4_59_37pm[[#This Row],[BOOST '[BAR']]]-Table3[[#This Row],[58DD]]</f>
        <v>0</v>
      </c>
    </row>
    <row r="1043" spans="2:28" x14ac:dyDescent="0.25">
      <c r="B1043" s="2" t="s">
        <v>189</v>
      </c>
      <c r="C1043" s="2" t="s">
        <v>30</v>
      </c>
      <c r="D1043" s="2" t="s">
        <v>151</v>
      </c>
      <c r="E1043" s="2" t="s">
        <v>150</v>
      </c>
      <c r="F1043" s="2" t="s">
        <v>261</v>
      </c>
      <c r="G1043" s="2" t="s">
        <v>96</v>
      </c>
      <c r="I1043">
        <f>HEX2DEC(_0811_173439[[#This Row],[580C]])*B$4/B$5+B$6</f>
        <v>760</v>
      </c>
      <c r="J1043">
        <f>HEX2DEC(_0811_173439[[#This Row],[4402]])*C$4/C$5+C$6</f>
        <v>36</v>
      </c>
      <c r="K1043">
        <f>HEX2DEC(_0811_173439[[#This Row],[580F]])*D$4/D$5+D$6</f>
        <v>30</v>
      </c>
      <c r="L1043">
        <f>ROUND(HEX2DEC(_0811_173439[[#This Row],[58F0]])*E$4/E$5+E$6,0)</f>
        <v>70</v>
      </c>
      <c r="M1043">
        <f>ROUND(HEX2DEC(_0811_173439[[#This Row],[5805]])*F$4/F$5+F$6,0)</f>
        <v>44</v>
      </c>
      <c r="N1043">
        <f>ROUND(HEX2DEC(_0811_173439[[#This Row],[58DD]])*G$4/G$5+G$6,2)</f>
        <v>-0.03</v>
      </c>
      <c r="P1043">
        <v>760</v>
      </c>
      <c r="Q1043">
        <v>36</v>
      </c>
      <c r="R1043">
        <v>30</v>
      </c>
      <c r="S1043">
        <v>70</v>
      </c>
      <c r="T1043">
        <v>44</v>
      </c>
      <c r="U1043">
        <v>-0.03</v>
      </c>
      <c r="W1043">
        <f>DataLog_T717420_Aug11_4_59_37pm[[#This Row],[RPM '[1/MIN']]]-Table3[[#This Row],[580C]]</f>
        <v>0</v>
      </c>
      <c r="X1043">
        <f>DataLog_T717420_Aug11_4_59_37pm[[#This Row],[OIL TEMP '[Â°C']]]-Table3[[#This Row],[4402]]</f>
        <v>0</v>
      </c>
      <c r="Y1043">
        <f>DataLog_T717420_Aug11_4_59_37pm[[#This Row],[INTAKE TEMP '[Â°C']]]-Table3[[#This Row],[580F]]</f>
        <v>0</v>
      </c>
      <c r="Z1043">
        <f>DataLog_T717420_Aug11_4_59_37pm[[#This Row],[HPFP PRES. '[BAR']]]-Table3[[#This Row],[58F0]]</f>
        <v>0</v>
      </c>
      <c r="AA1043">
        <f>DataLog_T717420_Aug11_4_59_37pm[[#This Row],[COOLANT TEMP '[Â°C']]]-Table3[[#This Row],[5805]]</f>
        <v>0</v>
      </c>
      <c r="AB1043">
        <f>DataLog_T717420_Aug11_4_59_37pm[[#This Row],[BOOST '[BAR']]]-Table3[[#This Row],[58DD]]</f>
        <v>0</v>
      </c>
    </row>
    <row r="1044" spans="2:28" x14ac:dyDescent="0.25">
      <c r="B1044" s="2" t="s">
        <v>183</v>
      </c>
      <c r="C1044" s="2" t="s">
        <v>30</v>
      </c>
      <c r="D1044" s="2" t="s">
        <v>151</v>
      </c>
      <c r="E1044" s="2" t="s">
        <v>127</v>
      </c>
      <c r="F1044" s="2" t="s">
        <v>261</v>
      </c>
      <c r="G1044" s="2" t="s">
        <v>53</v>
      </c>
      <c r="I1044">
        <f>HEX2DEC(_0811_173439[[#This Row],[580C]])*B$4/B$5+B$6</f>
        <v>800</v>
      </c>
      <c r="J1044">
        <f>HEX2DEC(_0811_173439[[#This Row],[4402]])*C$4/C$5+C$6</f>
        <v>36</v>
      </c>
      <c r="K1044">
        <f>HEX2DEC(_0811_173439[[#This Row],[580F]])*D$4/D$5+D$6</f>
        <v>30</v>
      </c>
      <c r="L1044">
        <f>ROUND(HEX2DEC(_0811_173439[[#This Row],[58F0]])*E$4/E$5+E$6,0)</f>
        <v>70</v>
      </c>
      <c r="M1044">
        <f>ROUND(HEX2DEC(_0811_173439[[#This Row],[5805]])*F$4/F$5+F$6,0)</f>
        <v>44</v>
      </c>
      <c r="N1044">
        <f>ROUND(HEX2DEC(_0811_173439[[#This Row],[58DD]])*G$4/G$5+G$6,2)</f>
        <v>-0.03</v>
      </c>
      <c r="P1044">
        <v>800</v>
      </c>
      <c r="Q1044">
        <v>36</v>
      </c>
      <c r="R1044">
        <v>30</v>
      </c>
      <c r="S1044">
        <v>70</v>
      </c>
      <c r="T1044">
        <v>44</v>
      </c>
      <c r="U1044">
        <v>-0.03</v>
      </c>
      <c r="W1044">
        <f>DataLog_T717420_Aug11_4_59_37pm[[#This Row],[RPM '[1/MIN']]]-Table3[[#This Row],[580C]]</f>
        <v>0</v>
      </c>
      <c r="X1044">
        <f>DataLog_T717420_Aug11_4_59_37pm[[#This Row],[OIL TEMP '[Â°C']]]-Table3[[#This Row],[4402]]</f>
        <v>0</v>
      </c>
      <c r="Y1044">
        <f>DataLog_T717420_Aug11_4_59_37pm[[#This Row],[INTAKE TEMP '[Â°C']]]-Table3[[#This Row],[580F]]</f>
        <v>0</v>
      </c>
      <c r="Z1044">
        <f>DataLog_T717420_Aug11_4_59_37pm[[#This Row],[HPFP PRES. '[BAR']]]-Table3[[#This Row],[58F0]]</f>
        <v>0</v>
      </c>
      <c r="AA1044">
        <f>DataLog_T717420_Aug11_4_59_37pm[[#This Row],[COOLANT TEMP '[Â°C']]]-Table3[[#This Row],[5805]]</f>
        <v>0</v>
      </c>
      <c r="AB1044">
        <f>DataLog_T717420_Aug11_4_59_37pm[[#This Row],[BOOST '[BAR']]]-Table3[[#This Row],[58DD]]</f>
        <v>0</v>
      </c>
    </row>
    <row r="1045" spans="2:28" x14ac:dyDescent="0.25">
      <c r="B1045" s="2" t="s">
        <v>183</v>
      </c>
      <c r="C1045" s="2" t="s">
        <v>30</v>
      </c>
      <c r="D1045" s="2" t="s">
        <v>151</v>
      </c>
      <c r="E1045" s="2" t="s">
        <v>145</v>
      </c>
      <c r="F1045" s="2" t="s">
        <v>261</v>
      </c>
      <c r="G1045" s="2" t="s">
        <v>191</v>
      </c>
      <c r="I1045">
        <f>HEX2DEC(_0811_173439[[#This Row],[580C]])*B$4/B$5+B$6</f>
        <v>800</v>
      </c>
      <c r="J1045">
        <f>HEX2DEC(_0811_173439[[#This Row],[4402]])*C$4/C$5+C$6</f>
        <v>36</v>
      </c>
      <c r="K1045">
        <f>HEX2DEC(_0811_173439[[#This Row],[580F]])*D$4/D$5+D$6</f>
        <v>30</v>
      </c>
      <c r="L1045">
        <f>ROUND(HEX2DEC(_0811_173439[[#This Row],[58F0]])*E$4/E$5+E$6,0)</f>
        <v>70</v>
      </c>
      <c r="M1045">
        <f>ROUND(HEX2DEC(_0811_173439[[#This Row],[5805]])*F$4/F$5+F$6,0)</f>
        <v>44</v>
      </c>
      <c r="N1045">
        <f>ROUND(HEX2DEC(_0811_173439[[#This Row],[58DD]])*G$4/G$5+G$6,2)</f>
        <v>-0.03</v>
      </c>
      <c r="P1045">
        <v>800</v>
      </c>
      <c r="Q1045">
        <v>36</v>
      </c>
      <c r="R1045">
        <v>30</v>
      </c>
      <c r="S1045">
        <v>70</v>
      </c>
      <c r="T1045">
        <v>44</v>
      </c>
      <c r="U1045">
        <v>-0.03</v>
      </c>
      <c r="W1045">
        <f>DataLog_T717420_Aug11_4_59_37pm[[#This Row],[RPM '[1/MIN']]]-Table3[[#This Row],[580C]]</f>
        <v>0</v>
      </c>
      <c r="X1045">
        <f>DataLog_T717420_Aug11_4_59_37pm[[#This Row],[OIL TEMP '[Â°C']]]-Table3[[#This Row],[4402]]</f>
        <v>0</v>
      </c>
      <c r="Y1045">
        <f>DataLog_T717420_Aug11_4_59_37pm[[#This Row],[INTAKE TEMP '[Â°C']]]-Table3[[#This Row],[580F]]</f>
        <v>0</v>
      </c>
      <c r="Z1045">
        <f>DataLog_T717420_Aug11_4_59_37pm[[#This Row],[HPFP PRES. '[BAR']]]-Table3[[#This Row],[58F0]]</f>
        <v>0</v>
      </c>
      <c r="AA1045">
        <f>DataLog_T717420_Aug11_4_59_37pm[[#This Row],[COOLANT TEMP '[Â°C']]]-Table3[[#This Row],[5805]]</f>
        <v>0</v>
      </c>
      <c r="AB1045">
        <f>DataLog_T717420_Aug11_4_59_37pm[[#This Row],[BOOST '[BAR']]]-Table3[[#This Row],[58DD]]</f>
        <v>0</v>
      </c>
    </row>
    <row r="1046" spans="2:28" x14ac:dyDescent="0.25">
      <c r="B1046" s="2" t="s">
        <v>189</v>
      </c>
      <c r="C1046" s="2" t="s">
        <v>30</v>
      </c>
      <c r="D1046" s="2" t="s">
        <v>151</v>
      </c>
      <c r="E1046" s="2" t="s">
        <v>150</v>
      </c>
      <c r="F1046" s="2" t="s">
        <v>261</v>
      </c>
      <c r="G1046" s="2" t="s">
        <v>191</v>
      </c>
      <c r="I1046">
        <f>HEX2DEC(_0811_173439[[#This Row],[580C]])*B$4/B$5+B$6</f>
        <v>760</v>
      </c>
      <c r="J1046">
        <f>HEX2DEC(_0811_173439[[#This Row],[4402]])*C$4/C$5+C$6</f>
        <v>36</v>
      </c>
      <c r="K1046">
        <f>HEX2DEC(_0811_173439[[#This Row],[580F]])*D$4/D$5+D$6</f>
        <v>30</v>
      </c>
      <c r="L1046">
        <f>ROUND(HEX2DEC(_0811_173439[[#This Row],[58F0]])*E$4/E$5+E$6,0)</f>
        <v>70</v>
      </c>
      <c r="M1046">
        <f>ROUND(HEX2DEC(_0811_173439[[#This Row],[5805]])*F$4/F$5+F$6,0)</f>
        <v>44</v>
      </c>
      <c r="N1046">
        <f>ROUND(HEX2DEC(_0811_173439[[#This Row],[58DD]])*G$4/G$5+G$6,2)</f>
        <v>-0.03</v>
      </c>
      <c r="P1046">
        <v>760</v>
      </c>
      <c r="Q1046">
        <v>36</v>
      </c>
      <c r="R1046">
        <v>30</v>
      </c>
      <c r="S1046">
        <v>70</v>
      </c>
      <c r="T1046">
        <v>44</v>
      </c>
      <c r="U1046">
        <v>-0.03</v>
      </c>
      <c r="W1046">
        <f>DataLog_T717420_Aug11_4_59_37pm[[#This Row],[RPM '[1/MIN']]]-Table3[[#This Row],[580C]]</f>
        <v>0</v>
      </c>
      <c r="X1046">
        <f>DataLog_T717420_Aug11_4_59_37pm[[#This Row],[OIL TEMP '[Â°C']]]-Table3[[#This Row],[4402]]</f>
        <v>0</v>
      </c>
      <c r="Y1046">
        <f>DataLog_T717420_Aug11_4_59_37pm[[#This Row],[INTAKE TEMP '[Â°C']]]-Table3[[#This Row],[580F]]</f>
        <v>0</v>
      </c>
      <c r="Z1046">
        <f>DataLog_T717420_Aug11_4_59_37pm[[#This Row],[HPFP PRES. '[BAR']]]-Table3[[#This Row],[58F0]]</f>
        <v>0</v>
      </c>
      <c r="AA1046">
        <f>DataLog_T717420_Aug11_4_59_37pm[[#This Row],[COOLANT TEMP '[Â°C']]]-Table3[[#This Row],[5805]]</f>
        <v>0</v>
      </c>
      <c r="AB1046">
        <f>DataLog_T717420_Aug11_4_59_37pm[[#This Row],[BOOST '[BAR']]]-Table3[[#This Row],[58DD]]</f>
        <v>0</v>
      </c>
    </row>
    <row r="1047" spans="2:28" x14ac:dyDescent="0.25">
      <c r="B1047" s="2" t="s">
        <v>189</v>
      </c>
      <c r="C1047" s="2" t="s">
        <v>30</v>
      </c>
      <c r="D1047" s="2" t="s">
        <v>151</v>
      </c>
      <c r="E1047" s="2" t="s">
        <v>252</v>
      </c>
      <c r="F1047" s="2" t="s">
        <v>261</v>
      </c>
      <c r="G1047" s="2" t="s">
        <v>190</v>
      </c>
      <c r="I1047">
        <f>HEX2DEC(_0811_173439[[#This Row],[580C]])*B$4/B$5+B$6</f>
        <v>760</v>
      </c>
      <c r="J1047">
        <f>HEX2DEC(_0811_173439[[#This Row],[4402]])*C$4/C$5+C$6</f>
        <v>36</v>
      </c>
      <c r="K1047">
        <f>HEX2DEC(_0811_173439[[#This Row],[580F]])*D$4/D$5+D$6</f>
        <v>30</v>
      </c>
      <c r="L1047">
        <f>ROUND(HEX2DEC(_0811_173439[[#This Row],[58F0]])*E$4/E$5+E$6,0)</f>
        <v>70</v>
      </c>
      <c r="M1047">
        <f>ROUND(HEX2DEC(_0811_173439[[#This Row],[5805]])*F$4/F$5+F$6,0)</f>
        <v>44</v>
      </c>
      <c r="N1047">
        <f>ROUND(HEX2DEC(_0811_173439[[#This Row],[58DD]])*G$4/G$5+G$6,2)</f>
        <v>-0.03</v>
      </c>
      <c r="P1047">
        <v>760</v>
      </c>
      <c r="Q1047">
        <v>36</v>
      </c>
      <c r="R1047">
        <v>30</v>
      </c>
      <c r="S1047">
        <v>70</v>
      </c>
      <c r="T1047">
        <v>44</v>
      </c>
      <c r="U1047">
        <v>-0.03</v>
      </c>
      <c r="W1047">
        <f>DataLog_T717420_Aug11_4_59_37pm[[#This Row],[RPM '[1/MIN']]]-Table3[[#This Row],[580C]]</f>
        <v>0</v>
      </c>
      <c r="X1047">
        <f>DataLog_T717420_Aug11_4_59_37pm[[#This Row],[OIL TEMP '[Â°C']]]-Table3[[#This Row],[4402]]</f>
        <v>0</v>
      </c>
      <c r="Y1047">
        <f>DataLog_T717420_Aug11_4_59_37pm[[#This Row],[INTAKE TEMP '[Â°C']]]-Table3[[#This Row],[580F]]</f>
        <v>0</v>
      </c>
      <c r="Z1047">
        <f>DataLog_T717420_Aug11_4_59_37pm[[#This Row],[HPFP PRES. '[BAR']]]-Table3[[#This Row],[58F0]]</f>
        <v>0</v>
      </c>
      <c r="AA1047">
        <f>DataLog_T717420_Aug11_4_59_37pm[[#This Row],[COOLANT TEMP '[Â°C']]]-Table3[[#This Row],[5805]]</f>
        <v>0</v>
      </c>
      <c r="AB1047">
        <f>DataLog_T717420_Aug11_4_59_37pm[[#This Row],[BOOST '[BAR']]]-Table3[[#This Row],[58DD]]</f>
        <v>0</v>
      </c>
    </row>
    <row r="1048" spans="2:28" x14ac:dyDescent="0.25">
      <c r="B1048" s="2" t="s">
        <v>189</v>
      </c>
      <c r="C1048" s="2" t="s">
        <v>30</v>
      </c>
      <c r="D1048" s="2" t="s">
        <v>151</v>
      </c>
      <c r="E1048" s="2" t="s">
        <v>134</v>
      </c>
      <c r="F1048" s="2" t="s">
        <v>261</v>
      </c>
      <c r="G1048" s="2" t="s">
        <v>190</v>
      </c>
      <c r="I1048">
        <f>HEX2DEC(_0811_173439[[#This Row],[580C]])*B$4/B$5+B$6</f>
        <v>760</v>
      </c>
      <c r="J1048">
        <f>HEX2DEC(_0811_173439[[#This Row],[4402]])*C$4/C$5+C$6</f>
        <v>36</v>
      </c>
      <c r="K1048">
        <f>HEX2DEC(_0811_173439[[#This Row],[580F]])*D$4/D$5+D$6</f>
        <v>30</v>
      </c>
      <c r="L1048">
        <f>ROUND(HEX2DEC(_0811_173439[[#This Row],[58F0]])*E$4/E$5+E$6,0)</f>
        <v>70</v>
      </c>
      <c r="M1048">
        <f>ROUND(HEX2DEC(_0811_173439[[#This Row],[5805]])*F$4/F$5+F$6,0)</f>
        <v>44</v>
      </c>
      <c r="N1048">
        <f>ROUND(HEX2DEC(_0811_173439[[#This Row],[58DD]])*G$4/G$5+G$6,2)</f>
        <v>-0.03</v>
      </c>
      <c r="P1048">
        <v>760</v>
      </c>
      <c r="Q1048">
        <v>36</v>
      </c>
      <c r="R1048">
        <v>30</v>
      </c>
      <c r="S1048">
        <v>70</v>
      </c>
      <c r="T1048">
        <v>44</v>
      </c>
      <c r="U1048">
        <v>-0.03</v>
      </c>
      <c r="W1048">
        <f>DataLog_T717420_Aug11_4_59_37pm[[#This Row],[RPM '[1/MIN']]]-Table3[[#This Row],[580C]]</f>
        <v>0</v>
      </c>
      <c r="X1048">
        <f>DataLog_T717420_Aug11_4_59_37pm[[#This Row],[OIL TEMP '[Â°C']]]-Table3[[#This Row],[4402]]</f>
        <v>0</v>
      </c>
      <c r="Y1048">
        <f>DataLog_T717420_Aug11_4_59_37pm[[#This Row],[INTAKE TEMP '[Â°C']]]-Table3[[#This Row],[580F]]</f>
        <v>0</v>
      </c>
      <c r="Z1048">
        <f>DataLog_T717420_Aug11_4_59_37pm[[#This Row],[HPFP PRES. '[BAR']]]-Table3[[#This Row],[58F0]]</f>
        <v>0</v>
      </c>
      <c r="AA1048">
        <f>DataLog_T717420_Aug11_4_59_37pm[[#This Row],[COOLANT TEMP '[Â°C']]]-Table3[[#This Row],[5805]]</f>
        <v>0</v>
      </c>
      <c r="AB1048">
        <f>DataLog_T717420_Aug11_4_59_37pm[[#This Row],[BOOST '[BAR']]]-Table3[[#This Row],[58DD]]</f>
        <v>0</v>
      </c>
    </row>
    <row r="1049" spans="2:28" x14ac:dyDescent="0.25">
      <c r="B1049" s="2" t="s">
        <v>189</v>
      </c>
      <c r="C1049" s="2" t="s">
        <v>30</v>
      </c>
      <c r="D1049" s="2" t="s">
        <v>151</v>
      </c>
      <c r="E1049" s="2" t="s">
        <v>150</v>
      </c>
      <c r="F1049" s="2" t="s">
        <v>261</v>
      </c>
      <c r="G1049" s="2" t="s">
        <v>190</v>
      </c>
      <c r="I1049">
        <f>HEX2DEC(_0811_173439[[#This Row],[580C]])*B$4/B$5+B$6</f>
        <v>760</v>
      </c>
      <c r="J1049">
        <f>HEX2DEC(_0811_173439[[#This Row],[4402]])*C$4/C$5+C$6</f>
        <v>36</v>
      </c>
      <c r="K1049">
        <f>HEX2DEC(_0811_173439[[#This Row],[580F]])*D$4/D$5+D$6</f>
        <v>30</v>
      </c>
      <c r="L1049">
        <f>ROUND(HEX2DEC(_0811_173439[[#This Row],[58F0]])*E$4/E$5+E$6,0)</f>
        <v>70</v>
      </c>
      <c r="M1049">
        <f>ROUND(HEX2DEC(_0811_173439[[#This Row],[5805]])*F$4/F$5+F$6,0)</f>
        <v>44</v>
      </c>
      <c r="N1049">
        <f>ROUND(HEX2DEC(_0811_173439[[#This Row],[58DD]])*G$4/G$5+G$6,2)</f>
        <v>-0.03</v>
      </c>
      <c r="P1049">
        <v>760</v>
      </c>
      <c r="Q1049">
        <v>36</v>
      </c>
      <c r="R1049">
        <v>30</v>
      </c>
      <c r="S1049">
        <v>70</v>
      </c>
      <c r="T1049">
        <v>44</v>
      </c>
      <c r="U1049">
        <v>-0.03</v>
      </c>
      <c r="W1049">
        <f>DataLog_T717420_Aug11_4_59_37pm[[#This Row],[RPM '[1/MIN']]]-Table3[[#This Row],[580C]]</f>
        <v>0</v>
      </c>
      <c r="X1049">
        <f>DataLog_T717420_Aug11_4_59_37pm[[#This Row],[OIL TEMP '[Â°C']]]-Table3[[#This Row],[4402]]</f>
        <v>0</v>
      </c>
      <c r="Y1049">
        <f>DataLog_T717420_Aug11_4_59_37pm[[#This Row],[INTAKE TEMP '[Â°C']]]-Table3[[#This Row],[580F]]</f>
        <v>0</v>
      </c>
      <c r="Z1049">
        <f>DataLog_T717420_Aug11_4_59_37pm[[#This Row],[HPFP PRES. '[BAR']]]-Table3[[#This Row],[58F0]]</f>
        <v>0</v>
      </c>
      <c r="AA1049">
        <f>DataLog_T717420_Aug11_4_59_37pm[[#This Row],[COOLANT TEMP '[Â°C']]]-Table3[[#This Row],[5805]]</f>
        <v>0</v>
      </c>
      <c r="AB1049">
        <f>DataLog_T717420_Aug11_4_59_37pm[[#This Row],[BOOST '[BAR']]]-Table3[[#This Row],[58DD]]</f>
        <v>0</v>
      </c>
    </row>
    <row r="1050" spans="2:28" x14ac:dyDescent="0.25">
      <c r="B1050" s="2" t="s">
        <v>189</v>
      </c>
      <c r="C1050" s="2" t="s">
        <v>30</v>
      </c>
      <c r="D1050" s="2" t="s">
        <v>151</v>
      </c>
      <c r="E1050" s="2" t="s">
        <v>132</v>
      </c>
      <c r="F1050" s="2" t="s">
        <v>261</v>
      </c>
      <c r="G1050" s="2" t="s">
        <v>245</v>
      </c>
      <c r="I1050">
        <f>HEX2DEC(_0811_173439[[#This Row],[580C]])*B$4/B$5+B$6</f>
        <v>760</v>
      </c>
      <c r="J1050">
        <f>HEX2DEC(_0811_173439[[#This Row],[4402]])*C$4/C$5+C$6</f>
        <v>36</v>
      </c>
      <c r="K1050">
        <f>HEX2DEC(_0811_173439[[#This Row],[580F]])*D$4/D$5+D$6</f>
        <v>30</v>
      </c>
      <c r="L1050">
        <f>ROUND(HEX2DEC(_0811_173439[[#This Row],[58F0]])*E$4/E$5+E$6,0)</f>
        <v>70</v>
      </c>
      <c r="M1050">
        <f>ROUND(HEX2DEC(_0811_173439[[#This Row],[5805]])*F$4/F$5+F$6,0)</f>
        <v>44</v>
      </c>
      <c r="N1050">
        <f>ROUND(HEX2DEC(_0811_173439[[#This Row],[58DD]])*G$4/G$5+G$6,2)</f>
        <v>-0.03</v>
      </c>
      <c r="P1050">
        <v>760</v>
      </c>
      <c r="Q1050">
        <v>36</v>
      </c>
      <c r="R1050">
        <v>30</v>
      </c>
      <c r="S1050">
        <v>70</v>
      </c>
      <c r="T1050">
        <v>44</v>
      </c>
      <c r="U1050">
        <v>-0.03</v>
      </c>
      <c r="W1050">
        <f>DataLog_T717420_Aug11_4_59_37pm[[#This Row],[RPM '[1/MIN']]]-Table3[[#This Row],[580C]]</f>
        <v>0</v>
      </c>
      <c r="X1050">
        <f>DataLog_T717420_Aug11_4_59_37pm[[#This Row],[OIL TEMP '[Â°C']]]-Table3[[#This Row],[4402]]</f>
        <v>0</v>
      </c>
      <c r="Y1050">
        <f>DataLog_T717420_Aug11_4_59_37pm[[#This Row],[INTAKE TEMP '[Â°C']]]-Table3[[#This Row],[580F]]</f>
        <v>0</v>
      </c>
      <c r="Z1050">
        <f>DataLog_T717420_Aug11_4_59_37pm[[#This Row],[HPFP PRES. '[BAR']]]-Table3[[#This Row],[58F0]]</f>
        <v>0</v>
      </c>
      <c r="AA1050">
        <f>DataLog_T717420_Aug11_4_59_37pm[[#This Row],[COOLANT TEMP '[Â°C']]]-Table3[[#This Row],[5805]]</f>
        <v>0</v>
      </c>
      <c r="AB1050">
        <f>DataLog_T717420_Aug11_4_59_37pm[[#This Row],[BOOST '[BAR']]]-Table3[[#This Row],[58DD]]</f>
        <v>0</v>
      </c>
    </row>
    <row r="1051" spans="2:28" x14ac:dyDescent="0.25">
      <c r="B1051" s="2" t="s">
        <v>189</v>
      </c>
      <c r="C1051" s="2" t="s">
        <v>30</v>
      </c>
      <c r="D1051" s="2" t="s">
        <v>151</v>
      </c>
      <c r="E1051" s="2" t="s">
        <v>134</v>
      </c>
      <c r="F1051" s="2" t="s">
        <v>261</v>
      </c>
      <c r="G1051" s="2" t="s">
        <v>90</v>
      </c>
      <c r="I1051">
        <f>HEX2DEC(_0811_173439[[#This Row],[580C]])*B$4/B$5+B$6</f>
        <v>760</v>
      </c>
      <c r="J1051">
        <f>HEX2DEC(_0811_173439[[#This Row],[4402]])*C$4/C$5+C$6</f>
        <v>36</v>
      </c>
      <c r="K1051">
        <f>HEX2DEC(_0811_173439[[#This Row],[580F]])*D$4/D$5+D$6</f>
        <v>30</v>
      </c>
      <c r="L1051">
        <f>ROUND(HEX2DEC(_0811_173439[[#This Row],[58F0]])*E$4/E$5+E$6,0)</f>
        <v>70</v>
      </c>
      <c r="M1051">
        <f>ROUND(HEX2DEC(_0811_173439[[#This Row],[5805]])*F$4/F$5+F$6,0)</f>
        <v>44</v>
      </c>
      <c r="N1051">
        <f>ROUND(HEX2DEC(_0811_173439[[#This Row],[58DD]])*G$4/G$5+G$6,2)</f>
        <v>-0.03</v>
      </c>
      <c r="P1051">
        <v>760</v>
      </c>
      <c r="Q1051">
        <v>36</v>
      </c>
      <c r="R1051">
        <v>30</v>
      </c>
      <c r="S1051">
        <v>70</v>
      </c>
      <c r="T1051">
        <v>44</v>
      </c>
      <c r="U1051">
        <v>-0.03</v>
      </c>
      <c r="W1051">
        <f>DataLog_T717420_Aug11_4_59_37pm[[#This Row],[RPM '[1/MIN']]]-Table3[[#This Row],[580C]]</f>
        <v>0</v>
      </c>
      <c r="X1051">
        <f>DataLog_T717420_Aug11_4_59_37pm[[#This Row],[OIL TEMP '[Â°C']]]-Table3[[#This Row],[4402]]</f>
        <v>0</v>
      </c>
      <c r="Y1051">
        <f>DataLog_T717420_Aug11_4_59_37pm[[#This Row],[INTAKE TEMP '[Â°C']]]-Table3[[#This Row],[580F]]</f>
        <v>0</v>
      </c>
      <c r="Z1051">
        <f>DataLog_T717420_Aug11_4_59_37pm[[#This Row],[HPFP PRES. '[BAR']]]-Table3[[#This Row],[58F0]]</f>
        <v>0</v>
      </c>
      <c r="AA1051">
        <f>DataLog_T717420_Aug11_4_59_37pm[[#This Row],[COOLANT TEMP '[Â°C']]]-Table3[[#This Row],[5805]]</f>
        <v>0</v>
      </c>
      <c r="AB1051">
        <f>DataLog_T717420_Aug11_4_59_37pm[[#This Row],[BOOST '[BAR']]]-Table3[[#This Row],[58DD]]</f>
        <v>0</v>
      </c>
    </row>
    <row r="1052" spans="2:28" x14ac:dyDescent="0.25">
      <c r="B1052" s="2" t="s">
        <v>189</v>
      </c>
      <c r="C1052" s="2" t="s">
        <v>30</v>
      </c>
      <c r="D1052" s="2" t="s">
        <v>151</v>
      </c>
      <c r="E1052" s="2" t="s">
        <v>153</v>
      </c>
      <c r="F1052" s="2" t="s">
        <v>261</v>
      </c>
      <c r="G1052" s="2" t="s">
        <v>236</v>
      </c>
      <c r="I1052">
        <f>HEX2DEC(_0811_173439[[#This Row],[580C]])*B$4/B$5+B$6</f>
        <v>760</v>
      </c>
      <c r="J1052">
        <f>HEX2DEC(_0811_173439[[#This Row],[4402]])*C$4/C$5+C$6</f>
        <v>36</v>
      </c>
      <c r="K1052">
        <f>HEX2DEC(_0811_173439[[#This Row],[580F]])*D$4/D$5+D$6</f>
        <v>30</v>
      </c>
      <c r="L1052">
        <f>ROUND(HEX2DEC(_0811_173439[[#This Row],[58F0]])*E$4/E$5+E$6,0)</f>
        <v>70</v>
      </c>
      <c r="M1052">
        <f>ROUND(HEX2DEC(_0811_173439[[#This Row],[5805]])*F$4/F$5+F$6,0)</f>
        <v>44</v>
      </c>
      <c r="N1052">
        <f>ROUND(HEX2DEC(_0811_173439[[#This Row],[58DD]])*G$4/G$5+G$6,2)</f>
        <v>-0.03</v>
      </c>
      <c r="P1052">
        <v>760</v>
      </c>
      <c r="Q1052">
        <v>36</v>
      </c>
      <c r="R1052">
        <v>30</v>
      </c>
      <c r="S1052">
        <v>70</v>
      </c>
      <c r="T1052">
        <v>44</v>
      </c>
      <c r="U1052">
        <v>-0.03</v>
      </c>
      <c r="W1052">
        <f>DataLog_T717420_Aug11_4_59_37pm[[#This Row],[RPM '[1/MIN']]]-Table3[[#This Row],[580C]]</f>
        <v>0</v>
      </c>
      <c r="X1052">
        <f>DataLog_T717420_Aug11_4_59_37pm[[#This Row],[OIL TEMP '[Â°C']]]-Table3[[#This Row],[4402]]</f>
        <v>0</v>
      </c>
      <c r="Y1052">
        <f>DataLog_T717420_Aug11_4_59_37pm[[#This Row],[INTAKE TEMP '[Â°C']]]-Table3[[#This Row],[580F]]</f>
        <v>0</v>
      </c>
      <c r="Z1052">
        <f>DataLog_T717420_Aug11_4_59_37pm[[#This Row],[HPFP PRES. '[BAR']]]-Table3[[#This Row],[58F0]]</f>
        <v>0</v>
      </c>
      <c r="AA1052">
        <f>DataLog_T717420_Aug11_4_59_37pm[[#This Row],[COOLANT TEMP '[Â°C']]]-Table3[[#This Row],[5805]]</f>
        <v>0</v>
      </c>
      <c r="AB1052">
        <f>DataLog_T717420_Aug11_4_59_37pm[[#This Row],[BOOST '[BAR']]]-Table3[[#This Row],[58DD]]</f>
        <v>0</v>
      </c>
    </row>
    <row r="1053" spans="2:28" x14ac:dyDescent="0.25">
      <c r="B1053" s="2" t="s">
        <v>189</v>
      </c>
      <c r="C1053" s="2" t="s">
        <v>30</v>
      </c>
      <c r="D1053" s="2" t="s">
        <v>151</v>
      </c>
      <c r="E1053" s="2" t="s">
        <v>221</v>
      </c>
      <c r="F1053" s="2" t="s">
        <v>261</v>
      </c>
      <c r="G1053" s="2" t="s">
        <v>245</v>
      </c>
      <c r="I1053">
        <f>HEX2DEC(_0811_173439[[#This Row],[580C]])*B$4/B$5+B$6</f>
        <v>760</v>
      </c>
      <c r="J1053">
        <f>HEX2DEC(_0811_173439[[#This Row],[4402]])*C$4/C$5+C$6</f>
        <v>36</v>
      </c>
      <c r="K1053">
        <f>HEX2DEC(_0811_173439[[#This Row],[580F]])*D$4/D$5+D$6</f>
        <v>30</v>
      </c>
      <c r="L1053">
        <f>ROUND(HEX2DEC(_0811_173439[[#This Row],[58F0]])*E$4/E$5+E$6,0)</f>
        <v>70</v>
      </c>
      <c r="M1053">
        <f>ROUND(HEX2DEC(_0811_173439[[#This Row],[5805]])*F$4/F$5+F$6,0)</f>
        <v>44</v>
      </c>
      <c r="N1053">
        <f>ROUND(HEX2DEC(_0811_173439[[#This Row],[58DD]])*G$4/G$5+G$6,2)</f>
        <v>-0.03</v>
      </c>
      <c r="P1053">
        <v>760</v>
      </c>
      <c r="Q1053">
        <v>36</v>
      </c>
      <c r="R1053">
        <v>30</v>
      </c>
      <c r="S1053">
        <v>70</v>
      </c>
      <c r="T1053">
        <v>44</v>
      </c>
      <c r="U1053">
        <v>-0.03</v>
      </c>
      <c r="W1053">
        <f>DataLog_T717420_Aug11_4_59_37pm[[#This Row],[RPM '[1/MIN']]]-Table3[[#This Row],[580C]]</f>
        <v>0</v>
      </c>
      <c r="X1053">
        <f>DataLog_T717420_Aug11_4_59_37pm[[#This Row],[OIL TEMP '[Â°C']]]-Table3[[#This Row],[4402]]</f>
        <v>0</v>
      </c>
      <c r="Y1053">
        <f>DataLog_T717420_Aug11_4_59_37pm[[#This Row],[INTAKE TEMP '[Â°C']]]-Table3[[#This Row],[580F]]</f>
        <v>0</v>
      </c>
      <c r="Z1053">
        <f>DataLog_T717420_Aug11_4_59_37pm[[#This Row],[HPFP PRES. '[BAR']]]-Table3[[#This Row],[58F0]]</f>
        <v>0</v>
      </c>
      <c r="AA1053">
        <f>DataLog_T717420_Aug11_4_59_37pm[[#This Row],[COOLANT TEMP '[Â°C']]]-Table3[[#This Row],[5805]]</f>
        <v>0</v>
      </c>
      <c r="AB1053">
        <f>DataLog_T717420_Aug11_4_59_37pm[[#This Row],[BOOST '[BAR']]]-Table3[[#This Row],[58DD]]</f>
        <v>0</v>
      </c>
    </row>
    <row r="1054" spans="2:28" x14ac:dyDescent="0.25">
      <c r="B1054" s="2" t="s">
        <v>189</v>
      </c>
      <c r="C1054" s="2" t="s">
        <v>30</v>
      </c>
      <c r="D1054" s="2" t="s">
        <v>151</v>
      </c>
      <c r="E1054" s="2" t="s">
        <v>214</v>
      </c>
      <c r="F1054" s="2" t="s">
        <v>261</v>
      </c>
      <c r="G1054" s="2" t="s">
        <v>71</v>
      </c>
      <c r="I1054">
        <f>HEX2DEC(_0811_173439[[#This Row],[580C]])*B$4/B$5+B$6</f>
        <v>760</v>
      </c>
      <c r="J1054">
        <f>HEX2DEC(_0811_173439[[#This Row],[4402]])*C$4/C$5+C$6</f>
        <v>36</v>
      </c>
      <c r="K1054">
        <f>HEX2DEC(_0811_173439[[#This Row],[580F]])*D$4/D$5+D$6</f>
        <v>30</v>
      </c>
      <c r="L1054">
        <f>ROUND(HEX2DEC(_0811_173439[[#This Row],[58F0]])*E$4/E$5+E$6,0)</f>
        <v>70</v>
      </c>
      <c r="M1054">
        <f>ROUND(HEX2DEC(_0811_173439[[#This Row],[5805]])*F$4/F$5+F$6,0)</f>
        <v>44</v>
      </c>
      <c r="N1054">
        <f>ROUND(HEX2DEC(_0811_173439[[#This Row],[58DD]])*G$4/G$5+G$6,2)</f>
        <v>-0.03</v>
      </c>
      <c r="P1054">
        <v>760</v>
      </c>
      <c r="Q1054">
        <v>36</v>
      </c>
      <c r="R1054">
        <v>30</v>
      </c>
      <c r="S1054">
        <v>70</v>
      </c>
      <c r="T1054">
        <v>44</v>
      </c>
      <c r="U1054">
        <v>-0.03</v>
      </c>
      <c r="W1054">
        <f>DataLog_T717420_Aug11_4_59_37pm[[#This Row],[RPM '[1/MIN']]]-Table3[[#This Row],[580C]]</f>
        <v>0</v>
      </c>
      <c r="X1054">
        <f>DataLog_T717420_Aug11_4_59_37pm[[#This Row],[OIL TEMP '[Â°C']]]-Table3[[#This Row],[4402]]</f>
        <v>0</v>
      </c>
      <c r="Y1054">
        <f>DataLog_T717420_Aug11_4_59_37pm[[#This Row],[INTAKE TEMP '[Â°C']]]-Table3[[#This Row],[580F]]</f>
        <v>0</v>
      </c>
      <c r="Z1054">
        <f>DataLog_T717420_Aug11_4_59_37pm[[#This Row],[HPFP PRES. '[BAR']]]-Table3[[#This Row],[58F0]]</f>
        <v>0</v>
      </c>
      <c r="AA1054">
        <f>DataLog_T717420_Aug11_4_59_37pm[[#This Row],[COOLANT TEMP '[Â°C']]]-Table3[[#This Row],[5805]]</f>
        <v>0</v>
      </c>
      <c r="AB1054">
        <f>DataLog_T717420_Aug11_4_59_37pm[[#This Row],[BOOST '[BAR']]]-Table3[[#This Row],[58DD]]</f>
        <v>0</v>
      </c>
    </row>
    <row r="1055" spans="2:28" x14ac:dyDescent="0.25">
      <c r="B1055" s="2" t="s">
        <v>189</v>
      </c>
      <c r="C1055" s="2" t="s">
        <v>30</v>
      </c>
      <c r="D1055" s="2" t="s">
        <v>151</v>
      </c>
      <c r="E1055" s="2" t="s">
        <v>127</v>
      </c>
      <c r="F1055" s="2" t="s">
        <v>261</v>
      </c>
      <c r="G1055" s="2" t="s">
        <v>245</v>
      </c>
      <c r="I1055">
        <f>HEX2DEC(_0811_173439[[#This Row],[580C]])*B$4/B$5+B$6</f>
        <v>760</v>
      </c>
      <c r="J1055">
        <f>HEX2DEC(_0811_173439[[#This Row],[4402]])*C$4/C$5+C$6</f>
        <v>36</v>
      </c>
      <c r="K1055">
        <f>HEX2DEC(_0811_173439[[#This Row],[580F]])*D$4/D$5+D$6</f>
        <v>30</v>
      </c>
      <c r="L1055">
        <f>ROUND(HEX2DEC(_0811_173439[[#This Row],[58F0]])*E$4/E$5+E$6,0)</f>
        <v>70</v>
      </c>
      <c r="M1055">
        <f>ROUND(HEX2DEC(_0811_173439[[#This Row],[5805]])*F$4/F$5+F$6,0)</f>
        <v>44</v>
      </c>
      <c r="N1055">
        <f>ROUND(HEX2DEC(_0811_173439[[#This Row],[58DD]])*G$4/G$5+G$6,2)</f>
        <v>-0.03</v>
      </c>
      <c r="P1055">
        <v>760</v>
      </c>
      <c r="Q1055">
        <v>36</v>
      </c>
      <c r="R1055">
        <v>30</v>
      </c>
      <c r="S1055">
        <v>70</v>
      </c>
      <c r="T1055">
        <v>44</v>
      </c>
      <c r="U1055">
        <v>-0.03</v>
      </c>
      <c r="W1055">
        <f>DataLog_T717420_Aug11_4_59_37pm[[#This Row],[RPM '[1/MIN']]]-Table3[[#This Row],[580C]]</f>
        <v>0</v>
      </c>
      <c r="X1055">
        <f>DataLog_T717420_Aug11_4_59_37pm[[#This Row],[OIL TEMP '[Â°C']]]-Table3[[#This Row],[4402]]</f>
        <v>0</v>
      </c>
      <c r="Y1055">
        <f>DataLog_T717420_Aug11_4_59_37pm[[#This Row],[INTAKE TEMP '[Â°C']]]-Table3[[#This Row],[580F]]</f>
        <v>0</v>
      </c>
      <c r="Z1055">
        <f>DataLog_T717420_Aug11_4_59_37pm[[#This Row],[HPFP PRES. '[BAR']]]-Table3[[#This Row],[58F0]]</f>
        <v>0</v>
      </c>
      <c r="AA1055">
        <f>DataLog_T717420_Aug11_4_59_37pm[[#This Row],[COOLANT TEMP '[Â°C']]]-Table3[[#This Row],[5805]]</f>
        <v>0</v>
      </c>
      <c r="AB1055">
        <f>DataLog_T717420_Aug11_4_59_37pm[[#This Row],[BOOST '[BAR']]]-Table3[[#This Row],[58DD]]</f>
        <v>0</v>
      </c>
    </row>
    <row r="1056" spans="2:28" x14ac:dyDescent="0.25">
      <c r="B1056" s="2" t="s">
        <v>189</v>
      </c>
      <c r="C1056" s="2" t="s">
        <v>30</v>
      </c>
      <c r="D1056" s="2" t="s">
        <v>151</v>
      </c>
      <c r="E1056" s="2" t="s">
        <v>142</v>
      </c>
      <c r="F1056" s="2" t="s">
        <v>261</v>
      </c>
      <c r="G1056" s="2" t="s">
        <v>258</v>
      </c>
      <c r="I1056">
        <f>HEX2DEC(_0811_173439[[#This Row],[580C]])*B$4/B$5+B$6</f>
        <v>760</v>
      </c>
      <c r="J1056">
        <f>HEX2DEC(_0811_173439[[#This Row],[4402]])*C$4/C$5+C$6</f>
        <v>36</v>
      </c>
      <c r="K1056">
        <f>HEX2DEC(_0811_173439[[#This Row],[580F]])*D$4/D$5+D$6</f>
        <v>30</v>
      </c>
      <c r="L1056">
        <f>ROUND(HEX2DEC(_0811_173439[[#This Row],[58F0]])*E$4/E$5+E$6,0)</f>
        <v>69</v>
      </c>
      <c r="M1056">
        <f>ROUND(HEX2DEC(_0811_173439[[#This Row],[5805]])*F$4/F$5+F$6,0)</f>
        <v>44</v>
      </c>
      <c r="N1056">
        <f>ROUND(HEX2DEC(_0811_173439[[#This Row],[58DD]])*G$4/G$5+G$6,2)</f>
        <v>-0.03</v>
      </c>
      <c r="P1056">
        <v>760</v>
      </c>
      <c r="Q1056">
        <v>36</v>
      </c>
      <c r="R1056">
        <v>30</v>
      </c>
      <c r="S1056">
        <v>69</v>
      </c>
      <c r="T1056">
        <v>44</v>
      </c>
      <c r="U1056">
        <v>-0.03</v>
      </c>
      <c r="W1056">
        <f>DataLog_T717420_Aug11_4_59_37pm[[#This Row],[RPM '[1/MIN']]]-Table3[[#This Row],[580C]]</f>
        <v>0</v>
      </c>
      <c r="X1056">
        <f>DataLog_T717420_Aug11_4_59_37pm[[#This Row],[OIL TEMP '[Â°C']]]-Table3[[#This Row],[4402]]</f>
        <v>0</v>
      </c>
      <c r="Y1056">
        <f>DataLog_T717420_Aug11_4_59_37pm[[#This Row],[INTAKE TEMP '[Â°C']]]-Table3[[#This Row],[580F]]</f>
        <v>0</v>
      </c>
      <c r="Z1056">
        <f>DataLog_T717420_Aug11_4_59_37pm[[#This Row],[HPFP PRES. '[BAR']]]-Table3[[#This Row],[58F0]]</f>
        <v>0</v>
      </c>
      <c r="AA1056">
        <f>DataLog_T717420_Aug11_4_59_37pm[[#This Row],[COOLANT TEMP '[Â°C']]]-Table3[[#This Row],[5805]]</f>
        <v>0</v>
      </c>
      <c r="AB1056">
        <f>DataLog_T717420_Aug11_4_59_37pm[[#This Row],[BOOST '[BAR']]]-Table3[[#This Row],[58DD]]</f>
        <v>0</v>
      </c>
    </row>
    <row r="1057" spans="2:28" x14ac:dyDescent="0.25">
      <c r="B1057" s="2" t="s">
        <v>189</v>
      </c>
      <c r="C1057" s="2" t="s">
        <v>30</v>
      </c>
      <c r="D1057" s="2" t="s">
        <v>151</v>
      </c>
      <c r="E1057" s="2" t="s">
        <v>198</v>
      </c>
      <c r="F1057" s="2" t="s">
        <v>261</v>
      </c>
      <c r="G1057" s="2" t="s">
        <v>236</v>
      </c>
      <c r="I1057">
        <f>HEX2DEC(_0811_173439[[#This Row],[580C]])*B$4/B$5+B$6</f>
        <v>760</v>
      </c>
      <c r="J1057">
        <f>HEX2DEC(_0811_173439[[#This Row],[4402]])*C$4/C$5+C$6</f>
        <v>36</v>
      </c>
      <c r="K1057">
        <f>HEX2DEC(_0811_173439[[#This Row],[580F]])*D$4/D$5+D$6</f>
        <v>30</v>
      </c>
      <c r="L1057">
        <f>ROUND(HEX2DEC(_0811_173439[[#This Row],[58F0]])*E$4/E$5+E$6,0)</f>
        <v>70</v>
      </c>
      <c r="M1057">
        <f>ROUND(HEX2DEC(_0811_173439[[#This Row],[5805]])*F$4/F$5+F$6,0)</f>
        <v>44</v>
      </c>
      <c r="N1057">
        <f>ROUND(HEX2DEC(_0811_173439[[#This Row],[58DD]])*G$4/G$5+G$6,2)</f>
        <v>-0.03</v>
      </c>
      <c r="P1057">
        <v>760</v>
      </c>
      <c r="Q1057">
        <v>36</v>
      </c>
      <c r="R1057">
        <v>30</v>
      </c>
      <c r="S1057">
        <v>70</v>
      </c>
      <c r="T1057">
        <v>44</v>
      </c>
      <c r="U1057">
        <v>-0.03</v>
      </c>
      <c r="W1057">
        <f>DataLog_T717420_Aug11_4_59_37pm[[#This Row],[RPM '[1/MIN']]]-Table3[[#This Row],[580C]]</f>
        <v>0</v>
      </c>
      <c r="X1057">
        <f>DataLog_T717420_Aug11_4_59_37pm[[#This Row],[OIL TEMP '[Â°C']]]-Table3[[#This Row],[4402]]</f>
        <v>0</v>
      </c>
      <c r="Y1057">
        <f>DataLog_T717420_Aug11_4_59_37pm[[#This Row],[INTAKE TEMP '[Â°C']]]-Table3[[#This Row],[580F]]</f>
        <v>0</v>
      </c>
      <c r="Z1057">
        <f>DataLog_T717420_Aug11_4_59_37pm[[#This Row],[HPFP PRES. '[BAR']]]-Table3[[#This Row],[58F0]]</f>
        <v>0</v>
      </c>
      <c r="AA1057">
        <f>DataLog_T717420_Aug11_4_59_37pm[[#This Row],[COOLANT TEMP '[Â°C']]]-Table3[[#This Row],[5805]]</f>
        <v>0</v>
      </c>
      <c r="AB1057">
        <f>DataLog_T717420_Aug11_4_59_37pm[[#This Row],[BOOST '[BAR']]]-Table3[[#This Row],[58DD]]</f>
        <v>0</v>
      </c>
    </row>
    <row r="1058" spans="2:28" x14ac:dyDescent="0.25">
      <c r="B1058" s="2" t="s">
        <v>189</v>
      </c>
      <c r="C1058" s="2" t="s">
        <v>30</v>
      </c>
      <c r="D1058" s="2" t="s">
        <v>151</v>
      </c>
      <c r="E1058" s="2" t="s">
        <v>150</v>
      </c>
      <c r="F1058" s="2" t="s">
        <v>261</v>
      </c>
      <c r="G1058" s="2" t="s">
        <v>235</v>
      </c>
      <c r="I1058">
        <f>HEX2DEC(_0811_173439[[#This Row],[580C]])*B$4/B$5+B$6</f>
        <v>760</v>
      </c>
      <c r="J1058">
        <f>HEX2DEC(_0811_173439[[#This Row],[4402]])*C$4/C$5+C$6</f>
        <v>36</v>
      </c>
      <c r="K1058">
        <f>HEX2DEC(_0811_173439[[#This Row],[580F]])*D$4/D$5+D$6</f>
        <v>30</v>
      </c>
      <c r="L1058">
        <f>ROUND(HEX2DEC(_0811_173439[[#This Row],[58F0]])*E$4/E$5+E$6,0)</f>
        <v>70</v>
      </c>
      <c r="M1058">
        <f>ROUND(HEX2DEC(_0811_173439[[#This Row],[5805]])*F$4/F$5+F$6,0)</f>
        <v>44</v>
      </c>
      <c r="N1058">
        <f>ROUND(HEX2DEC(_0811_173439[[#This Row],[58DD]])*G$4/G$5+G$6,2)</f>
        <v>-0.03</v>
      </c>
      <c r="P1058">
        <v>760</v>
      </c>
      <c r="Q1058">
        <v>36</v>
      </c>
      <c r="R1058">
        <v>30</v>
      </c>
      <c r="S1058">
        <v>70</v>
      </c>
      <c r="T1058">
        <v>44</v>
      </c>
      <c r="U1058">
        <v>-0.03</v>
      </c>
      <c r="W1058">
        <f>DataLog_T717420_Aug11_4_59_37pm[[#This Row],[RPM '[1/MIN']]]-Table3[[#This Row],[580C]]</f>
        <v>0</v>
      </c>
      <c r="X1058">
        <f>DataLog_T717420_Aug11_4_59_37pm[[#This Row],[OIL TEMP '[Â°C']]]-Table3[[#This Row],[4402]]</f>
        <v>0</v>
      </c>
      <c r="Y1058">
        <f>DataLog_T717420_Aug11_4_59_37pm[[#This Row],[INTAKE TEMP '[Â°C']]]-Table3[[#This Row],[580F]]</f>
        <v>0</v>
      </c>
      <c r="Z1058">
        <f>DataLog_T717420_Aug11_4_59_37pm[[#This Row],[HPFP PRES. '[BAR']]]-Table3[[#This Row],[58F0]]</f>
        <v>0</v>
      </c>
      <c r="AA1058">
        <f>DataLog_T717420_Aug11_4_59_37pm[[#This Row],[COOLANT TEMP '[Â°C']]]-Table3[[#This Row],[5805]]</f>
        <v>0</v>
      </c>
      <c r="AB1058">
        <f>DataLog_T717420_Aug11_4_59_37pm[[#This Row],[BOOST '[BAR']]]-Table3[[#This Row],[58DD]]</f>
        <v>0</v>
      </c>
    </row>
    <row r="1059" spans="2:28" x14ac:dyDescent="0.25">
      <c r="B1059" s="2" t="s">
        <v>189</v>
      </c>
      <c r="C1059" s="2" t="s">
        <v>30</v>
      </c>
      <c r="D1059" s="2" t="s">
        <v>151</v>
      </c>
      <c r="E1059" s="2" t="s">
        <v>121</v>
      </c>
      <c r="F1059" s="2" t="s">
        <v>261</v>
      </c>
      <c r="G1059" s="2" t="s">
        <v>90</v>
      </c>
      <c r="I1059">
        <f>HEX2DEC(_0811_173439[[#This Row],[580C]])*B$4/B$5+B$6</f>
        <v>760</v>
      </c>
      <c r="J1059">
        <f>HEX2DEC(_0811_173439[[#This Row],[4402]])*C$4/C$5+C$6</f>
        <v>36</v>
      </c>
      <c r="K1059">
        <f>HEX2DEC(_0811_173439[[#This Row],[580F]])*D$4/D$5+D$6</f>
        <v>30</v>
      </c>
      <c r="L1059">
        <f>ROUND(HEX2DEC(_0811_173439[[#This Row],[58F0]])*E$4/E$5+E$6,0)</f>
        <v>71</v>
      </c>
      <c r="M1059">
        <f>ROUND(HEX2DEC(_0811_173439[[#This Row],[5805]])*F$4/F$5+F$6,0)</f>
        <v>44</v>
      </c>
      <c r="N1059">
        <f>ROUND(HEX2DEC(_0811_173439[[#This Row],[58DD]])*G$4/G$5+G$6,2)</f>
        <v>-0.03</v>
      </c>
      <c r="P1059">
        <v>760</v>
      </c>
      <c r="Q1059">
        <v>36</v>
      </c>
      <c r="R1059">
        <v>30</v>
      </c>
      <c r="S1059">
        <v>71</v>
      </c>
      <c r="T1059">
        <v>44</v>
      </c>
      <c r="U1059">
        <v>-0.03</v>
      </c>
      <c r="W1059">
        <f>DataLog_T717420_Aug11_4_59_37pm[[#This Row],[RPM '[1/MIN']]]-Table3[[#This Row],[580C]]</f>
        <v>0</v>
      </c>
      <c r="X1059">
        <f>DataLog_T717420_Aug11_4_59_37pm[[#This Row],[OIL TEMP '[Â°C']]]-Table3[[#This Row],[4402]]</f>
        <v>0</v>
      </c>
      <c r="Y1059">
        <f>DataLog_T717420_Aug11_4_59_37pm[[#This Row],[INTAKE TEMP '[Â°C']]]-Table3[[#This Row],[580F]]</f>
        <v>0</v>
      </c>
      <c r="Z1059">
        <f>DataLog_T717420_Aug11_4_59_37pm[[#This Row],[HPFP PRES. '[BAR']]]-Table3[[#This Row],[58F0]]</f>
        <v>0</v>
      </c>
      <c r="AA1059">
        <f>DataLog_T717420_Aug11_4_59_37pm[[#This Row],[COOLANT TEMP '[Â°C']]]-Table3[[#This Row],[5805]]</f>
        <v>0</v>
      </c>
      <c r="AB1059">
        <f>DataLog_T717420_Aug11_4_59_37pm[[#This Row],[BOOST '[BAR']]]-Table3[[#This Row],[58DD]]</f>
        <v>0</v>
      </c>
    </row>
    <row r="1060" spans="2:28" x14ac:dyDescent="0.25">
      <c r="B1060" s="2" t="s">
        <v>189</v>
      </c>
      <c r="C1060" s="2" t="s">
        <v>30</v>
      </c>
      <c r="D1060" s="2" t="s">
        <v>151</v>
      </c>
      <c r="E1060" s="2" t="s">
        <v>149</v>
      </c>
      <c r="F1060" s="2" t="s">
        <v>261</v>
      </c>
      <c r="G1060" s="2" t="s">
        <v>236</v>
      </c>
      <c r="I1060">
        <f>HEX2DEC(_0811_173439[[#This Row],[580C]])*B$4/B$5+B$6</f>
        <v>760</v>
      </c>
      <c r="J1060">
        <f>HEX2DEC(_0811_173439[[#This Row],[4402]])*C$4/C$5+C$6</f>
        <v>36</v>
      </c>
      <c r="K1060">
        <f>HEX2DEC(_0811_173439[[#This Row],[580F]])*D$4/D$5+D$6</f>
        <v>30</v>
      </c>
      <c r="L1060">
        <f>ROUND(HEX2DEC(_0811_173439[[#This Row],[58F0]])*E$4/E$5+E$6,0)</f>
        <v>70</v>
      </c>
      <c r="M1060">
        <f>ROUND(HEX2DEC(_0811_173439[[#This Row],[5805]])*F$4/F$5+F$6,0)</f>
        <v>44</v>
      </c>
      <c r="N1060">
        <f>ROUND(HEX2DEC(_0811_173439[[#This Row],[58DD]])*G$4/G$5+G$6,2)</f>
        <v>-0.03</v>
      </c>
      <c r="P1060">
        <v>760</v>
      </c>
      <c r="Q1060">
        <v>36</v>
      </c>
      <c r="R1060">
        <v>30</v>
      </c>
      <c r="S1060">
        <v>70</v>
      </c>
      <c r="T1060">
        <v>44</v>
      </c>
      <c r="U1060">
        <v>-0.03</v>
      </c>
      <c r="W1060">
        <f>DataLog_T717420_Aug11_4_59_37pm[[#This Row],[RPM '[1/MIN']]]-Table3[[#This Row],[580C]]</f>
        <v>0</v>
      </c>
      <c r="X1060">
        <f>DataLog_T717420_Aug11_4_59_37pm[[#This Row],[OIL TEMP '[Â°C']]]-Table3[[#This Row],[4402]]</f>
        <v>0</v>
      </c>
      <c r="Y1060">
        <f>DataLog_T717420_Aug11_4_59_37pm[[#This Row],[INTAKE TEMP '[Â°C']]]-Table3[[#This Row],[580F]]</f>
        <v>0</v>
      </c>
      <c r="Z1060">
        <f>DataLog_T717420_Aug11_4_59_37pm[[#This Row],[HPFP PRES. '[BAR']]]-Table3[[#This Row],[58F0]]</f>
        <v>0</v>
      </c>
      <c r="AA1060">
        <f>DataLog_T717420_Aug11_4_59_37pm[[#This Row],[COOLANT TEMP '[Â°C']]]-Table3[[#This Row],[5805]]</f>
        <v>0</v>
      </c>
      <c r="AB1060">
        <f>DataLog_T717420_Aug11_4_59_37pm[[#This Row],[BOOST '[BAR']]]-Table3[[#This Row],[58DD]]</f>
        <v>0</v>
      </c>
    </row>
    <row r="1061" spans="2:28" x14ac:dyDescent="0.25">
      <c r="B1061" s="2" t="s">
        <v>189</v>
      </c>
      <c r="C1061" s="2" t="s">
        <v>30</v>
      </c>
      <c r="D1061" s="2" t="s">
        <v>151</v>
      </c>
      <c r="E1061" s="2" t="s">
        <v>155</v>
      </c>
      <c r="F1061" s="2" t="s">
        <v>261</v>
      </c>
      <c r="G1061" s="2" t="s">
        <v>216</v>
      </c>
      <c r="I1061">
        <f>HEX2DEC(_0811_173439[[#This Row],[580C]])*B$4/B$5+B$6</f>
        <v>760</v>
      </c>
      <c r="J1061">
        <f>HEX2DEC(_0811_173439[[#This Row],[4402]])*C$4/C$5+C$6</f>
        <v>36</v>
      </c>
      <c r="K1061">
        <f>HEX2DEC(_0811_173439[[#This Row],[580F]])*D$4/D$5+D$6</f>
        <v>30</v>
      </c>
      <c r="L1061">
        <f>ROUND(HEX2DEC(_0811_173439[[#This Row],[58F0]])*E$4/E$5+E$6,0)</f>
        <v>70</v>
      </c>
      <c r="M1061">
        <f>ROUND(HEX2DEC(_0811_173439[[#This Row],[5805]])*F$4/F$5+F$6,0)</f>
        <v>44</v>
      </c>
      <c r="N1061">
        <f>ROUND(HEX2DEC(_0811_173439[[#This Row],[58DD]])*G$4/G$5+G$6,2)</f>
        <v>-0.03</v>
      </c>
      <c r="P1061">
        <v>760</v>
      </c>
      <c r="Q1061">
        <v>36</v>
      </c>
      <c r="R1061">
        <v>30</v>
      </c>
      <c r="S1061">
        <v>70</v>
      </c>
      <c r="T1061">
        <v>44</v>
      </c>
      <c r="U1061">
        <v>-0.03</v>
      </c>
      <c r="W1061">
        <f>DataLog_T717420_Aug11_4_59_37pm[[#This Row],[RPM '[1/MIN']]]-Table3[[#This Row],[580C]]</f>
        <v>0</v>
      </c>
      <c r="X1061">
        <f>DataLog_T717420_Aug11_4_59_37pm[[#This Row],[OIL TEMP '[Â°C']]]-Table3[[#This Row],[4402]]</f>
        <v>0</v>
      </c>
      <c r="Y1061">
        <f>DataLog_T717420_Aug11_4_59_37pm[[#This Row],[INTAKE TEMP '[Â°C']]]-Table3[[#This Row],[580F]]</f>
        <v>0</v>
      </c>
      <c r="Z1061">
        <f>DataLog_T717420_Aug11_4_59_37pm[[#This Row],[HPFP PRES. '[BAR']]]-Table3[[#This Row],[58F0]]</f>
        <v>0</v>
      </c>
      <c r="AA1061">
        <f>DataLog_T717420_Aug11_4_59_37pm[[#This Row],[COOLANT TEMP '[Â°C']]]-Table3[[#This Row],[5805]]</f>
        <v>0</v>
      </c>
      <c r="AB1061">
        <f>DataLog_T717420_Aug11_4_59_37pm[[#This Row],[BOOST '[BAR']]]-Table3[[#This Row],[58DD]]</f>
        <v>0</v>
      </c>
    </row>
    <row r="1062" spans="2:28" x14ac:dyDescent="0.25">
      <c r="B1062" s="2" t="s">
        <v>189</v>
      </c>
      <c r="C1062" s="2" t="s">
        <v>30</v>
      </c>
      <c r="D1062" s="2" t="s">
        <v>151</v>
      </c>
      <c r="E1062" s="2" t="s">
        <v>93</v>
      </c>
      <c r="F1062" s="2" t="s">
        <v>261</v>
      </c>
      <c r="G1062" s="2" t="s">
        <v>190</v>
      </c>
      <c r="I1062">
        <f>HEX2DEC(_0811_173439[[#This Row],[580C]])*B$4/B$5+B$6</f>
        <v>760</v>
      </c>
      <c r="J1062">
        <f>HEX2DEC(_0811_173439[[#This Row],[4402]])*C$4/C$5+C$6</f>
        <v>36</v>
      </c>
      <c r="K1062">
        <f>HEX2DEC(_0811_173439[[#This Row],[580F]])*D$4/D$5+D$6</f>
        <v>30</v>
      </c>
      <c r="L1062">
        <f>ROUND(HEX2DEC(_0811_173439[[#This Row],[58F0]])*E$4/E$5+E$6,0)</f>
        <v>70</v>
      </c>
      <c r="M1062">
        <f>ROUND(HEX2DEC(_0811_173439[[#This Row],[5805]])*F$4/F$5+F$6,0)</f>
        <v>44</v>
      </c>
      <c r="N1062">
        <f>ROUND(HEX2DEC(_0811_173439[[#This Row],[58DD]])*G$4/G$5+G$6,2)</f>
        <v>-0.03</v>
      </c>
      <c r="P1062">
        <v>760</v>
      </c>
      <c r="Q1062">
        <v>36</v>
      </c>
      <c r="R1062">
        <v>30</v>
      </c>
      <c r="S1062">
        <v>70</v>
      </c>
      <c r="T1062">
        <v>44</v>
      </c>
      <c r="U1062">
        <v>-0.03</v>
      </c>
      <c r="W1062">
        <f>DataLog_T717420_Aug11_4_59_37pm[[#This Row],[RPM '[1/MIN']]]-Table3[[#This Row],[580C]]</f>
        <v>0</v>
      </c>
      <c r="X1062">
        <f>DataLog_T717420_Aug11_4_59_37pm[[#This Row],[OIL TEMP '[Â°C']]]-Table3[[#This Row],[4402]]</f>
        <v>0</v>
      </c>
      <c r="Y1062">
        <f>DataLog_T717420_Aug11_4_59_37pm[[#This Row],[INTAKE TEMP '[Â°C']]]-Table3[[#This Row],[580F]]</f>
        <v>0</v>
      </c>
      <c r="Z1062">
        <f>DataLog_T717420_Aug11_4_59_37pm[[#This Row],[HPFP PRES. '[BAR']]]-Table3[[#This Row],[58F0]]</f>
        <v>0</v>
      </c>
      <c r="AA1062">
        <f>DataLog_T717420_Aug11_4_59_37pm[[#This Row],[COOLANT TEMP '[Â°C']]]-Table3[[#This Row],[5805]]</f>
        <v>0</v>
      </c>
      <c r="AB1062">
        <f>DataLog_T717420_Aug11_4_59_37pm[[#This Row],[BOOST '[BAR']]]-Table3[[#This Row],[58DD]]</f>
        <v>0</v>
      </c>
    </row>
    <row r="1063" spans="2:28" x14ac:dyDescent="0.25">
      <c r="B1063" s="2" t="s">
        <v>189</v>
      </c>
      <c r="C1063" s="2" t="s">
        <v>30</v>
      </c>
      <c r="D1063" s="2" t="s">
        <v>151</v>
      </c>
      <c r="E1063" s="2" t="s">
        <v>156</v>
      </c>
      <c r="F1063" s="2" t="s">
        <v>261</v>
      </c>
      <c r="G1063" s="2" t="s">
        <v>96</v>
      </c>
      <c r="I1063">
        <f>HEX2DEC(_0811_173439[[#This Row],[580C]])*B$4/B$5+B$6</f>
        <v>760</v>
      </c>
      <c r="J1063">
        <f>HEX2DEC(_0811_173439[[#This Row],[4402]])*C$4/C$5+C$6</f>
        <v>36</v>
      </c>
      <c r="K1063">
        <f>HEX2DEC(_0811_173439[[#This Row],[580F]])*D$4/D$5+D$6</f>
        <v>30</v>
      </c>
      <c r="L1063">
        <f>ROUND(HEX2DEC(_0811_173439[[#This Row],[58F0]])*E$4/E$5+E$6,0)</f>
        <v>70</v>
      </c>
      <c r="M1063">
        <f>ROUND(HEX2DEC(_0811_173439[[#This Row],[5805]])*F$4/F$5+F$6,0)</f>
        <v>44</v>
      </c>
      <c r="N1063">
        <f>ROUND(HEX2DEC(_0811_173439[[#This Row],[58DD]])*G$4/G$5+G$6,2)</f>
        <v>-0.03</v>
      </c>
      <c r="P1063">
        <v>760</v>
      </c>
      <c r="Q1063">
        <v>36</v>
      </c>
      <c r="R1063">
        <v>30</v>
      </c>
      <c r="S1063">
        <v>70</v>
      </c>
      <c r="T1063">
        <v>44</v>
      </c>
      <c r="U1063">
        <v>-0.03</v>
      </c>
      <c r="W1063">
        <f>DataLog_T717420_Aug11_4_59_37pm[[#This Row],[RPM '[1/MIN']]]-Table3[[#This Row],[580C]]</f>
        <v>0</v>
      </c>
      <c r="X1063">
        <f>DataLog_T717420_Aug11_4_59_37pm[[#This Row],[OIL TEMP '[Â°C']]]-Table3[[#This Row],[4402]]</f>
        <v>0</v>
      </c>
      <c r="Y1063">
        <f>DataLog_T717420_Aug11_4_59_37pm[[#This Row],[INTAKE TEMP '[Â°C']]]-Table3[[#This Row],[580F]]</f>
        <v>0</v>
      </c>
      <c r="Z1063">
        <f>DataLog_T717420_Aug11_4_59_37pm[[#This Row],[HPFP PRES. '[BAR']]]-Table3[[#This Row],[58F0]]</f>
        <v>0</v>
      </c>
      <c r="AA1063">
        <f>DataLog_T717420_Aug11_4_59_37pm[[#This Row],[COOLANT TEMP '[Â°C']]]-Table3[[#This Row],[5805]]</f>
        <v>0</v>
      </c>
      <c r="AB1063">
        <f>DataLog_T717420_Aug11_4_59_37pm[[#This Row],[BOOST '[BAR']]]-Table3[[#This Row],[58DD]]</f>
        <v>0</v>
      </c>
    </row>
    <row r="1064" spans="2:28" x14ac:dyDescent="0.25">
      <c r="B1064" s="2" t="s">
        <v>189</v>
      </c>
      <c r="C1064" s="2" t="s">
        <v>30</v>
      </c>
      <c r="D1064" s="2" t="s">
        <v>151</v>
      </c>
      <c r="E1064" s="2" t="s">
        <v>153</v>
      </c>
      <c r="F1064" s="2" t="s">
        <v>261</v>
      </c>
      <c r="G1064" s="2" t="s">
        <v>96</v>
      </c>
      <c r="I1064">
        <f>HEX2DEC(_0811_173439[[#This Row],[580C]])*B$4/B$5+B$6</f>
        <v>760</v>
      </c>
      <c r="J1064">
        <f>HEX2DEC(_0811_173439[[#This Row],[4402]])*C$4/C$5+C$6</f>
        <v>36</v>
      </c>
      <c r="K1064">
        <f>HEX2DEC(_0811_173439[[#This Row],[580F]])*D$4/D$5+D$6</f>
        <v>30</v>
      </c>
      <c r="L1064">
        <f>ROUND(HEX2DEC(_0811_173439[[#This Row],[58F0]])*E$4/E$5+E$6,0)</f>
        <v>70</v>
      </c>
      <c r="M1064">
        <f>ROUND(HEX2DEC(_0811_173439[[#This Row],[5805]])*F$4/F$5+F$6,0)</f>
        <v>44</v>
      </c>
      <c r="N1064">
        <f>ROUND(HEX2DEC(_0811_173439[[#This Row],[58DD]])*G$4/G$5+G$6,2)</f>
        <v>-0.03</v>
      </c>
      <c r="P1064">
        <v>760</v>
      </c>
      <c r="Q1064">
        <v>36</v>
      </c>
      <c r="R1064">
        <v>30</v>
      </c>
      <c r="S1064">
        <v>70</v>
      </c>
      <c r="T1064">
        <v>44</v>
      </c>
      <c r="U1064">
        <v>-0.03</v>
      </c>
      <c r="W1064">
        <f>DataLog_T717420_Aug11_4_59_37pm[[#This Row],[RPM '[1/MIN']]]-Table3[[#This Row],[580C]]</f>
        <v>0</v>
      </c>
      <c r="X1064">
        <f>DataLog_T717420_Aug11_4_59_37pm[[#This Row],[OIL TEMP '[Â°C']]]-Table3[[#This Row],[4402]]</f>
        <v>0</v>
      </c>
      <c r="Y1064">
        <f>DataLog_T717420_Aug11_4_59_37pm[[#This Row],[INTAKE TEMP '[Â°C']]]-Table3[[#This Row],[580F]]</f>
        <v>0</v>
      </c>
      <c r="Z1064">
        <f>DataLog_T717420_Aug11_4_59_37pm[[#This Row],[HPFP PRES. '[BAR']]]-Table3[[#This Row],[58F0]]</f>
        <v>0</v>
      </c>
      <c r="AA1064">
        <f>DataLog_T717420_Aug11_4_59_37pm[[#This Row],[COOLANT TEMP '[Â°C']]]-Table3[[#This Row],[5805]]</f>
        <v>0</v>
      </c>
      <c r="AB1064">
        <f>DataLog_T717420_Aug11_4_59_37pm[[#This Row],[BOOST '[BAR']]]-Table3[[#This Row],[58DD]]</f>
        <v>0</v>
      </c>
    </row>
    <row r="1065" spans="2:28" x14ac:dyDescent="0.25">
      <c r="B1065" s="2" t="s">
        <v>189</v>
      </c>
      <c r="C1065" s="2" t="s">
        <v>30</v>
      </c>
      <c r="D1065" s="2" t="s">
        <v>151</v>
      </c>
      <c r="E1065" s="2" t="s">
        <v>121</v>
      </c>
      <c r="F1065" s="2" t="s">
        <v>261</v>
      </c>
      <c r="G1065" s="2" t="s">
        <v>236</v>
      </c>
      <c r="I1065">
        <f>HEX2DEC(_0811_173439[[#This Row],[580C]])*B$4/B$5+B$6</f>
        <v>760</v>
      </c>
      <c r="J1065">
        <f>HEX2DEC(_0811_173439[[#This Row],[4402]])*C$4/C$5+C$6</f>
        <v>36</v>
      </c>
      <c r="K1065">
        <f>HEX2DEC(_0811_173439[[#This Row],[580F]])*D$4/D$5+D$6</f>
        <v>30</v>
      </c>
      <c r="L1065">
        <f>ROUND(HEX2DEC(_0811_173439[[#This Row],[58F0]])*E$4/E$5+E$6,0)</f>
        <v>71</v>
      </c>
      <c r="M1065">
        <f>ROUND(HEX2DEC(_0811_173439[[#This Row],[5805]])*F$4/F$5+F$6,0)</f>
        <v>44</v>
      </c>
      <c r="N1065">
        <f>ROUND(HEX2DEC(_0811_173439[[#This Row],[58DD]])*G$4/G$5+G$6,2)</f>
        <v>-0.03</v>
      </c>
      <c r="P1065">
        <v>760</v>
      </c>
      <c r="Q1065">
        <v>36</v>
      </c>
      <c r="R1065">
        <v>30</v>
      </c>
      <c r="S1065">
        <v>71</v>
      </c>
      <c r="T1065">
        <v>44</v>
      </c>
      <c r="U1065">
        <v>-0.03</v>
      </c>
      <c r="W1065">
        <f>DataLog_T717420_Aug11_4_59_37pm[[#This Row],[RPM '[1/MIN']]]-Table3[[#This Row],[580C]]</f>
        <v>0</v>
      </c>
      <c r="X1065">
        <f>DataLog_T717420_Aug11_4_59_37pm[[#This Row],[OIL TEMP '[Â°C']]]-Table3[[#This Row],[4402]]</f>
        <v>0</v>
      </c>
      <c r="Y1065">
        <f>DataLog_T717420_Aug11_4_59_37pm[[#This Row],[INTAKE TEMP '[Â°C']]]-Table3[[#This Row],[580F]]</f>
        <v>0</v>
      </c>
      <c r="Z1065">
        <f>DataLog_T717420_Aug11_4_59_37pm[[#This Row],[HPFP PRES. '[BAR']]]-Table3[[#This Row],[58F0]]</f>
        <v>0</v>
      </c>
      <c r="AA1065">
        <f>DataLog_T717420_Aug11_4_59_37pm[[#This Row],[COOLANT TEMP '[Â°C']]]-Table3[[#This Row],[5805]]</f>
        <v>0</v>
      </c>
      <c r="AB1065">
        <f>DataLog_T717420_Aug11_4_59_37pm[[#This Row],[BOOST '[BAR']]]-Table3[[#This Row],[58DD]]</f>
        <v>0</v>
      </c>
    </row>
    <row r="1066" spans="2:28" x14ac:dyDescent="0.25">
      <c r="B1066" s="2" t="s">
        <v>183</v>
      </c>
      <c r="C1066" s="2" t="s">
        <v>30</v>
      </c>
      <c r="D1066" s="2" t="s">
        <v>151</v>
      </c>
      <c r="E1066" s="2" t="s">
        <v>197</v>
      </c>
      <c r="F1066" s="2" t="s">
        <v>261</v>
      </c>
      <c r="G1066" s="2" t="s">
        <v>245</v>
      </c>
      <c r="I1066">
        <f>HEX2DEC(_0811_173439[[#This Row],[580C]])*B$4/B$5+B$6</f>
        <v>800</v>
      </c>
      <c r="J1066">
        <f>HEX2DEC(_0811_173439[[#This Row],[4402]])*C$4/C$5+C$6</f>
        <v>36</v>
      </c>
      <c r="K1066">
        <f>HEX2DEC(_0811_173439[[#This Row],[580F]])*D$4/D$5+D$6</f>
        <v>30</v>
      </c>
      <c r="L1066">
        <f>ROUND(HEX2DEC(_0811_173439[[#This Row],[58F0]])*E$4/E$5+E$6,0)</f>
        <v>69</v>
      </c>
      <c r="M1066">
        <f>ROUND(HEX2DEC(_0811_173439[[#This Row],[5805]])*F$4/F$5+F$6,0)</f>
        <v>44</v>
      </c>
      <c r="N1066">
        <f>ROUND(HEX2DEC(_0811_173439[[#This Row],[58DD]])*G$4/G$5+G$6,2)</f>
        <v>-0.03</v>
      </c>
      <c r="P1066">
        <v>800</v>
      </c>
      <c r="Q1066">
        <v>36</v>
      </c>
      <c r="R1066">
        <v>30</v>
      </c>
      <c r="S1066">
        <v>69</v>
      </c>
      <c r="T1066">
        <v>44</v>
      </c>
      <c r="U1066">
        <v>-0.03</v>
      </c>
      <c r="W1066">
        <f>DataLog_T717420_Aug11_4_59_37pm[[#This Row],[RPM '[1/MIN']]]-Table3[[#This Row],[580C]]</f>
        <v>0</v>
      </c>
      <c r="X1066">
        <f>DataLog_T717420_Aug11_4_59_37pm[[#This Row],[OIL TEMP '[Â°C']]]-Table3[[#This Row],[4402]]</f>
        <v>0</v>
      </c>
      <c r="Y1066">
        <f>DataLog_T717420_Aug11_4_59_37pm[[#This Row],[INTAKE TEMP '[Â°C']]]-Table3[[#This Row],[580F]]</f>
        <v>0</v>
      </c>
      <c r="Z1066">
        <f>DataLog_T717420_Aug11_4_59_37pm[[#This Row],[HPFP PRES. '[BAR']]]-Table3[[#This Row],[58F0]]</f>
        <v>0</v>
      </c>
      <c r="AA1066">
        <f>DataLog_T717420_Aug11_4_59_37pm[[#This Row],[COOLANT TEMP '[Â°C']]]-Table3[[#This Row],[5805]]</f>
        <v>0</v>
      </c>
      <c r="AB1066">
        <f>DataLog_T717420_Aug11_4_59_37pm[[#This Row],[BOOST '[BAR']]]-Table3[[#This Row],[58DD]]</f>
        <v>0</v>
      </c>
    </row>
    <row r="1067" spans="2:28" x14ac:dyDescent="0.25">
      <c r="B1067" s="2" t="s">
        <v>183</v>
      </c>
      <c r="C1067" s="2" t="s">
        <v>30</v>
      </c>
      <c r="D1067" s="2" t="s">
        <v>151</v>
      </c>
      <c r="E1067" s="2" t="s">
        <v>127</v>
      </c>
      <c r="F1067" s="2" t="s">
        <v>261</v>
      </c>
      <c r="G1067" s="2" t="s">
        <v>216</v>
      </c>
      <c r="I1067">
        <f>HEX2DEC(_0811_173439[[#This Row],[580C]])*B$4/B$5+B$6</f>
        <v>800</v>
      </c>
      <c r="J1067">
        <f>HEX2DEC(_0811_173439[[#This Row],[4402]])*C$4/C$5+C$6</f>
        <v>36</v>
      </c>
      <c r="K1067">
        <f>HEX2DEC(_0811_173439[[#This Row],[580F]])*D$4/D$5+D$6</f>
        <v>30</v>
      </c>
      <c r="L1067">
        <f>ROUND(HEX2DEC(_0811_173439[[#This Row],[58F0]])*E$4/E$5+E$6,0)</f>
        <v>70</v>
      </c>
      <c r="M1067">
        <f>ROUND(HEX2DEC(_0811_173439[[#This Row],[5805]])*F$4/F$5+F$6,0)</f>
        <v>44</v>
      </c>
      <c r="N1067">
        <f>ROUND(HEX2DEC(_0811_173439[[#This Row],[58DD]])*G$4/G$5+G$6,2)</f>
        <v>-0.03</v>
      </c>
      <c r="P1067">
        <v>800</v>
      </c>
      <c r="Q1067">
        <v>36</v>
      </c>
      <c r="R1067">
        <v>30</v>
      </c>
      <c r="S1067">
        <v>70</v>
      </c>
      <c r="T1067">
        <v>44</v>
      </c>
      <c r="U1067">
        <v>-0.03</v>
      </c>
      <c r="W1067">
        <f>DataLog_T717420_Aug11_4_59_37pm[[#This Row],[RPM '[1/MIN']]]-Table3[[#This Row],[580C]]</f>
        <v>0</v>
      </c>
      <c r="X1067">
        <f>DataLog_T717420_Aug11_4_59_37pm[[#This Row],[OIL TEMP '[Â°C']]]-Table3[[#This Row],[4402]]</f>
        <v>0</v>
      </c>
      <c r="Y1067">
        <f>DataLog_T717420_Aug11_4_59_37pm[[#This Row],[INTAKE TEMP '[Â°C']]]-Table3[[#This Row],[580F]]</f>
        <v>0</v>
      </c>
      <c r="Z1067">
        <f>DataLog_T717420_Aug11_4_59_37pm[[#This Row],[HPFP PRES. '[BAR']]]-Table3[[#This Row],[58F0]]</f>
        <v>0</v>
      </c>
      <c r="AA1067">
        <f>DataLog_T717420_Aug11_4_59_37pm[[#This Row],[COOLANT TEMP '[Â°C']]]-Table3[[#This Row],[5805]]</f>
        <v>0</v>
      </c>
      <c r="AB1067">
        <f>DataLog_T717420_Aug11_4_59_37pm[[#This Row],[BOOST '[BAR']]]-Table3[[#This Row],[58DD]]</f>
        <v>0</v>
      </c>
    </row>
    <row r="1068" spans="2:28" x14ac:dyDescent="0.25">
      <c r="B1068" s="2" t="s">
        <v>183</v>
      </c>
      <c r="C1068" s="2" t="s">
        <v>30</v>
      </c>
      <c r="D1068" s="2" t="s">
        <v>151</v>
      </c>
      <c r="E1068" s="2" t="s">
        <v>248</v>
      </c>
      <c r="F1068" s="2" t="s">
        <v>261</v>
      </c>
      <c r="G1068" s="2" t="s">
        <v>96</v>
      </c>
      <c r="I1068">
        <f>HEX2DEC(_0811_173439[[#This Row],[580C]])*B$4/B$5+B$6</f>
        <v>800</v>
      </c>
      <c r="J1068">
        <f>HEX2DEC(_0811_173439[[#This Row],[4402]])*C$4/C$5+C$6</f>
        <v>36</v>
      </c>
      <c r="K1068">
        <f>HEX2DEC(_0811_173439[[#This Row],[580F]])*D$4/D$5+D$6</f>
        <v>30</v>
      </c>
      <c r="L1068">
        <f>ROUND(HEX2DEC(_0811_173439[[#This Row],[58F0]])*E$4/E$5+E$6,0)</f>
        <v>70</v>
      </c>
      <c r="M1068">
        <f>ROUND(HEX2DEC(_0811_173439[[#This Row],[5805]])*F$4/F$5+F$6,0)</f>
        <v>44</v>
      </c>
      <c r="N1068">
        <f>ROUND(HEX2DEC(_0811_173439[[#This Row],[58DD]])*G$4/G$5+G$6,2)</f>
        <v>-0.03</v>
      </c>
      <c r="P1068">
        <v>800</v>
      </c>
      <c r="Q1068">
        <v>36</v>
      </c>
      <c r="R1068">
        <v>30</v>
      </c>
      <c r="S1068">
        <v>70</v>
      </c>
      <c r="T1068">
        <v>44</v>
      </c>
      <c r="U1068">
        <v>-0.03</v>
      </c>
      <c r="W1068">
        <f>DataLog_T717420_Aug11_4_59_37pm[[#This Row],[RPM '[1/MIN']]]-Table3[[#This Row],[580C]]</f>
        <v>0</v>
      </c>
      <c r="X1068">
        <f>DataLog_T717420_Aug11_4_59_37pm[[#This Row],[OIL TEMP '[Â°C']]]-Table3[[#This Row],[4402]]</f>
        <v>0</v>
      </c>
      <c r="Y1068">
        <f>DataLog_T717420_Aug11_4_59_37pm[[#This Row],[INTAKE TEMP '[Â°C']]]-Table3[[#This Row],[580F]]</f>
        <v>0</v>
      </c>
      <c r="Z1068">
        <f>DataLog_T717420_Aug11_4_59_37pm[[#This Row],[HPFP PRES. '[BAR']]]-Table3[[#This Row],[58F0]]</f>
        <v>0</v>
      </c>
      <c r="AA1068">
        <f>DataLog_T717420_Aug11_4_59_37pm[[#This Row],[COOLANT TEMP '[Â°C']]]-Table3[[#This Row],[5805]]</f>
        <v>0</v>
      </c>
      <c r="AB1068">
        <f>DataLog_T717420_Aug11_4_59_37pm[[#This Row],[BOOST '[BAR']]]-Table3[[#This Row],[58DD]]</f>
        <v>0</v>
      </c>
    </row>
    <row r="1069" spans="2:28" x14ac:dyDescent="0.25">
      <c r="B1069" s="2" t="s">
        <v>189</v>
      </c>
      <c r="C1069" s="2" t="s">
        <v>30</v>
      </c>
      <c r="D1069" s="2" t="s">
        <v>151</v>
      </c>
      <c r="E1069" s="2" t="s">
        <v>158</v>
      </c>
      <c r="F1069" s="2" t="s">
        <v>261</v>
      </c>
      <c r="G1069" s="2" t="s">
        <v>71</v>
      </c>
      <c r="I1069">
        <f>HEX2DEC(_0811_173439[[#This Row],[580C]])*B$4/B$5+B$6</f>
        <v>760</v>
      </c>
      <c r="J1069">
        <f>HEX2DEC(_0811_173439[[#This Row],[4402]])*C$4/C$5+C$6</f>
        <v>36</v>
      </c>
      <c r="K1069">
        <f>HEX2DEC(_0811_173439[[#This Row],[580F]])*D$4/D$5+D$6</f>
        <v>30</v>
      </c>
      <c r="L1069">
        <f>ROUND(HEX2DEC(_0811_173439[[#This Row],[58F0]])*E$4/E$5+E$6,0)</f>
        <v>70</v>
      </c>
      <c r="M1069">
        <f>ROUND(HEX2DEC(_0811_173439[[#This Row],[5805]])*F$4/F$5+F$6,0)</f>
        <v>44</v>
      </c>
      <c r="N1069">
        <f>ROUND(HEX2DEC(_0811_173439[[#This Row],[58DD]])*G$4/G$5+G$6,2)</f>
        <v>-0.03</v>
      </c>
      <c r="P1069">
        <v>760</v>
      </c>
      <c r="Q1069">
        <v>36</v>
      </c>
      <c r="R1069">
        <v>30</v>
      </c>
      <c r="S1069">
        <v>70</v>
      </c>
      <c r="T1069">
        <v>44</v>
      </c>
      <c r="U1069">
        <v>-0.03</v>
      </c>
      <c r="W1069">
        <f>DataLog_T717420_Aug11_4_59_37pm[[#This Row],[RPM '[1/MIN']]]-Table3[[#This Row],[580C]]</f>
        <v>0</v>
      </c>
      <c r="X1069">
        <f>DataLog_T717420_Aug11_4_59_37pm[[#This Row],[OIL TEMP '[Â°C']]]-Table3[[#This Row],[4402]]</f>
        <v>0</v>
      </c>
      <c r="Y1069">
        <f>DataLog_T717420_Aug11_4_59_37pm[[#This Row],[INTAKE TEMP '[Â°C']]]-Table3[[#This Row],[580F]]</f>
        <v>0</v>
      </c>
      <c r="Z1069">
        <f>DataLog_T717420_Aug11_4_59_37pm[[#This Row],[HPFP PRES. '[BAR']]]-Table3[[#This Row],[58F0]]</f>
        <v>0</v>
      </c>
      <c r="AA1069">
        <f>DataLog_T717420_Aug11_4_59_37pm[[#This Row],[COOLANT TEMP '[Â°C']]]-Table3[[#This Row],[5805]]</f>
        <v>0</v>
      </c>
      <c r="AB1069">
        <f>DataLog_T717420_Aug11_4_59_37pm[[#This Row],[BOOST '[BAR']]]-Table3[[#This Row],[58DD]]</f>
        <v>0</v>
      </c>
    </row>
    <row r="1070" spans="2:28" x14ac:dyDescent="0.25">
      <c r="B1070" s="2" t="s">
        <v>189</v>
      </c>
      <c r="C1070" s="2" t="s">
        <v>30</v>
      </c>
      <c r="D1070" s="2" t="s">
        <v>151</v>
      </c>
      <c r="E1070" s="2" t="s">
        <v>153</v>
      </c>
      <c r="F1070" s="2" t="s">
        <v>261</v>
      </c>
      <c r="G1070" s="2" t="s">
        <v>71</v>
      </c>
      <c r="I1070">
        <f>HEX2DEC(_0811_173439[[#This Row],[580C]])*B$4/B$5+B$6</f>
        <v>760</v>
      </c>
      <c r="J1070">
        <f>HEX2DEC(_0811_173439[[#This Row],[4402]])*C$4/C$5+C$6</f>
        <v>36</v>
      </c>
      <c r="K1070">
        <f>HEX2DEC(_0811_173439[[#This Row],[580F]])*D$4/D$5+D$6</f>
        <v>30</v>
      </c>
      <c r="L1070">
        <f>ROUND(HEX2DEC(_0811_173439[[#This Row],[58F0]])*E$4/E$5+E$6,0)</f>
        <v>70</v>
      </c>
      <c r="M1070">
        <f>ROUND(HEX2DEC(_0811_173439[[#This Row],[5805]])*F$4/F$5+F$6,0)</f>
        <v>44</v>
      </c>
      <c r="N1070">
        <f>ROUND(HEX2DEC(_0811_173439[[#This Row],[58DD]])*G$4/G$5+G$6,2)</f>
        <v>-0.03</v>
      </c>
      <c r="P1070">
        <v>760</v>
      </c>
      <c r="Q1070">
        <v>36</v>
      </c>
      <c r="R1070">
        <v>30</v>
      </c>
      <c r="S1070">
        <v>70</v>
      </c>
      <c r="T1070">
        <v>44</v>
      </c>
      <c r="U1070">
        <v>-0.03</v>
      </c>
      <c r="W1070">
        <f>DataLog_T717420_Aug11_4_59_37pm[[#This Row],[RPM '[1/MIN']]]-Table3[[#This Row],[580C]]</f>
        <v>0</v>
      </c>
      <c r="X1070">
        <f>DataLog_T717420_Aug11_4_59_37pm[[#This Row],[OIL TEMP '[Â°C']]]-Table3[[#This Row],[4402]]</f>
        <v>0</v>
      </c>
      <c r="Y1070">
        <f>DataLog_T717420_Aug11_4_59_37pm[[#This Row],[INTAKE TEMP '[Â°C']]]-Table3[[#This Row],[580F]]</f>
        <v>0</v>
      </c>
      <c r="Z1070">
        <f>DataLog_T717420_Aug11_4_59_37pm[[#This Row],[HPFP PRES. '[BAR']]]-Table3[[#This Row],[58F0]]</f>
        <v>0</v>
      </c>
      <c r="AA1070">
        <f>DataLog_T717420_Aug11_4_59_37pm[[#This Row],[COOLANT TEMP '[Â°C']]]-Table3[[#This Row],[5805]]</f>
        <v>0</v>
      </c>
      <c r="AB1070">
        <f>DataLog_T717420_Aug11_4_59_37pm[[#This Row],[BOOST '[BAR']]]-Table3[[#This Row],[58DD]]</f>
        <v>0</v>
      </c>
    </row>
    <row r="1071" spans="2:28" x14ac:dyDescent="0.25">
      <c r="B1071" s="2" t="s">
        <v>189</v>
      </c>
      <c r="C1071" s="2" t="s">
        <v>30</v>
      </c>
      <c r="D1071" s="2" t="s">
        <v>151</v>
      </c>
      <c r="E1071" s="2" t="s">
        <v>158</v>
      </c>
      <c r="F1071" s="2" t="s">
        <v>261</v>
      </c>
      <c r="G1071" s="2" t="s">
        <v>96</v>
      </c>
      <c r="I1071">
        <f>HEX2DEC(_0811_173439[[#This Row],[580C]])*B$4/B$5+B$6</f>
        <v>760</v>
      </c>
      <c r="J1071">
        <f>HEX2DEC(_0811_173439[[#This Row],[4402]])*C$4/C$5+C$6</f>
        <v>36</v>
      </c>
      <c r="K1071">
        <f>HEX2DEC(_0811_173439[[#This Row],[580F]])*D$4/D$5+D$6</f>
        <v>30</v>
      </c>
      <c r="L1071">
        <f>ROUND(HEX2DEC(_0811_173439[[#This Row],[58F0]])*E$4/E$5+E$6,0)</f>
        <v>70</v>
      </c>
      <c r="M1071">
        <f>ROUND(HEX2DEC(_0811_173439[[#This Row],[5805]])*F$4/F$5+F$6,0)</f>
        <v>44</v>
      </c>
      <c r="N1071">
        <f>ROUND(HEX2DEC(_0811_173439[[#This Row],[58DD]])*G$4/G$5+G$6,2)</f>
        <v>-0.03</v>
      </c>
      <c r="P1071">
        <v>760</v>
      </c>
      <c r="Q1071">
        <v>36</v>
      </c>
      <c r="R1071">
        <v>30</v>
      </c>
      <c r="S1071">
        <v>70</v>
      </c>
      <c r="T1071">
        <v>44</v>
      </c>
      <c r="U1071">
        <v>-0.03</v>
      </c>
      <c r="W1071">
        <f>DataLog_T717420_Aug11_4_59_37pm[[#This Row],[RPM '[1/MIN']]]-Table3[[#This Row],[580C]]</f>
        <v>0</v>
      </c>
      <c r="X1071">
        <f>DataLog_T717420_Aug11_4_59_37pm[[#This Row],[OIL TEMP '[Â°C']]]-Table3[[#This Row],[4402]]</f>
        <v>0</v>
      </c>
      <c r="Y1071">
        <f>DataLog_T717420_Aug11_4_59_37pm[[#This Row],[INTAKE TEMP '[Â°C']]]-Table3[[#This Row],[580F]]</f>
        <v>0</v>
      </c>
      <c r="Z1071">
        <f>DataLog_T717420_Aug11_4_59_37pm[[#This Row],[HPFP PRES. '[BAR']]]-Table3[[#This Row],[58F0]]</f>
        <v>0</v>
      </c>
      <c r="AA1071">
        <f>DataLog_T717420_Aug11_4_59_37pm[[#This Row],[COOLANT TEMP '[Â°C']]]-Table3[[#This Row],[5805]]</f>
        <v>0</v>
      </c>
      <c r="AB1071">
        <f>DataLog_T717420_Aug11_4_59_37pm[[#This Row],[BOOST '[BAR']]]-Table3[[#This Row],[58DD]]</f>
        <v>0</v>
      </c>
    </row>
    <row r="1072" spans="2:28" x14ac:dyDescent="0.25">
      <c r="B1072" s="2" t="s">
        <v>189</v>
      </c>
      <c r="C1072" s="2" t="s">
        <v>30</v>
      </c>
      <c r="D1072" s="2" t="s">
        <v>151</v>
      </c>
      <c r="E1072" s="2" t="s">
        <v>194</v>
      </c>
      <c r="F1072" s="2" t="s">
        <v>261</v>
      </c>
      <c r="G1072" s="2" t="s">
        <v>90</v>
      </c>
      <c r="I1072">
        <f>HEX2DEC(_0811_173439[[#This Row],[580C]])*B$4/B$5+B$6</f>
        <v>760</v>
      </c>
      <c r="J1072">
        <f>HEX2DEC(_0811_173439[[#This Row],[4402]])*C$4/C$5+C$6</f>
        <v>36</v>
      </c>
      <c r="K1072">
        <f>HEX2DEC(_0811_173439[[#This Row],[580F]])*D$4/D$5+D$6</f>
        <v>30</v>
      </c>
      <c r="L1072">
        <f>ROUND(HEX2DEC(_0811_173439[[#This Row],[58F0]])*E$4/E$5+E$6,0)</f>
        <v>70</v>
      </c>
      <c r="M1072">
        <f>ROUND(HEX2DEC(_0811_173439[[#This Row],[5805]])*F$4/F$5+F$6,0)</f>
        <v>44</v>
      </c>
      <c r="N1072">
        <f>ROUND(HEX2DEC(_0811_173439[[#This Row],[58DD]])*G$4/G$5+G$6,2)</f>
        <v>-0.03</v>
      </c>
      <c r="P1072">
        <v>760</v>
      </c>
      <c r="Q1072">
        <v>36</v>
      </c>
      <c r="R1072">
        <v>30</v>
      </c>
      <c r="S1072">
        <v>70</v>
      </c>
      <c r="T1072">
        <v>44</v>
      </c>
      <c r="U1072">
        <v>-0.03</v>
      </c>
      <c r="W1072">
        <f>DataLog_T717420_Aug11_4_59_37pm[[#This Row],[RPM '[1/MIN']]]-Table3[[#This Row],[580C]]</f>
        <v>0</v>
      </c>
      <c r="X1072">
        <f>DataLog_T717420_Aug11_4_59_37pm[[#This Row],[OIL TEMP '[Â°C']]]-Table3[[#This Row],[4402]]</f>
        <v>0</v>
      </c>
      <c r="Y1072">
        <f>DataLog_T717420_Aug11_4_59_37pm[[#This Row],[INTAKE TEMP '[Â°C']]]-Table3[[#This Row],[580F]]</f>
        <v>0</v>
      </c>
      <c r="Z1072">
        <f>DataLog_T717420_Aug11_4_59_37pm[[#This Row],[HPFP PRES. '[BAR']]]-Table3[[#This Row],[58F0]]</f>
        <v>0</v>
      </c>
      <c r="AA1072">
        <f>DataLog_T717420_Aug11_4_59_37pm[[#This Row],[COOLANT TEMP '[Â°C']]]-Table3[[#This Row],[5805]]</f>
        <v>0</v>
      </c>
      <c r="AB1072">
        <f>DataLog_T717420_Aug11_4_59_37pm[[#This Row],[BOOST '[BAR']]]-Table3[[#This Row],[58DD]]</f>
        <v>0</v>
      </c>
    </row>
    <row r="1073" spans="2:28" x14ac:dyDescent="0.25">
      <c r="B1073" s="2" t="s">
        <v>189</v>
      </c>
      <c r="C1073" s="2" t="s">
        <v>30</v>
      </c>
      <c r="D1073" s="2" t="s">
        <v>151</v>
      </c>
      <c r="E1073" s="2" t="s">
        <v>93</v>
      </c>
      <c r="F1073" s="2" t="s">
        <v>261</v>
      </c>
      <c r="G1073" s="2" t="s">
        <v>71</v>
      </c>
      <c r="I1073">
        <f>HEX2DEC(_0811_173439[[#This Row],[580C]])*B$4/B$5+B$6</f>
        <v>760</v>
      </c>
      <c r="J1073">
        <f>HEX2DEC(_0811_173439[[#This Row],[4402]])*C$4/C$5+C$6</f>
        <v>36</v>
      </c>
      <c r="K1073">
        <f>HEX2DEC(_0811_173439[[#This Row],[580F]])*D$4/D$5+D$6</f>
        <v>30</v>
      </c>
      <c r="L1073">
        <f>ROUND(HEX2DEC(_0811_173439[[#This Row],[58F0]])*E$4/E$5+E$6,0)</f>
        <v>70</v>
      </c>
      <c r="M1073">
        <f>ROUND(HEX2DEC(_0811_173439[[#This Row],[5805]])*F$4/F$5+F$6,0)</f>
        <v>44</v>
      </c>
      <c r="N1073">
        <f>ROUND(HEX2DEC(_0811_173439[[#This Row],[58DD]])*G$4/G$5+G$6,2)</f>
        <v>-0.03</v>
      </c>
      <c r="P1073">
        <v>760</v>
      </c>
      <c r="Q1073">
        <v>36</v>
      </c>
      <c r="R1073">
        <v>30</v>
      </c>
      <c r="S1073">
        <v>70</v>
      </c>
      <c r="T1073">
        <v>44</v>
      </c>
      <c r="U1073">
        <v>-0.03</v>
      </c>
      <c r="W1073">
        <f>DataLog_T717420_Aug11_4_59_37pm[[#This Row],[RPM '[1/MIN']]]-Table3[[#This Row],[580C]]</f>
        <v>0</v>
      </c>
      <c r="X1073">
        <f>DataLog_T717420_Aug11_4_59_37pm[[#This Row],[OIL TEMP '[Â°C']]]-Table3[[#This Row],[4402]]</f>
        <v>0</v>
      </c>
      <c r="Y1073">
        <f>DataLog_T717420_Aug11_4_59_37pm[[#This Row],[INTAKE TEMP '[Â°C']]]-Table3[[#This Row],[580F]]</f>
        <v>0</v>
      </c>
      <c r="Z1073">
        <f>DataLog_T717420_Aug11_4_59_37pm[[#This Row],[HPFP PRES. '[BAR']]]-Table3[[#This Row],[58F0]]</f>
        <v>0</v>
      </c>
      <c r="AA1073">
        <f>DataLog_T717420_Aug11_4_59_37pm[[#This Row],[COOLANT TEMP '[Â°C']]]-Table3[[#This Row],[5805]]</f>
        <v>0</v>
      </c>
      <c r="AB1073">
        <f>DataLog_T717420_Aug11_4_59_37pm[[#This Row],[BOOST '[BAR']]]-Table3[[#This Row],[58DD]]</f>
        <v>0</v>
      </c>
    </row>
    <row r="1074" spans="2:28" x14ac:dyDescent="0.25">
      <c r="B1074" s="2" t="s">
        <v>189</v>
      </c>
      <c r="C1074" s="2" t="s">
        <v>30</v>
      </c>
      <c r="D1074" s="2" t="s">
        <v>151</v>
      </c>
      <c r="E1074" s="2" t="s">
        <v>150</v>
      </c>
      <c r="F1074" s="2" t="s">
        <v>261</v>
      </c>
      <c r="G1074" s="2" t="s">
        <v>71</v>
      </c>
      <c r="I1074">
        <f>HEX2DEC(_0811_173439[[#This Row],[580C]])*B$4/B$5+B$6</f>
        <v>760</v>
      </c>
      <c r="J1074">
        <f>HEX2DEC(_0811_173439[[#This Row],[4402]])*C$4/C$5+C$6</f>
        <v>36</v>
      </c>
      <c r="K1074">
        <f>HEX2DEC(_0811_173439[[#This Row],[580F]])*D$4/D$5+D$6</f>
        <v>30</v>
      </c>
      <c r="L1074">
        <f>ROUND(HEX2DEC(_0811_173439[[#This Row],[58F0]])*E$4/E$5+E$6,0)</f>
        <v>70</v>
      </c>
      <c r="M1074">
        <f>ROUND(HEX2DEC(_0811_173439[[#This Row],[5805]])*F$4/F$5+F$6,0)</f>
        <v>44</v>
      </c>
      <c r="N1074">
        <f>ROUND(HEX2DEC(_0811_173439[[#This Row],[58DD]])*G$4/G$5+G$6,2)</f>
        <v>-0.03</v>
      </c>
      <c r="P1074">
        <v>760</v>
      </c>
      <c r="Q1074">
        <v>36</v>
      </c>
      <c r="R1074">
        <v>30</v>
      </c>
      <c r="S1074">
        <v>70</v>
      </c>
      <c r="T1074">
        <v>44</v>
      </c>
      <c r="U1074">
        <v>-0.03</v>
      </c>
      <c r="W1074">
        <f>DataLog_T717420_Aug11_4_59_37pm[[#This Row],[RPM '[1/MIN']]]-Table3[[#This Row],[580C]]</f>
        <v>0</v>
      </c>
      <c r="X1074">
        <f>DataLog_T717420_Aug11_4_59_37pm[[#This Row],[OIL TEMP '[Â°C']]]-Table3[[#This Row],[4402]]</f>
        <v>0</v>
      </c>
      <c r="Y1074">
        <f>DataLog_T717420_Aug11_4_59_37pm[[#This Row],[INTAKE TEMP '[Â°C']]]-Table3[[#This Row],[580F]]</f>
        <v>0</v>
      </c>
      <c r="Z1074">
        <f>DataLog_T717420_Aug11_4_59_37pm[[#This Row],[HPFP PRES. '[BAR']]]-Table3[[#This Row],[58F0]]</f>
        <v>0</v>
      </c>
      <c r="AA1074">
        <f>DataLog_T717420_Aug11_4_59_37pm[[#This Row],[COOLANT TEMP '[Â°C']]]-Table3[[#This Row],[5805]]</f>
        <v>0</v>
      </c>
      <c r="AB1074">
        <f>DataLog_T717420_Aug11_4_59_37pm[[#This Row],[BOOST '[BAR']]]-Table3[[#This Row],[58DD]]</f>
        <v>0</v>
      </c>
    </row>
    <row r="1075" spans="2:28" x14ac:dyDescent="0.25">
      <c r="B1075" s="2" t="s">
        <v>189</v>
      </c>
      <c r="C1075" s="2" t="s">
        <v>30</v>
      </c>
      <c r="D1075" s="2" t="s">
        <v>151</v>
      </c>
      <c r="E1075" s="2" t="s">
        <v>198</v>
      </c>
      <c r="F1075" s="2" t="s">
        <v>261</v>
      </c>
      <c r="G1075" s="2" t="s">
        <v>190</v>
      </c>
      <c r="I1075">
        <f>HEX2DEC(_0811_173439[[#This Row],[580C]])*B$4/B$5+B$6</f>
        <v>760</v>
      </c>
      <c r="J1075">
        <f>HEX2DEC(_0811_173439[[#This Row],[4402]])*C$4/C$5+C$6</f>
        <v>36</v>
      </c>
      <c r="K1075">
        <f>HEX2DEC(_0811_173439[[#This Row],[580F]])*D$4/D$5+D$6</f>
        <v>30</v>
      </c>
      <c r="L1075">
        <f>ROUND(HEX2DEC(_0811_173439[[#This Row],[58F0]])*E$4/E$5+E$6,0)</f>
        <v>70</v>
      </c>
      <c r="M1075">
        <f>ROUND(HEX2DEC(_0811_173439[[#This Row],[5805]])*F$4/F$5+F$6,0)</f>
        <v>44</v>
      </c>
      <c r="N1075">
        <f>ROUND(HEX2DEC(_0811_173439[[#This Row],[58DD]])*G$4/G$5+G$6,2)</f>
        <v>-0.03</v>
      </c>
      <c r="P1075">
        <v>760</v>
      </c>
      <c r="Q1075">
        <v>36</v>
      </c>
      <c r="R1075">
        <v>30</v>
      </c>
      <c r="S1075">
        <v>70</v>
      </c>
      <c r="T1075">
        <v>44</v>
      </c>
      <c r="U1075">
        <v>-0.03</v>
      </c>
      <c r="W1075">
        <f>DataLog_T717420_Aug11_4_59_37pm[[#This Row],[RPM '[1/MIN']]]-Table3[[#This Row],[580C]]</f>
        <v>0</v>
      </c>
      <c r="X1075">
        <f>DataLog_T717420_Aug11_4_59_37pm[[#This Row],[OIL TEMP '[Â°C']]]-Table3[[#This Row],[4402]]</f>
        <v>0</v>
      </c>
      <c r="Y1075">
        <f>DataLog_T717420_Aug11_4_59_37pm[[#This Row],[INTAKE TEMP '[Â°C']]]-Table3[[#This Row],[580F]]</f>
        <v>0</v>
      </c>
      <c r="Z1075">
        <f>DataLog_T717420_Aug11_4_59_37pm[[#This Row],[HPFP PRES. '[BAR']]]-Table3[[#This Row],[58F0]]</f>
        <v>0</v>
      </c>
      <c r="AA1075">
        <f>DataLog_T717420_Aug11_4_59_37pm[[#This Row],[COOLANT TEMP '[Â°C']]]-Table3[[#This Row],[5805]]</f>
        <v>0</v>
      </c>
      <c r="AB1075">
        <f>DataLog_T717420_Aug11_4_59_37pm[[#This Row],[BOOST '[BAR']]]-Table3[[#This Row],[58DD]]</f>
        <v>0</v>
      </c>
    </row>
    <row r="1076" spans="2:28" x14ac:dyDescent="0.25">
      <c r="B1076" s="2" t="s">
        <v>189</v>
      </c>
      <c r="C1076" s="2" t="s">
        <v>30</v>
      </c>
      <c r="D1076" s="2" t="s">
        <v>151</v>
      </c>
      <c r="E1076" s="2" t="s">
        <v>93</v>
      </c>
      <c r="F1076" s="2" t="s">
        <v>261</v>
      </c>
      <c r="G1076" s="2" t="s">
        <v>236</v>
      </c>
      <c r="I1076">
        <f>HEX2DEC(_0811_173439[[#This Row],[580C]])*B$4/B$5+B$6</f>
        <v>760</v>
      </c>
      <c r="J1076">
        <f>HEX2DEC(_0811_173439[[#This Row],[4402]])*C$4/C$5+C$6</f>
        <v>36</v>
      </c>
      <c r="K1076">
        <f>HEX2DEC(_0811_173439[[#This Row],[580F]])*D$4/D$5+D$6</f>
        <v>30</v>
      </c>
      <c r="L1076">
        <f>ROUND(HEX2DEC(_0811_173439[[#This Row],[58F0]])*E$4/E$5+E$6,0)</f>
        <v>70</v>
      </c>
      <c r="M1076">
        <f>ROUND(HEX2DEC(_0811_173439[[#This Row],[5805]])*F$4/F$5+F$6,0)</f>
        <v>44</v>
      </c>
      <c r="N1076">
        <f>ROUND(HEX2DEC(_0811_173439[[#This Row],[58DD]])*G$4/G$5+G$6,2)</f>
        <v>-0.03</v>
      </c>
      <c r="P1076">
        <v>760</v>
      </c>
      <c r="Q1076">
        <v>36</v>
      </c>
      <c r="R1076">
        <v>30</v>
      </c>
      <c r="S1076">
        <v>70</v>
      </c>
      <c r="T1076">
        <v>44</v>
      </c>
      <c r="U1076">
        <v>-0.03</v>
      </c>
      <c r="W1076">
        <f>DataLog_T717420_Aug11_4_59_37pm[[#This Row],[RPM '[1/MIN']]]-Table3[[#This Row],[580C]]</f>
        <v>0</v>
      </c>
      <c r="X1076">
        <f>DataLog_T717420_Aug11_4_59_37pm[[#This Row],[OIL TEMP '[Â°C']]]-Table3[[#This Row],[4402]]</f>
        <v>0</v>
      </c>
      <c r="Y1076">
        <f>DataLog_T717420_Aug11_4_59_37pm[[#This Row],[INTAKE TEMP '[Â°C']]]-Table3[[#This Row],[580F]]</f>
        <v>0</v>
      </c>
      <c r="Z1076">
        <f>DataLog_T717420_Aug11_4_59_37pm[[#This Row],[HPFP PRES. '[BAR']]]-Table3[[#This Row],[58F0]]</f>
        <v>0</v>
      </c>
      <c r="AA1076">
        <f>DataLog_T717420_Aug11_4_59_37pm[[#This Row],[COOLANT TEMP '[Â°C']]]-Table3[[#This Row],[5805]]</f>
        <v>0</v>
      </c>
      <c r="AB1076">
        <f>DataLog_T717420_Aug11_4_59_37pm[[#This Row],[BOOST '[BAR']]]-Table3[[#This Row],[58DD]]</f>
        <v>0</v>
      </c>
    </row>
    <row r="1077" spans="2:28" x14ac:dyDescent="0.25">
      <c r="B1077" s="2" t="s">
        <v>189</v>
      </c>
      <c r="C1077" s="2" t="s">
        <v>30</v>
      </c>
      <c r="D1077" s="2" t="s">
        <v>151</v>
      </c>
      <c r="E1077" s="2" t="s">
        <v>93</v>
      </c>
      <c r="F1077" s="2" t="s">
        <v>261</v>
      </c>
      <c r="G1077" s="2" t="s">
        <v>245</v>
      </c>
      <c r="I1077">
        <f>HEX2DEC(_0811_173439[[#This Row],[580C]])*B$4/B$5+B$6</f>
        <v>760</v>
      </c>
      <c r="J1077">
        <f>HEX2DEC(_0811_173439[[#This Row],[4402]])*C$4/C$5+C$6</f>
        <v>36</v>
      </c>
      <c r="K1077">
        <f>HEX2DEC(_0811_173439[[#This Row],[580F]])*D$4/D$5+D$6</f>
        <v>30</v>
      </c>
      <c r="L1077">
        <f>ROUND(HEX2DEC(_0811_173439[[#This Row],[58F0]])*E$4/E$5+E$6,0)</f>
        <v>70</v>
      </c>
      <c r="M1077">
        <f>ROUND(HEX2DEC(_0811_173439[[#This Row],[5805]])*F$4/F$5+F$6,0)</f>
        <v>44</v>
      </c>
      <c r="N1077">
        <f>ROUND(HEX2DEC(_0811_173439[[#This Row],[58DD]])*G$4/G$5+G$6,2)</f>
        <v>-0.03</v>
      </c>
      <c r="P1077">
        <v>760</v>
      </c>
      <c r="Q1077">
        <v>36</v>
      </c>
      <c r="R1077">
        <v>30</v>
      </c>
      <c r="S1077">
        <v>70</v>
      </c>
      <c r="T1077">
        <v>44</v>
      </c>
      <c r="U1077">
        <v>-0.03</v>
      </c>
      <c r="W1077">
        <f>DataLog_T717420_Aug11_4_59_37pm[[#This Row],[RPM '[1/MIN']]]-Table3[[#This Row],[580C]]</f>
        <v>0</v>
      </c>
      <c r="X1077">
        <f>DataLog_T717420_Aug11_4_59_37pm[[#This Row],[OIL TEMP '[Â°C']]]-Table3[[#This Row],[4402]]</f>
        <v>0</v>
      </c>
      <c r="Y1077">
        <f>DataLog_T717420_Aug11_4_59_37pm[[#This Row],[INTAKE TEMP '[Â°C']]]-Table3[[#This Row],[580F]]</f>
        <v>0</v>
      </c>
      <c r="Z1077">
        <f>DataLog_T717420_Aug11_4_59_37pm[[#This Row],[HPFP PRES. '[BAR']]]-Table3[[#This Row],[58F0]]</f>
        <v>0</v>
      </c>
      <c r="AA1077">
        <f>DataLog_T717420_Aug11_4_59_37pm[[#This Row],[COOLANT TEMP '[Â°C']]]-Table3[[#This Row],[5805]]</f>
        <v>0</v>
      </c>
      <c r="AB1077">
        <f>DataLog_T717420_Aug11_4_59_37pm[[#This Row],[BOOST '[BAR']]]-Table3[[#This Row],[58DD]]</f>
        <v>0</v>
      </c>
    </row>
    <row r="1078" spans="2:28" x14ac:dyDescent="0.25">
      <c r="B1078" s="2" t="s">
        <v>189</v>
      </c>
      <c r="C1078" s="2" t="s">
        <v>30</v>
      </c>
      <c r="D1078" s="2" t="s">
        <v>151</v>
      </c>
      <c r="E1078" s="2" t="s">
        <v>199</v>
      </c>
      <c r="F1078" s="2" t="s">
        <v>261</v>
      </c>
      <c r="G1078" s="2" t="s">
        <v>236</v>
      </c>
      <c r="I1078">
        <f>HEX2DEC(_0811_173439[[#This Row],[580C]])*B$4/B$5+B$6</f>
        <v>760</v>
      </c>
      <c r="J1078">
        <f>HEX2DEC(_0811_173439[[#This Row],[4402]])*C$4/C$5+C$6</f>
        <v>36</v>
      </c>
      <c r="K1078">
        <f>HEX2DEC(_0811_173439[[#This Row],[580F]])*D$4/D$5+D$6</f>
        <v>30</v>
      </c>
      <c r="L1078">
        <f>ROUND(HEX2DEC(_0811_173439[[#This Row],[58F0]])*E$4/E$5+E$6,0)</f>
        <v>70</v>
      </c>
      <c r="M1078">
        <f>ROUND(HEX2DEC(_0811_173439[[#This Row],[5805]])*F$4/F$5+F$6,0)</f>
        <v>44</v>
      </c>
      <c r="N1078">
        <f>ROUND(HEX2DEC(_0811_173439[[#This Row],[58DD]])*G$4/G$5+G$6,2)</f>
        <v>-0.03</v>
      </c>
      <c r="P1078">
        <v>760</v>
      </c>
      <c r="Q1078">
        <v>36</v>
      </c>
      <c r="R1078">
        <v>30</v>
      </c>
      <c r="S1078">
        <v>70</v>
      </c>
      <c r="T1078">
        <v>44</v>
      </c>
      <c r="U1078">
        <v>-0.03</v>
      </c>
      <c r="W1078">
        <f>DataLog_T717420_Aug11_4_59_37pm[[#This Row],[RPM '[1/MIN']]]-Table3[[#This Row],[580C]]</f>
        <v>0</v>
      </c>
      <c r="X1078">
        <f>DataLog_T717420_Aug11_4_59_37pm[[#This Row],[OIL TEMP '[Â°C']]]-Table3[[#This Row],[4402]]</f>
        <v>0</v>
      </c>
      <c r="Y1078">
        <f>DataLog_T717420_Aug11_4_59_37pm[[#This Row],[INTAKE TEMP '[Â°C']]]-Table3[[#This Row],[580F]]</f>
        <v>0</v>
      </c>
      <c r="Z1078">
        <f>DataLog_T717420_Aug11_4_59_37pm[[#This Row],[HPFP PRES. '[BAR']]]-Table3[[#This Row],[58F0]]</f>
        <v>0</v>
      </c>
      <c r="AA1078">
        <f>DataLog_T717420_Aug11_4_59_37pm[[#This Row],[COOLANT TEMP '[Â°C']]]-Table3[[#This Row],[5805]]</f>
        <v>0</v>
      </c>
      <c r="AB1078">
        <f>DataLog_T717420_Aug11_4_59_37pm[[#This Row],[BOOST '[BAR']]]-Table3[[#This Row],[58DD]]</f>
        <v>0</v>
      </c>
    </row>
    <row r="1079" spans="2:28" x14ac:dyDescent="0.25">
      <c r="B1079" s="2" t="s">
        <v>189</v>
      </c>
      <c r="C1079" s="2" t="s">
        <v>30</v>
      </c>
      <c r="D1079" s="2" t="s">
        <v>151</v>
      </c>
      <c r="E1079" s="2" t="s">
        <v>127</v>
      </c>
      <c r="F1079" s="2" t="s">
        <v>261</v>
      </c>
      <c r="G1079" s="2" t="s">
        <v>96</v>
      </c>
      <c r="I1079">
        <f>HEX2DEC(_0811_173439[[#This Row],[580C]])*B$4/B$5+B$6</f>
        <v>760</v>
      </c>
      <c r="J1079">
        <f>HEX2DEC(_0811_173439[[#This Row],[4402]])*C$4/C$5+C$6</f>
        <v>36</v>
      </c>
      <c r="K1079">
        <f>HEX2DEC(_0811_173439[[#This Row],[580F]])*D$4/D$5+D$6</f>
        <v>30</v>
      </c>
      <c r="L1079">
        <f>ROUND(HEX2DEC(_0811_173439[[#This Row],[58F0]])*E$4/E$5+E$6,0)</f>
        <v>70</v>
      </c>
      <c r="M1079">
        <f>ROUND(HEX2DEC(_0811_173439[[#This Row],[5805]])*F$4/F$5+F$6,0)</f>
        <v>44</v>
      </c>
      <c r="N1079">
        <f>ROUND(HEX2DEC(_0811_173439[[#This Row],[58DD]])*G$4/G$5+G$6,2)</f>
        <v>-0.03</v>
      </c>
      <c r="P1079">
        <v>760</v>
      </c>
      <c r="Q1079">
        <v>36</v>
      </c>
      <c r="R1079">
        <v>30</v>
      </c>
      <c r="S1079">
        <v>70</v>
      </c>
      <c r="T1079">
        <v>44</v>
      </c>
      <c r="U1079">
        <v>-0.03</v>
      </c>
      <c r="W1079">
        <f>DataLog_T717420_Aug11_4_59_37pm[[#This Row],[RPM '[1/MIN']]]-Table3[[#This Row],[580C]]</f>
        <v>0</v>
      </c>
      <c r="X1079">
        <f>DataLog_T717420_Aug11_4_59_37pm[[#This Row],[OIL TEMP '[Â°C']]]-Table3[[#This Row],[4402]]</f>
        <v>0</v>
      </c>
      <c r="Y1079">
        <f>DataLog_T717420_Aug11_4_59_37pm[[#This Row],[INTAKE TEMP '[Â°C']]]-Table3[[#This Row],[580F]]</f>
        <v>0</v>
      </c>
      <c r="Z1079">
        <f>DataLog_T717420_Aug11_4_59_37pm[[#This Row],[HPFP PRES. '[BAR']]]-Table3[[#This Row],[58F0]]</f>
        <v>0</v>
      </c>
      <c r="AA1079">
        <f>DataLog_T717420_Aug11_4_59_37pm[[#This Row],[COOLANT TEMP '[Â°C']]]-Table3[[#This Row],[5805]]</f>
        <v>0</v>
      </c>
      <c r="AB1079">
        <f>DataLog_T717420_Aug11_4_59_37pm[[#This Row],[BOOST '[BAR']]]-Table3[[#This Row],[58DD]]</f>
        <v>0</v>
      </c>
    </row>
    <row r="1080" spans="2:28" x14ac:dyDescent="0.25">
      <c r="B1080" s="2" t="s">
        <v>189</v>
      </c>
      <c r="C1080" s="2" t="s">
        <v>30</v>
      </c>
      <c r="D1080" s="2" t="s">
        <v>151</v>
      </c>
      <c r="E1080" s="2" t="s">
        <v>127</v>
      </c>
      <c r="F1080" s="2" t="s">
        <v>261</v>
      </c>
      <c r="G1080" s="2" t="s">
        <v>236</v>
      </c>
      <c r="I1080">
        <f>HEX2DEC(_0811_173439[[#This Row],[580C]])*B$4/B$5+B$6</f>
        <v>760</v>
      </c>
      <c r="J1080">
        <f>HEX2DEC(_0811_173439[[#This Row],[4402]])*C$4/C$5+C$6</f>
        <v>36</v>
      </c>
      <c r="K1080">
        <f>HEX2DEC(_0811_173439[[#This Row],[580F]])*D$4/D$5+D$6</f>
        <v>30</v>
      </c>
      <c r="L1080">
        <f>ROUND(HEX2DEC(_0811_173439[[#This Row],[58F0]])*E$4/E$5+E$6,0)</f>
        <v>70</v>
      </c>
      <c r="M1080">
        <f>ROUND(HEX2DEC(_0811_173439[[#This Row],[5805]])*F$4/F$5+F$6,0)</f>
        <v>44</v>
      </c>
      <c r="N1080">
        <f>ROUND(HEX2DEC(_0811_173439[[#This Row],[58DD]])*G$4/G$5+G$6,2)</f>
        <v>-0.03</v>
      </c>
      <c r="P1080">
        <v>760</v>
      </c>
      <c r="Q1080">
        <v>36</v>
      </c>
      <c r="R1080">
        <v>30</v>
      </c>
      <c r="S1080">
        <v>70</v>
      </c>
      <c r="T1080">
        <v>44</v>
      </c>
      <c r="U1080">
        <v>-0.03</v>
      </c>
      <c r="W1080">
        <f>DataLog_T717420_Aug11_4_59_37pm[[#This Row],[RPM '[1/MIN']]]-Table3[[#This Row],[580C]]</f>
        <v>0</v>
      </c>
      <c r="X1080">
        <f>DataLog_T717420_Aug11_4_59_37pm[[#This Row],[OIL TEMP '[Â°C']]]-Table3[[#This Row],[4402]]</f>
        <v>0</v>
      </c>
      <c r="Y1080">
        <f>DataLog_T717420_Aug11_4_59_37pm[[#This Row],[INTAKE TEMP '[Â°C']]]-Table3[[#This Row],[580F]]</f>
        <v>0</v>
      </c>
      <c r="Z1080">
        <f>DataLog_T717420_Aug11_4_59_37pm[[#This Row],[HPFP PRES. '[BAR']]]-Table3[[#This Row],[58F0]]</f>
        <v>0</v>
      </c>
      <c r="AA1080">
        <f>DataLog_T717420_Aug11_4_59_37pm[[#This Row],[COOLANT TEMP '[Â°C']]]-Table3[[#This Row],[5805]]</f>
        <v>0</v>
      </c>
      <c r="AB1080">
        <f>DataLog_T717420_Aug11_4_59_37pm[[#This Row],[BOOST '[BAR']]]-Table3[[#This Row],[58DD]]</f>
        <v>0</v>
      </c>
    </row>
    <row r="1081" spans="2:28" x14ac:dyDescent="0.25">
      <c r="B1081" s="2" t="s">
        <v>189</v>
      </c>
      <c r="C1081" s="2" t="s">
        <v>30</v>
      </c>
      <c r="D1081" s="2" t="s">
        <v>151</v>
      </c>
      <c r="E1081" s="2" t="s">
        <v>198</v>
      </c>
      <c r="F1081" s="2" t="s">
        <v>261</v>
      </c>
      <c r="G1081" s="2" t="s">
        <v>235</v>
      </c>
      <c r="I1081">
        <f>HEX2DEC(_0811_173439[[#This Row],[580C]])*B$4/B$5+B$6</f>
        <v>760</v>
      </c>
      <c r="J1081">
        <f>HEX2DEC(_0811_173439[[#This Row],[4402]])*C$4/C$5+C$6</f>
        <v>36</v>
      </c>
      <c r="K1081">
        <f>HEX2DEC(_0811_173439[[#This Row],[580F]])*D$4/D$5+D$6</f>
        <v>30</v>
      </c>
      <c r="L1081">
        <f>ROUND(HEX2DEC(_0811_173439[[#This Row],[58F0]])*E$4/E$5+E$6,0)</f>
        <v>70</v>
      </c>
      <c r="M1081">
        <f>ROUND(HEX2DEC(_0811_173439[[#This Row],[5805]])*F$4/F$5+F$6,0)</f>
        <v>44</v>
      </c>
      <c r="N1081">
        <f>ROUND(HEX2DEC(_0811_173439[[#This Row],[58DD]])*G$4/G$5+G$6,2)</f>
        <v>-0.03</v>
      </c>
      <c r="P1081">
        <v>760</v>
      </c>
      <c r="Q1081">
        <v>36</v>
      </c>
      <c r="R1081">
        <v>30</v>
      </c>
      <c r="S1081">
        <v>70</v>
      </c>
      <c r="T1081">
        <v>44</v>
      </c>
      <c r="U1081">
        <v>-0.03</v>
      </c>
      <c r="W1081">
        <f>DataLog_T717420_Aug11_4_59_37pm[[#This Row],[RPM '[1/MIN']]]-Table3[[#This Row],[580C]]</f>
        <v>0</v>
      </c>
      <c r="X1081">
        <f>DataLog_T717420_Aug11_4_59_37pm[[#This Row],[OIL TEMP '[Â°C']]]-Table3[[#This Row],[4402]]</f>
        <v>0</v>
      </c>
      <c r="Y1081">
        <f>DataLog_T717420_Aug11_4_59_37pm[[#This Row],[INTAKE TEMP '[Â°C']]]-Table3[[#This Row],[580F]]</f>
        <v>0</v>
      </c>
      <c r="Z1081">
        <f>DataLog_T717420_Aug11_4_59_37pm[[#This Row],[HPFP PRES. '[BAR']]]-Table3[[#This Row],[58F0]]</f>
        <v>0</v>
      </c>
      <c r="AA1081">
        <f>DataLog_T717420_Aug11_4_59_37pm[[#This Row],[COOLANT TEMP '[Â°C']]]-Table3[[#This Row],[5805]]</f>
        <v>0</v>
      </c>
      <c r="AB1081">
        <f>DataLog_T717420_Aug11_4_59_37pm[[#This Row],[BOOST '[BAR']]]-Table3[[#This Row],[58DD]]</f>
        <v>0</v>
      </c>
    </row>
    <row r="1082" spans="2:28" x14ac:dyDescent="0.25">
      <c r="B1082" s="2" t="s">
        <v>189</v>
      </c>
      <c r="C1082" s="2" t="s">
        <v>30</v>
      </c>
      <c r="D1082" s="2" t="s">
        <v>151</v>
      </c>
      <c r="E1082" s="2" t="s">
        <v>127</v>
      </c>
      <c r="F1082" s="2" t="s">
        <v>261</v>
      </c>
      <c r="G1082" s="2" t="s">
        <v>236</v>
      </c>
      <c r="I1082">
        <f>HEX2DEC(_0811_173439[[#This Row],[580C]])*B$4/B$5+B$6</f>
        <v>760</v>
      </c>
      <c r="J1082">
        <f>HEX2DEC(_0811_173439[[#This Row],[4402]])*C$4/C$5+C$6</f>
        <v>36</v>
      </c>
      <c r="K1082">
        <f>HEX2DEC(_0811_173439[[#This Row],[580F]])*D$4/D$5+D$6</f>
        <v>30</v>
      </c>
      <c r="L1082">
        <f>ROUND(HEX2DEC(_0811_173439[[#This Row],[58F0]])*E$4/E$5+E$6,0)</f>
        <v>70</v>
      </c>
      <c r="M1082">
        <f>ROUND(HEX2DEC(_0811_173439[[#This Row],[5805]])*F$4/F$5+F$6,0)</f>
        <v>44</v>
      </c>
      <c r="N1082">
        <f>ROUND(HEX2DEC(_0811_173439[[#This Row],[58DD]])*G$4/G$5+G$6,2)</f>
        <v>-0.03</v>
      </c>
      <c r="P1082">
        <v>760</v>
      </c>
      <c r="Q1082">
        <v>36</v>
      </c>
      <c r="R1082">
        <v>30</v>
      </c>
      <c r="S1082">
        <v>70</v>
      </c>
      <c r="T1082">
        <v>44</v>
      </c>
      <c r="U1082">
        <v>-0.03</v>
      </c>
      <c r="W1082">
        <f>DataLog_T717420_Aug11_4_59_37pm[[#This Row],[RPM '[1/MIN']]]-Table3[[#This Row],[580C]]</f>
        <v>0</v>
      </c>
      <c r="X1082">
        <f>DataLog_T717420_Aug11_4_59_37pm[[#This Row],[OIL TEMP '[Â°C']]]-Table3[[#This Row],[4402]]</f>
        <v>0</v>
      </c>
      <c r="Y1082">
        <f>DataLog_T717420_Aug11_4_59_37pm[[#This Row],[INTAKE TEMP '[Â°C']]]-Table3[[#This Row],[580F]]</f>
        <v>0</v>
      </c>
      <c r="Z1082">
        <f>DataLog_T717420_Aug11_4_59_37pm[[#This Row],[HPFP PRES. '[BAR']]]-Table3[[#This Row],[58F0]]</f>
        <v>0</v>
      </c>
      <c r="AA1082">
        <f>DataLog_T717420_Aug11_4_59_37pm[[#This Row],[COOLANT TEMP '[Â°C']]]-Table3[[#This Row],[5805]]</f>
        <v>0</v>
      </c>
      <c r="AB1082">
        <f>DataLog_T717420_Aug11_4_59_37pm[[#This Row],[BOOST '[BAR']]]-Table3[[#This Row],[58DD]]</f>
        <v>0</v>
      </c>
    </row>
    <row r="1083" spans="2:28" x14ac:dyDescent="0.25">
      <c r="B1083" s="2" t="s">
        <v>183</v>
      </c>
      <c r="C1083" s="2" t="s">
        <v>30</v>
      </c>
      <c r="D1083" s="2" t="s">
        <v>151</v>
      </c>
      <c r="E1083" s="2" t="s">
        <v>127</v>
      </c>
      <c r="F1083" s="2" t="s">
        <v>261</v>
      </c>
      <c r="G1083" s="2" t="s">
        <v>90</v>
      </c>
      <c r="I1083">
        <f>HEX2DEC(_0811_173439[[#This Row],[580C]])*B$4/B$5+B$6</f>
        <v>800</v>
      </c>
      <c r="J1083">
        <f>HEX2DEC(_0811_173439[[#This Row],[4402]])*C$4/C$5+C$6</f>
        <v>36</v>
      </c>
      <c r="K1083">
        <f>HEX2DEC(_0811_173439[[#This Row],[580F]])*D$4/D$5+D$6</f>
        <v>30</v>
      </c>
      <c r="L1083">
        <f>ROUND(HEX2DEC(_0811_173439[[#This Row],[58F0]])*E$4/E$5+E$6,0)</f>
        <v>70</v>
      </c>
      <c r="M1083">
        <f>ROUND(HEX2DEC(_0811_173439[[#This Row],[5805]])*F$4/F$5+F$6,0)</f>
        <v>44</v>
      </c>
      <c r="N1083">
        <f>ROUND(HEX2DEC(_0811_173439[[#This Row],[58DD]])*G$4/G$5+G$6,2)</f>
        <v>-0.03</v>
      </c>
      <c r="P1083">
        <v>800</v>
      </c>
      <c r="Q1083">
        <v>36</v>
      </c>
      <c r="R1083">
        <v>30</v>
      </c>
      <c r="S1083">
        <v>70</v>
      </c>
      <c r="T1083">
        <v>44</v>
      </c>
      <c r="U1083">
        <v>-0.03</v>
      </c>
      <c r="W1083">
        <f>DataLog_T717420_Aug11_4_59_37pm[[#This Row],[RPM '[1/MIN']]]-Table3[[#This Row],[580C]]</f>
        <v>0</v>
      </c>
      <c r="X1083">
        <f>DataLog_T717420_Aug11_4_59_37pm[[#This Row],[OIL TEMP '[Â°C']]]-Table3[[#This Row],[4402]]</f>
        <v>0</v>
      </c>
      <c r="Y1083">
        <f>DataLog_T717420_Aug11_4_59_37pm[[#This Row],[INTAKE TEMP '[Â°C']]]-Table3[[#This Row],[580F]]</f>
        <v>0</v>
      </c>
      <c r="Z1083">
        <f>DataLog_T717420_Aug11_4_59_37pm[[#This Row],[HPFP PRES. '[BAR']]]-Table3[[#This Row],[58F0]]</f>
        <v>0</v>
      </c>
      <c r="AA1083">
        <f>DataLog_T717420_Aug11_4_59_37pm[[#This Row],[COOLANT TEMP '[Â°C']]]-Table3[[#This Row],[5805]]</f>
        <v>0</v>
      </c>
      <c r="AB1083">
        <f>DataLog_T717420_Aug11_4_59_37pm[[#This Row],[BOOST '[BAR']]]-Table3[[#This Row],[58DD]]</f>
        <v>0</v>
      </c>
    </row>
    <row r="1084" spans="2:28" x14ac:dyDescent="0.25">
      <c r="B1084" s="2" t="s">
        <v>183</v>
      </c>
      <c r="C1084" s="2" t="s">
        <v>30</v>
      </c>
      <c r="D1084" s="2" t="s">
        <v>151</v>
      </c>
      <c r="E1084" s="2" t="s">
        <v>199</v>
      </c>
      <c r="F1084" s="2" t="s">
        <v>261</v>
      </c>
      <c r="G1084" s="2" t="s">
        <v>96</v>
      </c>
      <c r="I1084">
        <f>HEX2DEC(_0811_173439[[#This Row],[580C]])*B$4/B$5+B$6</f>
        <v>800</v>
      </c>
      <c r="J1084">
        <f>HEX2DEC(_0811_173439[[#This Row],[4402]])*C$4/C$5+C$6</f>
        <v>36</v>
      </c>
      <c r="K1084">
        <f>HEX2DEC(_0811_173439[[#This Row],[580F]])*D$4/D$5+D$6</f>
        <v>30</v>
      </c>
      <c r="L1084">
        <f>ROUND(HEX2DEC(_0811_173439[[#This Row],[58F0]])*E$4/E$5+E$6,0)</f>
        <v>70</v>
      </c>
      <c r="M1084">
        <f>ROUND(HEX2DEC(_0811_173439[[#This Row],[5805]])*F$4/F$5+F$6,0)</f>
        <v>44</v>
      </c>
      <c r="N1084">
        <f>ROUND(HEX2DEC(_0811_173439[[#This Row],[58DD]])*G$4/G$5+G$6,2)</f>
        <v>-0.03</v>
      </c>
      <c r="P1084">
        <v>800</v>
      </c>
      <c r="Q1084">
        <v>36</v>
      </c>
      <c r="R1084">
        <v>30</v>
      </c>
      <c r="S1084">
        <v>70</v>
      </c>
      <c r="T1084">
        <v>44</v>
      </c>
      <c r="U1084">
        <v>-0.03</v>
      </c>
      <c r="W1084">
        <f>DataLog_T717420_Aug11_4_59_37pm[[#This Row],[RPM '[1/MIN']]]-Table3[[#This Row],[580C]]</f>
        <v>0</v>
      </c>
      <c r="X1084">
        <f>DataLog_T717420_Aug11_4_59_37pm[[#This Row],[OIL TEMP '[Â°C']]]-Table3[[#This Row],[4402]]</f>
        <v>0</v>
      </c>
      <c r="Y1084">
        <f>DataLog_T717420_Aug11_4_59_37pm[[#This Row],[INTAKE TEMP '[Â°C']]]-Table3[[#This Row],[580F]]</f>
        <v>0</v>
      </c>
      <c r="Z1084">
        <f>DataLog_T717420_Aug11_4_59_37pm[[#This Row],[HPFP PRES. '[BAR']]]-Table3[[#This Row],[58F0]]</f>
        <v>0</v>
      </c>
      <c r="AA1084">
        <f>DataLog_T717420_Aug11_4_59_37pm[[#This Row],[COOLANT TEMP '[Â°C']]]-Table3[[#This Row],[5805]]</f>
        <v>0</v>
      </c>
      <c r="AB1084">
        <f>DataLog_T717420_Aug11_4_59_37pm[[#This Row],[BOOST '[BAR']]]-Table3[[#This Row],[58DD]]</f>
        <v>0</v>
      </c>
    </row>
    <row r="1085" spans="2:28" x14ac:dyDescent="0.25">
      <c r="B1085" s="2" t="s">
        <v>183</v>
      </c>
      <c r="C1085" s="2" t="s">
        <v>30</v>
      </c>
      <c r="D1085" s="2" t="s">
        <v>151</v>
      </c>
      <c r="E1085" s="2" t="s">
        <v>127</v>
      </c>
      <c r="F1085" s="2" t="s">
        <v>261</v>
      </c>
      <c r="G1085" s="2" t="s">
        <v>255</v>
      </c>
      <c r="I1085">
        <f>HEX2DEC(_0811_173439[[#This Row],[580C]])*B$4/B$5+B$6</f>
        <v>800</v>
      </c>
      <c r="J1085">
        <f>HEX2DEC(_0811_173439[[#This Row],[4402]])*C$4/C$5+C$6</f>
        <v>36</v>
      </c>
      <c r="K1085">
        <f>HEX2DEC(_0811_173439[[#This Row],[580F]])*D$4/D$5+D$6</f>
        <v>30</v>
      </c>
      <c r="L1085">
        <f>ROUND(HEX2DEC(_0811_173439[[#This Row],[58F0]])*E$4/E$5+E$6,0)</f>
        <v>70</v>
      </c>
      <c r="M1085">
        <f>ROUND(HEX2DEC(_0811_173439[[#This Row],[5805]])*F$4/F$5+F$6,0)</f>
        <v>44</v>
      </c>
      <c r="N1085">
        <f>ROUND(HEX2DEC(_0811_173439[[#This Row],[58DD]])*G$4/G$5+G$6,2)</f>
        <v>-0.03</v>
      </c>
      <c r="P1085">
        <v>800</v>
      </c>
      <c r="Q1085">
        <v>36</v>
      </c>
      <c r="R1085">
        <v>30</v>
      </c>
      <c r="S1085">
        <v>70</v>
      </c>
      <c r="T1085">
        <v>44</v>
      </c>
      <c r="U1085">
        <v>-0.03</v>
      </c>
      <c r="W1085">
        <f>DataLog_T717420_Aug11_4_59_37pm[[#This Row],[RPM '[1/MIN']]]-Table3[[#This Row],[580C]]</f>
        <v>0</v>
      </c>
      <c r="X1085">
        <f>DataLog_T717420_Aug11_4_59_37pm[[#This Row],[OIL TEMP '[Â°C']]]-Table3[[#This Row],[4402]]</f>
        <v>0</v>
      </c>
      <c r="Y1085">
        <f>DataLog_T717420_Aug11_4_59_37pm[[#This Row],[INTAKE TEMP '[Â°C']]]-Table3[[#This Row],[580F]]</f>
        <v>0</v>
      </c>
      <c r="Z1085">
        <f>DataLog_T717420_Aug11_4_59_37pm[[#This Row],[HPFP PRES. '[BAR']]]-Table3[[#This Row],[58F0]]</f>
        <v>0</v>
      </c>
      <c r="AA1085">
        <f>DataLog_T717420_Aug11_4_59_37pm[[#This Row],[COOLANT TEMP '[Â°C']]]-Table3[[#This Row],[5805]]</f>
        <v>0</v>
      </c>
      <c r="AB1085">
        <f>DataLog_T717420_Aug11_4_59_37pm[[#This Row],[BOOST '[BAR']]]-Table3[[#This Row],[58DD]]</f>
        <v>0</v>
      </c>
    </row>
    <row r="1086" spans="2:28" x14ac:dyDescent="0.25">
      <c r="B1086" s="2" t="s">
        <v>183</v>
      </c>
      <c r="C1086" s="2" t="s">
        <v>30</v>
      </c>
      <c r="D1086" s="2" t="s">
        <v>151</v>
      </c>
      <c r="E1086" s="2" t="s">
        <v>93</v>
      </c>
      <c r="F1086" s="2" t="s">
        <v>261</v>
      </c>
      <c r="G1086" s="2" t="s">
        <v>90</v>
      </c>
      <c r="I1086">
        <f>HEX2DEC(_0811_173439[[#This Row],[580C]])*B$4/B$5+B$6</f>
        <v>800</v>
      </c>
      <c r="J1086">
        <f>HEX2DEC(_0811_173439[[#This Row],[4402]])*C$4/C$5+C$6</f>
        <v>36</v>
      </c>
      <c r="K1086">
        <f>HEX2DEC(_0811_173439[[#This Row],[580F]])*D$4/D$5+D$6</f>
        <v>30</v>
      </c>
      <c r="L1086">
        <f>ROUND(HEX2DEC(_0811_173439[[#This Row],[58F0]])*E$4/E$5+E$6,0)</f>
        <v>70</v>
      </c>
      <c r="M1086">
        <f>ROUND(HEX2DEC(_0811_173439[[#This Row],[5805]])*F$4/F$5+F$6,0)</f>
        <v>44</v>
      </c>
      <c r="N1086">
        <f>ROUND(HEX2DEC(_0811_173439[[#This Row],[58DD]])*G$4/G$5+G$6,2)</f>
        <v>-0.03</v>
      </c>
      <c r="P1086">
        <v>800</v>
      </c>
      <c r="Q1086">
        <v>36</v>
      </c>
      <c r="R1086">
        <v>30</v>
      </c>
      <c r="S1086">
        <v>70</v>
      </c>
      <c r="T1086">
        <v>44</v>
      </c>
      <c r="U1086">
        <v>-0.03</v>
      </c>
      <c r="W1086">
        <f>DataLog_T717420_Aug11_4_59_37pm[[#This Row],[RPM '[1/MIN']]]-Table3[[#This Row],[580C]]</f>
        <v>0</v>
      </c>
      <c r="X1086">
        <f>DataLog_T717420_Aug11_4_59_37pm[[#This Row],[OIL TEMP '[Â°C']]]-Table3[[#This Row],[4402]]</f>
        <v>0</v>
      </c>
      <c r="Y1086">
        <f>DataLog_T717420_Aug11_4_59_37pm[[#This Row],[INTAKE TEMP '[Â°C']]]-Table3[[#This Row],[580F]]</f>
        <v>0</v>
      </c>
      <c r="Z1086">
        <f>DataLog_T717420_Aug11_4_59_37pm[[#This Row],[HPFP PRES. '[BAR']]]-Table3[[#This Row],[58F0]]</f>
        <v>0</v>
      </c>
      <c r="AA1086">
        <f>DataLog_T717420_Aug11_4_59_37pm[[#This Row],[COOLANT TEMP '[Â°C']]]-Table3[[#This Row],[5805]]</f>
        <v>0</v>
      </c>
      <c r="AB1086">
        <f>DataLog_T717420_Aug11_4_59_37pm[[#This Row],[BOOST '[BAR']]]-Table3[[#This Row],[58DD]]</f>
        <v>0</v>
      </c>
    </row>
    <row r="1087" spans="2:28" x14ac:dyDescent="0.25">
      <c r="B1087" s="2" t="s">
        <v>183</v>
      </c>
      <c r="C1087" s="2" t="s">
        <v>30</v>
      </c>
      <c r="D1087" s="2" t="s">
        <v>151</v>
      </c>
      <c r="E1087" s="2" t="s">
        <v>194</v>
      </c>
      <c r="F1087" s="2" t="s">
        <v>261</v>
      </c>
      <c r="G1087" s="2" t="s">
        <v>53</v>
      </c>
      <c r="I1087">
        <f>HEX2DEC(_0811_173439[[#This Row],[580C]])*B$4/B$5+B$6</f>
        <v>800</v>
      </c>
      <c r="J1087">
        <f>HEX2DEC(_0811_173439[[#This Row],[4402]])*C$4/C$5+C$6</f>
        <v>36</v>
      </c>
      <c r="K1087">
        <f>HEX2DEC(_0811_173439[[#This Row],[580F]])*D$4/D$5+D$6</f>
        <v>30</v>
      </c>
      <c r="L1087">
        <f>ROUND(HEX2DEC(_0811_173439[[#This Row],[58F0]])*E$4/E$5+E$6,0)</f>
        <v>70</v>
      </c>
      <c r="M1087">
        <f>ROUND(HEX2DEC(_0811_173439[[#This Row],[5805]])*F$4/F$5+F$6,0)</f>
        <v>44</v>
      </c>
      <c r="N1087">
        <f>ROUND(HEX2DEC(_0811_173439[[#This Row],[58DD]])*G$4/G$5+G$6,2)</f>
        <v>-0.03</v>
      </c>
      <c r="P1087">
        <v>800</v>
      </c>
      <c r="Q1087">
        <v>36</v>
      </c>
      <c r="R1087">
        <v>30</v>
      </c>
      <c r="S1087">
        <v>70</v>
      </c>
      <c r="T1087">
        <v>44</v>
      </c>
      <c r="U1087">
        <v>-0.03</v>
      </c>
      <c r="W1087">
        <f>DataLog_T717420_Aug11_4_59_37pm[[#This Row],[RPM '[1/MIN']]]-Table3[[#This Row],[580C]]</f>
        <v>0</v>
      </c>
      <c r="X1087">
        <f>DataLog_T717420_Aug11_4_59_37pm[[#This Row],[OIL TEMP '[Â°C']]]-Table3[[#This Row],[4402]]</f>
        <v>0</v>
      </c>
      <c r="Y1087">
        <f>DataLog_T717420_Aug11_4_59_37pm[[#This Row],[INTAKE TEMP '[Â°C']]]-Table3[[#This Row],[580F]]</f>
        <v>0</v>
      </c>
      <c r="Z1087">
        <f>DataLog_T717420_Aug11_4_59_37pm[[#This Row],[HPFP PRES. '[BAR']]]-Table3[[#This Row],[58F0]]</f>
        <v>0</v>
      </c>
      <c r="AA1087">
        <f>DataLog_T717420_Aug11_4_59_37pm[[#This Row],[COOLANT TEMP '[Â°C']]]-Table3[[#This Row],[5805]]</f>
        <v>0</v>
      </c>
      <c r="AB1087">
        <f>DataLog_T717420_Aug11_4_59_37pm[[#This Row],[BOOST '[BAR']]]-Table3[[#This Row],[58DD]]</f>
        <v>0</v>
      </c>
    </row>
    <row r="1088" spans="2:28" x14ac:dyDescent="0.25">
      <c r="B1088" s="2" t="s">
        <v>183</v>
      </c>
      <c r="C1088" s="2" t="s">
        <v>30</v>
      </c>
      <c r="D1088" s="2" t="s">
        <v>151</v>
      </c>
      <c r="E1088" s="2" t="s">
        <v>93</v>
      </c>
      <c r="F1088" s="2" t="s">
        <v>261</v>
      </c>
      <c r="G1088" s="2" t="s">
        <v>236</v>
      </c>
      <c r="I1088">
        <f>HEX2DEC(_0811_173439[[#This Row],[580C]])*B$4/B$5+B$6</f>
        <v>800</v>
      </c>
      <c r="J1088">
        <f>HEX2DEC(_0811_173439[[#This Row],[4402]])*C$4/C$5+C$6</f>
        <v>36</v>
      </c>
      <c r="K1088">
        <f>HEX2DEC(_0811_173439[[#This Row],[580F]])*D$4/D$5+D$6</f>
        <v>30</v>
      </c>
      <c r="L1088">
        <f>ROUND(HEX2DEC(_0811_173439[[#This Row],[58F0]])*E$4/E$5+E$6,0)</f>
        <v>70</v>
      </c>
      <c r="M1088">
        <f>ROUND(HEX2DEC(_0811_173439[[#This Row],[5805]])*F$4/F$5+F$6,0)</f>
        <v>44</v>
      </c>
      <c r="N1088">
        <f>ROUND(HEX2DEC(_0811_173439[[#This Row],[58DD]])*G$4/G$5+G$6,2)</f>
        <v>-0.03</v>
      </c>
      <c r="P1088">
        <v>800</v>
      </c>
      <c r="Q1088">
        <v>36</v>
      </c>
      <c r="R1088">
        <v>30</v>
      </c>
      <c r="S1088">
        <v>70</v>
      </c>
      <c r="T1088">
        <v>44</v>
      </c>
      <c r="U1088">
        <v>-0.03</v>
      </c>
      <c r="W1088">
        <f>DataLog_T717420_Aug11_4_59_37pm[[#This Row],[RPM '[1/MIN']]]-Table3[[#This Row],[580C]]</f>
        <v>0</v>
      </c>
      <c r="X1088">
        <f>DataLog_T717420_Aug11_4_59_37pm[[#This Row],[OIL TEMP '[Â°C']]]-Table3[[#This Row],[4402]]</f>
        <v>0</v>
      </c>
      <c r="Y1088">
        <f>DataLog_T717420_Aug11_4_59_37pm[[#This Row],[INTAKE TEMP '[Â°C']]]-Table3[[#This Row],[580F]]</f>
        <v>0</v>
      </c>
      <c r="Z1088">
        <f>DataLog_T717420_Aug11_4_59_37pm[[#This Row],[HPFP PRES. '[BAR']]]-Table3[[#This Row],[58F0]]</f>
        <v>0</v>
      </c>
      <c r="AA1088">
        <f>DataLog_T717420_Aug11_4_59_37pm[[#This Row],[COOLANT TEMP '[Â°C']]]-Table3[[#This Row],[5805]]</f>
        <v>0</v>
      </c>
      <c r="AB1088">
        <f>DataLog_T717420_Aug11_4_59_37pm[[#This Row],[BOOST '[BAR']]]-Table3[[#This Row],[58DD]]</f>
        <v>0</v>
      </c>
    </row>
    <row r="1089" spans="2:28" x14ac:dyDescent="0.25">
      <c r="B1089" s="2" t="s">
        <v>183</v>
      </c>
      <c r="C1089" s="2" t="s">
        <v>30</v>
      </c>
      <c r="D1089" s="2" t="s">
        <v>151</v>
      </c>
      <c r="E1089" s="2" t="s">
        <v>125</v>
      </c>
      <c r="F1089" s="2" t="s">
        <v>261</v>
      </c>
      <c r="G1089" s="2" t="s">
        <v>71</v>
      </c>
      <c r="I1089">
        <f>HEX2DEC(_0811_173439[[#This Row],[580C]])*B$4/B$5+B$6</f>
        <v>800</v>
      </c>
      <c r="J1089">
        <f>HEX2DEC(_0811_173439[[#This Row],[4402]])*C$4/C$5+C$6</f>
        <v>36</v>
      </c>
      <c r="K1089">
        <f>HEX2DEC(_0811_173439[[#This Row],[580F]])*D$4/D$5+D$6</f>
        <v>30</v>
      </c>
      <c r="L1089">
        <f>ROUND(HEX2DEC(_0811_173439[[#This Row],[58F0]])*E$4/E$5+E$6,0)</f>
        <v>70</v>
      </c>
      <c r="M1089">
        <f>ROUND(HEX2DEC(_0811_173439[[#This Row],[5805]])*F$4/F$5+F$6,0)</f>
        <v>44</v>
      </c>
      <c r="N1089">
        <f>ROUND(HEX2DEC(_0811_173439[[#This Row],[58DD]])*G$4/G$5+G$6,2)</f>
        <v>-0.03</v>
      </c>
      <c r="P1089">
        <v>800</v>
      </c>
      <c r="Q1089">
        <v>36</v>
      </c>
      <c r="R1089">
        <v>30</v>
      </c>
      <c r="S1089">
        <v>70</v>
      </c>
      <c r="T1089">
        <v>44</v>
      </c>
      <c r="U1089">
        <v>-0.03</v>
      </c>
      <c r="W1089">
        <f>DataLog_T717420_Aug11_4_59_37pm[[#This Row],[RPM '[1/MIN']]]-Table3[[#This Row],[580C]]</f>
        <v>0</v>
      </c>
      <c r="X1089">
        <f>DataLog_T717420_Aug11_4_59_37pm[[#This Row],[OIL TEMP '[Â°C']]]-Table3[[#This Row],[4402]]</f>
        <v>0</v>
      </c>
      <c r="Y1089">
        <f>DataLog_T717420_Aug11_4_59_37pm[[#This Row],[INTAKE TEMP '[Â°C']]]-Table3[[#This Row],[580F]]</f>
        <v>0</v>
      </c>
      <c r="Z1089">
        <f>DataLog_T717420_Aug11_4_59_37pm[[#This Row],[HPFP PRES. '[BAR']]]-Table3[[#This Row],[58F0]]</f>
        <v>0</v>
      </c>
      <c r="AA1089">
        <f>DataLog_T717420_Aug11_4_59_37pm[[#This Row],[COOLANT TEMP '[Â°C']]]-Table3[[#This Row],[5805]]</f>
        <v>0</v>
      </c>
      <c r="AB1089">
        <f>DataLog_T717420_Aug11_4_59_37pm[[#This Row],[BOOST '[BAR']]]-Table3[[#This Row],[58DD]]</f>
        <v>0</v>
      </c>
    </row>
    <row r="1090" spans="2:28" x14ac:dyDescent="0.25">
      <c r="B1090" s="2" t="s">
        <v>183</v>
      </c>
      <c r="C1090" s="2" t="s">
        <v>30</v>
      </c>
      <c r="D1090" s="2" t="s">
        <v>151</v>
      </c>
      <c r="E1090" s="2" t="s">
        <v>194</v>
      </c>
      <c r="F1090" s="2" t="s">
        <v>261</v>
      </c>
      <c r="G1090" s="2" t="s">
        <v>235</v>
      </c>
      <c r="I1090">
        <f>HEX2DEC(_0811_173439[[#This Row],[580C]])*B$4/B$5+B$6</f>
        <v>800</v>
      </c>
      <c r="J1090">
        <f>HEX2DEC(_0811_173439[[#This Row],[4402]])*C$4/C$5+C$6</f>
        <v>36</v>
      </c>
      <c r="K1090">
        <f>HEX2DEC(_0811_173439[[#This Row],[580F]])*D$4/D$5+D$6</f>
        <v>30</v>
      </c>
      <c r="L1090">
        <f>ROUND(HEX2DEC(_0811_173439[[#This Row],[58F0]])*E$4/E$5+E$6,0)</f>
        <v>70</v>
      </c>
      <c r="M1090">
        <f>ROUND(HEX2DEC(_0811_173439[[#This Row],[5805]])*F$4/F$5+F$6,0)</f>
        <v>44</v>
      </c>
      <c r="N1090">
        <f>ROUND(HEX2DEC(_0811_173439[[#This Row],[58DD]])*G$4/G$5+G$6,2)</f>
        <v>-0.03</v>
      </c>
      <c r="P1090">
        <v>800</v>
      </c>
      <c r="Q1090">
        <v>36</v>
      </c>
      <c r="R1090">
        <v>30</v>
      </c>
      <c r="S1090">
        <v>70</v>
      </c>
      <c r="T1090">
        <v>44</v>
      </c>
      <c r="U1090">
        <v>-0.03</v>
      </c>
      <c r="W1090">
        <f>DataLog_T717420_Aug11_4_59_37pm[[#This Row],[RPM '[1/MIN']]]-Table3[[#This Row],[580C]]</f>
        <v>0</v>
      </c>
      <c r="X1090">
        <f>DataLog_T717420_Aug11_4_59_37pm[[#This Row],[OIL TEMP '[Â°C']]]-Table3[[#This Row],[4402]]</f>
        <v>0</v>
      </c>
      <c r="Y1090">
        <f>DataLog_T717420_Aug11_4_59_37pm[[#This Row],[INTAKE TEMP '[Â°C']]]-Table3[[#This Row],[580F]]</f>
        <v>0</v>
      </c>
      <c r="Z1090">
        <f>DataLog_T717420_Aug11_4_59_37pm[[#This Row],[HPFP PRES. '[BAR']]]-Table3[[#This Row],[58F0]]</f>
        <v>0</v>
      </c>
      <c r="AA1090">
        <f>DataLog_T717420_Aug11_4_59_37pm[[#This Row],[COOLANT TEMP '[Â°C']]]-Table3[[#This Row],[5805]]</f>
        <v>0</v>
      </c>
      <c r="AB1090">
        <f>DataLog_T717420_Aug11_4_59_37pm[[#This Row],[BOOST '[BAR']]]-Table3[[#This Row],[58DD]]</f>
        <v>0</v>
      </c>
    </row>
    <row r="1091" spans="2:28" x14ac:dyDescent="0.25">
      <c r="B1091" s="2" t="s">
        <v>183</v>
      </c>
      <c r="C1091" s="2" t="s">
        <v>30</v>
      </c>
      <c r="D1091" s="2" t="s">
        <v>151</v>
      </c>
      <c r="E1091" s="2" t="s">
        <v>93</v>
      </c>
      <c r="F1091" s="2" t="s">
        <v>261</v>
      </c>
      <c r="G1091" s="2" t="s">
        <v>250</v>
      </c>
      <c r="I1091">
        <f>HEX2DEC(_0811_173439[[#This Row],[580C]])*B$4/B$5+B$6</f>
        <v>800</v>
      </c>
      <c r="J1091">
        <f>HEX2DEC(_0811_173439[[#This Row],[4402]])*C$4/C$5+C$6</f>
        <v>36</v>
      </c>
      <c r="K1091">
        <f>HEX2DEC(_0811_173439[[#This Row],[580F]])*D$4/D$5+D$6</f>
        <v>30</v>
      </c>
      <c r="L1091">
        <f>ROUND(HEX2DEC(_0811_173439[[#This Row],[58F0]])*E$4/E$5+E$6,0)</f>
        <v>70</v>
      </c>
      <c r="M1091">
        <f>ROUND(HEX2DEC(_0811_173439[[#This Row],[5805]])*F$4/F$5+F$6,0)</f>
        <v>44</v>
      </c>
      <c r="N1091">
        <f>ROUND(HEX2DEC(_0811_173439[[#This Row],[58DD]])*G$4/G$5+G$6,2)</f>
        <v>-0.03</v>
      </c>
      <c r="P1091">
        <v>800</v>
      </c>
      <c r="Q1091">
        <v>36</v>
      </c>
      <c r="R1091">
        <v>30</v>
      </c>
      <c r="S1091">
        <v>70</v>
      </c>
      <c r="T1091">
        <v>44</v>
      </c>
      <c r="U1091">
        <v>-0.03</v>
      </c>
      <c r="W1091">
        <f>DataLog_T717420_Aug11_4_59_37pm[[#This Row],[RPM '[1/MIN']]]-Table3[[#This Row],[580C]]</f>
        <v>0</v>
      </c>
      <c r="X1091">
        <f>DataLog_T717420_Aug11_4_59_37pm[[#This Row],[OIL TEMP '[Â°C']]]-Table3[[#This Row],[4402]]</f>
        <v>0</v>
      </c>
      <c r="Y1091">
        <f>DataLog_T717420_Aug11_4_59_37pm[[#This Row],[INTAKE TEMP '[Â°C']]]-Table3[[#This Row],[580F]]</f>
        <v>0</v>
      </c>
      <c r="Z1091">
        <f>DataLog_T717420_Aug11_4_59_37pm[[#This Row],[HPFP PRES. '[BAR']]]-Table3[[#This Row],[58F0]]</f>
        <v>0</v>
      </c>
      <c r="AA1091">
        <f>DataLog_T717420_Aug11_4_59_37pm[[#This Row],[COOLANT TEMP '[Â°C']]]-Table3[[#This Row],[5805]]</f>
        <v>0</v>
      </c>
      <c r="AB1091">
        <f>DataLog_T717420_Aug11_4_59_37pm[[#This Row],[BOOST '[BAR']]]-Table3[[#This Row],[58DD]]</f>
        <v>0</v>
      </c>
    </row>
    <row r="1092" spans="2:28" x14ac:dyDescent="0.25">
      <c r="B1092" s="2" t="s">
        <v>183</v>
      </c>
      <c r="C1092" s="2" t="s">
        <v>30</v>
      </c>
      <c r="D1092" s="2" t="s">
        <v>151</v>
      </c>
      <c r="E1092" s="2" t="s">
        <v>165</v>
      </c>
      <c r="F1092" s="2" t="s">
        <v>261</v>
      </c>
      <c r="G1092" s="2" t="s">
        <v>216</v>
      </c>
      <c r="I1092">
        <f>HEX2DEC(_0811_173439[[#This Row],[580C]])*B$4/B$5+B$6</f>
        <v>800</v>
      </c>
      <c r="J1092">
        <f>HEX2DEC(_0811_173439[[#This Row],[4402]])*C$4/C$5+C$6</f>
        <v>36</v>
      </c>
      <c r="K1092">
        <f>HEX2DEC(_0811_173439[[#This Row],[580F]])*D$4/D$5+D$6</f>
        <v>30</v>
      </c>
      <c r="L1092">
        <f>ROUND(HEX2DEC(_0811_173439[[#This Row],[58F0]])*E$4/E$5+E$6,0)</f>
        <v>70</v>
      </c>
      <c r="M1092">
        <f>ROUND(HEX2DEC(_0811_173439[[#This Row],[5805]])*F$4/F$5+F$6,0)</f>
        <v>44</v>
      </c>
      <c r="N1092">
        <f>ROUND(HEX2DEC(_0811_173439[[#This Row],[58DD]])*G$4/G$5+G$6,2)</f>
        <v>-0.03</v>
      </c>
      <c r="P1092">
        <v>800</v>
      </c>
      <c r="Q1092">
        <v>36</v>
      </c>
      <c r="R1092">
        <v>30</v>
      </c>
      <c r="S1092">
        <v>70</v>
      </c>
      <c r="T1092">
        <v>44</v>
      </c>
      <c r="U1092">
        <v>-0.03</v>
      </c>
      <c r="W1092">
        <f>DataLog_T717420_Aug11_4_59_37pm[[#This Row],[RPM '[1/MIN']]]-Table3[[#This Row],[580C]]</f>
        <v>0</v>
      </c>
      <c r="X1092">
        <f>DataLog_T717420_Aug11_4_59_37pm[[#This Row],[OIL TEMP '[Â°C']]]-Table3[[#This Row],[4402]]</f>
        <v>0</v>
      </c>
      <c r="Y1092">
        <f>DataLog_T717420_Aug11_4_59_37pm[[#This Row],[INTAKE TEMP '[Â°C']]]-Table3[[#This Row],[580F]]</f>
        <v>0</v>
      </c>
      <c r="Z1092">
        <f>DataLog_T717420_Aug11_4_59_37pm[[#This Row],[HPFP PRES. '[BAR']]]-Table3[[#This Row],[58F0]]</f>
        <v>0</v>
      </c>
      <c r="AA1092">
        <f>DataLog_T717420_Aug11_4_59_37pm[[#This Row],[COOLANT TEMP '[Â°C']]]-Table3[[#This Row],[5805]]</f>
        <v>0</v>
      </c>
      <c r="AB1092">
        <f>DataLog_T717420_Aug11_4_59_37pm[[#This Row],[BOOST '[BAR']]]-Table3[[#This Row],[58DD]]</f>
        <v>0</v>
      </c>
    </row>
    <row r="1093" spans="2:28" x14ac:dyDescent="0.25">
      <c r="B1093" s="2" t="s">
        <v>183</v>
      </c>
      <c r="C1093" s="2" t="s">
        <v>30</v>
      </c>
      <c r="D1093" s="2" t="s">
        <v>151</v>
      </c>
      <c r="E1093" s="2" t="s">
        <v>194</v>
      </c>
      <c r="F1093" s="2" t="s">
        <v>261</v>
      </c>
      <c r="G1093" s="2" t="s">
        <v>71</v>
      </c>
      <c r="I1093">
        <f>HEX2DEC(_0811_173439[[#This Row],[580C]])*B$4/B$5+B$6</f>
        <v>800</v>
      </c>
      <c r="J1093">
        <f>HEX2DEC(_0811_173439[[#This Row],[4402]])*C$4/C$5+C$6</f>
        <v>36</v>
      </c>
      <c r="K1093">
        <f>HEX2DEC(_0811_173439[[#This Row],[580F]])*D$4/D$5+D$6</f>
        <v>30</v>
      </c>
      <c r="L1093">
        <f>ROUND(HEX2DEC(_0811_173439[[#This Row],[58F0]])*E$4/E$5+E$6,0)</f>
        <v>70</v>
      </c>
      <c r="M1093">
        <f>ROUND(HEX2DEC(_0811_173439[[#This Row],[5805]])*F$4/F$5+F$6,0)</f>
        <v>44</v>
      </c>
      <c r="N1093">
        <f>ROUND(HEX2DEC(_0811_173439[[#This Row],[58DD]])*G$4/G$5+G$6,2)</f>
        <v>-0.03</v>
      </c>
      <c r="P1093">
        <v>800</v>
      </c>
      <c r="Q1093">
        <v>36</v>
      </c>
      <c r="R1093">
        <v>30</v>
      </c>
      <c r="S1093">
        <v>70</v>
      </c>
      <c r="T1093">
        <v>44</v>
      </c>
      <c r="U1093">
        <v>-0.03</v>
      </c>
      <c r="W1093">
        <f>DataLog_T717420_Aug11_4_59_37pm[[#This Row],[RPM '[1/MIN']]]-Table3[[#This Row],[580C]]</f>
        <v>0</v>
      </c>
      <c r="X1093">
        <f>DataLog_T717420_Aug11_4_59_37pm[[#This Row],[OIL TEMP '[Â°C']]]-Table3[[#This Row],[4402]]</f>
        <v>0</v>
      </c>
      <c r="Y1093">
        <f>DataLog_T717420_Aug11_4_59_37pm[[#This Row],[INTAKE TEMP '[Â°C']]]-Table3[[#This Row],[580F]]</f>
        <v>0</v>
      </c>
      <c r="Z1093">
        <f>DataLog_T717420_Aug11_4_59_37pm[[#This Row],[HPFP PRES. '[BAR']]]-Table3[[#This Row],[58F0]]</f>
        <v>0</v>
      </c>
      <c r="AA1093">
        <f>DataLog_T717420_Aug11_4_59_37pm[[#This Row],[COOLANT TEMP '[Â°C']]]-Table3[[#This Row],[5805]]</f>
        <v>0</v>
      </c>
      <c r="AB1093">
        <f>DataLog_T717420_Aug11_4_59_37pm[[#This Row],[BOOST '[BAR']]]-Table3[[#This Row],[58DD]]</f>
        <v>0</v>
      </c>
    </row>
    <row r="1094" spans="2:28" x14ac:dyDescent="0.25">
      <c r="B1094" s="2" t="s">
        <v>183</v>
      </c>
      <c r="C1094" s="2" t="s">
        <v>30</v>
      </c>
      <c r="D1094" s="2" t="s">
        <v>151</v>
      </c>
      <c r="E1094" s="2" t="s">
        <v>119</v>
      </c>
      <c r="F1094" s="2" t="s">
        <v>261</v>
      </c>
      <c r="G1094" s="2" t="s">
        <v>236</v>
      </c>
      <c r="I1094">
        <f>HEX2DEC(_0811_173439[[#This Row],[580C]])*B$4/B$5+B$6</f>
        <v>800</v>
      </c>
      <c r="J1094">
        <f>HEX2DEC(_0811_173439[[#This Row],[4402]])*C$4/C$5+C$6</f>
        <v>36</v>
      </c>
      <c r="K1094">
        <f>HEX2DEC(_0811_173439[[#This Row],[580F]])*D$4/D$5+D$6</f>
        <v>30</v>
      </c>
      <c r="L1094">
        <f>ROUND(HEX2DEC(_0811_173439[[#This Row],[58F0]])*E$4/E$5+E$6,0)</f>
        <v>71</v>
      </c>
      <c r="M1094">
        <f>ROUND(HEX2DEC(_0811_173439[[#This Row],[5805]])*F$4/F$5+F$6,0)</f>
        <v>44</v>
      </c>
      <c r="N1094">
        <f>ROUND(HEX2DEC(_0811_173439[[#This Row],[58DD]])*G$4/G$5+G$6,2)</f>
        <v>-0.03</v>
      </c>
      <c r="P1094">
        <v>800</v>
      </c>
      <c r="Q1094">
        <v>36</v>
      </c>
      <c r="R1094">
        <v>30</v>
      </c>
      <c r="S1094">
        <v>71</v>
      </c>
      <c r="T1094">
        <v>44</v>
      </c>
      <c r="U1094">
        <v>-0.03</v>
      </c>
      <c r="W1094">
        <f>DataLog_T717420_Aug11_4_59_37pm[[#This Row],[RPM '[1/MIN']]]-Table3[[#This Row],[580C]]</f>
        <v>0</v>
      </c>
      <c r="X1094">
        <f>DataLog_T717420_Aug11_4_59_37pm[[#This Row],[OIL TEMP '[Â°C']]]-Table3[[#This Row],[4402]]</f>
        <v>0</v>
      </c>
      <c r="Y1094">
        <f>DataLog_T717420_Aug11_4_59_37pm[[#This Row],[INTAKE TEMP '[Â°C']]]-Table3[[#This Row],[580F]]</f>
        <v>0</v>
      </c>
      <c r="Z1094">
        <f>DataLog_T717420_Aug11_4_59_37pm[[#This Row],[HPFP PRES. '[BAR']]]-Table3[[#This Row],[58F0]]</f>
        <v>0</v>
      </c>
      <c r="AA1094">
        <f>DataLog_T717420_Aug11_4_59_37pm[[#This Row],[COOLANT TEMP '[Â°C']]]-Table3[[#This Row],[5805]]</f>
        <v>0</v>
      </c>
      <c r="AB1094">
        <f>DataLog_T717420_Aug11_4_59_37pm[[#This Row],[BOOST '[BAR']]]-Table3[[#This Row],[58DD]]</f>
        <v>0</v>
      </c>
    </row>
    <row r="1095" spans="2:28" x14ac:dyDescent="0.25">
      <c r="B1095" s="2" t="s">
        <v>183</v>
      </c>
      <c r="C1095" s="2" t="s">
        <v>30</v>
      </c>
      <c r="D1095" s="2" t="s">
        <v>151</v>
      </c>
      <c r="E1095" s="2" t="s">
        <v>206</v>
      </c>
      <c r="F1095" s="2" t="s">
        <v>261</v>
      </c>
      <c r="G1095" s="2" t="s">
        <v>71</v>
      </c>
      <c r="I1095">
        <f>HEX2DEC(_0811_173439[[#This Row],[580C]])*B$4/B$5+B$6</f>
        <v>800</v>
      </c>
      <c r="J1095">
        <f>HEX2DEC(_0811_173439[[#This Row],[4402]])*C$4/C$5+C$6</f>
        <v>36</v>
      </c>
      <c r="K1095">
        <f>HEX2DEC(_0811_173439[[#This Row],[580F]])*D$4/D$5+D$6</f>
        <v>30</v>
      </c>
      <c r="L1095">
        <f>ROUND(HEX2DEC(_0811_173439[[#This Row],[58F0]])*E$4/E$5+E$6,0)</f>
        <v>71</v>
      </c>
      <c r="M1095">
        <f>ROUND(HEX2DEC(_0811_173439[[#This Row],[5805]])*F$4/F$5+F$6,0)</f>
        <v>44</v>
      </c>
      <c r="N1095">
        <f>ROUND(HEX2DEC(_0811_173439[[#This Row],[58DD]])*G$4/G$5+G$6,2)</f>
        <v>-0.03</v>
      </c>
      <c r="P1095">
        <v>800</v>
      </c>
      <c r="Q1095">
        <v>36</v>
      </c>
      <c r="R1095">
        <v>30</v>
      </c>
      <c r="S1095">
        <v>71</v>
      </c>
      <c r="T1095">
        <v>44</v>
      </c>
      <c r="U1095">
        <v>-0.03</v>
      </c>
      <c r="W1095">
        <f>DataLog_T717420_Aug11_4_59_37pm[[#This Row],[RPM '[1/MIN']]]-Table3[[#This Row],[580C]]</f>
        <v>0</v>
      </c>
      <c r="X1095">
        <f>DataLog_T717420_Aug11_4_59_37pm[[#This Row],[OIL TEMP '[Â°C']]]-Table3[[#This Row],[4402]]</f>
        <v>0</v>
      </c>
      <c r="Y1095">
        <f>DataLog_T717420_Aug11_4_59_37pm[[#This Row],[INTAKE TEMP '[Â°C']]]-Table3[[#This Row],[580F]]</f>
        <v>0</v>
      </c>
      <c r="Z1095">
        <f>DataLog_T717420_Aug11_4_59_37pm[[#This Row],[HPFP PRES. '[BAR']]]-Table3[[#This Row],[58F0]]</f>
        <v>0</v>
      </c>
      <c r="AA1095">
        <f>DataLog_T717420_Aug11_4_59_37pm[[#This Row],[COOLANT TEMP '[Â°C']]]-Table3[[#This Row],[5805]]</f>
        <v>0</v>
      </c>
      <c r="AB1095">
        <f>DataLog_T717420_Aug11_4_59_37pm[[#This Row],[BOOST '[BAR']]]-Table3[[#This Row],[58DD]]</f>
        <v>0</v>
      </c>
    </row>
    <row r="1096" spans="2:28" x14ac:dyDescent="0.25">
      <c r="B1096" s="2" t="s">
        <v>183</v>
      </c>
      <c r="C1096" s="2" t="s">
        <v>30</v>
      </c>
      <c r="D1096" s="2" t="s">
        <v>151</v>
      </c>
      <c r="E1096" s="2" t="s">
        <v>127</v>
      </c>
      <c r="F1096" s="2" t="s">
        <v>261</v>
      </c>
      <c r="G1096" s="2" t="s">
        <v>235</v>
      </c>
      <c r="I1096">
        <f>HEX2DEC(_0811_173439[[#This Row],[580C]])*B$4/B$5+B$6</f>
        <v>800</v>
      </c>
      <c r="J1096">
        <f>HEX2DEC(_0811_173439[[#This Row],[4402]])*C$4/C$5+C$6</f>
        <v>36</v>
      </c>
      <c r="K1096">
        <f>HEX2DEC(_0811_173439[[#This Row],[580F]])*D$4/D$5+D$6</f>
        <v>30</v>
      </c>
      <c r="L1096">
        <f>ROUND(HEX2DEC(_0811_173439[[#This Row],[58F0]])*E$4/E$5+E$6,0)</f>
        <v>70</v>
      </c>
      <c r="M1096">
        <f>ROUND(HEX2DEC(_0811_173439[[#This Row],[5805]])*F$4/F$5+F$6,0)</f>
        <v>44</v>
      </c>
      <c r="N1096">
        <f>ROUND(HEX2DEC(_0811_173439[[#This Row],[58DD]])*G$4/G$5+G$6,2)</f>
        <v>-0.03</v>
      </c>
      <c r="P1096">
        <v>800</v>
      </c>
      <c r="Q1096">
        <v>36</v>
      </c>
      <c r="R1096">
        <v>30</v>
      </c>
      <c r="S1096">
        <v>70</v>
      </c>
      <c r="T1096">
        <v>44</v>
      </c>
      <c r="U1096">
        <v>-0.03</v>
      </c>
      <c r="W1096">
        <f>DataLog_T717420_Aug11_4_59_37pm[[#This Row],[RPM '[1/MIN']]]-Table3[[#This Row],[580C]]</f>
        <v>0</v>
      </c>
      <c r="X1096">
        <f>DataLog_T717420_Aug11_4_59_37pm[[#This Row],[OIL TEMP '[Â°C']]]-Table3[[#This Row],[4402]]</f>
        <v>0</v>
      </c>
      <c r="Y1096">
        <f>DataLog_T717420_Aug11_4_59_37pm[[#This Row],[INTAKE TEMP '[Â°C']]]-Table3[[#This Row],[580F]]</f>
        <v>0</v>
      </c>
      <c r="Z1096">
        <f>DataLog_T717420_Aug11_4_59_37pm[[#This Row],[HPFP PRES. '[BAR']]]-Table3[[#This Row],[58F0]]</f>
        <v>0</v>
      </c>
      <c r="AA1096">
        <f>DataLog_T717420_Aug11_4_59_37pm[[#This Row],[COOLANT TEMP '[Â°C']]]-Table3[[#This Row],[5805]]</f>
        <v>0</v>
      </c>
      <c r="AB1096">
        <f>DataLog_T717420_Aug11_4_59_37pm[[#This Row],[BOOST '[BAR']]]-Table3[[#This Row],[58DD]]</f>
        <v>0</v>
      </c>
    </row>
    <row r="1097" spans="2:28" x14ac:dyDescent="0.25">
      <c r="B1097" s="2" t="s">
        <v>183</v>
      </c>
      <c r="C1097" s="2" t="s">
        <v>30</v>
      </c>
      <c r="D1097" s="2" t="s">
        <v>151</v>
      </c>
      <c r="E1097" s="2" t="s">
        <v>122</v>
      </c>
      <c r="F1097" s="2" t="s">
        <v>261</v>
      </c>
      <c r="G1097" s="2" t="s">
        <v>90</v>
      </c>
      <c r="I1097">
        <f>HEX2DEC(_0811_173439[[#This Row],[580C]])*B$4/B$5+B$6</f>
        <v>800</v>
      </c>
      <c r="J1097">
        <f>HEX2DEC(_0811_173439[[#This Row],[4402]])*C$4/C$5+C$6</f>
        <v>36</v>
      </c>
      <c r="K1097">
        <f>HEX2DEC(_0811_173439[[#This Row],[580F]])*D$4/D$5+D$6</f>
        <v>30</v>
      </c>
      <c r="L1097">
        <f>ROUND(HEX2DEC(_0811_173439[[#This Row],[58F0]])*E$4/E$5+E$6,0)</f>
        <v>71</v>
      </c>
      <c r="M1097">
        <f>ROUND(HEX2DEC(_0811_173439[[#This Row],[5805]])*F$4/F$5+F$6,0)</f>
        <v>44</v>
      </c>
      <c r="N1097">
        <f>ROUND(HEX2DEC(_0811_173439[[#This Row],[58DD]])*G$4/G$5+G$6,2)</f>
        <v>-0.03</v>
      </c>
      <c r="P1097">
        <v>800</v>
      </c>
      <c r="Q1097">
        <v>36</v>
      </c>
      <c r="R1097">
        <v>30</v>
      </c>
      <c r="S1097">
        <v>71</v>
      </c>
      <c r="T1097">
        <v>44</v>
      </c>
      <c r="U1097">
        <v>-0.03</v>
      </c>
      <c r="W1097">
        <f>DataLog_T717420_Aug11_4_59_37pm[[#This Row],[RPM '[1/MIN']]]-Table3[[#This Row],[580C]]</f>
        <v>0</v>
      </c>
      <c r="X1097">
        <f>DataLog_T717420_Aug11_4_59_37pm[[#This Row],[OIL TEMP '[Â°C']]]-Table3[[#This Row],[4402]]</f>
        <v>0</v>
      </c>
      <c r="Y1097">
        <f>DataLog_T717420_Aug11_4_59_37pm[[#This Row],[INTAKE TEMP '[Â°C']]]-Table3[[#This Row],[580F]]</f>
        <v>0</v>
      </c>
      <c r="Z1097">
        <f>DataLog_T717420_Aug11_4_59_37pm[[#This Row],[HPFP PRES. '[BAR']]]-Table3[[#This Row],[58F0]]</f>
        <v>0</v>
      </c>
      <c r="AA1097">
        <f>DataLog_T717420_Aug11_4_59_37pm[[#This Row],[COOLANT TEMP '[Â°C']]]-Table3[[#This Row],[5805]]</f>
        <v>0</v>
      </c>
      <c r="AB1097">
        <f>DataLog_T717420_Aug11_4_59_37pm[[#This Row],[BOOST '[BAR']]]-Table3[[#This Row],[58DD]]</f>
        <v>0</v>
      </c>
    </row>
    <row r="1098" spans="2:28" x14ac:dyDescent="0.25">
      <c r="B1098" s="2" t="s">
        <v>189</v>
      </c>
      <c r="C1098" s="2" t="s">
        <v>30</v>
      </c>
      <c r="D1098" s="2" t="s">
        <v>151</v>
      </c>
      <c r="E1098" s="2" t="s">
        <v>118</v>
      </c>
      <c r="F1098" s="2" t="s">
        <v>261</v>
      </c>
      <c r="G1098" s="2" t="s">
        <v>236</v>
      </c>
      <c r="I1098">
        <f>HEX2DEC(_0811_173439[[#This Row],[580C]])*B$4/B$5+B$6</f>
        <v>760</v>
      </c>
      <c r="J1098">
        <f>HEX2DEC(_0811_173439[[#This Row],[4402]])*C$4/C$5+C$6</f>
        <v>36</v>
      </c>
      <c r="K1098">
        <f>HEX2DEC(_0811_173439[[#This Row],[580F]])*D$4/D$5+D$6</f>
        <v>30</v>
      </c>
      <c r="L1098">
        <f>ROUND(HEX2DEC(_0811_173439[[#This Row],[58F0]])*E$4/E$5+E$6,0)</f>
        <v>70</v>
      </c>
      <c r="M1098">
        <f>ROUND(HEX2DEC(_0811_173439[[#This Row],[5805]])*F$4/F$5+F$6,0)</f>
        <v>44</v>
      </c>
      <c r="N1098">
        <f>ROUND(HEX2DEC(_0811_173439[[#This Row],[58DD]])*G$4/G$5+G$6,2)</f>
        <v>-0.03</v>
      </c>
      <c r="P1098">
        <v>760</v>
      </c>
      <c r="Q1098">
        <v>36</v>
      </c>
      <c r="R1098">
        <v>30</v>
      </c>
      <c r="S1098">
        <v>70</v>
      </c>
      <c r="T1098">
        <v>44</v>
      </c>
      <c r="U1098">
        <v>-0.03</v>
      </c>
      <c r="W1098">
        <f>DataLog_T717420_Aug11_4_59_37pm[[#This Row],[RPM '[1/MIN']]]-Table3[[#This Row],[580C]]</f>
        <v>0</v>
      </c>
      <c r="X1098">
        <f>DataLog_T717420_Aug11_4_59_37pm[[#This Row],[OIL TEMP '[Â°C']]]-Table3[[#This Row],[4402]]</f>
        <v>0</v>
      </c>
      <c r="Y1098">
        <f>DataLog_T717420_Aug11_4_59_37pm[[#This Row],[INTAKE TEMP '[Â°C']]]-Table3[[#This Row],[580F]]</f>
        <v>0</v>
      </c>
      <c r="Z1098">
        <f>DataLog_T717420_Aug11_4_59_37pm[[#This Row],[HPFP PRES. '[BAR']]]-Table3[[#This Row],[58F0]]</f>
        <v>0</v>
      </c>
      <c r="AA1098">
        <f>DataLog_T717420_Aug11_4_59_37pm[[#This Row],[COOLANT TEMP '[Â°C']]]-Table3[[#This Row],[5805]]</f>
        <v>0</v>
      </c>
      <c r="AB1098">
        <f>DataLog_T717420_Aug11_4_59_37pm[[#This Row],[BOOST '[BAR']]]-Table3[[#This Row],[58DD]]</f>
        <v>0</v>
      </c>
    </row>
    <row r="1099" spans="2:28" x14ac:dyDescent="0.25">
      <c r="B1099" s="2" t="s">
        <v>189</v>
      </c>
      <c r="C1099" s="2" t="s">
        <v>30</v>
      </c>
      <c r="D1099" s="2" t="s">
        <v>151</v>
      </c>
      <c r="E1099" s="2" t="s">
        <v>156</v>
      </c>
      <c r="F1099" s="2" t="s">
        <v>261</v>
      </c>
      <c r="G1099" s="2" t="s">
        <v>71</v>
      </c>
      <c r="I1099">
        <f>HEX2DEC(_0811_173439[[#This Row],[580C]])*B$4/B$5+B$6</f>
        <v>760</v>
      </c>
      <c r="J1099">
        <f>HEX2DEC(_0811_173439[[#This Row],[4402]])*C$4/C$5+C$6</f>
        <v>36</v>
      </c>
      <c r="K1099">
        <f>HEX2DEC(_0811_173439[[#This Row],[580F]])*D$4/D$5+D$6</f>
        <v>30</v>
      </c>
      <c r="L1099">
        <f>ROUND(HEX2DEC(_0811_173439[[#This Row],[58F0]])*E$4/E$5+E$6,0)</f>
        <v>70</v>
      </c>
      <c r="M1099">
        <f>ROUND(HEX2DEC(_0811_173439[[#This Row],[5805]])*F$4/F$5+F$6,0)</f>
        <v>44</v>
      </c>
      <c r="N1099">
        <f>ROUND(HEX2DEC(_0811_173439[[#This Row],[58DD]])*G$4/G$5+G$6,2)</f>
        <v>-0.03</v>
      </c>
      <c r="P1099">
        <v>760</v>
      </c>
      <c r="Q1099">
        <v>36</v>
      </c>
      <c r="R1099">
        <v>30</v>
      </c>
      <c r="S1099">
        <v>70</v>
      </c>
      <c r="T1099">
        <v>44</v>
      </c>
      <c r="U1099">
        <v>-0.03</v>
      </c>
      <c r="W1099">
        <f>DataLog_T717420_Aug11_4_59_37pm[[#This Row],[RPM '[1/MIN']]]-Table3[[#This Row],[580C]]</f>
        <v>0</v>
      </c>
      <c r="X1099">
        <f>DataLog_T717420_Aug11_4_59_37pm[[#This Row],[OIL TEMP '[Â°C']]]-Table3[[#This Row],[4402]]</f>
        <v>0</v>
      </c>
      <c r="Y1099">
        <f>DataLog_T717420_Aug11_4_59_37pm[[#This Row],[INTAKE TEMP '[Â°C']]]-Table3[[#This Row],[580F]]</f>
        <v>0</v>
      </c>
      <c r="Z1099">
        <f>DataLog_T717420_Aug11_4_59_37pm[[#This Row],[HPFP PRES. '[BAR']]]-Table3[[#This Row],[58F0]]</f>
        <v>0</v>
      </c>
      <c r="AA1099">
        <f>DataLog_T717420_Aug11_4_59_37pm[[#This Row],[COOLANT TEMP '[Â°C']]]-Table3[[#This Row],[5805]]</f>
        <v>0</v>
      </c>
      <c r="AB1099">
        <f>DataLog_T717420_Aug11_4_59_37pm[[#This Row],[BOOST '[BAR']]]-Table3[[#This Row],[58DD]]</f>
        <v>0</v>
      </c>
    </row>
    <row r="1100" spans="2:28" x14ac:dyDescent="0.25">
      <c r="B1100" s="2" t="s">
        <v>189</v>
      </c>
      <c r="C1100" s="2" t="s">
        <v>30</v>
      </c>
      <c r="D1100" s="2" t="s">
        <v>151</v>
      </c>
      <c r="E1100" s="2" t="s">
        <v>150</v>
      </c>
      <c r="F1100" s="2" t="s">
        <v>261</v>
      </c>
      <c r="G1100" s="2" t="s">
        <v>236</v>
      </c>
      <c r="I1100">
        <f>HEX2DEC(_0811_173439[[#This Row],[580C]])*B$4/B$5+B$6</f>
        <v>760</v>
      </c>
      <c r="J1100">
        <f>HEX2DEC(_0811_173439[[#This Row],[4402]])*C$4/C$5+C$6</f>
        <v>36</v>
      </c>
      <c r="K1100">
        <f>HEX2DEC(_0811_173439[[#This Row],[580F]])*D$4/D$5+D$6</f>
        <v>30</v>
      </c>
      <c r="L1100">
        <f>ROUND(HEX2DEC(_0811_173439[[#This Row],[58F0]])*E$4/E$5+E$6,0)</f>
        <v>70</v>
      </c>
      <c r="M1100">
        <f>ROUND(HEX2DEC(_0811_173439[[#This Row],[5805]])*F$4/F$5+F$6,0)</f>
        <v>44</v>
      </c>
      <c r="N1100">
        <f>ROUND(HEX2DEC(_0811_173439[[#This Row],[58DD]])*G$4/G$5+G$6,2)</f>
        <v>-0.03</v>
      </c>
      <c r="P1100">
        <v>760</v>
      </c>
      <c r="Q1100">
        <v>36</v>
      </c>
      <c r="R1100">
        <v>30</v>
      </c>
      <c r="S1100">
        <v>70</v>
      </c>
      <c r="T1100">
        <v>44</v>
      </c>
      <c r="U1100">
        <v>-0.03</v>
      </c>
      <c r="W1100">
        <f>DataLog_T717420_Aug11_4_59_37pm[[#This Row],[RPM '[1/MIN']]]-Table3[[#This Row],[580C]]</f>
        <v>0</v>
      </c>
      <c r="X1100">
        <f>DataLog_T717420_Aug11_4_59_37pm[[#This Row],[OIL TEMP '[Â°C']]]-Table3[[#This Row],[4402]]</f>
        <v>0</v>
      </c>
      <c r="Y1100">
        <f>DataLog_T717420_Aug11_4_59_37pm[[#This Row],[INTAKE TEMP '[Â°C']]]-Table3[[#This Row],[580F]]</f>
        <v>0</v>
      </c>
      <c r="Z1100">
        <f>DataLog_T717420_Aug11_4_59_37pm[[#This Row],[HPFP PRES. '[BAR']]]-Table3[[#This Row],[58F0]]</f>
        <v>0</v>
      </c>
      <c r="AA1100">
        <f>DataLog_T717420_Aug11_4_59_37pm[[#This Row],[COOLANT TEMP '[Â°C']]]-Table3[[#This Row],[5805]]</f>
        <v>0</v>
      </c>
      <c r="AB1100">
        <f>DataLog_T717420_Aug11_4_59_37pm[[#This Row],[BOOST '[BAR']]]-Table3[[#This Row],[58DD]]</f>
        <v>0</v>
      </c>
    </row>
    <row r="1101" spans="2:28" x14ac:dyDescent="0.25">
      <c r="B1101" s="2" t="s">
        <v>189</v>
      </c>
      <c r="C1101" s="2" t="s">
        <v>30</v>
      </c>
      <c r="D1101" s="2" t="s">
        <v>151</v>
      </c>
      <c r="E1101" s="2" t="s">
        <v>159</v>
      </c>
      <c r="F1101" s="2" t="s">
        <v>261</v>
      </c>
      <c r="G1101" s="2" t="s">
        <v>71</v>
      </c>
      <c r="I1101">
        <f>HEX2DEC(_0811_173439[[#This Row],[580C]])*B$4/B$5+B$6</f>
        <v>760</v>
      </c>
      <c r="J1101">
        <f>HEX2DEC(_0811_173439[[#This Row],[4402]])*C$4/C$5+C$6</f>
        <v>36</v>
      </c>
      <c r="K1101">
        <f>HEX2DEC(_0811_173439[[#This Row],[580F]])*D$4/D$5+D$6</f>
        <v>30</v>
      </c>
      <c r="L1101">
        <f>ROUND(HEX2DEC(_0811_173439[[#This Row],[58F0]])*E$4/E$5+E$6,0)</f>
        <v>70</v>
      </c>
      <c r="M1101">
        <f>ROUND(HEX2DEC(_0811_173439[[#This Row],[5805]])*F$4/F$5+F$6,0)</f>
        <v>44</v>
      </c>
      <c r="N1101">
        <f>ROUND(HEX2DEC(_0811_173439[[#This Row],[58DD]])*G$4/G$5+G$6,2)</f>
        <v>-0.03</v>
      </c>
      <c r="P1101">
        <v>760</v>
      </c>
      <c r="Q1101">
        <v>36</v>
      </c>
      <c r="R1101">
        <v>30</v>
      </c>
      <c r="S1101">
        <v>70</v>
      </c>
      <c r="T1101">
        <v>44</v>
      </c>
      <c r="U1101">
        <v>-0.03</v>
      </c>
      <c r="W1101">
        <f>DataLog_T717420_Aug11_4_59_37pm[[#This Row],[RPM '[1/MIN']]]-Table3[[#This Row],[580C]]</f>
        <v>0</v>
      </c>
      <c r="X1101">
        <f>DataLog_T717420_Aug11_4_59_37pm[[#This Row],[OIL TEMP '[Â°C']]]-Table3[[#This Row],[4402]]</f>
        <v>0</v>
      </c>
      <c r="Y1101">
        <f>DataLog_T717420_Aug11_4_59_37pm[[#This Row],[INTAKE TEMP '[Â°C']]]-Table3[[#This Row],[580F]]</f>
        <v>0</v>
      </c>
      <c r="Z1101">
        <f>DataLog_T717420_Aug11_4_59_37pm[[#This Row],[HPFP PRES. '[BAR']]]-Table3[[#This Row],[58F0]]</f>
        <v>0</v>
      </c>
      <c r="AA1101">
        <f>DataLog_T717420_Aug11_4_59_37pm[[#This Row],[COOLANT TEMP '[Â°C']]]-Table3[[#This Row],[5805]]</f>
        <v>0</v>
      </c>
      <c r="AB1101">
        <f>DataLog_T717420_Aug11_4_59_37pm[[#This Row],[BOOST '[BAR']]]-Table3[[#This Row],[58DD]]</f>
        <v>0</v>
      </c>
    </row>
    <row r="1102" spans="2:28" x14ac:dyDescent="0.25">
      <c r="B1102" s="2" t="s">
        <v>183</v>
      </c>
      <c r="C1102" s="2" t="s">
        <v>30</v>
      </c>
      <c r="D1102" s="2" t="s">
        <v>151</v>
      </c>
      <c r="E1102" s="2" t="s">
        <v>127</v>
      </c>
      <c r="F1102" s="2" t="s">
        <v>261</v>
      </c>
      <c r="G1102" s="2" t="s">
        <v>71</v>
      </c>
      <c r="I1102">
        <f>HEX2DEC(_0811_173439[[#This Row],[580C]])*B$4/B$5+B$6</f>
        <v>800</v>
      </c>
      <c r="J1102">
        <f>HEX2DEC(_0811_173439[[#This Row],[4402]])*C$4/C$5+C$6</f>
        <v>36</v>
      </c>
      <c r="K1102">
        <f>HEX2DEC(_0811_173439[[#This Row],[580F]])*D$4/D$5+D$6</f>
        <v>30</v>
      </c>
      <c r="L1102">
        <f>ROUND(HEX2DEC(_0811_173439[[#This Row],[58F0]])*E$4/E$5+E$6,0)</f>
        <v>70</v>
      </c>
      <c r="M1102">
        <f>ROUND(HEX2DEC(_0811_173439[[#This Row],[5805]])*F$4/F$5+F$6,0)</f>
        <v>44</v>
      </c>
      <c r="N1102">
        <f>ROUND(HEX2DEC(_0811_173439[[#This Row],[58DD]])*G$4/G$5+G$6,2)</f>
        <v>-0.03</v>
      </c>
      <c r="P1102">
        <v>800</v>
      </c>
      <c r="Q1102">
        <v>36</v>
      </c>
      <c r="R1102">
        <v>30</v>
      </c>
      <c r="S1102">
        <v>70</v>
      </c>
      <c r="T1102">
        <v>44</v>
      </c>
      <c r="U1102">
        <v>-0.03</v>
      </c>
      <c r="W1102">
        <f>DataLog_T717420_Aug11_4_59_37pm[[#This Row],[RPM '[1/MIN']]]-Table3[[#This Row],[580C]]</f>
        <v>0</v>
      </c>
      <c r="X1102">
        <f>DataLog_T717420_Aug11_4_59_37pm[[#This Row],[OIL TEMP '[Â°C']]]-Table3[[#This Row],[4402]]</f>
        <v>0</v>
      </c>
      <c r="Y1102">
        <f>DataLog_T717420_Aug11_4_59_37pm[[#This Row],[INTAKE TEMP '[Â°C']]]-Table3[[#This Row],[580F]]</f>
        <v>0</v>
      </c>
      <c r="Z1102">
        <f>DataLog_T717420_Aug11_4_59_37pm[[#This Row],[HPFP PRES. '[BAR']]]-Table3[[#This Row],[58F0]]</f>
        <v>0</v>
      </c>
      <c r="AA1102">
        <f>DataLog_T717420_Aug11_4_59_37pm[[#This Row],[COOLANT TEMP '[Â°C']]]-Table3[[#This Row],[5805]]</f>
        <v>0</v>
      </c>
      <c r="AB1102">
        <f>DataLog_T717420_Aug11_4_59_37pm[[#This Row],[BOOST '[BAR']]]-Table3[[#This Row],[58DD]]</f>
        <v>0</v>
      </c>
    </row>
    <row r="1103" spans="2:28" x14ac:dyDescent="0.25">
      <c r="B1103" s="2" t="s">
        <v>183</v>
      </c>
      <c r="C1103" s="2" t="s">
        <v>30</v>
      </c>
      <c r="D1103" s="2" t="s">
        <v>151</v>
      </c>
      <c r="E1103" s="2" t="s">
        <v>195</v>
      </c>
      <c r="F1103" s="2" t="s">
        <v>261</v>
      </c>
      <c r="G1103" s="2" t="s">
        <v>255</v>
      </c>
      <c r="I1103">
        <f>HEX2DEC(_0811_173439[[#This Row],[580C]])*B$4/B$5+B$6</f>
        <v>800</v>
      </c>
      <c r="J1103">
        <f>HEX2DEC(_0811_173439[[#This Row],[4402]])*C$4/C$5+C$6</f>
        <v>36</v>
      </c>
      <c r="K1103">
        <f>HEX2DEC(_0811_173439[[#This Row],[580F]])*D$4/D$5+D$6</f>
        <v>30</v>
      </c>
      <c r="L1103">
        <f>ROUND(HEX2DEC(_0811_173439[[#This Row],[58F0]])*E$4/E$5+E$6,0)</f>
        <v>70</v>
      </c>
      <c r="M1103">
        <f>ROUND(HEX2DEC(_0811_173439[[#This Row],[5805]])*F$4/F$5+F$6,0)</f>
        <v>44</v>
      </c>
      <c r="N1103">
        <f>ROUND(HEX2DEC(_0811_173439[[#This Row],[58DD]])*G$4/G$5+G$6,2)</f>
        <v>-0.03</v>
      </c>
      <c r="P1103">
        <v>800</v>
      </c>
      <c r="Q1103">
        <v>36</v>
      </c>
      <c r="R1103">
        <v>30</v>
      </c>
      <c r="S1103">
        <v>70</v>
      </c>
      <c r="T1103">
        <v>44</v>
      </c>
      <c r="U1103">
        <v>-0.03</v>
      </c>
      <c r="W1103">
        <f>DataLog_T717420_Aug11_4_59_37pm[[#This Row],[RPM '[1/MIN']]]-Table3[[#This Row],[580C]]</f>
        <v>0</v>
      </c>
      <c r="X1103">
        <f>DataLog_T717420_Aug11_4_59_37pm[[#This Row],[OIL TEMP '[Â°C']]]-Table3[[#This Row],[4402]]</f>
        <v>0</v>
      </c>
      <c r="Y1103">
        <f>DataLog_T717420_Aug11_4_59_37pm[[#This Row],[INTAKE TEMP '[Â°C']]]-Table3[[#This Row],[580F]]</f>
        <v>0</v>
      </c>
      <c r="Z1103">
        <f>DataLog_T717420_Aug11_4_59_37pm[[#This Row],[HPFP PRES. '[BAR']]]-Table3[[#This Row],[58F0]]</f>
        <v>0</v>
      </c>
      <c r="AA1103">
        <f>DataLog_T717420_Aug11_4_59_37pm[[#This Row],[COOLANT TEMP '[Â°C']]]-Table3[[#This Row],[5805]]</f>
        <v>0</v>
      </c>
      <c r="AB1103">
        <f>DataLog_T717420_Aug11_4_59_37pm[[#This Row],[BOOST '[BAR']]]-Table3[[#This Row],[58DD]]</f>
        <v>0</v>
      </c>
    </row>
    <row r="1104" spans="2:28" x14ac:dyDescent="0.25">
      <c r="B1104" s="2" t="s">
        <v>183</v>
      </c>
      <c r="C1104" s="2" t="s">
        <v>30</v>
      </c>
      <c r="D1104" s="2" t="s">
        <v>151</v>
      </c>
      <c r="E1104" s="2" t="s">
        <v>197</v>
      </c>
      <c r="F1104" s="2" t="s">
        <v>261</v>
      </c>
      <c r="G1104" s="2" t="s">
        <v>236</v>
      </c>
      <c r="I1104">
        <f>HEX2DEC(_0811_173439[[#This Row],[580C]])*B$4/B$5+B$6</f>
        <v>800</v>
      </c>
      <c r="J1104">
        <f>HEX2DEC(_0811_173439[[#This Row],[4402]])*C$4/C$5+C$6</f>
        <v>36</v>
      </c>
      <c r="K1104">
        <f>HEX2DEC(_0811_173439[[#This Row],[580F]])*D$4/D$5+D$6</f>
        <v>30</v>
      </c>
      <c r="L1104">
        <f>ROUND(HEX2DEC(_0811_173439[[#This Row],[58F0]])*E$4/E$5+E$6,0)</f>
        <v>69</v>
      </c>
      <c r="M1104">
        <f>ROUND(HEX2DEC(_0811_173439[[#This Row],[5805]])*F$4/F$5+F$6,0)</f>
        <v>44</v>
      </c>
      <c r="N1104">
        <f>ROUND(HEX2DEC(_0811_173439[[#This Row],[58DD]])*G$4/G$5+G$6,2)</f>
        <v>-0.03</v>
      </c>
      <c r="P1104">
        <v>800</v>
      </c>
      <c r="Q1104">
        <v>36</v>
      </c>
      <c r="R1104">
        <v>30</v>
      </c>
      <c r="S1104">
        <v>69</v>
      </c>
      <c r="T1104">
        <v>44</v>
      </c>
      <c r="U1104">
        <v>-0.03</v>
      </c>
      <c r="W1104">
        <f>DataLog_T717420_Aug11_4_59_37pm[[#This Row],[RPM '[1/MIN']]]-Table3[[#This Row],[580C]]</f>
        <v>0</v>
      </c>
      <c r="X1104">
        <f>DataLog_T717420_Aug11_4_59_37pm[[#This Row],[OIL TEMP '[Â°C']]]-Table3[[#This Row],[4402]]</f>
        <v>0</v>
      </c>
      <c r="Y1104">
        <f>DataLog_T717420_Aug11_4_59_37pm[[#This Row],[INTAKE TEMP '[Â°C']]]-Table3[[#This Row],[580F]]</f>
        <v>0</v>
      </c>
      <c r="Z1104">
        <f>DataLog_T717420_Aug11_4_59_37pm[[#This Row],[HPFP PRES. '[BAR']]]-Table3[[#This Row],[58F0]]</f>
        <v>0</v>
      </c>
      <c r="AA1104">
        <f>DataLog_T717420_Aug11_4_59_37pm[[#This Row],[COOLANT TEMP '[Â°C']]]-Table3[[#This Row],[5805]]</f>
        <v>0</v>
      </c>
      <c r="AB1104">
        <f>DataLog_T717420_Aug11_4_59_37pm[[#This Row],[BOOST '[BAR']]]-Table3[[#This Row],[58DD]]</f>
        <v>0</v>
      </c>
    </row>
    <row r="1105" spans="2:28" x14ac:dyDescent="0.25">
      <c r="B1105" s="2" t="s">
        <v>183</v>
      </c>
      <c r="C1105" s="2" t="s">
        <v>30</v>
      </c>
      <c r="D1105" s="2" t="s">
        <v>151</v>
      </c>
      <c r="E1105" s="2" t="s">
        <v>127</v>
      </c>
      <c r="F1105" s="2" t="s">
        <v>261</v>
      </c>
      <c r="G1105" s="2" t="s">
        <v>96</v>
      </c>
      <c r="I1105">
        <f>HEX2DEC(_0811_173439[[#This Row],[580C]])*B$4/B$5+B$6</f>
        <v>800</v>
      </c>
      <c r="J1105">
        <f>HEX2DEC(_0811_173439[[#This Row],[4402]])*C$4/C$5+C$6</f>
        <v>36</v>
      </c>
      <c r="K1105">
        <f>HEX2DEC(_0811_173439[[#This Row],[580F]])*D$4/D$5+D$6</f>
        <v>30</v>
      </c>
      <c r="L1105">
        <f>ROUND(HEX2DEC(_0811_173439[[#This Row],[58F0]])*E$4/E$5+E$6,0)</f>
        <v>70</v>
      </c>
      <c r="M1105">
        <f>ROUND(HEX2DEC(_0811_173439[[#This Row],[5805]])*F$4/F$5+F$6,0)</f>
        <v>44</v>
      </c>
      <c r="N1105">
        <f>ROUND(HEX2DEC(_0811_173439[[#This Row],[58DD]])*G$4/G$5+G$6,2)</f>
        <v>-0.03</v>
      </c>
      <c r="P1105">
        <v>800</v>
      </c>
      <c r="Q1105">
        <v>36</v>
      </c>
      <c r="R1105">
        <v>30</v>
      </c>
      <c r="S1105">
        <v>70</v>
      </c>
      <c r="T1105">
        <v>44</v>
      </c>
      <c r="U1105">
        <v>-0.03</v>
      </c>
      <c r="W1105">
        <f>DataLog_T717420_Aug11_4_59_37pm[[#This Row],[RPM '[1/MIN']]]-Table3[[#This Row],[580C]]</f>
        <v>0</v>
      </c>
      <c r="X1105">
        <f>DataLog_T717420_Aug11_4_59_37pm[[#This Row],[OIL TEMP '[Â°C']]]-Table3[[#This Row],[4402]]</f>
        <v>0</v>
      </c>
      <c r="Y1105">
        <f>DataLog_T717420_Aug11_4_59_37pm[[#This Row],[INTAKE TEMP '[Â°C']]]-Table3[[#This Row],[580F]]</f>
        <v>0</v>
      </c>
      <c r="Z1105">
        <f>DataLog_T717420_Aug11_4_59_37pm[[#This Row],[HPFP PRES. '[BAR']]]-Table3[[#This Row],[58F0]]</f>
        <v>0</v>
      </c>
      <c r="AA1105">
        <f>DataLog_T717420_Aug11_4_59_37pm[[#This Row],[COOLANT TEMP '[Â°C']]]-Table3[[#This Row],[5805]]</f>
        <v>0</v>
      </c>
      <c r="AB1105">
        <f>DataLog_T717420_Aug11_4_59_37pm[[#This Row],[BOOST '[BAR']]]-Table3[[#This Row],[58DD]]</f>
        <v>0</v>
      </c>
    </row>
    <row r="1106" spans="2:28" x14ac:dyDescent="0.25">
      <c r="B1106" s="2" t="s">
        <v>183</v>
      </c>
      <c r="C1106" s="2" t="s">
        <v>30</v>
      </c>
      <c r="D1106" s="2" t="s">
        <v>151</v>
      </c>
      <c r="E1106" s="2" t="s">
        <v>148</v>
      </c>
      <c r="F1106" s="2" t="s">
        <v>261</v>
      </c>
      <c r="G1106" s="2" t="s">
        <v>53</v>
      </c>
      <c r="I1106">
        <f>HEX2DEC(_0811_173439[[#This Row],[580C]])*B$4/B$5+B$6</f>
        <v>800</v>
      </c>
      <c r="J1106">
        <f>HEX2DEC(_0811_173439[[#This Row],[4402]])*C$4/C$5+C$6</f>
        <v>36</v>
      </c>
      <c r="K1106">
        <f>HEX2DEC(_0811_173439[[#This Row],[580F]])*D$4/D$5+D$6</f>
        <v>30</v>
      </c>
      <c r="L1106">
        <f>ROUND(HEX2DEC(_0811_173439[[#This Row],[58F0]])*E$4/E$5+E$6,0)</f>
        <v>70</v>
      </c>
      <c r="M1106">
        <f>ROUND(HEX2DEC(_0811_173439[[#This Row],[5805]])*F$4/F$5+F$6,0)</f>
        <v>44</v>
      </c>
      <c r="N1106">
        <f>ROUND(HEX2DEC(_0811_173439[[#This Row],[58DD]])*G$4/G$5+G$6,2)</f>
        <v>-0.03</v>
      </c>
      <c r="P1106">
        <v>800</v>
      </c>
      <c r="Q1106">
        <v>36</v>
      </c>
      <c r="R1106">
        <v>30</v>
      </c>
      <c r="S1106">
        <v>70</v>
      </c>
      <c r="T1106">
        <v>44</v>
      </c>
      <c r="U1106">
        <v>-0.03</v>
      </c>
      <c r="W1106">
        <f>DataLog_T717420_Aug11_4_59_37pm[[#This Row],[RPM '[1/MIN']]]-Table3[[#This Row],[580C]]</f>
        <v>0</v>
      </c>
      <c r="X1106">
        <f>DataLog_T717420_Aug11_4_59_37pm[[#This Row],[OIL TEMP '[Â°C']]]-Table3[[#This Row],[4402]]</f>
        <v>0</v>
      </c>
      <c r="Y1106">
        <f>DataLog_T717420_Aug11_4_59_37pm[[#This Row],[INTAKE TEMP '[Â°C']]]-Table3[[#This Row],[580F]]</f>
        <v>0</v>
      </c>
      <c r="Z1106">
        <f>DataLog_T717420_Aug11_4_59_37pm[[#This Row],[HPFP PRES. '[BAR']]]-Table3[[#This Row],[58F0]]</f>
        <v>0</v>
      </c>
      <c r="AA1106">
        <f>DataLog_T717420_Aug11_4_59_37pm[[#This Row],[COOLANT TEMP '[Â°C']]]-Table3[[#This Row],[5805]]</f>
        <v>0</v>
      </c>
      <c r="AB1106">
        <f>DataLog_T717420_Aug11_4_59_37pm[[#This Row],[BOOST '[BAR']]]-Table3[[#This Row],[58DD]]</f>
        <v>0</v>
      </c>
    </row>
    <row r="1107" spans="2:28" x14ac:dyDescent="0.25">
      <c r="B1107" s="2" t="s">
        <v>183</v>
      </c>
      <c r="C1107" s="2" t="s">
        <v>30</v>
      </c>
      <c r="D1107" s="2" t="s">
        <v>151</v>
      </c>
      <c r="E1107" s="2" t="s">
        <v>144</v>
      </c>
      <c r="F1107" s="2" t="s">
        <v>261</v>
      </c>
      <c r="G1107" s="2" t="s">
        <v>236</v>
      </c>
      <c r="I1107">
        <f>HEX2DEC(_0811_173439[[#This Row],[580C]])*B$4/B$5+B$6</f>
        <v>800</v>
      </c>
      <c r="J1107">
        <f>HEX2DEC(_0811_173439[[#This Row],[4402]])*C$4/C$5+C$6</f>
        <v>36</v>
      </c>
      <c r="K1107">
        <f>HEX2DEC(_0811_173439[[#This Row],[580F]])*D$4/D$5+D$6</f>
        <v>30</v>
      </c>
      <c r="L1107">
        <f>ROUND(HEX2DEC(_0811_173439[[#This Row],[58F0]])*E$4/E$5+E$6,0)</f>
        <v>69</v>
      </c>
      <c r="M1107">
        <f>ROUND(HEX2DEC(_0811_173439[[#This Row],[5805]])*F$4/F$5+F$6,0)</f>
        <v>44</v>
      </c>
      <c r="N1107">
        <f>ROUND(HEX2DEC(_0811_173439[[#This Row],[58DD]])*G$4/G$5+G$6,2)</f>
        <v>-0.03</v>
      </c>
      <c r="P1107">
        <v>800</v>
      </c>
      <c r="Q1107">
        <v>36</v>
      </c>
      <c r="R1107">
        <v>30</v>
      </c>
      <c r="S1107">
        <v>69</v>
      </c>
      <c r="T1107">
        <v>44</v>
      </c>
      <c r="U1107">
        <v>-0.03</v>
      </c>
      <c r="W1107">
        <f>DataLog_T717420_Aug11_4_59_37pm[[#This Row],[RPM '[1/MIN']]]-Table3[[#This Row],[580C]]</f>
        <v>0</v>
      </c>
      <c r="X1107">
        <f>DataLog_T717420_Aug11_4_59_37pm[[#This Row],[OIL TEMP '[Â°C']]]-Table3[[#This Row],[4402]]</f>
        <v>0</v>
      </c>
      <c r="Y1107">
        <f>DataLog_T717420_Aug11_4_59_37pm[[#This Row],[INTAKE TEMP '[Â°C']]]-Table3[[#This Row],[580F]]</f>
        <v>0</v>
      </c>
      <c r="Z1107">
        <f>DataLog_T717420_Aug11_4_59_37pm[[#This Row],[HPFP PRES. '[BAR']]]-Table3[[#This Row],[58F0]]</f>
        <v>0</v>
      </c>
      <c r="AA1107">
        <f>DataLog_T717420_Aug11_4_59_37pm[[#This Row],[COOLANT TEMP '[Â°C']]]-Table3[[#This Row],[5805]]</f>
        <v>0</v>
      </c>
      <c r="AB1107">
        <f>DataLog_T717420_Aug11_4_59_37pm[[#This Row],[BOOST '[BAR']]]-Table3[[#This Row],[58DD]]</f>
        <v>0</v>
      </c>
    </row>
    <row r="1108" spans="2:28" x14ac:dyDescent="0.25">
      <c r="B1108" s="2" t="s">
        <v>183</v>
      </c>
      <c r="C1108" s="2" t="s">
        <v>30</v>
      </c>
      <c r="D1108" s="2" t="s">
        <v>151</v>
      </c>
      <c r="E1108" s="2" t="s">
        <v>127</v>
      </c>
      <c r="F1108" s="2" t="s">
        <v>261</v>
      </c>
      <c r="G1108" s="2" t="s">
        <v>236</v>
      </c>
      <c r="I1108">
        <f>HEX2DEC(_0811_173439[[#This Row],[580C]])*B$4/B$5+B$6</f>
        <v>800</v>
      </c>
      <c r="J1108">
        <f>HEX2DEC(_0811_173439[[#This Row],[4402]])*C$4/C$5+C$6</f>
        <v>36</v>
      </c>
      <c r="K1108">
        <f>HEX2DEC(_0811_173439[[#This Row],[580F]])*D$4/D$5+D$6</f>
        <v>30</v>
      </c>
      <c r="L1108">
        <f>ROUND(HEX2DEC(_0811_173439[[#This Row],[58F0]])*E$4/E$5+E$6,0)</f>
        <v>70</v>
      </c>
      <c r="M1108">
        <f>ROUND(HEX2DEC(_0811_173439[[#This Row],[5805]])*F$4/F$5+F$6,0)</f>
        <v>44</v>
      </c>
      <c r="N1108">
        <f>ROUND(HEX2DEC(_0811_173439[[#This Row],[58DD]])*G$4/G$5+G$6,2)</f>
        <v>-0.03</v>
      </c>
      <c r="P1108">
        <v>800</v>
      </c>
      <c r="Q1108">
        <v>36</v>
      </c>
      <c r="R1108">
        <v>30</v>
      </c>
      <c r="S1108">
        <v>70</v>
      </c>
      <c r="T1108">
        <v>44</v>
      </c>
      <c r="U1108">
        <v>-0.03</v>
      </c>
      <c r="W1108">
        <f>DataLog_T717420_Aug11_4_59_37pm[[#This Row],[RPM '[1/MIN']]]-Table3[[#This Row],[580C]]</f>
        <v>0</v>
      </c>
      <c r="X1108">
        <f>DataLog_T717420_Aug11_4_59_37pm[[#This Row],[OIL TEMP '[Â°C']]]-Table3[[#This Row],[4402]]</f>
        <v>0</v>
      </c>
      <c r="Y1108">
        <f>DataLog_T717420_Aug11_4_59_37pm[[#This Row],[INTAKE TEMP '[Â°C']]]-Table3[[#This Row],[580F]]</f>
        <v>0</v>
      </c>
      <c r="Z1108">
        <f>DataLog_T717420_Aug11_4_59_37pm[[#This Row],[HPFP PRES. '[BAR']]]-Table3[[#This Row],[58F0]]</f>
        <v>0</v>
      </c>
      <c r="AA1108">
        <f>DataLog_T717420_Aug11_4_59_37pm[[#This Row],[COOLANT TEMP '[Â°C']]]-Table3[[#This Row],[5805]]</f>
        <v>0</v>
      </c>
      <c r="AB1108">
        <f>DataLog_T717420_Aug11_4_59_37pm[[#This Row],[BOOST '[BAR']]]-Table3[[#This Row],[58DD]]</f>
        <v>0</v>
      </c>
    </row>
    <row r="1109" spans="2:28" x14ac:dyDescent="0.25">
      <c r="B1109" s="2" t="s">
        <v>189</v>
      </c>
      <c r="C1109" s="2" t="s">
        <v>30</v>
      </c>
      <c r="D1109" s="2" t="s">
        <v>151</v>
      </c>
      <c r="E1109" s="2" t="s">
        <v>165</v>
      </c>
      <c r="F1109" s="2" t="s">
        <v>261</v>
      </c>
      <c r="G1109" s="2" t="s">
        <v>190</v>
      </c>
      <c r="I1109">
        <f>HEX2DEC(_0811_173439[[#This Row],[580C]])*B$4/B$5+B$6</f>
        <v>760</v>
      </c>
      <c r="J1109">
        <f>HEX2DEC(_0811_173439[[#This Row],[4402]])*C$4/C$5+C$6</f>
        <v>36</v>
      </c>
      <c r="K1109">
        <f>HEX2DEC(_0811_173439[[#This Row],[580F]])*D$4/D$5+D$6</f>
        <v>30</v>
      </c>
      <c r="L1109">
        <f>ROUND(HEX2DEC(_0811_173439[[#This Row],[58F0]])*E$4/E$5+E$6,0)</f>
        <v>70</v>
      </c>
      <c r="M1109">
        <f>ROUND(HEX2DEC(_0811_173439[[#This Row],[5805]])*F$4/F$5+F$6,0)</f>
        <v>44</v>
      </c>
      <c r="N1109">
        <f>ROUND(HEX2DEC(_0811_173439[[#This Row],[58DD]])*G$4/G$5+G$6,2)</f>
        <v>-0.03</v>
      </c>
      <c r="P1109">
        <v>760</v>
      </c>
      <c r="Q1109">
        <v>36</v>
      </c>
      <c r="R1109">
        <v>30</v>
      </c>
      <c r="S1109">
        <v>70</v>
      </c>
      <c r="T1109">
        <v>44</v>
      </c>
      <c r="U1109">
        <v>-0.03</v>
      </c>
      <c r="W1109">
        <f>DataLog_T717420_Aug11_4_59_37pm[[#This Row],[RPM '[1/MIN']]]-Table3[[#This Row],[580C]]</f>
        <v>0</v>
      </c>
      <c r="X1109">
        <f>DataLog_T717420_Aug11_4_59_37pm[[#This Row],[OIL TEMP '[Â°C']]]-Table3[[#This Row],[4402]]</f>
        <v>0</v>
      </c>
      <c r="Y1109">
        <f>DataLog_T717420_Aug11_4_59_37pm[[#This Row],[INTAKE TEMP '[Â°C']]]-Table3[[#This Row],[580F]]</f>
        <v>0</v>
      </c>
      <c r="Z1109">
        <f>DataLog_T717420_Aug11_4_59_37pm[[#This Row],[HPFP PRES. '[BAR']]]-Table3[[#This Row],[58F0]]</f>
        <v>0</v>
      </c>
      <c r="AA1109">
        <f>DataLog_T717420_Aug11_4_59_37pm[[#This Row],[COOLANT TEMP '[Â°C']]]-Table3[[#This Row],[5805]]</f>
        <v>0</v>
      </c>
      <c r="AB1109">
        <f>DataLog_T717420_Aug11_4_59_37pm[[#This Row],[BOOST '[BAR']]]-Table3[[#This Row],[58DD]]</f>
        <v>0</v>
      </c>
    </row>
    <row r="1110" spans="2:28" x14ac:dyDescent="0.25">
      <c r="B1110" s="2" t="s">
        <v>189</v>
      </c>
      <c r="C1110" s="2" t="s">
        <v>30</v>
      </c>
      <c r="D1110" s="2" t="s">
        <v>151</v>
      </c>
      <c r="E1110" s="2" t="s">
        <v>194</v>
      </c>
      <c r="F1110" s="2" t="s">
        <v>261</v>
      </c>
      <c r="G1110" s="2" t="s">
        <v>96</v>
      </c>
      <c r="I1110">
        <f>HEX2DEC(_0811_173439[[#This Row],[580C]])*B$4/B$5+B$6</f>
        <v>760</v>
      </c>
      <c r="J1110">
        <f>HEX2DEC(_0811_173439[[#This Row],[4402]])*C$4/C$5+C$6</f>
        <v>36</v>
      </c>
      <c r="K1110">
        <f>HEX2DEC(_0811_173439[[#This Row],[580F]])*D$4/D$5+D$6</f>
        <v>30</v>
      </c>
      <c r="L1110">
        <f>ROUND(HEX2DEC(_0811_173439[[#This Row],[58F0]])*E$4/E$5+E$6,0)</f>
        <v>70</v>
      </c>
      <c r="M1110">
        <f>ROUND(HEX2DEC(_0811_173439[[#This Row],[5805]])*F$4/F$5+F$6,0)</f>
        <v>44</v>
      </c>
      <c r="N1110">
        <f>ROUND(HEX2DEC(_0811_173439[[#This Row],[58DD]])*G$4/G$5+G$6,2)</f>
        <v>-0.03</v>
      </c>
      <c r="P1110">
        <v>760</v>
      </c>
      <c r="Q1110">
        <v>36</v>
      </c>
      <c r="R1110">
        <v>30</v>
      </c>
      <c r="S1110">
        <v>70</v>
      </c>
      <c r="T1110">
        <v>44</v>
      </c>
      <c r="U1110">
        <v>-0.03</v>
      </c>
      <c r="W1110">
        <f>DataLog_T717420_Aug11_4_59_37pm[[#This Row],[RPM '[1/MIN']]]-Table3[[#This Row],[580C]]</f>
        <v>0</v>
      </c>
      <c r="X1110">
        <f>DataLog_T717420_Aug11_4_59_37pm[[#This Row],[OIL TEMP '[Â°C']]]-Table3[[#This Row],[4402]]</f>
        <v>0</v>
      </c>
      <c r="Y1110">
        <f>DataLog_T717420_Aug11_4_59_37pm[[#This Row],[INTAKE TEMP '[Â°C']]]-Table3[[#This Row],[580F]]</f>
        <v>0</v>
      </c>
      <c r="Z1110">
        <f>DataLog_T717420_Aug11_4_59_37pm[[#This Row],[HPFP PRES. '[BAR']]]-Table3[[#This Row],[58F0]]</f>
        <v>0</v>
      </c>
      <c r="AA1110">
        <f>DataLog_T717420_Aug11_4_59_37pm[[#This Row],[COOLANT TEMP '[Â°C']]]-Table3[[#This Row],[5805]]</f>
        <v>0</v>
      </c>
      <c r="AB1110">
        <f>DataLog_T717420_Aug11_4_59_37pm[[#This Row],[BOOST '[BAR']]]-Table3[[#This Row],[58DD]]</f>
        <v>0</v>
      </c>
    </row>
    <row r="1111" spans="2:28" x14ac:dyDescent="0.25">
      <c r="B1111" s="2" t="s">
        <v>189</v>
      </c>
      <c r="C1111" s="2" t="s">
        <v>30</v>
      </c>
      <c r="D1111" s="2" t="s">
        <v>151</v>
      </c>
      <c r="E1111" s="2" t="s">
        <v>118</v>
      </c>
      <c r="F1111" s="2" t="s">
        <v>261</v>
      </c>
      <c r="G1111" s="2" t="s">
        <v>96</v>
      </c>
      <c r="I1111">
        <f>HEX2DEC(_0811_173439[[#This Row],[580C]])*B$4/B$5+B$6</f>
        <v>760</v>
      </c>
      <c r="J1111">
        <f>HEX2DEC(_0811_173439[[#This Row],[4402]])*C$4/C$5+C$6</f>
        <v>36</v>
      </c>
      <c r="K1111">
        <f>HEX2DEC(_0811_173439[[#This Row],[580F]])*D$4/D$5+D$6</f>
        <v>30</v>
      </c>
      <c r="L1111">
        <f>ROUND(HEX2DEC(_0811_173439[[#This Row],[58F0]])*E$4/E$5+E$6,0)</f>
        <v>70</v>
      </c>
      <c r="M1111">
        <f>ROUND(HEX2DEC(_0811_173439[[#This Row],[5805]])*F$4/F$5+F$6,0)</f>
        <v>44</v>
      </c>
      <c r="N1111">
        <f>ROUND(HEX2DEC(_0811_173439[[#This Row],[58DD]])*G$4/G$5+G$6,2)</f>
        <v>-0.03</v>
      </c>
      <c r="P1111">
        <v>760</v>
      </c>
      <c r="Q1111">
        <v>36</v>
      </c>
      <c r="R1111">
        <v>30</v>
      </c>
      <c r="S1111">
        <v>70</v>
      </c>
      <c r="T1111">
        <v>44</v>
      </c>
      <c r="U1111">
        <v>-0.03</v>
      </c>
      <c r="W1111">
        <f>DataLog_T717420_Aug11_4_59_37pm[[#This Row],[RPM '[1/MIN']]]-Table3[[#This Row],[580C]]</f>
        <v>0</v>
      </c>
      <c r="X1111">
        <f>DataLog_T717420_Aug11_4_59_37pm[[#This Row],[OIL TEMP '[Â°C']]]-Table3[[#This Row],[4402]]</f>
        <v>0</v>
      </c>
      <c r="Y1111">
        <f>DataLog_T717420_Aug11_4_59_37pm[[#This Row],[INTAKE TEMP '[Â°C']]]-Table3[[#This Row],[580F]]</f>
        <v>0</v>
      </c>
      <c r="Z1111">
        <f>DataLog_T717420_Aug11_4_59_37pm[[#This Row],[HPFP PRES. '[BAR']]]-Table3[[#This Row],[58F0]]</f>
        <v>0</v>
      </c>
      <c r="AA1111">
        <f>DataLog_T717420_Aug11_4_59_37pm[[#This Row],[COOLANT TEMP '[Â°C']]]-Table3[[#This Row],[5805]]</f>
        <v>0</v>
      </c>
      <c r="AB1111">
        <f>DataLog_T717420_Aug11_4_59_37pm[[#This Row],[BOOST '[BAR']]]-Table3[[#This Row],[58DD]]</f>
        <v>0</v>
      </c>
    </row>
    <row r="1112" spans="2:28" x14ac:dyDescent="0.25">
      <c r="B1112" s="2" t="s">
        <v>189</v>
      </c>
      <c r="C1112" s="2" t="s">
        <v>30</v>
      </c>
      <c r="D1112" s="2" t="s">
        <v>151</v>
      </c>
      <c r="E1112" s="2" t="s">
        <v>121</v>
      </c>
      <c r="F1112" s="2" t="s">
        <v>261</v>
      </c>
      <c r="G1112" s="2" t="s">
        <v>216</v>
      </c>
      <c r="I1112">
        <f>HEX2DEC(_0811_173439[[#This Row],[580C]])*B$4/B$5+B$6</f>
        <v>760</v>
      </c>
      <c r="J1112">
        <f>HEX2DEC(_0811_173439[[#This Row],[4402]])*C$4/C$5+C$6</f>
        <v>36</v>
      </c>
      <c r="K1112">
        <f>HEX2DEC(_0811_173439[[#This Row],[580F]])*D$4/D$5+D$6</f>
        <v>30</v>
      </c>
      <c r="L1112">
        <f>ROUND(HEX2DEC(_0811_173439[[#This Row],[58F0]])*E$4/E$5+E$6,0)</f>
        <v>71</v>
      </c>
      <c r="M1112">
        <f>ROUND(HEX2DEC(_0811_173439[[#This Row],[5805]])*F$4/F$5+F$6,0)</f>
        <v>44</v>
      </c>
      <c r="N1112">
        <f>ROUND(HEX2DEC(_0811_173439[[#This Row],[58DD]])*G$4/G$5+G$6,2)</f>
        <v>-0.03</v>
      </c>
      <c r="P1112">
        <v>760</v>
      </c>
      <c r="Q1112">
        <v>36</v>
      </c>
      <c r="R1112">
        <v>30</v>
      </c>
      <c r="S1112">
        <v>71</v>
      </c>
      <c r="T1112">
        <v>44</v>
      </c>
      <c r="U1112">
        <v>-0.03</v>
      </c>
      <c r="W1112">
        <f>DataLog_T717420_Aug11_4_59_37pm[[#This Row],[RPM '[1/MIN']]]-Table3[[#This Row],[580C]]</f>
        <v>0</v>
      </c>
      <c r="X1112">
        <f>DataLog_T717420_Aug11_4_59_37pm[[#This Row],[OIL TEMP '[Â°C']]]-Table3[[#This Row],[4402]]</f>
        <v>0</v>
      </c>
      <c r="Y1112">
        <f>DataLog_T717420_Aug11_4_59_37pm[[#This Row],[INTAKE TEMP '[Â°C']]]-Table3[[#This Row],[580F]]</f>
        <v>0</v>
      </c>
      <c r="Z1112">
        <f>DataLog_T717420_Aug11_4_59_37pm[[#This Row],[HPFP PRES. '[BAR']]]-Table3[[#This Row],[58F0]]</f>
        <v>0</v>
      </c>
      <c r="AA1112">
        <f>DataLog_T717420_Aug11_4_59_37pm[[#This Row],[COOLANT TEMP '[Â°C']]]-Table3[[#This Row],[5805]]</f>
        <v>0</v>
      </c>
      <c r="AB1112">
        <f>DataLog_T717420_Aug11_4_59_37pm[[#This Row],[BOOST '[BAR']]]-Table3[[#This Row],[58DD]]</f>
        <v>0</v>
      </c>
    </row>
    <row r="1113" spans="2:28" x14ac:dyDescent="0.25">
      <c r="B1113" s="2" t="s">
        <v>189</v>
      </c>
      <c r="C1113" s="2" t="s">
        <v>30</v>
      </c>
      <c r="D1113" s="2" t="s">
        <v>151</v>
      </c>
      <c r="E1113" s="2" t="s">
        <v>194</v>
      </c>
      <c r="F1113" s="2" t="s">
        <v>261</v>
      </c>
      <c r="G1113" s="2" t="s">
        <v>236</v>
      </c>
      <c r="I1113">
        <f>HEX2DEC(_0811_173439[[#This Row],[580C]])*B$4/B$5+B$6</f>
        <v>760</v>
      </c>
      <c r="J1113">
        <f>HEX2DEC(_0811_173439[[#This Row],[4402]])*C$4/C$5+C$6</f>
        <v>36</v>
      </c>
      <c r="K1113">
        <f>HEX2DEC(_0811_173439[[#This Row],[580F]])*D$4/D$5+D$6</f>
        <v>30</v>
      </c>
      <c r="L1113">
        <f>ROUND(HEX2DEC(_0811_173439[[#This Row],[58F0]])*E$4/E$5+E$6,0)</f>
        <v>70</v>
      </c>
      <c r="M1113">
        <f>ROUND(HEX2DEC(_0811_173439[[#This Row],[5805]])*F$4/F$5+F$6,0)</f>
        <v>44</v>
      </c>
      <c r="N1113">
        <f>ROUND(HEX2DEC(_0811_173439[[#This Row],[58DD]])*G$4/G$5+G$6,2)</f>
        <v>-0.03</v>
      </c>
      <c r="P1113">
        <v>760</v>
      </c>
      <c r="Q1113">
        <v>36</v>
      </c>
      <c r="R1113">
        <v>30</v>
      </c>
      <c r="S1113">
        <v>70</v>
      </c>
      <c r="T1113">
        <v>44</v>
      </c>
      <c r="U1113">
        <v>-0.03</v>
      </c>
      <c r="W1113">
        <f>DataLog_T717420_Aug11_4_59_37pm[[#This Row],[RPM '[1/MIN']]]-Table3[[#This Row],[580C]]</f>
        <v>0</v>
      </c>
      <c r="X1113">
        <f>DataLog_T717420_Aug11_4_59_37pm[[#This Row],[OIL TEMP '[Â°C']]]-Table3[[#This Row],[4402]]</f>
        <v>0</v>
      </c>
      <c r="Y1113">
        <f>DataLog_T717420_Aug11_4_59_37pm[[#This Row],[INTAKE TEMP '[Â°C']]]-Table3[[#This Row],[580F]]</f>
        <v>0</v>
      </c>
      <c r="Z1113">
        <f>DataLog_T717420_Aug11_4_59_37pm[[#This Row],[HPFP PRES. '[BAR']]]-Table3[[#This Row],[58F0]]</f>
        <v>0</v>
      </c>
      <c r="AA1113">
        <f>DataLog_T717420_Aug11_4_59_37pm[[#This Row],[COOLANT TEMP '[Â°C']]]-Table3[[#This Row],[5805]]</f>
        <v>0</v>
      </c>
      <c r="AB1113">
        <f>DataLog_T717420_Aug11_4_59_37pm[[#This Row],[BOOST '[BAR']]]-Table3[[#This Row],[58DD]]</f>
        <v>0</v>
      </c>
    </row>
    <row r="1114" spans="2:28" x14ac:dyDescent="0.25">
      <c r="B1114" s="2" t="s">
        <v>183</v>
      </c>
      <c r="C1114" s="2" t="s">
        <v>30</v>
      </c>
      <c r="D1114" s="2" t="s">
        <v>151</v>
      </c>
      <c r="E1114" s="2" t="s">
        <v>93</v>
      </c>
      <c r="F1114" s="2" t="s">
        <v>261</v>
      </c>
      <c r="G1114" s="2" t="s">
        <v>190</v>
      </c>
      <c r="I1114">
        <f>HEX2DEC(_0811_173439[[#This Row],[580C]])*B$4/B$5+B$6</f>
        <v>800</v>
      </c>
      <c r="J1114">
        <f>HEX2DEC(_0811_173439[[#This Row],[4402]])*C$4/C$5+C$6</f>
        <v>36</v>
      </c>
      <c r="K1114">
        <f>HEX2DEC(_0811_173439[[#This Row],[580F]])*D$4/D$5+D$6</f>
        <v>30</v>
      </c>
      <c r="L1114">
        <f>ROUND(HEX2DEC(_0811_173439[[#This Row],[58F0]])*E$4/E$5+E$6,0)</f>
        <v>70</v>
      </c>
      <c r="M1114">
        <f>ROUND(HEX2DEC(_0811_173439[[#This Row],[5805]])*F$4/F$5+F$6,0)</f>
        <v>44</v>
      </c>
      <c r="N1114">
        <f>ROUND(HEX2DEC(_0811_173439[[#This Row],[58DD]])*G$4/G$5+G$6,2)</f>
        <v>-0.03</v>
      </c>
      <c r="P1114">
        <v>800</v>
      </c>
      <c r="Q1114">
        <v>36</v>
      </c>
      <c r="R1114">
        <v>30</v>
      </c>
      <c r="S1114">
        <v>70</v>
      </c>
      <c r="T1114">
        <v>44</v>
      </c>
      <c r="U1114">
        <v>-0.03</v>
      </c>
      <c r="W1114">
        <f>DataLog_T717420_Aug11_4_59_37pm[[#This Row],[RPM '[1/MIN']]]-Table3[[#This Row],[580C]]</f>
        <v>0</v>
      </c>
      <c r="X1114">
        <f>DataLog_T717420_Aug11_4_59_37pm[[#This Row],[OIL TEMP '[Â°C']]]-Table3[[#This Row],[4402]]</f>
        <v>0</v>
      </c>
      <c r="Y1114">
        <f>DataLog_T717420_Aug11_4_59_37pm[[#This Row],[INTAKE TEMP '[Â°C']]]-Table3[[#This Row],[580F]]</f>
        <v>0</v>
      </c>
      <c r="Z1114">
        <f>DataLog_T717420_Aug11_4_59_37pm[[#This Row],[HPFP PRES. '[BAR']]]-Table3[[#This Row],[58F0]]</f>
        <v>0</v>
      </c>
      <c r="AA1114">
        <f>DataLog_T717420_Aug11_4_59_37pm[[#This Row],[COOLANT TEMP '[Â°C']]]-Table3[[#This Row],[5805]]</f>
        <v>0</v>
      </c>
      <c r="AB1114">
        <f>DataLog_T717420_Aug11_4_59_37pm[[#This Row],[BOOST '[BAR']]]-Table3[[#This Row],[58DD]]</f>
        <v>0</v>
      </c>
    </row>
    <row r="1115" spans="2:28" x14ac:dyDescent="0.25">
      <c r="B1115" s="2" t="s">
        <v>189</v>
      </c>
      <c r="C1115" s="2" t="s">
        <v>30</v>
      </c>
      <c r="D1115" s="2" t="s">
        <v>151</v>
      </c>
      <c r="E1115" s="2" t="s">
        <v>165</v>
      </c>
      <c r="F1115" s="2" t="s">
        <v>261</v>
      </c>
      <c r="G1115" s="2" t="s">
        <v>191</v>
      </c>
      <c r="I1115">
        <f>HEX2DEC(_0811_173439[[#This Row],[580C]])*B$4/B$5+B$6</f>
        <v>760</v>
      </c>
      <c r="J1115">
        <f>HEX2DEC(_0811_173439[[#This Row],[4402]])*C$4/C$5+C$6</f>
        <v>36</v>
      </c>
      <c r="K1115">
        <f>HEX2DEC(_0811_173439[[#This Row],[580F]])*D$4/D$5+D$6</f>
        <v>30</v>
      </c>
      <c r="L1115">
        <f>ROUND(HEX2DEC(_0811_173439[[#This Row],[58F0]])*E$4/E$5+E$6,0)</f>
        <v>70</v>
      </c>
      <c r="M1115">
        <f>ROUND(HEX2DEC(_0811_173439[[#This Row],[5805]])*F$4/F$5+F$6,0)</f>
        <v>44</v>
      </c>
      <c r="N1115">
        <f>ROUND(HEX2DEC(_0811_173439[[#This Row],[58DD]])*G$4/G$5+G$6,2)</f>
        <v>-0.03</v>
      </c>
      <c r="P1115">
        <v>760</v>
      </c>
      <c r="Q1115">
        <v>36</v>
      </c>
      <c r="R1115">
        <v>30</v>
      </c>
      <c r="S1115">
        <v>70</v>
      </c>
      <c r="T1115">
        <v>44</v>
      </c>
      <c r="U1115">
        <v>-0.03</v>
      </c>
      <c r="W1115">
        <f>DataLog_T717420_Aug11_4_59_37pm[[#This Row],[RPM '[1/MIN']]]-Table3[[#This Row],[580C]]</f>
        <v>0</v>
      </c>
      <c r="X1115">
        <f>DataLog_T717420_Aug11_4_59_37pm[[#This Row],[OIL TEMP '[Â°C']]]-Table3[[#This Row],[4402]]</f>
        <v>0</v>
      </c>
      <c r="Y1115">
        <f>DataLog_T717420_Aug11_4_59_37pm[[#This Row],[INTAKE TEMP '[Â°C']]]-Table3[[#This Row],[580F]]</f>
        <v>0</v>
      </c>
      <c r="Z1115">
        <f>DataLog_T717420_Aug11_4_59_37pm[[#This Row],[HPFP PRES. '[BAR']]]-Table3[[#This Row],[58F0]]</f>
        <v>0</v>
      </c>
      <c r="AA1115">
        <f>DataLog_T717420_Aug11_4_59_37pm[[#This Row],[COOLANT TEMP '[Â°C']]]-Table3[[#This Row],[5805]]</f>
        <v>0</v>
      </c>
      <c r="AB1115">
        <f>DataLog_T717420_Aug11_4_59_37pm[[#This Row],[BOOST '[BAR']]]-Table3[[#This Row],[58DD]]</f>
        <v>0</v>
      </c>
    </row>
    <row r="1116" spans="2:28" x14ac:dyDescent="0.25">
      <c r="B1116" s="2" t="s">
        <v>189</v>
      </c>
      <c r="C1116" s="2" t="s">
        <v>30</v>
      </c>
      <c r="D1116" s="2" t="s">
        <v>151</v>
      </c>
      <c r="E1116" s="2" t="s">
        <v>149</v>
      </c>
      <c r="F1116" s="2" t="s">
        <v>261</v>
      </c>
      <c r="G1116" s="2" t="s">
        <v>71</v>
      </c>
      <c r="I1116">
        <f>HEX2DEC(_0811_173439[[#This Row],[580C]])*B$4/B$5+B$6</f>
        <v>760</v>
      </c>
      <c r="J1116">
        <f>HEX2DEC(_0811_173439[[#This Row],[4402]])*C$4/C$5+C$6</f>
        <v>36</v>
      </c>
      <c r="K1116">
        <f>HEX2DEC(_0811_173439[[#This Row],[580F]])*D$4/D$5+D$6</f>
        <v>30</v>
      </c>
      <c r="L1116">
        <f>ROUND(HEX2DEC(_0811_173439[[#This Row],[58F0]])*E$4/E$5+E$6,0)</f>
        <v>70</v>
      </c>
      <c r="M1116">
        <f>ROUND(HEX2DEC(_0811_173439[[#This Row],[5805]])*F$4/F$5+F$6,0)</f>
        <v>44</v>
      </c>
      <c r="N1116">
        <f>ROUND(HEX2DEC(_0811_173439[[#This Row],[58DD]])*G$4/G$5+G$6,2)</f>
        <v>-0.03</v>
      </c>
      <c r="P1116">
        <v>760</v>
      </c>
      <c r="Q1116">
        <v>36</v>
      </c>
      <c r="R1116">
        <v>30</v>
      </c>
      <c r="S1116">
        <v>70</v>
      </c>
      <c r="T1116">
        <v>44</v>
      </c>
      <c r="U1116">
        <v>-0.03</v>
      </c>
      <c r="W1116">
        <f>DataLog_T717420_Aug11_4_59_37pm[[#This Row],[RPM '[1/MIN']]]-Table3[[#This Row],[580C]]</f>
        <v>0</v>
      </c>
      <c r="X1116">
        <f>DataLog_T717420_Aug11_4_59_37pm[[#This Row],[OIL TEMP '[Â°C']]]-Table3[[#This Row],[4402]]</f>
        <v>0</v>
      </c>
      <c r="Y1116">
        <f>DataLog_T717420_Aug11_4_59_37pm[[#This Row],[INTAKE TEMP '[Â°C']]]-Table3[[#This Row],[580F]]</f>
        <v>0</v>
      </c>
      <c r="Z1116">
        <f>DataLog_T717420_Aug11_4_59_37pm[[#This Row],[HPFP PRES. '[BAR']]]-Table3[[#This Row],[58F0]]</f>
        <v>0</v>
      </c>
      <c r="AA1116">
        <f>DataLog_T717420_Aug11_4_59_37pm[[#This Row],[COOLANT TEMP '[Â°C']]]-Table3[[#This Row],[5805]]</f>
        <v>0</v>
      </c>
      <c r="AB1116">
        <f>DataLog_T717420_Aug11_4_59_37pm[[#This Row],[BOOST '[BAR']]]-Table3[[#This Row],[58DD]]</f>
        <v>0</v>
      </c>
    </row>
    <row r="1117" spans="2:28" x14ac:dyDescent="0.25">
      <c r="B1117" s="2" t="s">
        <v>183</v>
      </c>
      <c r="C1117" s="2" t="s">
        <v>30</v>
      </c>
      <c r="D1117" s="2" t="s">
        <v>151</v>
      </c>
      <c r="E1117" s="2" t="s">
        <v>141</v>
      </c>
      <c r="F1117" s="2" t="s">
        <v>261</v>
      </c>
      <c r="G1117" s="2" t="s">
        <v>96</v>
      </c>
      <c r="I1117">
        <f>HEX2DEC(_0811_173439[[#This Row],[580C]])*B$4/B$5+B$6</f>
        <v>800</v>
      </c>
      <c r="J1117">
        <f>HEX2DEC(_0811_173439[[#This Row],[4402]])*C$4/C$5+C$6</f>
        <v>36</v>
      </c>
      <c r="K1117">
        <f>HEX2DEC(_0811_173439[[#This Row],[580F]])*D$4/D$5+D$6</f>
        <v>30</v>
      </c>
      <c r="L1117">
        <f>ROUND(HEX2DEC(_0811_173439[[#This Row],[58F0]])*E$4/E$5+E$6,0)</f>
        <v>70</v>
      </c>
      <c r="M1117">
        <f>ROUND(HEX2DEC(_0811_173439[[#This Row],[5805]])*F$4/F$5+F$6,0)</f>
        <v>44</v>
      </c>
      <c r="N1117">
        <f>ROUND(HEX2DEC(_0811_173439[[#This Row],[58DD]])*G$4/G$5+G$6,2)</f>
        <v>-0.03</v>
      </c>
      <c r="P1117">
        <v>800</v>
      </c>
      <c r="Q1117">
        <v>36</v>
      </c>
      <c r="R1117">
        <v>30</v>
      </c>
      <c r="S1117">
        <v>70</v>
      </c>
      <c r="T1117">
        <v>44</v>
      </c>
      <c r="U1117">
        <v>-0.03</v>
      </c>
      <c r="W1117">
        <f>DataLog_T717420_Aug11_4_59_37pm[[#This Row],[RPM '[1/MIN']]]-Table3[[#This Row],[580C]]</f>
        <v>0</v>
      </c>
      <c r="X1117">
        <f>DataLog_T717420_Aug11_4_59_37pm[[#This Row],[OIL TEMP '[Â°C']]]-Table3[[#This Row],[4402]]</f>
        <v>0</v>
      </c>
      <c r="Y1117">
        <f>DataLog_T717420_Aug11_4_59_37pm[[#This Row],[INTAKE TEMP '[Â°C']]]-Table3[[#This Row],[580F]]</f>
        <v>0</v>
      </c>
      <c r="Z1117">
        <f>DataLog_T717420_Aug11_4_59_37pm[[#This Row],[HPFP PRES. '[BAR']]]-Table3[[#This Row],[58F0]]</f>
        <v>0</v>
      </c>
      <c r="AA1117">
        <f>DataLog_T717420_Aug11_4_59_37pm[[#This Row],[COOLANT TEMP '[Â°C']]]-Table3[[#This Row],[5805]]</f>
        <v>0</v>
      </c>
      <c r="AB1117">
        <f>DataLog_T717420_Aug11_4_59_37pm[[#This Row],[BOOST '[BAR']]]-Table3[[#This Row],[58DD]]</f>
        <v>0</v>
      </c>
    </row>
    <row r="1118" spans="2:28" x14ac:dyDescent="0.25">
      <c r="B1118" s="2" t="s">
        <v>183</v>
      </c>
      <c r="C1118" s="2" t="s">
        <v>30</v>
      </c>
      <c r="D1118" s="2" t="s">
        <v>151</v>
      </c>
      <c r="E1118" s="2" t="s">
        <v>172</v>
      </c>
      <c r="F1118" s="2" t="s">
        <v>261</v>
      </c>
      <c r="G1118" s="2" t="s">
        <v>53</v>
      </c>
      <c r="I1118">
        <f>HEX2DEC(_0811_173439[[#This Row],[580C]])*B$4/B$5+B$6</f>
        <v>800</v>
      </c>
      <c r="J1118">
        <f>HEX2DEC(_0811_173439[[#This Row],[4402]])*C$4/C$5+C$6</f>
        <v>36</v>
      </c>
      <c r="K1118">
        <f>HEX2DEC(_0811_173439[[#This Row],[580F]])*D$4/D$5+D$6</f>
        <v>30</v>
      </c>
      <c r="L1118">
        <f>ROUND(HEX2DEC(_0811_173439[[#This Row],[58F0]])*E$4/E$5+E$6,0)</f>
        <v>70</v>
      </c>
      <c r="M1118">
        <f>ROUND(HEX2DEC(_0811_173439[[#This Row],[5805]])*F$4/F$5+F$6,0)</f>
        <v>44</v>
      </c>
      <c r="N1118">
        <f>ROUND(HEX2DEC(_0811_173439[[#This Row],[58DD]])*G$4/G$5+G$6,2)</f>
        <v>-0.03</v>
      </c>
      <c r="P1118">
        <v>800</v>
      </c>
      <c r="Q1118">
        <v>36</v>
      </c>
      <c r="R1118">
        <v>30</v>
      </c>
      <c r="S1118">
        <v>70</v>
      </c>
      <c r="T1118">
        <v>44</v>
      </c>
      <c r="U1118">
        <v>-0.03</v>
      </c>
      <c r="W1118">
        <f>DataLog_T717420_Aug11_4_59_37pm[[#This Row],[RPM '[1/MIN']]]-Table3[[#This Row],[580C]]</f>
        <v>0</v>
      </c>
      <c r="X1118">
        <f>DataLog_T717420_Aug11_4_59_37pm[[#This Row],[OIL TEMP '[Â°C']]]-Table3[[#This Row],[4402]]</f>
        <v>0</v>
      </c>
      <c r="Y1118">
        <f>DataLog_T717420_Aug11_4_59_37pm[[#This Row],[INTAKE TEMP '[Â°C']]]-Table3[[#This Row],[580F]]</f>
        <v>0</v>
      </c>
      <c r="Z1118">
        <f>DataLog_T717420_Aug11_4_59_37pm[[#This Row],[HPFP PRES. '[BAR']]]-Table3[[#This Row],[58F0]]</f>
        <v>0</v>
      </c>
      <c r="AA1118">
        <f>DataLog_T717420_Aug11_4_59_37pm[[#This Row],[COOLANT TEMP '[Â°C']]]-Table3[[#This Row],[5805]]</f>
        <v>0</v>
      </c>
      <c r="AB1118">
        <f>DataLog_T717420_Aug11_4_59_37pm[[#This Row],[BOOST '[BAR']]]-Table3[[#This Row],[58DD]]</f>
        <v>0</v>
      </c>
    </row>
    <row r="1119" spans="2:28" x14ac:dyDescent="0.25">
      <c r="B1119" s="2" t="s">
        <v>183</v>
      </c>
      <c r="C1119" s="2" t="s">
        <v>30</v>
      </c>
      <c r="D1119" s="2" t="s">
        <v>151</v>
      </c>
      <c r="E1119" s="2" t="s">
        <v>159</v>
      </c>
      <c r="F1119" s="2" t="s">
        <v>261</v>
      </c>
      <c r="G1119" s="2" t="s">
        <v>216</v>
      </c>
      <c r="I1119">
        <f>HEX2DEC(_0811_173439[[#This Row],[580C]])*B$4/B$5+B$6</f>
        <v>800</v>
      </c>
      <c r="J1119">
        <f>HEX2DEC(_0811_173439[[#This Row],[4402]])*C$4/C$5+C$6</f>
        <v>36</v>
      </c>
      <c r="K1119">
        <f>HEX2DEC(_0811_173439[[#This Row],[580F]])*D$4/D$5+D$6</f>
        <v>30</v>
      </c>
      <c r="L1119">
        <f>ROUND(HEX2DEC(_0811_173439[[#This Row],[58F0]])*E$4/E$5+E$6,0)</f>
        <v>70</v>
      </c>
      <c r="M1119">
        <f>ROUND(HEX2DEC(_0811_173439[[#This Row],[5805]])*F$4/F$5+F$6,0)</f>
        <v>44</v>
      </c>
      <c r="N1119">
        <f>ROUND(HEX2DEC(_0811_173439[[#This Row],[58DD]])*G$4/G$5+G$6,2)</f>
        <v>-0.03</v>
      </c>
      <c r="P1119">
        <v>800</v>
      </c>
      <c r="Q1119">
        <v>36</v>
      </c>
      <c r="R1119">
        <v>30</v>
      </c>
      <c r="S1119">
        <v>70</v>
      </c>
      <c r="T1119">
        <v>44</v>
      </c>
      <c r="U1119">
        <v>-0.03</v>
      </c>
      <c r="W1119">
        <f>DataLog_T717420_Aug11_4_59_37pm[[#This Row],[RPM '[1/MIN']]]-Table3[[#This Row],[580C]]</f>
        <v>0</v>
      </c>
      <c r="X1119">
        <f>DataLog_T717420_Aug11_4_59_37pm[[#This Row],[OIL TEMP '[Â°C']]]-Table3[[#This Row],[4402]]</f>
        <v>0</v>
      </c>
      <c r="Y1119">
        <f>DataLog_T717420_Aug11_4_59_37pm[[#This Row],[INTAKE TEMP '[Â°C']]]-Table3[[#This Row],[580F]]</f>
        <v>0</v>
      </c>
      <c r="Z1119">
        <f>DataLog_T717420_Aug11_4_59_37pm[[#This Row],[HPFP PRES. '[BAR']]]-Table3[[#This Row],[58F0]]</f>
        <v>0</v>
      </c>
      <c r="AA1119">
        <f>DataLog_T717420_Aug11_4_59_37pm[[#This Row],[COOLANT TEMP '[Â°C']]]-Table3[[#This Row],[5805]]</f>
        <v>0</v>
      </c>
      <c r="AB1119">
        <f>DataLog_T717420_Aug11_4_59_37pm[[#This Row],[BOOST '[BAR']]]-Table3[[#This Row],[58DD]]</f>
        <v>0</v>
      </c>
    </row>
    <row r="1120" spans="2:28" x14ac:dyDescent="0.25">
      <c r="B1120" s="2" t="s">
        <v>189</v>
      </c>
      <c r="C1120" s="2" t="s">
        <v>262</v>
      </c>
      <c r="D1120" s="2" t="s">
        <v>151</v>
      </c>
      <c r="E1120" s="2" t="s">
        <v>153</v>
      </c>
      <c r="F1120" s="2" t="s">
        <v>261</v>
      </c>
      <c r="G1120" s="2" t="s">
        <v>236</v>
      </c>
      <c r="I1120">
        <f>HEX2DEC(_0811_173439[[#This Row],[580C]])*B$4/B$5+B$6</f>
        <v>760</v>
      </c>
      <c r="J1120">
        <f>HEX2DEC(_0811_173439[[#This Row],[4402]])*C$4/C$5+C$6</f>
        <v>37</v>
      </c>
      <c r="K1120">
        <f>HEX2DEC(_0811_173439[[#This Row],[580F]])*D$4/D$5+D$6</f>
        <v>30</v>
      </c>
      <c r="L1120">
        <f>ROUND(HEX2DEC(_0811_173439[[#This Row],[58F0]])*E$4/E$5+E$6,0)</f>
        <v>70</v>
      </c>
      <c r="M1120">
        <f>ROUND(HEX2DEC(_0811_173439[[#This Row],[5805]])*F$4/F$5+F$6,0)</f>
        <v>44</v>
      </c>
      <c r="N1120">
        <f>ROUND(HEX2DEC(_0811_173439[[#This Row],[58DD]])*G$4/G$5+G$6,2)</f>
        <v>-0.03</v>
      </c>
      <c r="P1120">
        <v>760</v>
      </c>
      <c r="Q1120">
        <v>37</v>
      </c>
      <c r="R1120">
        <v>30</v>
      </c>
      <c r="S1120">
        <v>70</v>
      </c>
      <c r="T1120">
        <v>44</v>
      </c>
      <c r="U1120">
        <v>-0.03</v>
      </c>
      <c r="W1120">
        <f>DataLog_T717420_Aug11_4_59_37pm[[#This Row],[RPM '[1/MIN']]]-Table3[[#This Row],[580C]]</f>
        <v>0</v>
      </c>
      <c r="X1120">
        <f>DataLog_T717420_Aug11_4_59_37pm[[#This Row],[OIL TEMP '[Â°C']]]-Table3[[#This Row],[4402]]</f>
        <v>0</v>
      </c>
      <c r="Y1120">
        <f>DataLog_T717420_Aug11_4_59_37pm[[#This Row],[INTAKE TEMP '[Â°C']]]-Table3[[#This Row],[580F]]</f>
        <v>0</v>
      </c>
      <c r="Z1120">
        <f>DataLog_T717420_Aug11_4_59_37pm[[#This Row],[HPFP PRES. '[BAR']]]-Table3[[#This Row],[58F0]]</f>
        <v>0</v>
      </c>
      <c r="AA1120">
        <f>DataLog_T717420_Aug11_4_59_37pm[[#This Row],[COOLANT TEMP '[Â°C']]]-Table3[[#This Row],[5805]]</f>
        <v>0</v>
      </c>
      <c r="AB1120">
        <f>DataLog_T717420_Aug11_4_59_37pm[[#This Row],[BOOST '[BAR']]]-Table3[[#This Row],[58DD]]</f>
        <v>0</v>
      </c>
    </row>
    <row r="1121" spans="2:28" x14ac:dyDescent="0.25">
      <c r="B1121" s="2" t="s">
        <v>183</v>
      </c>
      <c r="C1121" s="2" t="s">
        <v>262</v>
      </c>
      <c r="D1121" s="2" t="s">
        <v>151</v>
      </c>
      <c r="E1121" s="2" t="s">
        <v>165</v>
      </c>
      <c r="F1121" s="2" t="s">
        <v>261</v>
      </c>
      <c r="G1121" s="2" t="s">
        <v>90</v>
      </c>
      <c r="I1121">
        <f>HEX2DEC(_0811_173439[[#This Row],[580C]])*B$4/B$5+B$6</f>
        <v>800</v>
      </c>
      <c r="J1121">
        <f>HEX2DEC(_0811_173439[[#This Row],[4402]])*C$4/C$5+C$6</f>
        <v>37</v>
      </c>
      <c r="K1121">
        <f>HEX2DEC(_0811_173439[[#This Row],[580F]])*D$4/D$5+D$6</f>
        <v>30</v>
      </c>
      <c r="L1121">
        <f>ROUND(HEX2DEC(_0811_173439[[#This Row],[58F0]])*E$4/E$5+E$6,0)</f>
        <v>70</v>
      </c>
      <c r="M1121">
        <f>ROUND(HEX2DEC(_0811_173439[[#This Row],[5805]])*F$4/F$5+F$6,0)</f>
        <v>44</v>
      </c>
      <c r="N1121">
        <f>ROUND(HEX2DEC(_0811_173439[[#This Row],[58DD]])*G$4/G$5+G$6,2)</f>
        <v>-0.03</v>
      </c>
      <c r="P1121">
        <v>800</v>
      </c>
      <c r="Q1121">
        <v>37</v>
      </c>
      <c r="R1121">
        <v>30</v>
      </c>
      <c r="S1121">
        <v>70</v>
      </c>
      <c r="T1121">
        <v>44</v>
      </c>
      <c r="U1121">
        <v>-0.03</v>
      </c>
      <c r="W1121">
        <f>DataLog_T717420_Aug11_4_59_37pm[[#This Row],[RPM '[1/MIN']]]-Table3[[#This Row],[580C]]</f>
        <v>0</v>
      </c>
      <c r="X1121">
        <f>DataLog_T717420_Aug11_4_59_37pm[[#This Row],[OIL TEMP '[Â°C']]]-Table3[[#This Row],[4402]]</f>
        <v>0</v>
      </c>
      <c r="Y1121">
        <f>DataLog_T717420_Aug11_4_59_37pm[[#This Row],[INTAKE TEMP '[Â°C']]]-Table3[[#This Row],[580F]]</f>
        <v>0</v>
      </c>
      <c r="Z1121">
        <f>DataLog_T717420_Aug11_4_59_37pm[[#This Row],[HPFP PRES. '[BAR']]]-Table3[[#This Row],[58F0]]</f>
        <v>0</v>
      </c>
      <c r="AA1121">
        <f>DataLog_T717420_Aug11_4_59_37pm[[#This Row],[COOLANT TEMP '[Â°C']]]-Table3[[#This Row],[5805]]</f>
        <v>0</v>
      </c>
      <c r="AB1121">
        <f>DataLog_T717420_Aug11_4_59_37pm[[#This Row],[BOOST '[BAR']]]-Table3[[#This Row],[58DD]]</f>
        <v>0</v>
      </c>
    </row>
    <row r="1122" spans="2:28" x14ac:dyDescent="0.25">
      <c r="B1122" s="2" t="s">
        <v>189</v>
      </c>
      <c r="C1122" s="2" t="s">
        <v>262</v>
      </c>
      <c r="D1122" s="2" t="s">
        <v>151</v>
      </c>
      <c r="E1122" s="2" t="s">
        <v>158</v>
      </c>
      <c r="F1122" s="2" t="s">
        <v>261</v>
      </c>
      <c r="G1122" s="2" t="s">
        <v>190</v>
      </c>
      <c r="I1122">
        <f>HEX2DEC(_0811_173439[[#This Row],[580C]])*B$4/B$5+B$6</f>
        <v>760</v>
      </c>
      <c r="J1122">
        <f>HEX2DEC(_0811_173439[[#This Row],[4402]])*C$4/C$5+C$6</f>
        <v>37</v>
      </c>
      <c r="K1122">
        <f>HEX2DEC(_0811_173439[[#This Row],[580F]])*D$4/D$5+D$6</f>
        <v>30</v>
      </c>
      <c r="L1122">
        <f>ROUND(HEX2DEC(_0811_173439[[#This Row],[58F0]])*E$4/E$5+E$6,0)</f>
        <v>70</v>
      </c>
      <c r="M1122">
        <f>ROUND(HEX2DEC(_0811_173439[[#This Row],[5805]])*F$4/F$5+F$6,0)</f>
        <v>44</v>
      </c>
      <c r="N1122">
        <f>ROUND(HEX2DEC(_0811_173439[[#This Row],[58DD]])*G$4/G$5+G$6,2)</f>
        <v>-0.03</v>
      </c>
      <c r="P1122">
        <v>760</v>
      </c>
      <c r="Q1122">
        <v>37</v>
      </c>
      <c r="R1122">
        <v>30</v>
      </c>
      <c r="S1122">
        <v>70</v>
      </c>
      <c r="T1122">
        <v>44</v>
      </c>
      <c r="U1122">
        <v>-0.03</v>
      </c>
      <c r="W1122">
        <f>DataLog_T717420_Aug11_4_59_37pm[[#This Row],[RPM '[1/MIN']]]-Table3[[#This Row],[580C]]</f>
        <v>0</v>
      </c>
      <c r="X1122">
        <f>DataLog_T717420_Aug11_4_59_37pm[[#This Row],[OIL TEMP '[Â°C']]]-Table3[[#This Row],[4402]]</f>
        <v>0</v>
      </c>
      <c r="Y1122">
        <f>DataLog_T717420_Aug11_4_59_37pm[[#This Row],[INTAKE TEMP '[Â°C']]]-Table3[[#This Row],[580F]]</f>
        <v>0</v>
      </c>
      <c r="Z1122">
        <f>DataLog_T717420_Aug11_4_59_37pm[[#This Row],[HPFP PRES. '[BAR']]]-Table3[[#This Row],[58F0]]</f>
        <v>0</v>
      </c>
      <c r="AA1122">
        <f>DataLog_T717420_Aug11_4_59_37pm[[#This Row],[COOLANT TEMP '[Â°C']]]-Table3[[#This Row],[5805]]</f>
        <v>0</v>
      </c>
      <c r="AB1122">
        <f>DataLog_T717420_Aug11_4_59_37pm[[#This Row],[BOOST '[BAR']]]-Table3[[#This Row],[58DD]]</f>
        <v>0</v>
      </c>
    </row>
    <row r="1123" spans="2:28" x14ac:dyDescent="0.25">
      <c r="B1123" s="2" t="s">
        <v>183</v>
      </c>
      <c r="C1123" s="2" t="s">
        <v>262</v>
      </c>
      <c r="D1123" s="2" t="s">
        <v>151</v>
      </c>
      <c r="E1123" s="2" t="s">
        <v>157</v>
      </c>
      <c r="F1123" s="2" t="s">
        <v>261</v>
      </c>
      <c r="G1123" s="2" t="s">
        <v>190</v>
      </c>
      <c r="I1123">
        <f>HEX2DEC(_0811_173439[[#This Row],[580C]])*B$4/B$5+B$6</f>
        <v>800</v>
      </c>
      <c r="J1123">
        <f>HEX2DEC(_0811_173439[[#This Row],[4402]])*C$4/C$5+C$6</f>
        <v>37</v>
      </c>
      <c r="K1123">
        <f>HEX2DEC(_0811_173439[[#This Row],[580F]])*D$4/D$5+D$6</f>
        <v>30</v>
      </c>
      <c r="L1123">
        <f>ROUND(HEX2DEC(_0811_173439[[#This Row],[58F0]])*E$4/E$5+E$6,0)</f>
        <v>70</v>
      </c>
      <c r="M1123">
        <f>ROUND(HEX2DEC(_0811_173439[[#This Row],[5805]])*F$4/F$5+F$6,0)</f>
        <v>44</v>
      </c>
      <c r="N1123">
        <f>ROUND(HEX2DEC(_0811_173439[[#This Row],[58DD]])*G$4/G$5+G$6,2)</f>
        <v>-0.03</v>
      </c>
      <c r="P1123">
        <v>800</v>
      </c>
      <c r="Q1123">
        <v>37</v>
      </c>
      <c r="R1123">
        <v>30</v>
      </c>
      <c r="S1123">
        <v>70</v>
      </c>
      <c r="T1123">
        <v>44</v>
      </c>
      <c r="U1123">
        <v>-0.03</v>
      </c>
      <c r="W1123">
        <f>DataLog_T717420_Aug11_4_59_37pm[[#This Row],[RPM '[1/MIN']]]-Table3[[#This Row],[580C]]</f>
        <v>0</v>
      </c>
      <c r="X1123">
        <f>DataLog_T717420_Aug11_4_59_37pm[[#This Row],[OIL TEMP '[Â°C']]]-Table3[[#This Row],[4402]]</f>
        <v>0</v>
      </c>
      <c r="Y1123">
        <f>DataLog_T717420_Aug11_4_59_37pm[[#This Row],[INTAKE TEMP '[Â°C']]]-Table3[[#This Row],[580F]]</f>
        <v>0</v>
      </c>
      <c r="Z1123">
        <f>DataLog_T717420_Aug11_4_59_37pm[[#This Row],[HPFP PRES. '[BAR']]]-Table3[[#This Row],[58F0]]</f>
        <v>0</v>
      </c>
      <c r="AA1123">
        <f>DataLog_T717420_Aug11_4_59_37pm[[#This Row],[COOLANT TEMP '[Â°C']]]-Table3[[#This Row],[5805]]</f>
        <v>0</v>
      </c>
      <c r="AB1123">
        <f>DataLog_T717420_Aug11_4_59_37pm[[#This Row],[BOOST '[BAR']]]-Table3[[#This Row],[58DD]]</f>
        <v>0</v>
      </c>
    </row>
    <row r="1124" spans="2:28" x14ac:dyDescent="0.25">
      <c r="B1124" s="2" t="s">
        <v>183</v>
      </c>
      <c r="C1124" s="2" t="s">
        <v>262</v>
      </c>
      <c r="D1124" s="2" t="s">
        <v>151</v>
      </c>
      <c r="E1124" s="2" t="s">
        <v>165</v>
      </c>
      <c r="F1124" s="2" t="s">
        <v>261</v>
      </c>
      <c r="G1124" s="2" t="s">
        <v>71</v>
      </c>
      <c r="I1124">
        <f>HEX2DEC(_0811_173439[[#This Row],[580C]])*B$4/B$5+B$6</f>
        <v>800</v>
      </c>
      <c r="J1124">
        <f>HEX2DEC(_0811_173439[[#This Row],[4402]])*C$4/C$5+C$6</f>
        <v>37</v>
      </c>
      <c r="K1124">
        <f>HEX2DEC(_0811_173439[[#This Row],[580F]])*D$4/D$5+D$6</f>
        <v>30</v>
      </c>
      <c r="L1124">
        <f>ROUND(HEX2DEC(_0811_173439[[#This Row],[58F0]])*E$4/E$5+E$6,0)</f>
        <v>70</v>
      </c>
      <c r="M1124">
        <f>ROUND(HEX2DEC(_0811_173439[[#This Row],[5805]])*F$4/F$5+F$6,0)</f>
        <v>44</v>
      </c>
      <c r="N1124">
        <f>ROUND(HEX2DEC(_0811_173439[[#This Row],[58DD]])*G$4/G$5+G$6,2)</f>
        <v>-0.03</v>
      </c>
      <c r="P1124">
        <v>800</v>
      </c>
      <c r="Q1124">
        <v>37</v>
      </c>
      <c r="R1124">
        <v>30</v>
      </c>
      <c r="S1124">
        <v>70</v>
      </c>
      <c r="T1124">
        <v>44</v>
      </c>
      <c r="U1124">
        <v>-0.03</v>
      </c>
      <c r="W1124">
        <f>DataLog_T717420_Aug11_4_59_37pm[[#This Row],[RPM '[1/MIN']]]-Table3[[#This Row],[580C]]</f>
        <v>0</v>
      </c>
      <c r="X1124">
        <f>DataLog_T717420_Aug11_4_59_37pm[[#This Row],[OIL TEMP '[Â°C']]]-Table3[[#This Row],[4402]]</f>
        <v>0</v>
      </c>
      <c r="Y1124">
        <f>DataLog_T717420_Aug11_4_59_37pm[[#This Row],[INTAKE TEMP '[Â°C']]]-Table3[[#This Row],[580F]]</f>
        <v>0</v>
      </c>
      <c r="Z1124">
        <f>DataLog_T717420_Aug11_4_59_37pm[[#This Row],[HPFP PRES. '[BAR']]]-Table3[[#This Row],[58F0]]</f>
        <v>0</v>
      </c>
      <c r="AA1124">
        <f>DataLog_T717420_Aug11_4_59_37pm[[#This Row],[COOLANT TEMP '[Â°C']]]-Table3[[#This Row],[5805]]</f>
        <v>0</v>
      </c>
      <c r="AB1124">
        <f>DataLog_T717420_Aug11_4_59_37pm[[#This Row],[BOOST '[BAR']]]-Table3[[#This Row],[58DD]]</f>
        <v>0</v>
      </c>
    </row>
    <row r="1125" spans="2:28" x14ac:dyDescent="0.25">
      <c r="B1125" s="2" t="s">
        <v>183</v>
      </c>
      <c r="C1125" s="2" t="s">
        <v>262</v>
      </c>
      <c r="D1125" s="2" t="s">
        <v>151</v>
      </c>
      <c r="E1125" s="2" t="s">
        <v>158</v>
      </c>
      <c r="F1125" s="2" t="s">
        <v>261</v>
      </c>
      <c r="G1125" s="2" t="s">
        <v>71</v>
      </c>
      <c r="I1125">
        <f>HEX2DEC(_0811_173439[[#This Row],[580C]])*B$4/B$5+B$6</f>
        <v>800</v>
      </c>
      <c r="J1125">
        <f>HEX2DEC(_0811_173439[[#This Row],[4402]])*C$4/C$5+C$6</f>
        <v>37</v>
      </c>
      <c r="K1125">
        <f>HEX2DEC(_0811_173439[[#This Row],[580F]])*D$4/D$5+D$6</f>
        <v>30</v>
      </c>
      <c r="L1125">
        <f>ROUND(HEX2DEC(_0811_173439[[#This Row],[58F0]])*E$4/E$5+E$6,0)</f>
        <v>70</v>
      </c>
      <c r="M1125">
        <f>ROUND(HEX2DEC(_0811_173439[[#This Row],[5805]])*F$4/F$5+F$6,0)</f>
        <v>44</v>
      </c>
      <c r="N1125">
        <f>ROUND(HEX2DEC(_0811_173439[[#This Row],[58DD]])*G$4/G$5+G$6,2)</f>
        <v>-0.03</v>
      </c>
      <c r="P1125">
        <v>800</v>
      </c>
      <c r="Q1125">
        <v>37</v>
      </c>
      <c r="R1125">
        <v>30</v>
      </c>
      <c r="S1125">
        <v>70</v>
      </c>
      <c r="T1125">
        <v>44</v>
      </c>
      <c r="U1125">
        <v>-0.03</v>
      </c>
      <c r="W1125">
        <f>DataLog_T717420_Aug11_4_59_37pm[[#This Row],[RPM '[1/MIN']]]-Table3[[#This Row],[580C]]</f>
        <v>0</v>
      </c>
      <c r="X1125">
        <f>DataLog_T717420_Aug11_4_59_37pm[[#This Row],[OIL TEMP '[Â°C']]]-Table3[[#This Row],[4402]]</f>
        <v>0</v>
      </c>
      <c r="Y1125">
        <f>DataLog_T717420_Aug11_4_59_37pm[[#This Row],[INTAKE TEMP '[Â°C']]]-Table3[[#This Row],[580F]]</f>
        <v>0</v>
      </c>
      <c r="Z1125">
        <f>DataLog_T717420_Aug11_4_59_37pm[[#This Row],[HPFP PRES. '[BAR']]]-Table3[[#This Row],[58F0]]</f>
        <v>0</v>
      </c>
      <c r="AA1125">
        <f>DataLog_T717420_Aug11_4_59_37pm[[#This Row],[COOLANT TEMP '[Â°C']]]-Table3[[#This Row],[5805]]</f>
        <v>0</v>
      </c>
      <c r="AB1125">
        <f>DataLog_T717420_Aug11_4_59_37pm[[#This Row],[BOOST '[BAR']]]-Table3[[#This Row],[58DD]]</f>
        <v>0</v>
      </c>
    </row>
    <row r="1126" spans="2:28" x14ac:dyDescent="0.25">
      <c r="B1126" s="2" t="s">
        <v>183</v>
      </c>
      <c r="C1126" s="2" t="s">
        <v>262</v>
      </c>
      <c r="D1126" s="2" t="s">
        <v>151</v>
      </c>
      <c r="E1126" s="2" t="s">
        <v>165</v>
      </c>
      <c r="F1126" s="2" t="s">
        <v>261</v>
      </c>
      <c r="G1126" s="2" t="s">
        <v>96</v>
      </c>
      <c r="I1126">
        <f>HEX2DEC(_0811_173439[[#This Row],[580C]])*B$4/B$5+B$6</f>
        <v>800</v>
      </c>
      <c r="J1126">
        <f>HEX2DEC(_0811_173439[[#This Row],[4402]])*C$4/C$5+C$6</f>
        <v>37</v>
      </c>
      <c r="K1126">
        <f>HEX2DEC(_0811_173439[[#This Row],[580F]])*D$4/D$5+D$6</f>
        <v>30</v>
      </c>
      <c r="L1126">
        <f>ROUND(HEX2DEC(_0811_173439[[#This Row],[58F0]])*E$4/E$5+E$6,0)</f>
        <v>70</v>
      </c>
      <c r="M1126">
        <f>ROUND(HEX2DEC(_0811_173439[[#This Row],[5805]])*F$4/F$5+F$6,0)</f>
        <v>44</v>
      </c>
      <c r="N1126">
        <f>ROUND(HEX2DEC(_0811_173439[[#This Row],[58DD]])*G$4/G$5+G$6,2)</f>
        <v>-0.03</v>
      </c>
      <c r="P1126">
        <v>800</v>
      </c>
      <c r="Q1126">
        <v>37</v>
      </c>
      <c r="R1126">
        <v>30</v>
      </c>
      <c r="S1126">
        <v>70</v>
      </c>
      <c r="T1126">
        <v>44</v>
      </c>
      <c r="U1126">
        <v>-0.03</v>
      </c>
      <c r="W1126">
        <f>DataLog_T717420_Aug11_4_59_37pm[[#This Row],[RPM '[1/MIN']]]-Table3[[#This Row],[580C]]</f>
        <v>0</v>
      </c>
      <c r="X1126">
        <f>DataLog_T717420_Aug11_4_59_37pm[[#This Row],[OIL TEMP '[Â°C']]]-Table3[[#This Row],[4402]]</f>
        <v>0</v>
      </c>
      <c r="Y1126">
        <f>DataLog_T717420_Aug11_4_59_37pm[[#This Row],[INTAKE TEMP '[Â°C']]]-Table3[[#This Row],[580F]]</f>
        <v>0</v>
      </c>
      <c r="Z1126">
        <f>DataLog_T717420_Aug11_4_59_37pm[[#This Row],[HPFP PRES. '[BAR']]]-Table3[[#This Row],[58F0]]</f>
        <v>0</v>
      </c>
      <c r="AA1126">
        <f>DataLog_T717420_Aug11_4_59_37pm[[#This Row],[COOLANT TEMP '[Â°C']]]-Table3[[#This Row],[5805]]</f>
        <v>0</v>
      </c>
      <c r="AB1126">
        <f>DataLog_T717420_Aug11_4_59_37pm[[#This Row],[BOOST '[BAR']]]-Table3[[#This Row],[58DD]]</f>
        <v>0</v>
      </c>
    </row>
    <row r="1127" spans="2:28" x14ac:dyDescent="0.25">
      <c r="B1127" s="2" t="s">
        <v>183</v>
      </c>
      <c r="C1127" s="2" t="s">
        <v>262</v>
      </c>
      <c r="D1127" s="2" t="s">
        <v>151</v>
      </c>
      <c r="E1127" s="2" t="s">
        <v>165</v>
      </c>
      <c r="F1127" s="2" t="s">
        <v>261</v>
      </c>
      <c r="G1127" s="2" t="s">
        <v>53</v>
      </c>
      <c r="I1127">
        <f>HEX2DEC(_0811_173439[[#This Row],[580C]])*B$4/B$5+B$6</f>
        <v>800</v>
      </c>
      <c r="J1127">
        <f>HEX2DEC(_0811_173439[[#This Row],[4402]])*C$4/C$5+C$6</f>
        <v>37</v>
      </c>
      <c r="K1127">
        <f>HEX2DEC(_0811_173439[[#This Row],[580F]])*D$4/D$5+D$6</f>
        <v>30</v>
      </c>
      <c r="L1127">
        <f>ROUND(HEX2DEC(_0811_173439[[#This Row],[58F0]])*E$4/E$5+E$6,0)</f>
        <v>70</v>
      </c>
      <c r="M1127">
        <f>ROUND(HEX2DEC(_0811_173439[[#This Row],[5805]])*F$4/F$5+F$6,0)</f>
        <v>44</v>
      </c>
      <c r="N1127">
        <f>ROUND(HEX2DEC(_0811_173439[[#This Row],[58DD]])*G$4/G$5+G$6,2)</f>
        <v>-0.03</v>
      </c>
      <c r="P1127">
        <v>800</v>
      </c>
      <c r="Q1127">
        <v>37</v>
      </c>
      <c r="R1127">
        <v>30</v>
      </c>
      <c r="S1127">
        <v>70</v>
      </c>
      <c r="T1127">
        <v>44</v>
      </c>
      <c r="U1127">
        <v>-0.03</v>
      </c>
      <c r="W1127">
        <f>DataLog_T717420_Aug11_4_59_37pm[[#This Row],[RPM '[1/MIN']]]-Table3[[#This Row],[580C]]</f>
        <v>0</v>
      </c>
      <c r="X1127">
        <f>DataLog_T717420_Aug11_4_59_37pm[[#This Row],[OIL TEMP '[Â°C']]]-Table3[[#This Row],[4402]]</f>
        <v>0</v>
      </c>
      <c r="Y1127">
        <f>DataLog_T717420_Aug11_4_59_37pm[[#This Row],[INTAKE TEMP '[Â°C']]]-Table3[[#This Row],[580F]]</f>
        <v>0</v>
      </c>
      <c r="Z1127">
        <f>DataLog_T717420_Aug11_4_59_37pm[[#This Row],[HPFP PRES. '[BAR']]]-Table3[[#This Row],[58F0]]</f>
        <v>0</v>
      </c>
      <c r="AA1127">
        <f>DataLog_T717420_Aug11_4_59_37pm[[#This Row],[COOLANT TEMP '[Â°C']]]-Table3[[#This Row],[5805]]</f>
        <v>0</v>
      </c>
      <c r="AB1127">
        <f>DataLog_T717420_Aug11_4_59_37pm[[#This Row],[BOOST '[BAR']]]-Table3[[#This Row],[58DD]]</f>
        <v>0</v>
      </c>
    </row>
    <row r="1128" spans="2:28" x14ac:dyDescent="0.25">
      <c r="B1128" s="2" t="s">
        <v>183</v>
      </c>
      <c r="C1128" s="2" t="s">
        <v>262</v>
      </c>
      <c r="D1128" s="2" t="s">
        <v>151</v>
      </c>
      <c r="E1128" s="2" t="s">
        <v>194</v>
      </c>
      <c r="F1128" s="2" t="s">
        <v>261</v>
      </c>
      <c r="G1128" s="2" t="s">
        <v>191</v>
      </c>
      <c r="I1128">
        <f>HEX2DEC(_0811_173439[[#This Row],[580C]])*B$4/B$5+B$6</f>
        <v>800</v>
      </c>
      <c r="J1128">
        <f>HEX2DEC(_0811_173439[[#This Row],[4402]])*C$4/C$5+C$6</f>
        <v>37</v>
      </c>
      <c r="K1128">
        <f>HEX2DEC(_0811_173439[[#This Row],[580F]])*D$4/D$5+D$6</f>
        <v>30</v>
      </c>
      <c r="L1128">
        <f>ROUND(HEX2DEC(_0811_173439[[#This Row],[58F0]])*E$4/E$5+E$6,0)</f>
        <v>70</v>
      </c>
      <c r="M1128">
        <f>ROUND(HEX2DEC(_0811_173439[[#This Row],[5805]])*F$4/F$5+F$6,0)</f>
        <v>44</v>
      </c>
      <c r="N1128">
        <f>ROUND(HEX2DEC(_0811_173439[[#This Row],[58DD]])*G$4/G$5+G$6,2)</f>
        <v>-0.03</v>
      </c>
      <c r="P1128">
        <v>800</v>
      </c>
      <c r="Q1128">
        <v>37</v>
      </c>
      <c r="R1128">
        <v>30</v>
      </c>
      <c r="S1128">
        <v>70</v>
      </c>
      <c r="T1128">
        <v>44</v>
      </c>
      <c r="U1128">
        <v>-0.03</v>
      </c>
      <c r="W1128">
        <f>DataLog_T717420_Aug11_4_59_37pm[[#This Row],[RPM '[1/MIN']]]-Table3[[#This Row],[580C]]</f>
        <v>0</v>
      </c>
      <c r="X1128">
        <f>DataLog_T717420_Aug11_4_59_37pm[[#This Row],[OIL TEMP '[Â°C']]]-Table3[[#This Row],[4402]]</f>
        <v>0</v>
      </c>
      <c r="Y1128">
        <f>DataLog_T717420_Aug11_4_59_37pm[[#This Row],[INTAKE TEMP '[Â°C']]]-Table3[[#This Row],[580F]]</f>
        <v>0</v>
      </c>
      <c r="Z1128">
        <f>DataLog_T717420_Aug11_4_59_37pm[[#This Row],[HPFP PRES. '[BAR']]]-Table3[[#This Row],[58F0]]</f>
        <v>0</v>
      </c>
      <c r="AA1128">
        <f>DataLog_T717420_Aug11_4_59_37pm[[#This Row],[COOLANT TEMP '[Â°C']]]-Table3[[#This Row],[5805]]</f>
        <v>0</v>
      </c>
      <c r="AB1128">
        <f>DataLog_T717420_Aug11_4_59_37pm[[#This Row],[BOOST '[BAR']]]-Table3[[#This Row],[58DD]]</f>
        <v>0</v>
      </c>
    </row>
    <row r="1129" spans="2:28" x14ac:dyDescent="0.25">
      <c r="B1129" s="2" t="s">
        <v>189</v>
      </c>
      <c r="C1129" s="2" t="s">
        <v>262</v>
      </c>
      <c r="D1129" s="2" t="s">
        <v>151</v>
      </c>
      <c r="E1129" s="2" t="s">
        <v>93</v>
      </c>
      <c r="F1129" s="2" t="s">
        <v>261</v>
      </c>
      <c r="G1129" s="2" t="s">
        <v>191</v>
      </c>
      <c r="I1129">
        <f>HEX2DEC(_0811_173439[[#This Row],[580C]])*B$4/B$5+B$6</f>
        <v>760</v>
      </c>
      <c r="J1129">
        <f>HEX2DEC(_0811_173439[[#This Row],[4402]])*C$4/C$5+C$6</f>
        <v>37</v>
      </c>
      <c r="K1129">
        <f>HEX2DEC(_0811_173439[[#This Row],[580F]])*D$4/D$5+D$6</f>
        <v>30</v>
      </c>
      <c r="L1129">
        <f>ROUND(HEX2DEC(_0811_173439[[#This Row],[58F0]])*E$4/E$5+E$6,0)</f>
        <v>70</v>
      </c>
      <c r="M1129">
        <f>ROUND(HEX2DEC(_0811_173439[[#This Row],[5805]])*F$4/F$5+F$6,0)</f>
        <v>44</v>
      </c>
      <c r="N1129">
        <f>ROUND(HEX2DEC(_0811_173439[[#This Row],[58DD]])*G$4/G$5+G$6,2)</f>
        <v>-0.03</v>
      </c>
      <c r="P1129">
        <v>760</v>
      </c>
      <c r="Q1129">
        <v>37</v>
      </c>
      <c r="R1129">
        <v>30</v>
      </c>
      <c r="S1129">
        <v>70</v>
      </c>
      <c r="T1129">
        <v>44</v>
      </c>
      <c r="U1129">
        <v>-0.03</v>
      </c>
      <c r="W1129">
        <f>DataLog_T717420_Aug11_4_59_37pm[[#This Row],[RPM '[1/MIN']]]-Table3[[#This Row],[580C]]</f>
        <v>0</v>
      </c>
      <c r="X1129">
        <f>DataLog_T717420_Aug11_4_59_37pm[[#This Row],[OIL TEMP '[Â°C']]]-Table3[[#This Row],[4402]]</f>
        <v>0</v>
      </c>
      <c r="Y1129">
        <f>DataLog_T717420_Aug11_4_59_37pm[[#This Row],[INTAKE TEMP '[Â°C']]]-Table3[[#This Row],[580F]]</f>
        <v>0</v>
      </c>
      <c r="Z1129">
        <f>DataLog_T717420_Aug11_4_59_37pm[[#This Row],[HPFP PRES. '[BAR']]]-Table3[[#This Row],[58F0]]</f>
        <v>0</v>
      </c>
      <c r="AA1129">
        <f>DataLog_T717420_Aug11_4_59_37pm[[#This Row],[COOLANT TEMP '[Â°C']]]-Table3[[#This Row],[5805]]</f>
        <v>0</v>
      </c>
      <c r="AB1129">
        <f>DataLog_T717420_Aug11_4_59_37pm[[#This Row],[BOOST '[BAR']]]-Table3[[#This Row],[58DD]]</f>
        <v>0</v>
      </c>
    </row>
    <row r="1130" spans="2:28" x14ac:dyDescent="0.25">
      <c r="B1130" s="2" t="s">
        <v>189</v>
      </c>
      <c r="C1130" s="2" t="s">
        <v>262</v>
      </c>
      <c r="D1130" s="2" t="s">
        <v>151</v>
      </c>
      <c r="E1130" s="2" t="s">
        <v>147</v>
      </c>
      <c r="F1130" s="2" t="s">
        <v>261</v>
      </c>
      <c r="G1130" s="2" t="s">
        <v>216</v>
      </c>
      <c r="I1130">
        <f>HEX2DEC(_0811_173439[[#This Row],[580C]])*B$4/B$5+B$6</f>
        <v>760</v>
      </c>
      <c r="J1130">
        <f>HEX2DEC(_0811_173439[[#This Row],[4402]])*C$4/C$5+C$6</f>
        <v>37</v>
      </c>
      <c r="K1130">
        <f>HEX2DEC(_0811_173439[[#This Row],[580F]])*D$4/D$5+D$6</f>
        <v>30</v>
      </c>
      <c r="L1130">
        <f>ROUND(HEX2DEC(_0811_173439[[#This Row],[58F0]])*E$4/E$5+E$6,0)</f>
        <v>71</v>
      </c>
      <c r="M1130">
        <f>ROUND(HEX2DEC(_0811_173439[[#This Row],[5805]])*F$4/F$5+F$6,0)</f>
        <v>44</v>
      </c>
      <c r="N1130">
        <f>ROUND(HEX2DEC(_0811_173439[[#This Row],[58DD]])*G$4/G$5+G$6,2)</f>
        <v>-0.03</v>
      </c>
      <c r="P1130">
        <v>760</v>
      </c>
      <c r="Q1130">
        <v>37</v>
      </c>
      <c r="R1130">
        <v>30</v>
      </c>
      <c r="S1130">
        <v>71</v>
      </c>
      <c r="T1130">
        <v>44</v>
      </c>
      <c r="U1130">
        <v>-0.03</v>
      </c>
      <c r="W1130">
        <f>DataLog_T717420_Aug11_4_59_37pm[[#This Row],[RPM '[1/MIN']]]-Table3[[#This Row],[580C]]</f>
        <v>0</v>
      </c>
      <c r="X1130">
        <f>DataLog_T717420_Aug11_4_59_37pm[[#This Row],[OIL TEMP '[Â°C']]]-Table3[[#This Row],[4402]]</f>
        <v>0</v>
      </c>
      <c r="Y1130">
        <f>DataLog_T717420_Aug11_4_59_37pm[[#This Row],[INTAKE TEMP '[Â°C']]]-Table3[[#This Row],[580F]]</f>
        <v>0</v>
      </c>
      <c r="Z1130">
        <f>DataLog_T717420_Aug11_4_59_37pm[[#This Row],[HPFP PRES. '[BAR']]]-Table3[[#This Row],[58F0]]</f>
        <v>0</v>
      </c>
      <c r="AA1130">
        <f>DataLog_T717420_Aug11_4_59_37pm[[#This Row],[COOLANT TEMP '[Â°C']]]-Table3[[#This Row],[5805]]</f>
        <v>0</v>
      </c>
      <c r="AB1130">
        <f>DataLog_T717420_Aug11_4_59_37pm[[#This Row],[BOOST '[BAR']]]-Table3[[#This Row],[58DD]]</f>
        <v>0</v>
      </c>
    </row>
    <row r="1131" spans="2:28" x14ac:dyDescent="0.25">
      <c r="B1131" s="2" t="s">
        <v>189</v>
      </c>
      <c r="C1131" s="2" t="s">
        <v>262</v>
      </c>
      <c r="D1131" s="2" t="s">
        <v>151</v>
      </c>
      <c r="E1131" s="2" t="s">
        <v>194</v>
      </c>
      <c r="F1131" s="2" t="s">
        <v>261</v>
      </c>
      <c r="G1131" s="2" t="s">
        <v>53</v>
      </c>
      <c r="I1131">
        <f>HEX2DEC(_0811_173439[[#This Row],[580C]])*B$4/B$5+B$6</f>
        <v>760</v>
      </c>
      <c r="J1131">
        <f>HEX2DEC(_0811_173439[[#This Row],[4402]])*C$4/C$5+C$6</f>
        <v>37</v>
      </c>
      <c r="K1131">
        <f>HEX2DEC(_0811_173439[[#This Row],[580F]])*D$4/D$5+D$6</f>
        <v>30</v>
      </c>
      <c r="L1131">
        <f>ROUND(HEX2DEC(_0811_173439[[#This Row],[58F0]])*E$4/E$5+E$6,0)</f>
        <v>70</v>
      </c>
      <c r="M1131">
        <f>ROUND(HEX2DEC(_0811_173439[[#This Row],[5805]])*F$4/F$5+F$6,0)</f>
        <v>44</v>
      </c>
      <c r="N1131">
        <f>ROUND(HEX2DEC(_0811_173439[[#This Row],[58DD]])*G$4/G$5+G$6,2)</f>
        <v>-0.03</v>
      </c>
      <c r="P1131">
        <v>760</v>
      </c>
      <c r="Q1131">
        <v>37</v>
      </c>
      <c r="R1131">
        <v>30</v>
      </c>
      <c r="S1131">
        <v>70</v>
      </c>
      <c r="T1131">
        <v>44</v>
      </c>
      <c r="U1131">
        <v>-0.03</v>
      </c>
      <c r="W1131">
        <f>DataLog_T717420_Aug11_4_59_37pm[[#This Row],[RPM '[1/MIN']]]-Table3[[#This Row],[580C]]</f>
        <v>0</v>
      </c>
      <c r="X1131">
        <f>DataLog_T717420_Aug11_4_59_37pm[[#This Row],[OIL TEMP '[Â°C']]]-Table3[[#This Row],[4402]]</f>
        <v>0</v>
      </c>
      <c r="Y1131">
        <f>DataLog_T717420_Aug11_4_59_37pm[[#This Row],[INTAKE TEMP '[Â°C']]]-Table3[[#This Row],[580F]]</f>
        <v>0</v>
      </c>
      <c r="Z1131">
        <f>DataLog_T717420_Aug11_4_59_37pm[[#This Row],[HPFP PRES. '[BAR']]]-Table3[[#This Row],[58F0]]</f>
        <v>0</v>
      </c>
      <c r="AA1131">
        <f>DataLog_T717420_Aug11_4_59_37pm[[#This Row],[COOLANT TEMP '[Â°C']]]-Table3[[#This Row],[5805]]</f>
        <v>0</v>
      </c>
      <c r="AB1131">
        <f>DataLog_T717420_Aug11_4_59_37pm[[#This Row],[BOOST '[BAR']]]-Table3[[#This Row],[58DD]]</f>
        <v>0</v>
      </c>
    </row>
    <row r="1132" spans="2:28" x14ac:dyDescent="0.25">
      <c r="B1132" s="2" t="s">
        <v>189</v>
      </c>
      <c r="C1132" s="2" t="s">
        <v>262</v>
      </c>
      <c r="D1132" s="2" t="s">
        <v>151</v>
      </c>
      <c r="E1132" s="2" t="s">
        <v>93</v>
      </c>
      <c r="F1132" s="2" t="s">
        <v>261</v>
      </c>
      <c r="G1132" s="2" t="s">
        <v>191</v>
      </c>
      <c r="I1132">
        <f>HEX2DEC(_0811_173439[[#This Row],[580C]])*B$4/B$5+B$6</f>
        <v>760</v>
      </c>
      <c r="J1132">
        <f>HEX2DEC(_0811_173439[[#This Row],[4402]])*C$4/C$5+C$6</f>
        <v>37</v>
      </c>
      <c r="K1132">
        <f>HEX2DEC(_0811_173439[[#This Row],[580F]])*D$4/D$5+D$6</f>
        <v>30</v>
      </c>
      <c r="L1132">
        <f>ROUND(HEX2DEC(_0811_173439[[#This Row],[58F0]])*E$4/E$5+E$6,0)</f>
        <v>70</v>
      </c>
      <c r="M1132">
        <f>ROUND(HEX2DEC(_0811_173439[[#This Row],[5805]])*F$4/F$5+F$6,0)</f>
        <v>44</v>
      </c>
      <c r="N1132">
        <f>ROUND(HEX2DEC(_0811_173439[[#This Row],[58DD]])*G$4/G$5+G$6,2)</f>
        <v>-0.03</v>
      </c>
      <c r="P1132">
        <v>760</v>
      </c>
      <c r="Q1132">
        <v>37</v>
      </c>
      <c r="R1132">
        <v>30</v>
      </c>
      <c r="S1132">
        <v>70</v>
      </c>
      <c r="T1132">
        <v>44</v>
      </c>
      <c r="U1132">
        <v>-0.03</v>
      </c>
      <c r="W1132">
        <f>DataLog_T717420_Aug11_4_59_37pm[[#This Row],[RPM '[1/MIN']]]-Table3[[#This Row],[580C]]</f>
        <v>0</v>
      </c>
      <c r="X1132">
        <f>DataLog_T717420_Aug11_4_59_37pm[[#This Row],[OIL TEMP '[Â°C']]]-Table3[[#This Row],[4402]]</f>
        <v>0</v>
      </c>
      <c r="Y1132">
        <f>DataLog_T717420_Aug11_4_59_37pm[[#This Row],[INTAKE TEMP '[Â°C']]]-Table3[[#This Row],[580F]]</f>
        <v>0</v>
      </c>
      <c r="Z1132">
        <f>DataLog_T717420_Aug11_4_59_37pm[[#This Row],[HPFP PRES. '[BAR']]]-Table3[[#This Row],[58F0]]</f>
        <v>0</v>
      </c>
      <c r="AA1132">
        <f>DataLog_T717420_Aug11_4_59_37pm[[#This Row],[COOLANT TEMP '[Â°C']]]-Table3[[#This Row],[5805]]</f>
        <v>0</v>
      </c>
      <c r="AB1132">
        <f>DataLog_T717420_Aug11_4_59_37pm[[#This Row],[BOOST '[BAR']]]-Table3[[#This Row],[58DD]]</f>
        <v>0</v>
      </c>
    </row>
    <row r="1133" spans="2:28" x14ac:dyDescent="0.25">
      <c r="B1133" s="2" t="s">
        <v>189</v>
      </c>
      <c r="C1133" s="2" t="s">
        <v>262</v>
      </c>
      <c r="D1133" s="2" t="s">
        <v>151</v>
      </c>
      <c r="E1133" s="2" t="s">
        <v>165</v>
      </c>
      <c r="F1133" s="2" t="s">
        <v>261</v>
      </c>
      <c r="G1133" s="2" t="s">
        <v>96</v>
      </c>
      <c r="I1133">
        <f>HEX2DEC(_0811_173439[[#This Row],[580C]])*B$4/B$5+B$6</f>
        <v>760</v>
      </c>
      <c r="J1133">
        <f>HEX2DEC(_0811_173439[[#This Row],[4402]])*C$4/C$5+C$6</f>
        <v>37</v>
      </c>
      <c r="K1133">
        <f>HEX2DEC(_0811_173439[[#This Row],[580F]])*D$4/D$5+D$6</f>
        <v>30</v>
      </c>
      <c r="L1133">
        <f>ROUND(HEX2DEC(_0811_173439[[#This Row],[58F0]])*E$4/E$5+E$6,0)</f>
        <v>70</v>
      </c>
      <c r="M1133">
        <f>ROUND(HEX2DEC(_0811_173439[[#This Row],[5805]])*F$4/F$5+F$6,0)</f>
        <v>44</v>
      </c>
      <c r="N1133">
        <f>ROUND(HEX2DEC(_0811_173439[[#This Row],[58DD]])*G$4/G$5+G$6,2)</f>
        <v>-0.03</v>
      </c>
      <c r="P1133">
        <v>760</v>
      </c>
      <c r="Q1133">
        <v>37</v>
      </c>
      <c r="R1133">
        <v>30</v>
      </c>
      <c r="S1133">
        <v>70</v>
      </c>
      <c r="T1133">
        <v>44</v>
      </c>
      <c r="U1133">
        <v>-0.03</v>
      </c>
      <c r="W1133">
        <f>DataLog_T717420_Aug11_4_59_37pm[[#This Row],[RPM '[1/MIN']]]-Table3[[#This Row],[580C]]</f>
        <v>0</v>
      </c>
      <c r="X1133">
        <f>DataLog_T717420_Aug11_4_59_37pm[[#This Row],[OIL TEMP '[Â°C']]]-Table3[[#This Row],[4402]]</f>
        <v>0</v>
      </c>
      <c r="Y1133">
        <f>DataLog_T717420_Aug11_4_59_37pm[[#This Row],[INTAKE TEMP '[Â°C']]]-Table3[[#This Row],[580F]]</f>
        <v>0</v>
      </c>
      <c r="Z1133">
        <f>DataLog_T717420_Aug11_4_59_37pm[[#This Row],[HPFP PRES. '[BAR']]]-Table3[[#This Row],[58F0]]</f>
        <v>0</v>
      </c>
      <c r="AA1133">
        <f>DataLog_T717420_Aug11_4_59_37pm[[#This Row],[COOLANT TEMP '[Â°C']]]-Table3[[#This Row],[5805]]</f>
        <v>0</v>
      </c>
      <c r="AB1133">
        <f>DataLog_T717420_Aug11_4_59_37pm[[#This Row],[BOOST '[BAR']]]-Table3[[#This Row],[58DD]]</f>
        <v>0</v>
      </c>
    </row>
    <row r="1134" spans="2:28" x14ac:dyDescent="0.25">
      <c r="B1134" s="2" t="s">
        <v>189</v>
      </c>
      <c r="C1134" s="2" t="s">
        <v>262</v>
      </c>
      <c r="D1134" s="2" t="s">
        <v>151</v>
      </c>
      <c r="E1134" s="2" t="s">
        <v>138</v>
      </c>
      <c r="F1134" s="2" t="s">
        <v>261</v>
      </c>
      <c r="G1134" s="2" t="s">
        <v>53</v>
      </c>
      <c r="I1134">
        <f>HEX2DEC(_0811_173439[[#This Row],[580C]])*B$4/B$5+B$6</f>
        <v>760</v>
      </c>
      <c r="J1134">
        <f>HEX2DEC(_0811_173439[[#This Row],[4402]])*C$4/C$5+C$6</f>
        <v>37</v>
      </c>
      <c r="K1134">
        <f>HEX2DEC(_0811_173439[[#This Row],[580F]])*D$4/D$5+D$6</f>
        <v>30</v>
      </c>
      <c r="L1134">
        <f>ROUND(HEX2DEC(_0811_173439[[#This Row],[58F0]])*E$4/E$5+E$6,0)</f>
        <v>70</v>
      </c>
      <c r="M1134">
        <f>ROUND(HEX2DEC(_0811_173439[[#This Row],[5805]])*F$4/F$5+F$6,0)</f>
        <v>44</v>
      </c>
      <c r="N1134">
        <f>ROUND(HEX2DEC(_0811_173439[[#This Row],[58DD]])*G$4/G$5+G$6,2)</f>
        <v>-0.03</v>
      </c>
      <c r="P1134">
        <v>760</v>
      </c>
      <c r="Q1134">
        <v>37</v>
      </c>
      <c r="R1134">
        <v>30</v>
      </c>
      <c r="S1134">
        <v>70</v>
      </c>
      <c r="T1134">
        <v>44</v>
      </c>
      <c r="U1134">
        <v>-0.03</v>
      </c>
      <c r="W1134">
        <f>DataLog_T717420_Aug11_4_59_37pm[[#This Row],[RPM '[1/MIN']]]-Table3[[#This Row],[580C]]</f>
        <v>0</v>
      </c>
      <c r="X1134">
        <f>DataLog_T717420_Aug11_4_59_37pm[[#This Row],[OIL TEMP '[Â°C']]]-Table3[[#This Row],[4402]]</f>
        <v>0</v>
      </c>
      <c r="Y1134">
        <f>DataLog_T717420_Aug11_4_59_37pm[[#This Row],[INTAKE TEMP '[Â°C']]]-Table3[[#This Row],[580F]]</f>
        <v>0</v>
      </c>
      <c r="Z1134">
        <f>DataLog_T717420_Aug11_4_59_37pm[[#This Row],[HPFP PRES. '[BAR']]]-Table3[[#This Row],[58F0]]</f>
        <v>0</v>
      </c>
      <c r="AA1134">
        <f>DataLog_T717420_Aug11_4_59_37pm[[#This Row],[COOLANT TEMP '[Â°C']]]-Table3[[#This Row],[5805]]</f>
        <v>0</v>
      </c>
      <c r="AB1134">
        <f>DataLog_T717420_Aug11_4_59_37pm[[#This Row],[BOOST '[BAR']]]-Table3[[#This Row],[58DD]]</f>
        <v>0</v>
      </c>
    </row>
    <row r="1135" spans="2:28" x14ac:dyDescent="0.25">
      <c r="B1135" s="2" t="s">
        <v>189</v>
      </c>
      <c r="C1135" s="2" t="s">
        <v>262</v>
      </c>
      <c r="D1135" s="2" t="s">
        <v>151</v>
      </c>
      <c r="E1135" s="2" t="s">
        <v>132</v>
      </c>
      <c r="F1135" s="2" t="s">
        <v>261</v>
      </c>
      <c r="G1135" s="2" t="s">
        <v>191</v>
      </c>
      <c r="I1135">
        <f>HEX2DEC(_0811_173439[[#This Row],[580C]])*B$4/B$5+B$6</f>
        <v>760</v>
      </c>
      <c r="J1135">
        <f>HEX2DEC(_0811_173439[[#This Row],[4402]])*C$4/C$5+C$6</f>
        <v>37</v>
      </c>
      <c r="K1135">
        <f>HEX2DEC(_0811_173439[[#This Row],[580F]])*D$4/D$5+D$6</f>
        <v>30</v>
      </c>
      <c r="L1135">
        <f>ROUND(HEX2DEC(_0811_173439[[#This Row],[58F0]])*E$4/E$5+E$6,0)</f>
        <v>70</v>
      </c>
      <c r="M1135">
        <f>ROUND(HEX2DEC(_0811_173439[[#This Row],[5805]])*F$4/F$5+F$6,0)</f>
        <v>44</v>
      </c>
      <c r="N1135">
        <f>ROUND(HEX2DEC(_0811_173439[[#This Row],[58DD]])*G$4/G$5+G$6,2)</f>
        <v>-0.03</v>
      </c>
      <c r="P1135">
        <v>760</v>
      </c>
      <c r="Q1135">
        <v>37</v>
      </c>
      <c r="R1135">
        <v>30</v>
      </c>
      <c r="S1135">
        <v>70</v>
      </c>
      <c r="T1135">
        <v>44</v>
      </c>
      <c r="U1135">
        <v>-0.03</v>
      </c>
      <c r="W1135">
        <f>DataLog_T717420_Aug11_4_59_37pm[[#This Row],[RPM '[1/MIN']]]-Table3[[#This Row],[580C]]</f>
        <v>0</v>
      </c>
      <c r="X1135">
        <f>DataLog_T717420_Aug11_4_59_37pm[[#This Row],[OIL TEMP '[Â°C']]]-Table3[[#This Row],[4402]]</f>
        <v>0</v>
      </c>
      <c r="Y1135">
        <f>DataLog_T717420_Aug11_4_59_37pm[[#This Row],[INTAKE TEMP '[Â°C']]]-Table3[[#This Row],[580F]]</f>
        <v>0</v>
      </c>
      <c r="Z1135">
        <f>DataLog_T717420_Aug11_4_59_37pm[[#This Row],[HPFP PRES. '[BAR']]]-Table3[[#This Row],[58F0]]</f>
        <v>0</v>
      </c>
      <c r="AA1135">
        <f>DataLog_T717420_Aug11_4_59_37pm[[#This Row],[COOLANT TEMP '[Â°C']]]-Table3[[#This Row],[5805]]</f>
        <v>0</v>
      </c>
      <c r="AB1135">
        <f>DataLog_T717420_Aug11_4_59_37pm[[#This Row],[BOOST '[BAR']]]-Table3[[#This Row],[58DD]]</f>
        <v>0</v>
      </c>
    </row>
    <row r="1136" spans="2:28" x14ac:dyDescent="0.25">
      <c r="B1136" s="2" t="s">
        <v>189</v>
      </c>
      <c r="C1136" s="2" t="s">
        <v>262</v>
      </c>
      <c r="D1136" s="2" t="s">
        <v>151</v>
      </c>
      <c r="E1136" s="2" t="s">
        <v>152</v>
      </c>
      <c r="F1136" s="2" t="s">
        <v>261</v>
      </c>
      <c r="G1136" s="2" t="s">
        <v>190</v>
      </c>
      <c r="I1136">
        <f>HEX2DEC(_0811_173439[[#This Row],[580C]])*B$4/B$5+B$6</f>
        <v>760</v>
      </c>
      <c r="J1136">
        <f>HEX2DEC(_0811_173439[[#This Row],[4402]])*C$4/C$5+C$6</f>
        <v>37</v>
      </c>
      <c r="K1136">
        <f>HEX2DEC(_0811_173439[[#This Row],[580F]])*D$4/D$5+D$6</f>
        <v>30</v>
      </c>
      <c r="L1136">
        <f>ROUND(HEX2DEC(_0811_173439[[#This Row],[58F0]])*E$4/E$5+E$6,0)</f>
        <v>70</v>
      </c>
      <c r="M1136">
        <f>ROUND(HEX2DEC(_0811_173439[[#This Row],[5805]])*F$4/F$5+F$6,0)</f>
        <v>44</v>
      </c>
      <c r="N1136">
        <f>ROUND(HEX2DEC(_0811_173439[[#This Row],[58DD]])*G$4/G$5+G$6,2)</f>
        <v>-0.03</v>
      </c>
      <c r="P1136">
        <v>760</v>
      </c>
      <c r="Q1136">
        <v>37</v>
      </c>
      <c r="R1136">
        <v>30</v>
      </c>
      <c r="S1136">
        <v>70</v>
      </c>
      <c r="T1136">
        <v>44</v>
      </c>
      <c r="U1136">
        <v>-0.03</v>
      </c>
      <c r="W1136">
        <f>DataLog_T717420_Aug11_4_59_37pm[[#This Row],[RPM '[1/MIN']]]-Table3[[#This Row],[580C]]</f>
        <v>0</v>
      </c>
      <c r="X1136">
        <f>DataLog_T717420_Aug11_4_59_37pm[[#This Row],[OIL TEMP '[Â°C']]]-Table3[[#This Row],[4402]]</f>
        <v>0</v>
      </c>
      <c r="Y1136">
        <f>DataLog_T717420_Aug11_4_59_37pm[[#This Row],[INTAKE TEMP '[Â°C']]]-Table3[[#This Row],[580F]]</f>
        <v>0</v>
      </c>
      <c r="Z1136">
        <f>DataLog_T717420_Aug11_4_59_37pm[[#This Row],[HPFP PRES. '[BAR']]]-Table3[[#This Row],[58F0]]</f>
        <v>0</v>
      </c>
      <c r="AA1136">
        <f>DataLog_T717420_Aug11_4_59_37pm[[#This Row],[COOLANT TEMP '[Â°C']]]-Table3[[#This Row],[5805]]</f>
        <v>0</v>
      </c>
      <c r="AB1136">
        <f>DataLog_T717420_Aug11_4_59_37pm[[#This Row],[BOOST '[BAR']]]-Table3[[#This Row],[58DD]]</f>
        <v>0</v>
      </c>
    </row>
    <row r="1137" spans="2:28" x14ac:dyDescent="0.25">
      <c r="B1137" s="2" t="s">
        <v>189</v>
      </c>
      <c r="C1137" s="2" t="s">
        <v>262</v>
      </c>
      <c r="D1137" s="2" t="s">
        <v>151</v>
      </c>
      <c r="E1137" s="2" t="s">
        <v>159</v>
      </c>
      <c r="F1137" s="2" t="s">
        <v>261</v>
      </c>
      <c r="G1137" s="2" t="s">
        <v>190</v>
      </c>
      <c r="I1137">
        <f>HEX2DEC(_0811_173439[[#This Row],[580C]])*B$4/B$5+B$6</f>
        <v>760</v>
      </c>
      <c r="J1137">
        <f>HEX2DEC(_0811_173439[[#This Row],[4402]])*C$4/C$5+C$6</f>
        <v>37</v>
      </c>
      <c r="K1137">
        <f>HEX2DEC(_0811_173439[[#This Row],[580F]])*D$4/D$5+D$6</f>
        <v>30</v>
      </c>
      <c r="L1137">
        <f>ROUND(HEX2DEC(_0811_173439[[#This Row],[58F0]])*E$4/E$5+E$6,0)</f>
        <v>70</v>
      </c>
      <c r="M1137">
        <f>ROUND(HEX2DEC(_0811_173439[[#This Row],[5805]])*F$4/F$5+F$6,0)</f>
        <v>44</v>
      </c>
      <c r="N1137">
        <f>ROUND(HEX2DEC(_0811_173439[[#This Row],[58DD]])*G$4/G$5+G$6,2)</f>
        <v>-0.03</v>
      </c>
      <c r="P1137">
        <v>760</v>
      </c>
      <c r="Q1137">
        <v>37</v>
      </c>
      <c r="R1137">
        <v>30</v>
      </c>
      <c r="S1137">
        <v>70</v>
      </c>
      <c r="T1137">
        <v>44</v>
      </c>
      <c r="U1137">
        <v>-0.03</v>
      </c>
      <c r="W1137">
        <f>DataLog_T717420_Aug11_4_59_37pm[[#This Row],[RPM '[1/MIN']]]-Table3[[#This Row],[580C]]</f>
        <v>0</v>
      </c>
      <c r="X1137">
        <f>DataLog_T717420_Aug11_4_59_37pm[[#This Row],[OIL TEMP '[Â°C']]]-Table3[[#This Row],[4402]]</f>
        <v>0</v>
      </c>
      <c r="Y1137">
        <f>DataLog_T717420_Aug11_4_59_37pm[[#This Row],[INTAKE TEMP '[Â°C']]]-Table3[[#This Row],[580F]]</f>
        <v>0</v>
      </c>
      <c r="Z1137">
        <f>DataLog_T717420_Aug11_4_59_37pm[[#This Row],[HPFP PRES. '[BAR']]]-Table3[[#This Row],[58F0]]</f>
        <v>0</v>
      </c>
      <c r="AA1137">
        <f>DataLog_T717420_Aug11_4_59_37pm[[#This Row],[COOLANT TEMP '[Â°C']]]-Table3[[#This Row],[5805]]</f>
        <v>0</v>
      </c>
      <c r="AB1137">
        <f>DataLog_T717420_Aug11_4_59_37pm[[#This Row],[BOOST '[BAR']]]-Table3[[#This Row],[58DD]]</f>
        <v>0</v>
      </c>
    </row>
    <row r="1138" spans="2:28" x14ac:dyDescent="0.25">
      <c r="B1138" s="2" t="s">
        <v>189</v>
      </c>
      <c r="C1138" s="2" t="s">
        <v>262</v>
      </c>
      <c r="D1138" s="2" t="s">
        <v>151</v>
      </c>
      <c r="E1138" s="2" t="s">
        <v>127</v>
      </c>
      <c r="F1138" s="2" t="s">
        <v>261</v>
      </c>
      <c r="G1138" s="2" t="s">
        <v>98</v>
      </c>
      <c r="I1138">
        <f>HEX2DEC(_0811_173439[[#This Row],[580C]])*B$4/B$5+B$6</f>
        <v>760</v>
      </c>
      <c r="J1138">
        <f>HEX2DEC(_0811_173439[[#This Row],[4402]])*C$4/C$5+C$6</f>
        <v>37</v>
      </c>
      <c r="K1138">
        <f>HEX2DEC(_0811_173439[[#This Row],[580F]])*D$4/D$5+D$6</f>
        <v>30</v>
      </c>
      <c r="L1138">
        <f>ROUND(HEX2DEC(_0811_173439[[#This Row],[58F0]])*E$4/E$5+E$6,0)</f>
        <v>70</v>
      </c>
      <c r="M1138">
        <f>ROUND(HEX2DEC(_0811_173439[[#This Row],[5805]])*F$4/F$5+F$6,0)</f>
        <v>44</v>
      </c>
      <c r="N1138">
        <f>ROUND(HEX2DEC(_0811_173439[[#This Row],[58DD]])*G$4/G$5+G$6,2)</f>
        <v>-0.03</v>
      </c>
      <c r="P1138">
        <v>760</v>
      </c>
      <c r="Q1138">
        <v>37</v>
      </c>
      <c r="R1138">
        <v>30</v>
      </c>
      <c r="S1138">
        <v>70</v>
      </c>
      <c r="T1138">
        <v>44</v>
      </c>
      <c r="U1138">
        <v>-0.03</v>
      </c>
      <c r="W1138">
        <f>DataLog_T717420_Aug11_4_59_37pm[[#This Row],[RPM '[1/MIN']]]-Table3[[#This Row],[580C]]</f>
        <v>0</v>
      </c>
      <c r="X1138">
        <f>DataLog_T717420_Aug11_4_59_37pm[[#This Row],[OIL TEMP '[Â°C']]]-Table3[[#This Row],[4402]]</f>
        <v>0</v>
      </c>
      <c r="Y1138">
        <f>DataLog_T717420_Aug11_4_59_37pm[[#This Row],[INTAKE TEMP '[Â°C']]]-Table3[[#This Row],[580F]]</f>
        <v>0</v>
      </c>
      <c r="Z1138">
        <f>DataLog_T717420_Aug11_4_59_37pm[[#This Row],[HPFP PRES. '[BAR']]]-Table3[[#This Row],[58F0]]</f>
        <v>0</v>
      </c>
      <c r="AA1138">
        <f>DataLog_T717420_Aug11_4_59_37pm[[#This Row],[COOLANT TEMP '[Â°C']]]-Table3[[#This Row],[5805]]</f>
        <v>0</v>
      </c>
      <c r="AB1138">
        <f>DataLog_T717420_Aug11_4_59_37pm[[#This Row],[BOOST '[BAR']]]-Table3[[#This Row],[58DD]]</f>
        <v>0</v>
      </c>
    </row>
    <row r="1139" spans="2:28" x14ac:dyDescent="0.25">
      <c r="B1139" s="2" t="s">
        <v>183</v>
      </c>
      <c r="C1139" s="2" t="s">
        <v>262</v>
      </c>
      <c r="D1139" s="2" t="s">
        <v>151</v>
      </c>
      <c r="E1139" s="2" t="s">
        <v>172</v>
      </c>
      <c r="F1139" s="2" t="s">
        <v>261</v>
      </c>
      <c r="G1139" s="2" t="s">
        <v>191</v>
      </c>
      <c r="I1139">
        <f>HEX2DEC(_0811_173439[[#This Row],[580C]])*B$4/B$5+B$6</f>
        <v>800</v>
      </c>
      <c r="J1139">
        <f>HEX2DEC(_0811_173439[[#This Row],[4402]])*C$4/C$5+C$6</f>
        <v>37</v>
      </c>
      <c r="K1139">
        <f>HEX2DEC(_0811_173439[[#This Row],[580F]])*D$4/D$5+D$6</f>
        <v>30</v>
      </c>
      <c r="L1139">
        <f>ROUND(HEX2DEC(_0811_173439[[#This Row],[58F0]])*E$4/E$5+E$6,0)</f>
        <v>70</v>
      </c>
      <c r="M1139">
        <f>ROUND(HEX2DEC(_0811_173439[[#This Row],[5805]])*F$4/F$5+F$6,0)</f>
        <v>44</v>
      </c>
      <c r="N1139">
        <f>ROUND(HEX2DEC(_0811_173439[[#This Row],[58DD]])*G$4/G$5+G$6,2)</f>
        <v>-0.03</v>
      </c>
      <c r="P1139">
        <v>800</v>
      </c>
      <c r="Q1139">
        <v>37</v>
      </c>
      <c r="R1139">
        <v>30</v>
      </c>
      <c r="S1139">
        <v>70</v>
      </c>
      <c r="T1139">
        <v>44</v>
      </c>
      <c r="U1139">
        <v>-0.03</v>
      </c>
      <c r="W1139">
        <f>DataLog_T717420_Aug11_4_59_37pm[[#This Row],[RPM '[1/MIN']]]-Table3[[#This Row],[580C]]</f>
        <v>0</v>
      </c>
      <c r="X1139">
        <f>DataLog_T717420_Aug11_4_59_37pm[[#This Row],[OIL TEMP '[Â°C']]]-Table3[[#This Row],[4402]]</f>
        <v>0</v>
      </c>
      <c r="Y1139">
        <f>DataLog_T717420_Aug11_4_59_37pm[[#This Row],[INTAKE TEMP '[Â°C']]]-Table3[[#This Row],[580F]]</f>
        <v>0</v>
      </c>
      <c r="Z1139">
        <f>DataLog_T717420_Aug11_4_59_37pm[[#This Row],[HPFP PRES. '[BAR']]]-Table3[[#This Row],[58F0]]</f>
        <v>0</v>
      </c>
      <c r="AA1139">
        <f>DataLog_T717420_Aug11_4_59_37pm[[#This Row],[COOLANT TEMP '[Â°C']]]-Table3[[#This Row],[5805]]</f>
        <v>0</v>
      </c>
      <c r="AB1139">
        <f>DataLog_T717420_Aug11_4_59_37pm[[#This Row],[BOOST '[BAR']]]-Table3[[#This Row],[58DD]]</f>
        <v>0</v>
      </c>
    </row>
    <row r="1140" spans="2:28" x14ac:dyDescent="0.25">
      <c r="B1140" s="2" t="s">
        <v>183</v>
      </c>
      <c r="C1140" s="2" t="s">
        <v>262</v>
      </c>
      <c r="D1140" s="2" t="s">
        <v>151</v>
      </c>
      <c r="E1140" s="2" t="s">
        <v>159</v>
      </c>
      <c r="F1140" s="2" t="s">
        <v>261</v>
      </c>
      <c r="G1140" s="2" t="s">
        <v>98</v>
      </c>
      <c r="I1140">
        <f>HEX2DEC(_0811_173439[[#This Row],[580C]])*B$4/B$5+B$6</f>
        <v>800</v>
      </c>
      <c r="J1140">
        <f>HEX2DEC(_0811_173439[[#This Row],[4402]])*C$4/C$5+C$6</f>
        <v>37</v>
      </c>
      <c r="K1140">
        <f>HEX2DEC(_0811_173439[[#This Row],[580F]])*D$4/D$5+D$6</f>
        <v>30</v>
      </c>
      <c r="L1140">
        <f>ROUND(HEX2DEC(_0811_173439[[#This Row],[58F0]])*E$4/E$5+E$6,0)</f>
        <v>70</v>
      </c>
      <c r="M1140">
        <f>ROUND(HEX2DEC(_0811_173439[[#This Row],[5805]])*F$4/F$5+F$6,0)</f>
        <v>44</v>
      </c>
      <c r="N1140">
        <f>ROUND(HEX2DEC(_0811_173439[[#This Row],[58DD]])*G$4/G$5+G$6,2)</f>
        <v>-0.03</v>
      </c>
      <c r="P1140">
        <v>800</v>
      </c>
      <c r="Q1140">
        <v>37</v>
      </c>
      <c r="R1140">
        <v>30</v>
      </c>
      <c r="S1140">
        <v>70</v>
      </c>
      <c r="T1140">
        <v>44</v>
      </c>
      <c r="U1140">
        <v>-0.03</v>
      </c>
      <c r="W1140">
        <f>DataLog_T717420_Aug11_4_59_37pm[[#This Row],[RPM '[1/MIN']]]-Table3[[#This Row],[580C]]</f>
        <v>0</v>
      </c>
      <c r="X1140">
        <f>DataLog_T717420_Aug11_4_59_37pm[[#This Row],[OIL TEMP '[Â°C']]]-Table3[[#This Row],[4402]]</f>
        <v>0</v>
      </c>
      <c r="Y1140">
        <f>DataLog_T717420_Aug11_4_59_37pm[[#This Row],[INTAKE TEMP '[Â°C']]]-Table3[[#This Row],[580F]]</f>
        <v>0</v>
      </c>
      <c r="Z1140">
        <f>DataLog_T717420_Aug11_4_59_37pm[[#This Row],[HPFP PRES. '[BAR']]]-Table3[[#This Row],[58F0]]</f>
        <v>0</v>
      </c>
      <c r="AA1140">
        <f>DataLog_T717420_Aug11_4_59_37pm[[#This Row],[COOLANT TEMP '[Â°C']]]-Table3[[#This Row],[5805]]</f>
        <v>0</v>
      </c>
      <c r="AB1140">
        <f>DataLog_T717420_Aug11_4_59_37pm[[#This Row],[BOOST '[BAR']]]-Table3[[#This Row],[58DD]]</f>
        <v>0</v>
      </c>
    </row>
    <row r="1141" spans="2:28" x14ac:dyDescent="0.25">
      <c r="B1141" s="2" t="s">
        <v>183</v>
      </c>
      <c r="C1141" s="2" t="s">
        <v>262</v>
      </c>
      <c r="D1141" s="2" t="s">
        <v>151</v>
      </c>
      <c r="E1141" s="2" t="s">
        <v>141</v>
      </c>
      <c r="F1141" s="2" t="s">
        <v>261</v>
      </c>
      <c r="G1141" s="2" t="s">
        <v>190</v>
      </c>
      <c r="I1141">
        <f>HEX2DEC(_0811_173439[[#This Row],[580C]])*B$4/B$5+B$6</f>
        <v>800</v>
      </c>
      <c r="J1141">
        <f>HEX2DEC(_0811_173439[[#This Row],[4402]])*C$4/C$5+C$6</f>
        <v>37</v>
      </c>
      <c r="K1141">
        <f>HEX2DEC(_0811_173439[[#This Row],[580F]])*D$4/D$5+D$6</f>
        <v>30</v>
      </c>
      <c r="L1141">
        <f>ROUND(HEX2DEC(_0811_173439[[#This Row],[58F0]])*E$4/E$5+E$6,0)</f>
        <v>70</v>
      </c>
      <c r="M1141">
        <f>ROUND(HEX2DEC(_0811_173439[[#This Row],[5805]])*F$4/F$5+F$6,0)</f>
        <v>44</v>
      </c>
      <c r="N1141">
        <f>ROUND(HEX2DEC(_0811_173439[[#This Row],[58DD]])*G$4/G$5+G$6,2)</f>
        <v>-0.03</v>
      </c>
      <c r="P1141">
        <v>800</v>
      </c>
      <c r="Q1141">
        <v>37</v>
      </c>
      <c r="R1141">
        <v>30</v>
      </c>
      <c r="S1141">
        <v>70</v>
      </c>
      <c r="T1141">
        <v>44</v>
      </c>
      <c r="U1141">
        <v>-0.03</v>
      </c>
      <c r="W1141">
        <f>DataLog_T717420_Aug11_4_59_37pm[[#This Row],[RPM '[1/MIN']]]-Table3[[#This Row],[580C]]</f>
        <v>0</v>
      </c>
      <c r="X1141">
        <f>DataLog_T717420_Aug11_4_59_37pm[[#This Row],[OIL TEMP '[Â°C']]]-Table3[[#This Row],[4402]]</f>
        <v>0</v>
      </c>
      <c r="Y1141">
        <f>DataLog_T717420_Aug11_4_59_37pm[[#This Row],[INTAKE TEMP '[Â°C']]]-Table3[[#This Row],[580F]]</f>
        <v>0</v>
      </c>
      <c r="Z1141">
        <f>DataLog_T717420_Aug11_4_59_37pm[[#This Row],[HPFP PRES. '[BAR']]]-Table3[[#This Row],[58F0]]</f>
        <v>0</v>
      </c>
      <c r="AA1141">
        <f>DataLog_T717420_Aug11_4_59_37pm[[#This Row],[COOLANT TEMP '[Â°C']]]-Table3[[#This Row],[5805]]</f>
        <v>0</v>
      </c>
      <c r="AB1141">
        <f>DataLog_T717420_Aug11_4_59_37pm[[#This Row],[BOOST '[BAR']]]-Table3[[#This Row],[58DD]]</f>
        <v>0</v>
      </c>
    </row>
    <row r="1142" spans="2:28" x14ac:dyDescent="0.25">
      <c r="B1142" s="2" t="s">
        <v>183</v>
      </c>
      <c r="C1142" s="2" t="s">
        <v>262</v>
      </c>
      <c r="D1142" s="2" t="s">
        <v>151</v>
      </c>
      <c r="E1142" s="2" t="s">
        <v>172</v>
      </c>
      <c r="F1142" s="2" t="s">
        <v>261</v>
      </c>
      <c r="G1142" s="2" t="s">
        <v>53</v>
      </c>
      <c r="I1142">
        <f>HEX2DEC(_0811_173439[[#This Row],[580C]])*B$4/B$5+B$6</f>
        <v>800</v>
      </c>
      <c r="J1142">
        <f>HEX2DEC(_0811_173439[[#This Row],[4402]])*C$4/C$5+C$6</f>
        <v>37</v>
      </c>
      <c r="K1142">
        <f>HEX2DEC(_0811_173439[[#This Row],[580F]])*D$4/D$5+D$6</f>
        <v>30</v>
      </c>
      <c r="L1142">
        <f>ROUND(HEX2DEC(_0811_173439[[#This Row],[58F0]])*E$4/E$5+E$6,0)</f>
        <v>70</v>
      </c>
      <c r="M1142">
        <f>ROUND(HEX2DEC(_0811_173439[[#This Row],[5805]])*F$4/F$5+F$6,0)</f>
        <v>44</v>
      </c>
      <c r="N1142">
        <f>ROUND(HEX2DEC(_0811_173439[[#This Row],[58DD]])*G$4/G$5+G$6,2)</f>
        <v>-0.03</v>
      </c>
      <c r="P1142">
        <v>800</v>
      </c>
      <c r="Q1142">
        <v>37</v>
      </c>
      <c r="R1142">
        <v>30</v>
      </c>
      <c r="S1142">
        <v>70</v>
      </c>
      <c r="T1142">
        <v>44</v>
      </c>
      <c r="U1142">
        <v>-0.03</v>
      </c>
      <c r="W1142">
        <f>DataLog_T717420_Aug11_4_59_37pm[[#This Row],[RPM '[1/MIN']]]-Table3[[#This Row],[580C]]</f>
        <v>0</v>
      </c>
      <c r="X1142">
        <f>DataLog_T717420_Aug11_4_59_37pm[[#This Row],[OIL TEMP '[Â°C']]]-Table3[[#This Row],[4402]]</f>
        <v>0</v>
      </c>
      <c r="Y1142">
        <f>DataLog_T717420_Aug11_4_59_37pm[[#This Row],[INTAKE TEMP '[Â°C']]]-Table3[[#This Row],[580F]]</f>
        <v>0</v>
      </c>
      <c r="Z1142">
        <f>DataLog_T717420_Aug11_4_59_37pm[[#This Row],[HPFP PRES. '[BAR']]]-Table3[[#This Row],[58F0]]</f>
        <v>0</v>
      </c>
      <c r="AA1142">
        <f>DataLog_T717420_Aug11_4_59_37pm[[#This Row],[COOLANT TEMP '[Â°C']]]-Table3[[#This Row],[5805]]</f>
        <v>0</v>
      </c>
      <c r="AB1142">
        <f>DataLog_T717420_Aug11_4_59_37pm[[#This Row],[BOOST '[BAR']]]-Table3[[#This Row],[58DD]]</f>
        <v>0</v>
      </c>
    </row>
    <row r="1143" spans="2:28" x14ac:dyDescent="0.25">
      <c r="B1143" s="2" t="s">
        <v>183</v>
      </c>
      <c r="C1143" s="2" t="s">
        <v>262</v>
      </c>
      <c r="D1143" s="2" t="s">
        <v>151</v>
      </c>
      <c r="E1143" s="2" t="s">
        <v>149</v>
      </c>
      <c r="F1143" s="2" t="s">
        <v>261</v>
      </c>
      <c r="G1143" s="2" t="s">
        <v>190</v>
      </c>
      <c r="I1143">
        <f>HEX2DEC(_0811_173439[[#This Row],[580C]])*B$4/B$5+B$6</f>
        <v>800</v>
      </c>
      <c r="J1143">
        <f>HEX2DEC(_0811_173439[[#This Row],[4402]])*C$4/C$5+C$6</f>
        <v>37</v>
      </c>
      <c r="K1143">
        <f>HEX2DEC(_0811_173439[[#This Row],[580F]])*D$4/D$5+D$6</f>
        <v>30</v>
      </c>
      <c r="L1143">
        <f>ROUND(HEX2DEC(_0811_173439[[#This Row],[58F0]])*E$4/E$5+E$6,0)</f>
        <v>70</v>
      </c>
      <c r="M1143">
        <f>ROUND(HEX2DEC(_0811_173439[[#This Row],[5805]])*F$4/F$5+F$6,0)</f>
        <v>44</v>
      </c>
      <c r="N1143">
        <f>ROUND(HEX2DEC(_0811_173439[[#This Row],[58DD]])*G$4/G$5+G$6,2)</f>
        <v>-0.03</v>
      </c>
      <c r="P1143">
        <v>800</v>
      </c>
      <c r="Q1143">
        <v>37</v>
      </c>
      <c r="R1143">
        <v>30</v>
      </c>
      <c r="S1143">
        <v>70</v>
      </c>
      <c r="T1143">
        <v>44</v>
      </c>
      <c r="U1143">
        <v>-0.03</v>
      </c>
      <c r="W1143">
        <f>DataLog_T717420_Aug11_4_59_37pm[[#This Row],[RPM '[1/MIN']]]-Table3[[#This Row],[580C]]</f>
        <v>0</v>
      </c>
      <c r="X1143">
        <f>DataLog_T717420_Aug11_4_59_37pm[[#This Row],[OIL TEMP '[Â°C']]]-Table3[[#This Row],[4402]]</f>
        <v>0</v>
      </c>
      <c r="Y1143">
        <f>DataLog_T717420_Aug11_4_59_37pm[[#This Row],[INTAKE TEMP '[Â°C']]]-Table3[[#This Row],[580F]]</f>
        <v>0</v>
      </c>
      <c r="Z1143">
        <f>DataLog_T717420_Aug11_4_59_37pm[[#This Row],[HPFP PRES. '[BAR']]]-Table3[[#This Row],[58F0]]</f>
        <v>0</v>
      </c>
      <c r="AA1143">
        <f>DataLog_T717420_Aug11_4_59_37pm[[#This Row],[COOLANT TEMP '[Â°C']]]-Table3[[#This Row],[5805]]</f>
        <v>0</v>
      </c>
      <c r="AB1143">
        <f>DataLog_T717420_Aug11_4_59_37pm[[#This Row],[BOOST '[BAR']]]-Table3[[#This Row],[58DD]]</f>
        <v>0</v>
      </c>
    </row>
    <row r="1144" spans="2:28" x14ac:dyDescent="0.25">
      <c r="B1144" s="2" t="s">
        <v>183</v>
      </c>
      <c r="C1144" s="2" t="s">
        <v>262</v>
      </c>
      <c r="D1144" s="2" t="s">
        <v>151</v>
      </c>
      <c r="E1144" s="2" t="s">
        <v>207</v>
      </c>
      <c r="F1144" s="2" t="s">
        <v>261</v>
      </c>
      <c r="G1144" s="2" t="s">
        <v>96</v>
      </c>
      <c r="I1144">
        <f>HEX2DEC(_0811_173439[[#This Row],[580C]])*B$4/B$5+B$6</f>
        <v>800</v>
      </c>
      <c r="J1144">
        <f>HEX2DEC(_0811_173439[[#This Row],[4402]])*C$4/C$5+C$6</f>
        <v>37</v>
      </c>
      <c r="K1144">
        <f>HEX2DEC(_0811_173439[[#This Row],[580F]])*D$4/D$5+D$6</f>
        <v>30</v>
      </c>
      <c r="L1144">
        <f>ROUND(HEX2DEC(_0811_173439[[#This Row],[58F0]])*E$4/E$5+E$6,0)</f>
        <v>70</v>
      </c>
      <c r="M1144">
        <f>ROUND(HEX2DEC(_0811_173439[[#This Row],[5805]])*F$4/F$5+F$6,0)</f>
        <v>44</v>
      </c>
      <c r="N1144">
        <f>ROUND(HEX2DEC(_0811_173439[[#This Row],[58DD]])*G$4/G$5+G$6,2)</f>
        <v>-0.03</v>
      </c>
      <c r="P1144">
        <v>800</v>
      </c>
      <c r="Q1144">
        <v>37</v>
      </c>
      <c r="R1144">
        <v>30</v>
      </c>
      <c r="S1144">
        <v>70</v>
      </c>
      <c r="T1144">
        <v>44</v>
      </c>
      <c r="U1144">
        <v>-0.03</v>
      </c>
      <c r="W1144">
        <f>DataLog_T717420_Aug11_4_59_37pm[[#This Row],[RPM '[1/MIN']]]-Table3[[#This Row],[580C]]</f>
        <v>0</v>
      </c>
      <c r="X1144">
        <f>DataLog_T717420_Aug11_4_59_37pm[[#This Row],[OIL TEMP '[Â°C']]]-Table3[[#This Row],[4402]]</f>
        <v>0</v>
      </c>
      <c r="Y1144">
        <f>DataLog_T717420_Aug11_4_59_37pm[[#This Row],[INTAKE TEMP '[Â°C']]]-Table3[[#This Row],[580F]]</f>
        <v>0</v>
      </c>
      <c r="Z1144">
        <f>DataLog_T717420_Aug11_4_59_37pm[[#This Row],[HPFP PRES. '[BAR']]]-Table3[[#This Row],[58F0]]</f>
        <v>0</v>
      </c>
      <c r="AA1144">
        <f>DataLog_T717420_Aug11_4_59_37pm[[#This Row],[COOLANT TEMP '[Â°C']]]-Table3[[#This Row],[5805]]</f>
        <v>0</v>
      </c>
      <c r="AB1144">
        <f>DataLog_T717420_Aug11_4_59_37pm[[#This Row],[BOOST '[BAR']]]-Table3[[#This Row],[58DD]]</f>
        <v>0</v>
      </c>
    </row>
    <row r="1145" spans="2:28" x14ac:dyDescent="0.25">
      <c r="B1145" s="2" t="s">
        <v>183</v>
      </c>
      <c r="C1145" s="2" t="s">
        <v>262</v>
      </c>
      <c r="D1145" s="2" t="s">
        <v>151</v>
      </c>
      <c r="E1145" s="2" t="s">
        <v>207</v>
      </c>
      <c r="F1145" s="2" t="s">
        <v>261</v>
      </c>
      <c r="G1145" s="2" t="s">
        <v>191</v>
      </c>
      <c r="I1145">
        <f>HEX2DEC(_0811_173439[[#This Row],[580C]])*B$4/B$5+B$6</f>
        <v>800</v>
      </c>
      <c r="J1145">
        <f>HEX2DEC(_0811_173439[[#This Row],[4402]])*C$4/C$5+C$6</f>
        <v>37</v>
      </c>
      <c r="K1145">
        <f>HEX2DEC(_0811_173439[[#This Row],[580F]])*D$4/D$5+D$6</f>
        <v>30</v>
      </c>
      <c r="L1145">
        <f>ROUND(HEX2DEC(_0811_173439[[#This Row],[58F0]])*E$4/E$5+E$6,0)</f>
        <v>70</v>
      </c>
      <c r="M1145">
        <f>ROUND(HEX2DEC(_0811_173439[[#This Row],[5805]])*F$4/F$5+F$6,0)</f>
        <v>44</v>
      </c>
      <c r="N1145">
        <f>ROUND(HEX2DEC(_0811_173439[[#This Row],[58DD]])*G$4/G$5+G$6,2)</f>
        <v>-0.03</v>
      </c>
      <c r="P1145">
        <v>800</v>
      </c>
      <c r="Q1145">
        <v>37</v>
      </c>
      <c r="R1145">
        <v>30</v>
      </c>
      <c r="S1145">
        <v>70</v>
      </c>
      <c r="T1145">
        <v>44</v>
      </c>
      <c r="U1145">
        <v>-0.03</v>
      </c>
      <c r="W1145">
        <f>DataLog_T717420_Aug11_4_59_37pm[[#This Row],[RPM '[1/MIN']]]-Table3[[#This Row],[580C]]</f>
        <v>0</v>
      </c>
      <c r="X1145">
        <f>DataLog_T717420_Aug11_4_59_37pm[[#This Row],[OIL TEMP '[Â°C']]]-Table3[[#This Row],[4402]]</f>
        <v>0</v>
      </c>
      <c r="Y1145">
        <f>DataLog_T717420_Aug11_4_59_37pm[[#This Row],[INTAKE TEMP '[Â°C']]]-Table3[[#This Row],[580F]]</f>
        <v>0</v>
      </c>
      <c r="Z1145">
        <f>DataLog_T717420_Aug11_4_59_37pm[[#This Row],[HPFP PRES. '[BAR']]]-Table3[[#This Row],[58F0]]</f>
        <v>0</v>
      </c>
      <c r="AA1145">
        <f>DataLog_T717420_Aug11_4_59_37pm[[#This Row],[COOLANT TEMP '[Â°C']]]-Table3[[#This Row],[5805]]</f>
        <v>0</v>
      </c>
      <c r="AB1145">
        <f>DataLog_T717420_Aug11_4_59_37pm[[#This Row],[BOOST '[BAR']]]-Table3[[#This Row],[58DD]]</f>
        <v>0</v>
      </c>
    </row>
    <row r="1146" spans="2:28" x14ac:dyDescent="0.25">
      <c r="B1146" s="2" t="s">
        <v>183</v>
      </c>
      <c r="C1146" s="2" t="s">
        <v>262</v>
      </c>
      <c r="D1146" s="2" t="s">
        <v>151</v>
      </c>
      <c r="E1146" s="2" t="s">
        <v>159</v>
      </c>
      <c r="F1146" s="2" t="s">
        <v>261</v>
      </c>
      <c r="G1146" s="2" t="s">
        <v>191</v>
      </c>
      <c r="I1146">
        <f>HEX2DEC(_0811_173439[[#This Row],[580C]])*B$4/B$5+B$6</f>
        <v>800</v>
      </c>
      <c r="J1146">
        <f>HEX2DEC(_0811_173439[[#This Row],[4402]])*C$4/C$5+C$6</f>
        <v>37</v>
      </c>
      <c r="K1146">
        <f>HEX2DEC(_0811_173439[[#This Row],[580F]])*D$4/D$5+D$6</f>
        <v>30</v>
      </c>
      <c r="L1146">
        <f>ROUND(HEX2DEC(_0811_173439[[#This Row],[58F0]])*E$4/E$5+E$6,0)</f>
        <v>70</v>
      </c>
      <c r="M1146">
        <f>ROUND(HEX2DEC(_0811_173439[[#This Row],[5805]])*F$4/F$5+F$6,0)</f>
        <v>44</v>
      </c>
      <c r="N1146">
        <f>ROUND(HEX2DEC(_0811_173439[[#This Row],[58DD]])*G$4/G$5+G$6,2)</f>
        <v>-0.03</v>
      </c>
      <c r="P1146">
        <v>800</v>
      </c>
      <c r="Q1146">
        <v>37</v>
      </c>
      <c r="R1146">
        <v>30</v>
      </c>
      <c r="S1146">
        <v>70</v>
      </c>
      <c r="T1146">
        <v>44</v>
      </c>
      <c r="U1146">
        <v>-0.03</v>
      </c>
      <c r="W1146">
        <f>DataLog_T717420_Aug11_4_59_37pm[[#This Row],[RPM '[1/MIN']]]-Table3[[#This Row],[580C]]</f>
        <v>0</v>
      </c>
      <c r="X1146">
        <f>DataLog_T717420_Aug11_4_59_37pm[[#This Row],[OIL TEMP '[Â°C']]]-Table3[[#This Row],[4402]]</f>
        <v>0</v>
      </c>
      <c r="Y1146">
        <f>DataLog_T717420_Aug11_4_59_37pm[[#This Row],[INTAKE TEMP '[Â°C']]]-Table3[[#This Row],[580F]]</f>
        <v>0</v>
      </c>
      <c r="Z1146">
        <f>DataLog_T717420_Aug11_4_59_37pm[[#This Row],[HPFP PRES. '[BAR']]]-Table3[[#This Row],[58F0]]</f>
        <v>0</v>
      </c>
      <c r="AA1146">
        <f>DataLog_T717420_Aug11_4_59_37pm[[#This Row],[COOLANT TEMP '[Â°C']]]-Table3[[#This Row],[5805]]</f>
        <v>0</v>
      </c>
      <c r="AB1146">
        <f>DataLog_T717420_Aug11_4_59_37pm[[#This Row],[BOOST '[BAR']]]-Table3[[#This Row],[58DD]]</f>
        <v>0</v>
      </c>
    </row>
    <row r="1147" spans="2:28" x14ac:dyDescent="0.25">
      <c r="B1147" s="2" t="s">
        <v>183</v>
      </c>
      <c r="C1147" s="2" t="s">
        <v>262</v>
      </c>
      <c r="D1147" s="2" t="s">
        <v>151</v>
      </c>
      <c r="E1147" s="2" t="s">
        <v>127</v>
      </c>
      <c r="F1147" s="2" t="s">
        <v>261</v>
      </c>
      <c r="G1147" s="2" t="s">
        <v>213</v>
      </c>
      <c r="I1147">
        <f>HEX2DEC(_0811_173439[[#This Row],[580C]])*B$4/B$5+B$6</f>
        <v>800</v>
      </c>
      <c r="J1147">
        <f>HEX2DEC(_0811_173439[[#This Row],[4402]])*C$4/C$5+C$6</f>
        <v>37</v>
      </c>
      <c r="K1147">
        <f>HEX2DEC(_0811_173439[[#This Row],[580F]])*D$4/D$5+D$6</f>
        <v>30</v>
      </c>
      <c r="L1147">
        <f>ROUND(HEX2DEC(_0811_173439[[#This Row],[58F0]])*E$4/E$5+E$6,0)</f>
        <v>70</v>
      </c>
      <c r="M1147">
        <f>ROUND(HEX2DEC(_0811_173439[[#This Row],[5805]])*F$4/F$5+F$6,0)</f>
        <v>44</v>
      </c>
      <c r="N1147">
        <f>ROUND(HEX2DEC(_0811_173439[[#This Row],[58DD]])*G$4/G$5+G$6,2)</f>
        <v>-0.03</v>
      </c>
      <c r="P1147">
        <v>800</v>
      </c>
      <c r="Q1147">
        <v>37</v>
      </c>
      <c r="R1147">
        <v>30</v>
      </c>
      <c r="S1147">
        <v>70</v>
      </c>
      <c r="T1147">
        <v>44</v>
      </c>
      <c r="U1147">
        <v>-0.03</v>
      </c>
      <c r="W1147">
        <f>DataLog_T717420_Aug11_4_59_37pm[[#This Row],[RPM '[1/MIN']]]-Table3[[#This Row],[580C]]</f>
        <v>0</v>
      </c>
      <c r="X1147">
        <f>DataLog_T717420_Aug11_4_59_37pm[[#This Row],[OIL TEMP '[Â°C']]]-Table3[[#This Row],[4402]]</f>
        <v>0</v>
      </c>
      <c r="Y1147">
        <f>DataLog_T717420_Aug11_4_59_37pm[[#This Row],[INTAKE TEMP '[Â°C']]]-Table3[[#This Row],[580F]]</f>
        <v>0</v>
      </c>
      <c r="Z1147">
        <f>DataLog_T717420_Aug11_4_59_37pm[[#This Row],[HPFP PRES. '[BAR']]]-Table3[[#This Row],[58F0]]</f>
        <v>0</v>
      </c>
      <c r="AA1147">
        <f>DataLog_T717420_Aug11_4_59_37pm[[#This Row],[COOLANT TEMP '[Â°C']]]-Table3[[#This Row],[5805]]</f>
        <v>0</v>
      </c>
      <c r="AB1147">
        <f>DataLog_T717420_Aug11_4_59_37pm[[#This Row],[BOOST '[BAR']]]-Table3[[#This Row],[58DD]]</f>
        <v>0</v>
      </c>
    </row>
    <row r="1148" spans="2:28" x14ac:dyDescent="0.25">
      <c r="B1148" s="2" t="s">
        <v>183</v>
      </c>
      <c r="C1148" s="2" t="s">
        <v>262</v>
      </c>
      <c r="D1148" s="2" t="s">
        <v>151</v>
      </c>
      <c r="E1148" s="2" t="s">
        <v>248</v>
      </c>
      <c r="F1148" s="2" t="s">
        <v>261</v>
      </c>
      <c r="G1148" s="2" t="s">
        <v>102</v>
      </c>
      <c r="I1148">
        <f>HEX2DEC(_0811_173439[[#This Row],[580C]])*B$4/B$5+B$6</f>
        <v>800</v>
      </c>
      <c r="J1148">
        <f>HEX2DEC(_0811_173439[[#This Row],[4402]])*C$4/C$5+C$6</f>
        <v>37</v>
      </c>
      <c r="K1148">
        <f>HEX2DEC(_0811_173439[[#This Row],[580F]])*D$4/D$5+D$6</f>
        <v>30</v>
      </c>
      <c r="L1148">
        <f>ROUND(HEX2DEC(_0811_173439[[#This Row],[58F0]])*E$4/E$5+E$6,0)</f>
        <v>70</v>
      </c>
      <c r="M1148">
        <f>ROUND(HEX2DEC(_0811_173439[[#This Row],[5805]])*F$4/F$5+F$6,0)</f>
        <v>44</v>
      </c>
      <c r="N1148">
        <f>ROUND(HEX2DEC(_0811_173439[[#This Row],[58DD]])*G$4/G$5+G$6,2)</f>
        <v>-0.03</v>
      </c>
      <c r="P1148">
        <v>800</v>
      </c>
      <c r="Q1148">
        <v>37</v>
      </c>
      <c r="R1148">
        <v>30</v>
      </c>
      <c r="S1148">
        <v>70</v>
      </c>
      <c r="T1148">
        <v>44</v>
      </c>
      <c r="U1148">
        <v>-0.03</v>
      </c>
      <c r="W1148">
        <f>DataLog_T717420_Aug11_4_59_37pm[[#This Row],[RPM '[1/MIN']]]-Table3[[#This Row],[580C]]</f>
        <v>0</v>
      </c>
      <c r="X1148">
        <f>DataLog_T717420_Aug11_4_59_37pm[[#This Row],[OIL TEMP '[Â°C']]]-Table3[[#This Row],[4402]]</f>
        <v>0</v>
      </c>
      <c r="Y1148">
        <f>DataLog_T717420_Aug11_4_59_37pm[[#This Row],[INTAKE TEMP '[Â°C']]]-Table3[[#This Row],[580F]]</f>
        <v>0</v>
      </c>
      <c r="Z1148">
        <f>DataLog_T717420_Aug11_4_59_37pm[[#This Row],[HPFP PRES. '[BAR']]]-Table3[[#This Row],[58F0]]</f>
        <v>0</v>
      </c>
      <c r="AA1148">
        <f>DataLog_T717420_Aug11_4_59_37pm[[#This Row],[COOLANT TEMP '[Â°C']]]-Table3[[#This Row],[5805]]</f>
        <v>0</v>
      </c>
      <c r="AB1148">
        <f>DataLog_T717420_Aug11_4_59_37pm[[#This Row],[BOOST '[BAR']]]-Table3[[#This Row],[58DD]]</f>
        <v>0</v>
      </c>
    </row>
    <row r="1149" spans="2:28" x14ac:dyDescent="0.25">
      <c r="B1149" s="2" t="s">
        <v>183</v>
      </c>
      <c r="C1149" s="2" t="s">
        <v>262</v>
      </c>
      <c r="D1149" s="2" t="s">
        <v>151</v>
      </c>
      <c r="E1149" s="2" t="s">
        <v>159</v>
      </c>
      <c r="F1149" s="2" t="s">
        <v>261</v>
      </c>
      <c r="G1149" s="2" t="s">
        <v>191</v>
      </c>
      <c r="I1149">
        <f>HEX2DEC(_0811_173439[[#This Row],[580C]])*B$4/B$5+B$6</f>
        <v>800</v>
      </c>
      <c r="J1149">
        <f>HEX2DEC(_0811_173439[[#This Row],[4402]])*C$4/C$5+C$6</f>
        <v>37</v>
      </c>
      <c r="K1149">
        <f>HEX2DEC(_0811_173439[[#This Row],[580F]])*D$4/D$5+D$6</f>
        <v>30</v>
      </c>
      <c r="L1149">
        <f>ROUND(HEX2DEC(_0811_173439[[#This Row],[58F0]])*E$4/E$5+E$6,0)</f>
        <v>70</v>
      </c>
      <c r="M1149">
        <f>ROUND(HEX2DEC(_0811_173439[[#This Row],[5805]])*F$4/F$5+F$6,0)</f>
        <v>44</v>
      </c>
      <c r="N1149">
        <f>ROUND(HEX2DEC(_0811_173439[[#This Row],[58DD]])*G$4/G$5+G$6,2)</f>
        <v>-0.03</v>
      </c>
      <c r="P1149">
        <v>800</v>
      </c>
      <c r="Q1149">
        <v>37</v>
      </c>
      <c r="R1149">
        <v>30</v>
      </c>
      <c r="S1149">
        <v>70</v>
      </c>
      <c r="T1149">
        <v>44</v>
      </c>
      <c r="U1149">
        <v>-0.03</v>
      </c>
      <c r="W1149">
        <f>DataLog_T717420_Aug11_4_59_37pm[[#This Row],[RPM '[1/MIN']]]-Table3[[#This Row],[580C]]</f>
        <v>0</v>
      </c>
      <c r="X1149">
        <f>DataLog_T717420_Aug11_4_59_37pm[[#This Row],[OIL TEMP '[Â°C']]]-Table3[[#This Row],[4402]]</f>
        <v>0</v>
      </c>
      <c r="Y1149">
        <f>DataLog_T717420_Aug11_4_59_37pm[[#This Row],[INTAKE TEMP '[Â°C']]]-Table3[[#This Row],[580F]]</f>
        <v>0</v>
      </c>
      <c r="Z1149">
        <f>DataLog_T717420_Aug11_4_59_37pm[[#This Row],[HPFP PRES. '[BAR']]]-Table3[[#This Row],[58F0]]</f>
        <v>0</v>
      </c>
      <c r="AA1149">
        <f>DataLog_T717420_Aug11_4_59_37pm[[#This Row],[COOLANT TEMP '[Â°C']]]-Table3[[#This Row],[5805]]</f>
        <v>0</v>
      </c>
      <c r="AB1149">
        <f>DataLog_T717420_Aug11_4_59_37pm[[#This Row],[BOOST '[BAR']]]-Table3[[#This Row],[58DD]]</f>
        <v>0</v>
      </c>
    </row>
    <row r="1150" spans="2:28" x14ac:dyDescent="0.25">
      <c r="B1150" s="2" t="s">
        <v>189</v>
      </c>
      <c r="C1150" s="2" t="s">
        <v>262</v>
      </c>
      <c r="D1150" s="2" t="s">
        <v>151</v>
      </c>
      <c r="E1150" s="2" t="s">
        <v>127</v>
      </c>
      <c r="F1150" s="2" t="s">
        <v>261</v>
      </c>
      <c r="G1150" s="2" t="s">
        <v>213</v>
      </c>
      <c r="I1150">
        <f>HEX2DEC(_0811_173439[[#This Row],[580C]])*B$4/B$5+B$6</f>
        <v>760</v>
      </c>
      <c r="J1150">
        <f>HEX2DEC(_0811_173439[[#This Row],[4402]])*C$4/C$5+C$6</f>
        <v>37</v>
      </c>
      <c r="K1150">
        <f>HEX2DEC(_0811_173439[[#This Row],[580F]])*D$4/D$5+D$6</f>
        <v>30</v>
      </c>
      <c r="L1150">
        <f>ROUND(HEX2DEC(_0811_173439[[#This Row],[58F0]])*E$4/E$5+E$6,0)</f>
        <v>70</v>
      </c>
      <c r="M1150">
        <f>ROUND(HEX2DEC(_0811_173439[[#This Row],[5805]])*F$4/F$5+F$6,0)</f>
        <v>44</v>
      </c>
      <c r="N1150">
        <f>ROUND(HEX2DEC(_0811_173439[[#This Row],[58DD]])*G$4/G$5+G$6,2)</f>
        <v>-0.03</v>
      </c>
      <c r="P1150">
        <v>760</v>
      </c>
      <c r="Q1150">
        <v>37</v>
      </c>
      <c r="R1150">
        <v>30</v>
      </c>
      <c r="S1150">
        <v>70</v>
      </c>
      <c r="T1150">
        <v>44</v>
      </c>
      <c r="U1150">
        <v>-0.03</v>
      </c>
      <c r="W1150">
        <f>DataLog_T717420_Aug11_4_59_37pm[[#This Row],[RPM '[1/MIN']]]-Table3[[#This Row],[580C]]</f>
        <v>0</v>
      </c>
      <c r="X1150">
        <f>DataLog_T717420_Aug11_4_59_37pm[[#This Row],[OIL TEMP '[Â°C']]]-Table3[[#This Row],[4402]]</f>
        <v>0</v>
      </c>
      <c r="Y1150">
        <f>DataLog_T717420_Aug11_4_59_37pm[[#This Row],[INTAKE TEMP '[Â°C']]]-Table3[[#This Row],[580F]]</f>
        <v>0</v>
      </c>
      <c r="Z1150">
        <f>DataLog_T717420_Aug11_4_59_37pm[[#This Row],[HPFP PRES. '[BAR']]]-Table3[[#This Row],[58F0]]</f>
        <v>0</v>
      </c>
      <c r="AA1150">
        <f>DataLog_T717420_Aug11_4_59_37pm[[#This Row],[COOLANT TEMP '[Â°C']]]-Table3[[#This Row],[5805]]</f>
        <v>0</v>
      </c>
      <c r="AB1150">
        <f>DataLog_T717420_Aug11_4_59_37pm[[#This Row],[BOOST '[BAR']]]-Table3[[#This Row],[58DD]]</f>
        <v>0</v>
      </c>
    </row>
    <row r="1151" spans="2:28" x14ac:dyDescent="0.25">
      <c r="B1151" s="2" t="s">
        <v>189</v>
      </c>
      <c r="C1151" s="2" t="s">
        <v>262</v>
      </c>
      <c r="D1151" s="2" t="s">
        <v>151</v>
      </c>
      <c r="E1151" s="2" t="s">
        <v>207</v>
      </c>
      <c r="F1151" s="2" t="s">
        <v>261</v>
      </c>
      <c r="G1151" s="2" t="s">
        <v>53</v>
      </c>
      <c r="I1151">
        <f>HEX2DEC(_0811_173439[[#This Row],[580C]])*B$4/B$5+B$6</f>
        <v>760</v>
      </c>
      <c r="J1151">
        <f>HEX2DEC(_0811_173439[[#This Row],[4402]])*C$4/C$5+C$6</f>
        <v>37</v>
      </c>
      <c r="K1151">
        <f>HEX2DEC(_0811_173439[[#This Row],[580F]])*D$4/D$5+D$6</f>
        <v>30</v>
      </c>
      <c r="L1151">
        <f>ROUND(HEX2DEC(_0811_173439[[#This Row],[58F0]])*E$4/E$5+E$6,0)</f>
        <v>70</v>
      </c>
      <c r="M1151">
        <f>ROUND(HEX2DEC(_0811_173439[[#This Row],[5805]])*F$4/F$5+F$6,0)</f>
        <v>44</v>
      </c>
      <c r="N1151">
        <f>ROUND(HEX2DEC(_0811_173439[[#This Row],[58DD]])*G$4/G$5+G$6,2)</f>
        <v>-0.03</v>
      </c>
      <c r="P1151">
        <v>760</v>
      </c>
      <c r="Q1151">
        <v>37</v>
      </c>
      <c r="R1151">
        <v>30</v>
      </c>
      <c r="S1151">
        <v>70</v>
      </c>
      <c r="T1151">
        <v>44</v>
      </c>
      <c r="U1151">
        <v>-0.03</v>
      </c>
      <c r="W1151">
        <f>DataLog_T717420_Aug11_4_59_37pm[[#This Row],[RPM '[1/MIN']]]-Table3[[#This Row],[580C]]</f>
        <v>0</v>
      </c>
      <c r="X1151">
        <f>DataLog_T717420_Aug11_4_59_37pm[[#This Row],[OIL TEMP '[Â°C']]]-Table3[[#This Row],[4402]]</f>
        <v>0</v>
      </c>
      <c r="Y1151">
        <f>DataLog_T717420_Aug11_4_59_37pm[[#This Row],[INTAKE TEMP '[Â°C']]]-Table3[[#This Row],[580F]]</f>
        <v>0</v>
      </c>
      <c r="Z1151">
        <f>DataLog_T717420_Aug11_4_59_37pm[[#This Row],[HPFP PRES. '[BAR']]]-Table3[[#This Row],[58F0]]</f>
        <v>0</v>
      </c>
      <c r="AA1151">
        <f>DataLog_T717420_Aug11_4_59_37pm[[#This Row],[COOLANT TEMP '[Â°C']]]-Table3[[#This Row],[5805]]</f>
        <v>0</v>
      </c>
      <c r="AB1151">
        <f>DataLog_T717420_Aug11_4_59_37pm[[#This Row],[BOOST '[BAR']]]-Table3[[#This Row],[58DD]]</f>
        <v>0</v>
      </c>
    </row>
    <row r="1152" spans="2:28" x14ac:dyDescent="0.25">
      <c r="B1152" s="2" t="s">
        <v>189</v>
      </c>
      <c r="C1152" s="2" t="s">
        <v>262</v>
      </c>
      <c r="D1152" s="2" t="s">
        <v>151</v>
      </c>
      <c r="E1152" s="2" t="s">
        <v>194</v>
      </c>
      <c r="F1152" s="2" t="s">
        <v>261</v>
      </c>
      <c r="G1152" s="2" t="s">
        <v>190</v>
      </c>
      <c r="I1152">
        <f>HEX2DEC(_0811_173439[[#This Row],[580C]])*B$4/B$5+B$6</f>
        <v>760</v>
      </c>
      <c r="J1152">
        <f>HEX2DEC(_0811_173439[[#This Row],[4402]])*C$4/C$5+C$6</f>
        <v>37</v>
      </c>
      <c r="K1152">
        <f>HEX2DEC(_0811_173439[[#This Row],[580F]])*D$4/D$5+D$6</f>
        <v>30</v>
      </c>
      <c r="L1152">
        <f>ROUND(HEX2DEC(_0811_173439[[#This Row],[58F0]])*E$4/E$5+E$6,0)</f>
        <v>70</v>
      </c>
      <c r="M1152">
        <f>ROUND(HEX2DEC(_0811_173439[[#This Row],[5805]])*F$4/F$5+F$6,0)</f>
        <v>44</v>
      </c>
      <c r="N1152">
        <f>ROUND(HEX2DEC(_0811_173439[[#This Row],[58DD]])*G$4/G$5+G$6,2)</f>
        <v>-0.03</v>
      </c>
      <c r="P1152">
        <v>760</v>
      </c>
      <c r="Q1152">
        <v>37</v>
      </c>
      <c r="R1152">
        <v>30</v>
      </c>
      <c r="S1152">
        <v>70</v>
      </c>
      <c r="T1152">
        <v>44</v>
      </c>
      <c r="U1152">
        <v>-0.03</v>
      </c>
      <c r="W1152">
        <f>DataLog_T717420_Aug11_4_59_37pm[[#This Row],[RPM '[1/MIN']]]-Table3[[#This Row],[580C]]</f>
        <v>0</v>
      </c>
      <c r="X1152">
        <f>DataLog_T717420_Aug11_4_59_37pm[[#This Row],[OIL TEMP '[Â°C']]]-Table3[[#This Row],[4402]]</f>
        <v>0</v>
      </c>
      <c r="Y1152">
        <f>DataLog_T717420_Aug11_4_59_37pm[[#This Row],[INTAKE TEMP '[Â°C']]]-Table3[[#This Row],[580F]]</f>
        <v>0</v>
      </c>
      <c r="Z1152">
        <f>DataLog_T717420_Aug11_4_59_37pm[[#This Row],[HPFP PRES. '[BAR']]]-Table3[[#This Row],[58F0]]</f>
        <v>0</v>
      </c>
      <c r="AA1152">
        <f>DataLog_T717420_Aug11_4_59_37pm[[#This Row],[COOLANT TEMP '[Â°C']]]-Table3[[#This Row],[5805]]</f>
        <v>0</v>
      </c>
      <c r="AB1152">
        <f>DataLog_T717420_Aug11_4_59_37pm[[#This Row],[BOOST '[BAR']]]-Table3[[#This Row],[58DD]]</f>
        <v>0</v>
      </c>
    </row>
    <row r="1153" spans="2:28" x14ac:dyDescent="0.25">
      <c r="B1153" s="2" t="s">
        <v>189</v>
      </c>
      <c r="C1153" s="2" t="s">
        <v>262</v>
      </c>
      <c r="D1153" s="2" t="s">
        <v>151</v>
      </c>
      <c r="E1153" s="2" t="s">
        <v>93</v>
      </c>
      <c r="F1153" s="2" t="s">
        <v>261</v>
      </c>
      <c r="G1153" s="2" t="s">
        <v>216</v>
      </c>
      <c r="I1153">
        <f>HEX2DEC(_0811_173439[[#This Row],[580C]])*B$4/B$5+B$6</f>
        <v>760</v>
      </c>
      <c r="J1153">
        <f>HEX2DEC(_0811_173439[[#This Row],[4402]])*C$4/C$5+C$6</f>
        <v>37</v>
      </c>
      <c r="K1153">
        <f>HEX2DEC(_0811_173439[[#This Row],[580F]])*D$4/D$5+D$6</f>
        <v>30</v>
      </c>
      <c r="L1153">
        <f>ROUND(HEX2DEC(_0811_173439[[#This Row],[58F0]])*E$4/E$5+E$6,0)</f>
        <v>70</v>
      </c>
      <c r="M1153">
        <f>ROUND(HEX2DEC(_0811_173439[[#This Row],[5805]])*F$4/F$5+F$6,0)</f>
        <v>44</v>
      </c>
      <c r="N1153">
        <f>ROUND(HEX2DEC(_0811_173439[[#This Row],[58DD]])*G$4/G$5+G$6,2)</f>
        <v>-0.03</v>
      </c>
      <c r="P1153">
        <v>760</v>
      </c>
      <c r="Q1153">
        <v>37</v>
      </c>
      <c r="R1153">
        <v>30</v>
      </c>
      <c r="S1153">
        <v>70</v>
      </c>
      <c r="T1153">
        <v>44</v>
      </c>
      <c r="U1153">
        <v>-0.03</v>
      </c>
      <c r="W1153">
        <f>DataLog_T717420_Aug11_4_59_37pm[[#This Row],[RPM '[1/MIN']]]-Table3[[#This Row],[580C]]</f>
        <v>0</v>
      </c>
      <c r="X1153">
        <f>DataLog_T717420_Aug11_4_59_37pm[[#This Row],[OIL TEMP '[Â°C']]]-Table3[[#This Row],[4402]]</f>
        <v>0</v>
      </c>
      <c r="Y1153">
        <f>DataLog_T717420_Aug11_4_59_37pm[[#This Row],[INTAKE TEMP '[Â°C']]]-Table3[[#This Row],[580F]]</f>
        <v>0</v>
      </c>
      <c r="Z1153">
        <f>DataLog_T717420_Aug11_4_59_37pm[[#This Row],[HPFP PRES. '[BAR']]]-Table3[[#This Row],[58F0]]</f>
        <v>0</v>
      </c>
      <c r="AA1153">
        <f>DataLog_T717420_Aug11_4_59_37pm[[#This Row],[COOLANT TEMP '[Â°C']]]-Table3[[#This Row],[5805]]</f>
        <v>0</v>
      </c>
      <c r="AB1153">
        <f>DataLog_T717420_Aug11_4_59_37pm[[#This Row],[BOOST '[BAR']]]-Table3[[#This Row],[58DD]]</f>
        <v>0</v>
      </c>
    </row>
    <row r="1154" spans="2:28" x14ac:dyDescent="0.25">
      <c r="B1154" s="2" t="s">
        <v>189</v>
      </c>
      <c r="C1154" s="2" t="s">
        <v>262</v>
      </c>
      <c r="D1154" s="2" t="s">
        <v>151</v>
      </c>
      <c r="E1154" s="2" t="s">
        <v>165</v>
      </c>
      <c r="F1154" s="2" t="s">
        <v>261</v>
      </c>
      <c r="G1154" s="2" t="s">
        <v>186</v>
      </c>
      <c r="I1154">
        <f>HEX2DEC(_0811_173439[[#This Row],[580C]])*B$4/B$5+B$6</f>
        <v>760</v>
      </c>
      <c r="J1154">
        <f>HEX2DEC(_0811_173439[[#This Row],[4402]])*C$4/C$5+C$6</f>
        <v>37</v>
      </c>
      <c r="K1154">
        <f>HEX2DEC(_0811_173439[[#This Row],[580F]])*D$4/D$5+D$6</f>
        <v>30</v>
      </c>
      <c r="L1154">
        <f>ROUND(HEX2DEC(_0811_173439[[#This Row],[58F0]])*E$4/E$5+E$6,0)</f>
        <v>70</v>
      </c>
      <c r="M1154">
        <f>ROUND(HEX2DEC(_0811_173439[[#This Row],[5805]])*F$4/F$5+F$6,0)</f>
        <v>44</v>
      </c>
      <c r="N1154">
        <f>ROUND(HEX2DEC(_0811_173439[[#This Row],[58DD]])*G$4/G$5+G$6,2)</f>
        <v>-0.03</v>
      </c>
      <c r="P1154">
        <v>760</v>
      </c>
      <c r="Q1154">
        <v>37</v>
      </c>
      <c r="R1154">
        <v>30</v>
      </c>
      <c r="S1154">
        <v>70</v>
      </c>
      <c r="T1154">
        <v>44</v>
      </c>
      <c r="U1154">
        <v>-0.03</v>
      </c>
      <c r="W1154">
        <f>DataLog_T717420_Aug11_4_59_37pm[[#This Row],[RPM '[1/MIN']]]-Table3[[#This Row],[580C]]</f>
        <v>0</v>
      </c>
      <c r="X1154">
        <f>DataLog_T717420_Aug11_4_59_37pm[[#This Row],[OIL TEMP '[Â°C']]]-Table3[[#This Row],[4402]]</f>
        <v>0</v>
      </c>
      <c r="Y1154">
        <f>DataLog_T717420_Aug11_4_59_37pm[[#This Row],[INTAKE TEMP '[Â°C']]]-Table3[[#This Row],[580F]]</f>
        <v>0</v>
      </c>
      <c r="Z1154">
        <f>DataLog_T717420_Aug11_4_59_37pm[[#This Row],[HPFP PRES. '[BAR']]]-Table3[[#This Row],[58F0]]</f>
        <v>0</v>
      </c>
      <c r="AA1154">
        <f>DataLog_T717420_Aug11_4_59_37pm[[#This Row],[COOLANT TEMP '[Â°C']]]-Table3[[#This Row],[5805]]</f>
        <v>0</v>
      </c>
      <c r="AB1154">
        <f>DataLog_T717420_Aug11_4_59_37pm[[#This Row],[BOOST '[BAR']]]-Table3[[#This Row],[58DD]]</f>
        <v>0</v>
      </c>
    </row>
    <row r="1155" spans="2:28" x14ac:dyDescent="0.25">
      <c r="B1155" s="2" t="s">
        <v>189</v>
      </c>
      <c r="C1155" s="2" t="s">
        <v>262</v>
      </c>
      <c r="D1155" s="2" t="s">
        <v>151</v>
      </c>
      <c r="E1155" s="2" t="s">
        <v>194</v>
      </c>
      <c r="F1155" s="2" t="s">
        <v>261</v>
      </c>
      <c r="G1155" s="2" t="s">
        <v>190</v>
      </c>
      <c r="I1155">
        <f>HEX2DEC(_0811_173439[[#This Row],[580C]])*B$4/B$5+B$6</f>
        <v>760</v>
      </c>
      <c r="J1155">
        <f>HEX2DEC(_0811_173439[[#This Row],[4402]])*C$4/C$5+C$6</f>
        <v>37</v>
      </c>
      <c r="K1155">
        <f>HEX2DEC(_0811_173439[[#This Row],[580F]])*D$4/D$5+D$6</f>
        <v>30</v>
      </c>
      <c r="L1155">
        <f>ROUND(HEX2DEC(_0811_173439[[#This Row],[58F0]])*E$4/E$5+E$6,0)</f>
        <v>70</v>
      </c>
      <c r="M1155">
        <f>ROUND(HEX2DEC(_0811_173439[[#This Row],[5805]])*F$4/F$5+F$6,0)</f>
        <v>44</v>
      </c>
      <c r="N1155">
        <f>ROUND(HEX2DEC(_0811_173439[[#This Row],[58DD]])*G$4/G$5+G$6,2)</f>
        <v>-0.03</v>
      </c>
      <c r="P1155">
        <v>760</v>
      </c>
      <c r="Q1155">
        <v>37</v>
      </c>
      <c r="R1155">
        <v>30</v>
      </c>
      <c r="S1155">
        <v>70</v>
      </c>
      <c r="T1155">
        <v>44</v>
      </c>
      <c r="U1155">
        <v>-0.03</v>
      </c>
      <c r="W1155">
        <f>DataLog_T717420_Aug11_4_59_37pm[[#This Row],[RPM '[1/MIN']]]-Table3[[#This Row],[580C]]</f>
        <v>0</v>
      </c>
      <c r="X1155">
        <f>DataLog_T717420_Aug11_4_59_37pm[[#This Row],[OIL TEMP '[Â°C']]]-Table3[[#This Row],[4402]]</f>
        <v>0</v>
      </c>
      <c r="Y1155">
        <f>DataLog_T717420_Aug11_4_59_37pm[[#This Row],[INTAKE TEMP '[Â°C']]]-Table3[[#This Row],[580F]]</f>
        <v>0</v>
      </c>
      <c r="Z1155">
        <f>DataLog_T717420_Aug11_4_59_37pm[[#This Row],[HPFP PRES. '[BAR']]]-Table3[[#This Row],[58F0]]</f>
        <v>0</v>
      </c>
      <c r="AA1155">
        <f>DataLog_T717420_Aug11_4_59_37pm[[#This Row],[COOLANT TEMP '[Â°C']]]-Table3[[#This Row],[5805]]</f>
        <v>0</v>
      </c>
      <c r="AB1155">
        <f>DataLog_T717420_Aug11_4_59_37pm[[#This Row],[BOOST '[BAR']]]-Table3[[#This Row],[58DD]]</f>
        <v>0</v>
      </c>
    </row>
    <row r="1156" spans="2:28" x14ac:dyDescent="0.25">
      <c r="B1156" s="2" t="s">
        <v>189</v>
      </c>
      <c r="C1156" s="2" t="s">
        <v>262</v>
      </c>
      <c r="D1156" s="2" t="s">
        <v>151</v>
      </c>
      <c r="E1156" s="2" t="s">
        <v>93</v>
      </c>
      <c r="F1156" s="2" t="s">
        <v>261</v>
      </c>
      <c r="G1156" s="2" t="s">
        <v>96</v>
      </c>
      <c r="I1156">
        <f>HEX2DEC(_0811_173439[[#This Row],[580C]])*B$4/B$5+B$6</f>
        <v>760</v>
      </c>
      <c r="J1156">
        <f>HEX2DEC(_0811_173439[[#This Row],[4402]])*C$4/C$5+C$6</f>
        <v>37</v>
      </c>
      <c r="K1156">
        <f>HEX2DEC(_0811_173439[[#This Row],[580F]])*D$4/D$5+D$6</f>
        <v>30</v>
      </c>
      <c r="L1156">
        <f>ROUND(HEX2DEC(_0811_173439[[#This Row],[58F0]])*E$4/E$5+E$6,0)</f>
        <v>70</v>
      </c>
      <c r="M1156">
        <f>ROUND(HEX2DEC(_0811_173439[[#This Row],[5805]])*F$4/F$5+F$6,0)</f>
        <v>44</v>
      </c>
      <c r="N1156">
        <f>ROUND(HEX2DEC(_0811_173439[[#This Row],[58DD]])*G$4/G$5+G$6,2)</f>
        <v>-0.03</v>
      </c>
      <c r="P1156">
        <v>760</v>
      </c>
      <c r="Q1156">
        <v>37</v>
      </c>
      <c r="R1156">
        <v>30</v>
      </c>
      <c r="S1156">
        <v>70</v>
      </c>
      <c r="T1156">
        <v>44</v>
      </c>
      <c r="U1156">
        <v>-0.03</v>
      </c>
      <c r="W1156">
        <f>DataLog_T717420_Aug11_4_59_37pm[[#This Row],[RPM '[1/MIN']]]-Table3[[#This Row],[580C]]</f>
        <v>0</v>
      </c>
      <c r="X1156">
        <f>DataLog_T717420_Aug11_4_59_37pm[[#This Row],[OIL TEMP '[Â°C']]]-Table3[[#This Row],[4402]]</f>
        <v>0</v>
      </c>
      <c r="Y1156">
        <f>DataLog_T717420_Aug11_4_59_37pm[[#This Row],[INTAKE TEMP '[Â°C']]]-Table3[[#This Row],[580F]]</f>
        <v>0</v>
      </c>
      <c r="Z1156">
        <f>DataLog_T717420_Aug11_4_59_37pm[[#This Row],[HPFP PRES. '[BAR']]]-Table3[[#This Row],[58F0]]</f>
        <v>0</v>
      </c>
      <c r="AA1156">
        <f>DataLog_T717420_Aug11_4_59_37pm[[#This Row],[COOLANT TEMP '[Â°C']]]-Table3[[#This Row],[5805]]</f>
        <v>0</v>
      </c>
      <c r="AB1156">
        <f>DataLog_T717420_Aug11_4_59_37pm[[#This Row],[BOOST '[BAR']]]-Table3[[#This Row],[58DD]]</f>
        <v>0</v>
      </c>
    </row>
    <row r="1157" spans="2:28" x14ac:dyDescent="0.25">
      <c r="B1157" s="2" t="s">
        <v>189</v>
      </c>
      <c r="C1157" s="2" t="s">
        <v>262</v>
      </c>
      <c r="D1157" s="2" t="s">
        <v>151</v>
      </c>
      <c r="E1157" s="2" t="s">
        <v>205</v>
      </c>
      <c r="F1157" s="2" t="s">
        <v>261</v>
      </c>
      <c r="G1157" s="2" t="s">
        <v>190</v>
      </c>
      <c r="I1157">
        <f>HEX2DEC(_0811_173439[[#This Row],[580C]])*B$4/B$5+B$6</f>
        <v>760</v>
      </c>
      <c r="J1157">
        <f>HEX2DEC(_0811_173439[[#This Row],[4402]])*C$4/C$5+C$6</f>
        <v>37</v>
      </c>
      <c r="K1157">
        <f>HEX2DEC(_0811_173439[[#This Row],[580F]])*D$4/D$5+D$6</f>
        <v>30</v>
      </c>
      <c r="L1157">
        <f>ROUND(HEX2DEC(_0811_173439[[#This Row],[58F0]])*E$4/E$5+E$6,0)</f>
        <v>71</v>
      </c>
      <c r="M1157">
        <f>ROUND(HEX2DEC(_0811_173439[[#This Row],[5805]])*F$4/F$5+F$6,0)</f>
        <v>44</v>
      </c>
      <c r="N1157">
        <f>ROUND(HEX2DEC(_0811_173439[[#This Row],[58DD]])*G$4/G$5+G$6,2)</f>
        <v>-0.03</v>
      </c>
      <c r="P1157">
        <v>760</v>
      </c>
      <c r="Q1157">
        <v>37</v>
      </c>
      <c r="R1157">
        <v>30</v>
      </c>
      <c r="S1157">
        <v>71</v>
      </c>
      <c r="T1157">
        <v>44</v>
      </c>
      <c r="U1157">
        <v>-0.03</v>
      </c>
      <c r="W1157">
        <f>DataLog_T717420_Aug11_4_59_37pm[[#This Row],[RPM '[1/MIN']]]-Table3[[#This Row],[580C]]</f>
        <v>0</v>
      </c>
      <c r="X1157">
        <f>DataLog_T717420_Aug11_4_59_37pm[[#This Row],[OIL TEMP '[Â°C']]]-Table3[[#This Row],[4402]]</f>
        <v>0</v>
      </c>
      <c r="Y1157">
        <f>DataLog_T717420_Aug11_4_59_37pm[[#This Row],[INTAKE TEMP '[Â°C']]]-Table3[[#This Row],[580F]]</f>
        <v>0</v>
      </c>
      <c r="Z1157">
        <f>DataLog_T717420_Aug11_4_59_37pm[[#This Row],[HPFP PRES. '[BAR']]]-Table3[[#This Row],[58F0]]</f>
        <v>0</v>
      </c>
      <c r="AA1157">
        <f>DataLog_T717420_Aug11_4_59_37pm[[#This Row],[COOLANT TEMP '[Â°C']]]-Table3[[#This Row],[5805]]</f>
        <v>0</v>
      </c>
      <c r="AB1157">
        <f>DataLog_T717420_Aug11_4_59_37pm[[#This Row],[BOOST '[BAR']]]-Table3[[#This Row],[58DD]]</f>
        <v>0</v>
      </c>
    </row>
    <row r="1158" spans="2:28" x14ac:dyDescent="0.25">
      <c r="B1158" s="2" t="s">
        <v>183</v>
      </c>
      <c r="C1158" s="2" t="s">
        <v>262</v>
      </c>
      <c r="D1158" s="2" t="s">
        <v>151</v>
      </c>
      <c r="E1158" s="2" t="s">
        <v>157</v>
      </c>
      <c r="F1158" s="2" t="s">
        <v>261</v>
      </c>
      <c r="G1158" s="2" t="s">
        <v>190</v>
      </c>
      <c r="I1158">
        <f>HEX2DEC(_0811_173439[[#This Row],[580C]])*B$4/B$5+B$6</f>
        <v>800</v>
      </c>
      <c r="J1158">
        <f>HEX2DEC(_0811_173439[[#This Row],[4402]])*C$4/C$5+C$6</f>
        <v>37</v>
      </c>
      <c r="K1158">
        <f>HEX2DEC(_0811_173439[[#This Row],[580F]])*D$4/D$5+D$6</f>
        <v>30</v>
      </c>
      <c r="L1158">
        <f>ROUND(HEX2DEC(_0811_173439[[#This Row],[58F0]])*E$4/E$5+E$6,0)</f>
        <v>70</v>
      </c>
      <c r="M1158">
        <f>ROUND(HEX2DEC(_0811_173439[[#This Row],[5805]])*F$4/F$5+F$6,0)</f>
        <v>44</v>
      </c>
      <c r="N1158">
        <f>ROUND(HEX2DEC(_0811_173439[[#This Row],[58DD]])*G$4/G$5+G$6,2)</f>
        <v>-0.03</v>
      </c>
      <c r="P1158">
        <v>800</v>
      </c>
      <c r="Q1158">
        <v>37</v>
      </c>
      <c r="R1158">
        <v>30</v>
      </c>
      <c r="S1158">
        <v>70</v>
      </c>
      <c r="T1158">
        <v>44</v>
      </c>
      <c r="U1158">
        <v>-0.03</v>
      </c>
      <c r="W1158">
        <f>DataLog_T717420_Aug11_4_59_37pm[[#This Row],[RPM '[1/MIN']]]-Table3[[#This Row],[580C]]</f>
        <v>0</v>
      </c>
      <c r="X1158">
        <f>DataLog_T717420_Aug11_4_59_37pm[[#This Row],[OIL TEMP '[Â°C']]]-Table3[[#This Row],[4402]]</f>
        <v>0</v>
      </c>
      <c r="Y1158">
        <f>DataLog_T717420_Aug11_4_59_37pm[[#This Row],[INTAKE TEMP '[Â°C']]]-Table3[[#This Row],[580F]]</f>
        <v>0</v>
      </c>
      <c r="Z1158">
        <f>DataLog_T717420_Aug11_4_59_37pm[[#This Row],[HPFP PRES. '[BAR']]]-Table3[[#This Row],[58F0]]</f>
        <v>0</v>
      </c>
      <c r="AA1158">
        <f>DataLog_T717420_Aug11_4_59_37pm[[#This Row],[COOLANT TEMP '[Â°C']]]-Table3[[#This Row],[5805]]</f>
        <v>0</v>
      </c>
      <c r="AB1158">
        <f>DataLog_T717420_Aug11_4_59_37pm[[#This Row],[BOOST '[BAR']]]-Table3[[#This Row],[58DD]]</f>
        <v>0</v>
      </c>
    </row>
    <row r="1159" spans="2:28" x14ac:dyDescent="0.25">
      <c r="B1159" s="2" t="s">
        <v>183</v>
      </c>
      <c r="C1159" s="2" t="s">
        <v>262</v>
      </c>
      <c r="D1159" s="2" t="s">
        <v>151</v>
      </c>
      <c r="E1159" s="2" t="s">
        <v>159</v>
      </c>
      <c r="F1159" s="2" t="s">
        <v>261</v>
      </c>
      <c r="G1159" s="2" t="s">
        <v>216</v>
      </c>
      <c r="I1159">
        <f>HEX2DEC(_0811_173439[[#This Row],[580C]])*B$4/B$5+B$6</f>
        <v>800</v>
      </c>
      <c r="J1159">
        <f>HEX2DEC(_0811_173439[[#This Row],[4402]])*C$4/C$5+C$6</f>
        <v>37</v>
      </c>
      <c r="K1159">
        <f>HEX2DEC(_0811_173439[[#This Row],[580F]])*D$4/D$5+D$6</f>
        <v>30</v>
      </c>
      <c r="L1159">
        <f>ROUND(HEX2DEC(_0811_173439[[#This Row],[58F0]])*E$4/E$5+E$6,0)</f>
        <v>70</v>
      </c>
      <c r="M1159">
        <f>ROUND(HEX2DEC(_0811_173439[[#This Row],[5805]])*F$4/F$5+F$6,0)</f>
        <v>44</v>
      </c>
      <c r="N1159">
        <f>ROUND(HEX2DEC(_0811_173439[[#This Row],[58DD]])*G$4/G$5+G$6,2)</f>
        <v>-0.03</v>
      </c>
      <c r="P1159">
        <v>800</v>
      </c>
      <c r="Q1159">
        <v>37</v>
      </c>
      <c r="R1159">
        <v>30</v>
      </c>
      <c r="S1159">
        <v>70</v>
      </c>
      <c r="T1159">
        <v>44</v>
      </c>
      <c r="U1159">
        <v>-0.03</v>
      </c>
      <c r="W1159">
        <f>DataLog_T717420_Aug11_4_59_37pm[[#This Row],[RPM '[1/MIN']]]-Table3[[#This Row],[580C]]</f>
        <v>0</v>
      </c>
      <c r="X1159">
        <f>DataLog_T717420_Aug11_4_59_37pm[[#This Row],[OIL TEMP '[Â°C']]]-Table3[[#This Row],[4402]]</f>
        <v>0</v>
      </c>
      <c r="Y1159">
        <f>DataLog_T717420_Aug11_4_59_37pm[[#This Row],[INTAKE TEMP '[Â°C']]]-Table3[[#This Row],[580F]]</f>
        <v>0</v>
      </c>
      <c r="Z1159">
        <f>DataLog_T717420_Aug11_4_59_37pm[[#This Row],[HPFP PRES. '[BAR']]]-Table3[[#This Row],[58F0]]</f>
        <v>0</v>
      </c>
      <c r="AA1159">
        <f>DataLog_T717420_Aug11_4_59_37pm[[#This Row],[COOLANT TEMP '[Â°C']]]-Table3[[#This Row],[5805]]</f>
        <v>0</v>
      </c>
      <c r="AB1159">
        <f>DataLog_T717420_Aug11_4_59_37pm[[#This Row],[BOOST '[BAR']]]-Table3[[#This Row],[58DD]]</f>
        <v>0</v>
      </c>
    </row>
    <row r="1160" spans="2:28" x14ac:dyDescent="0.25">
      <c r="B1160" s="2" t="s">
        <v>183</v>
      </c>
      <c r="C1160" s="2" t="s">
        <v>262</v>
      </c>
      <c r="D1160" s="2" t="s">
        <v>151</v>
      </c>
      <c r="E1160" s="2" t="s">
        <v>127</v>
      </c>
      <c r="F1160" s="2" t="s">
        <v>261</v>
      </c>
      <c r="G1160" s="2" t="s">
        <v>71</v>
      </c>
      <c r="I1160">
        <f>HEX2DEC(_0811_173439[[#This Row],[580C]])*B$4/B$5+B$6</f>
        <v>800</v>
      </c>
      <c r="J1160">
        <f>HEX2DEC(_0811_173439[[#This Row],[4402]])*C$4/C$5+C$6</f>
        <v>37</v>
      </c>
      <c r="K1160">
        <f>HEX2DEC(_0811_173439[[#This Row],[580F]])*D$4/D$5+D$6</f>
        <v>30</v>
      </c>
      <c r="L1160">
        <f>ROUND(HEX2DEC(_0811_173439[[#This Row],[58F0]])*E$4/E$5+E$6,0)</f>
        <v>70</v>
      </c>
      <c r="M1160">
        <f>ROUND(HEX2DEC(_0811_173439[[#This Row],[5805]])*F$4/F$5+F$6,0)</f>
        <v>44</v>
      </c>
      <c r="N1160">
        <f>ROUND(HEX2DEC(_0811_173439[[#This Row],[58DD]])*G$4/G$5+G$6,2)</f>
        <v>-0.03</v>
      </c>
      <c r="P1160">
        <v>800</v>
      </c>
      <c r="Q1160">
        <v>37</v>
      </c>
      <c r="R1160">
        <v>30</v>
      </c>
      <c r="S1160">
        <v>70</v>
      </c>
      <c r="T1160">
        <v>44</v>
      </c>
      <c r="U1160">
        <v>-0.03</v>
      </c>
      <c r="W1160">
        <f>DataLog_T717420_Aug11_4_59_37pm[[#This Row],[RPM '[1/MIN']]]-Table3[[#This Row],[580C]]</f>
        <v>0</v>
      </c>
      <c r="X1160">
        <f>DataLog_T717420_Aug11_4_59_37pm[[#This Row],[OIL TEMP '[Â°C']]]-Table3[[#This Row],[4402]]</f>
        <v>0</v>
      </c>
      <c r="Y1160">
        <f>DataLog_T717420_Aug11_4_59_37pm[[#This Row],[INTAKE TEMP '[Â°C']]]-Table3[[#This Row],[580F]]</f>
        <v>0</v>
      </c>
      <c r="Z1160">
        <f>DataLog_T717420_Aug11_4_59_37pm[[#This Row],[HPFP PRES. '[BAR']]]-Table3[[#This Row],[58F0]]</f>
        <v>0</v>
      </c>
      <c r="AA1160">
        <f>DataLog_T717420_Aug11_4_59_37pm[[#This Row],[COOLANT TEMP '[Â°C']]]-Table3[[#This Row],[5805]]</f>
        <v>0</v>
      </c>
      <c r="AB1160">
        <f>DataLog_T717420_Aug11_4_59_37pm[[#This Row],[BOOST '[BAR']]]-Table3[[#This Row],[58DD]]</f>
        <v>0</v>
      </c>
    </row>
    <row r="1161" spans="2:28" x14ac:dyDescent="0.25">
      <c r="B1161" s="2" t="s">
        <v>183</v>
      </c>
      <c r="C1161" s="2" t="s">
        <v>262</v>
      </c>
      <c r="D1161" s="2" t="s">
        <v>151</v>
      </c>
      <c r="E1161" s="2" t="s">
        <v>165</v>
      </c>
      <c r="F1161" s="2" t="s">
        <v>261</v>
      </c>
      <c r="G1161" s="2" t="s">
        <v>190</v>
      </c>
      <c r="I1161">
        <f>HEX2DEC(_0811_173439[[#This Row],[580C]])*B$4/B$5+B$6</f>
        <v>800</v>
      </c>
      <c r="J1161">
        <f>HEX2DEC(_0811_173439[[#This Row],[4402]])*C$4/C$5+C$6</f>
        <v>37</v>
      </c>
      <c r="K1161">
        <f>HEX2DEC(_0811_173439[[#This Row],[580F]])*D$4/D$5+D$6</f>
        <v>30</v>
      </c>
      <c r="L1161">
        <f>ROUND(HEX2DEC(_0811_173439[[#This Row],[58F0]])*E$4/E$5+E$6,0)</f>
        <v>70</v>
      </c>
      <c r="M1161">
        <f>ROUND(HEX2DEC(_0811_173439[[#This Row],[5805]])*F$4/F$5+F$6,0)</f>
        <v>44</v>
      </c>
      <c r="N1161">
        <f>ROUND(HEX2DEC(_0811_173439[[#This Row],[58DD]])*G$4/G$5+G$6,2)</f>
        <v>-0.03</v>
      </c>
      <c r="P1161">
        <v>800</v>
      </c>
      <c r="Q1161">
        <v>37</v>
      </c>
      <c r="R1161">
        <v>30</v>
      </c>
      <c r="S1161">
        <v>70</v>
      </c>
      <c r="T1161">
        <v>44</v>
      </c>
      <c r="U1161">
        <v>-0.03</v>
      </c>
      <c r="W1161">
        <f>DataLog_T717420_Aug11_4_59_37pm[[#This Row],[RPM '[1/MIN']]]-Table3[[#This Row],[580C]]</f>
        <v>0</v>
      </c>
      <c r="X1161">
        <f>DataLog_T717420_Aug11_4_59_37pm[[#This Row],[OIL TEMP '[Â°C']]]-Table3[[#This Row],[4402]]</f>
        <v>0</v>
      </c>
      <c r="Y1161">
        <f>DataLog_T717420_Aug11_4_59_37pm[[#This Row],[INTAKE TEMP '[Â°C']]]-Table3[[#This Row],[580F]]</f>
        <v>0</v>
      </c>
      <c r="Z1161">
        <f>DataLog_T717420_Aug11_4_59_37pm[[#This Row],[HPFP PRES. '[BAR']]]-Table3[[#This Row],[58F0]]</f>
        <v>0</v>
      </c>
      <c r="AA1161">
        <f>DataLog_T717420_Aug11_4_59_37pm[[#This Row],[COOLANT TEMP '[Â°C']]]-Table3[[#This Row],[5805]]</f>
        <v>0</v>
      </c>
      <c r="AB1161">
        <f>DataLog_T717420_Aug11_4_59_37pm[[#This Row],[BOOST '[BAR']]]-Table3[[#This Row],[58DD]]</f>
        <v>0</v>
      </c>
    </row>
    <row r="1162" spans="2:28" x14ac:dyDescent="0.25">
      <c r="B1162" s="2" t="s">
        <v>183</v>
      </c>
      <c r="C1162" s="2" t="s">
        <v>262</v>
      </c>
      <c r="D1162" s="2" t="s">
        <v>151</v>
      </c>
      <c r="E1162" s="2" t="s">
        <v>159</v>
      </c>
      <c r="F1162" s="2" t="s">
        <v>261</v>
      </c>
      <c r="G1162" s="2" t="s">
        <v>190</v>
      </c>
      <c r="I1162">
        <f>HEX2DEC(_0811_173439[[#This Row],[580C]])*B$4/B$5+B$6</f>
        <v>800</v>
      </c>
      <c r="J1162">
        <f>HEX2DEC(_0811_173439[[#This Row],[4402]])*C$4/C$5+C$6</f>
        <v>37</v>
      </c>
      <c r="K1162">
        <f>HEX2DEC(_0811_173439[[#This Row],[580F]])*D$4/D$5+D$6</f>
        <v>30</v>
      </c>
      <c r="L1162">
        <f>ROUND(HEX2DEC(_0811_173439[[#This Row],[58F0]])*E$4/E$5+E$6,0)</f>
        <v>70</v>
      </c>
      <c r="M1162">
        <f>ROUND(HEX2DEC(_0811_173439[[#This Row],[5805]])*F$4/F$5+F$6,0)</f>
        <v>44</v>
      </c>
      <c r="N1162">
        <f>ROUND(HEX2DEC(_0811_173439[[#This Row],[58DD]])*G$4/G$5+G$6,2)</f>
        <v>-0.03</v>
      </c>
      <c r="P1162">
        <v>800</v>
      </c>
      <c r="Q1162">
        <v>37</v>
      </c>
      <c r="R1162">
        <v>30</v>
      </c>
      <c r="S1162">
        <v>70</v>
      </c>
      <c r="T1162">
        <v>44</v>
      </c>
      <c r="U1162">
        <v>-0.03</v>
      </c>
      <c r="W1162">
        <f>DataLog_T717420_Aug11_4_59_37pm[[#This Row],[RPM '[1/MIN']]]-Table3[[#This Row],[580C]]</f>
        <v>0</v>
      </c>
      <c r="X1162">
        <f>DataLog_T717420_Aug11_4_59_37pm[[#This Row],[OIL TEMP '[Â°C']]]-Table3[[#This Row],[4402]]</f>
        <v>0</v>
      </c>
      <c r="Y1162">
        <f>DataLog_T717420_Aug11_4_59_37pm[[#This Row],[INTAKE TEMP '[Â°C']]]-Table3[[#This Row],[580F]]</f>
        <v>0</v>
      </c>
      <c r="Z1162">
        <f>DataLog_T717420_Aug11_4_59_37pm[[#This Row],[HPFP PRES. '[BAR']]]-Table3[[#This Row],[58F0]]</f>
        <v>0</v>
      </c>
      <c r="AA1162">
        <f>DataLog_T717420_Aug11_4_59_37pm[[#This Row],[COOLANT TEMP '[Â°C']]]-Table3[[#This Row],[5805]]</f>
        <v>0</v>
      </c>
      <c r="AB1162">
        <f>DataLog_T717420_Aug11_4_59_37pm[[#This Row],[BOOST '[BAR']]]-Table3[[#This Row],[58DD]]</f>
        <v>0</v>
      </c>
    </row>
    <row r="1163" spans="2:28" x14ac:dyDescent="0.25">
      <c r="B1163" s="2" t="s">
        <v>183</v>
      </c>
      <c r="C1163" s="2" t="s">
        <v>262</v>
      </c>
      <c r="D1163" s="2" t="s">
        <v>151</v>
      </c>
      <c r="E1163" s="2" t="s">
        <v>150</v>
      </c>
      <c r="F1163" s="2" t="s">
        <v>261</v>
      </c>
      <c r="G1163" s="2" t="s">
        <v>71</v>
      </c>
      <c r="I1163">
        <f>HEX2DEC(_0811_173439[[#This Row],[580C]])*B$4/B$5+B$6</f>
        <v>800</v>
      </c>
      <c r="J1163">
        <f>HEX2DEC(_0811_173439[[#This Row],[4402]])*C$4/C$5+C$6</f>
        <v>37</v>
      </c>
      <c r="K1163">
        <f>HEX2DEC(_0811_173439[[#This Row],[580F]])*D$4/D$5+D$6</f>
        <v>30</v>
      </c>
      <c r="L1163">
        <f>ROUND(HEX2DEC(_0811_173439[[#This Row],[58F0]])*E$4/E$5+E$6,0)</f>
        <v>70</v>
      </c>
      <c r="M1163">
        <f>ROUND(HEX2DEC(_0811_173439[[#This Row],[5805]])*F$4/F$5+F$6,0)</f>
        <v>44</v>
      </c>
      <c r="N1163">
        <f>ROUND(HEX2DEC(_0811_173439[[#This Row],[58DD]])*G$4/G$5+G$6,2)</f>
        <v>-0.03</v>
      </c>
      <c r="P1163">
        <v>800</v>
      </c>
      <c r="Q1163">
        <v>37</v>
      </c>
      <c r="R1163">
        <v>30</v>
      </c>
      <c r="S1163">
        <v>70</v>
      </c>
      <c r="T1163">
        <v>44</v>
      </c>
      <c r="U1163">
        <v>-0.03</v>
      </c>
      <c r="W1163">
        <f>DataLog_T717420_Aug11_4_59_37pm[[#This Row],[RPM '[1/MIN']]]-Table3[[#This Row],[580C]]</f>
        <v>0</v>
      </c>
      <c r="X1163">
        <f>DataLog_T717420_Aug11_4_59_37pm[[#This Row],[OIL TEMP '[Â°C']]]-Table3[[#This Row],[4402]]</f>
        <v>0</v>
      </c>
      <c r="Y1163">
        <f>DataLog_T717420_Aug11_4_59_37pm[[#This Row],[INTAKE TEMP '[Â°C']]]-Table3[[#This Row],[580F]]</f>
        <v>0</v>
      </c>
      <c r="Z1163">
        <f>DataLog_T717420_Aug11_4_59_37pm[[#This Row],[HPFP PRES. '[BAR']]]-Table3[[#This Row],[58F0]]</f>
        <v>0</v>
      </c>
      <c r="AA1163">
        <f>DataLog_T717420_Aug11_4_59_37pm[[#This Row],[COOLANT TEMP '[Â°C']]]-Table3[[#This Row],[5805]]</f>
        <v>0</v>
      </c>
      <c r="AB1163">
        <f>DataLog_T717420_Aug11_4_59_37pm[[#This Row],[BOOST '[BAR']]]-Table3[[#This Row],[58DD]]</f>
        <v>0</v>
      </c>
    </row>
    <row r="1164" spans="2:28" x14ac:dyDescent="0.25">
      <c r="B1164" s="2" t="s">
        <v>183</v>
      </c>
      <c r="C1164" s="2" t="s">
        <v>262</v>
      </c>
      <c r="D1164" s="2" t="s">
        <v>151</v>
      </c>
      <c r="E1164" s="2" t="s">
        <v>165</v>
      </c>
      <c r="F1164" s="2" t="s">
        <v>261</v>
      </c>
      <c r="G1164" s="2" t="s">
        <v>98</v>
      </c>
      <c r="I1164">
        <f>HEX2DEC(_0811_173439[[#This Row],[580C]])*B$4/B$5+B$6</f>
        <v>800</v>
      </c>
      <c r="J1164">
        <f>HEX2DEC(_0811_173439[[#This Row],[4402]])*C$4/C$5+C$6</f>
        <v>37</v>
      </c>
      <c r="K1164">
        <f>HEX2DEC(_0811_173439[[#This Row],[580F]])*D$4/D$5+D$6</f>
        <v>30</v>
      </c>
      <c r="L1164">
        <f>ROUND(HEX2DEC(_0811_173439[[#This Row],[58F0]])*E$4/E$5+E$6,0)</f>
        <v>70</v>
      </c>
      <c r="M1164">
        <f>ROUND(HEX2DEC(_0811_173439[[#This Row],[5805]])*F$4/F$5+F$6,0)</f>
        <v>44</v>
      </c>
      <c r="N1164">
        <f>ROUND(HEX2DEC(_0811_173439[[#This Row],[58DD]])*G$4/G$5+G$6,2)</f>
        <v>-0.03</v>
      </c>
      <c r="P1164">
        <v>800</v>
      </c>
      <c r="Q1164">
        <v>37</v>
      </c>
      <c r="R1164">
        <v>30</v>
      </c>
      <c r="S1164">
        <v>70</v>
      </c>
      <c r="T1164">
        <v>44</v>
      </c>
      <c r="U1164">
        <v>-0.03</v>
      </c>
      <c r="W1164">
        <f>DataLog_T717420_Aug11_4_59_37pm[[#This Row],[RPM '[1/MIN']]]-Table3[[#This Row],[580C]]</f>
        <v>0</v>
      </c>
      <c r="X1164">
        <f>DataLog_T717420_Aug11_4_59_37pm[[#This Row],[OIL TEMP '[Â°C']]]-Table3[[#This Row],[4402]]</f>
        <v>0</v>
      </c>
      <c r="Y1164">
        <f>DataLog_T717420_Aug11_4_59_37pm[[#This Row],[INTAKE TEMP '[Â°C']]]-Table3[[#This Row],[580F]]</f>
        <v>0</v>
      </c>
      <c r="Z1164">
        <f>DataLog_T717420_Aug11_4_59_37pm[[#This Row],[HPFP PRES. '[BAR']]]-Table3[[#This Row],[58F0]]</f>
        <v>0</v>
      </c>
      <c r="AA1164">
        <f>DataLog_T717420_Aug11_4_59_37pm[[#This Row],[COOLANT TEMP '[Â°C']]]-Table3[[#This Row],[5805]]</f>
        <v>0</v>
      </c>
      <c r="AB1164">
        <f>DataLog_T717420_Aug11_4_59_37pm[[#This Row],[BOOST '[BAR']]]-Table3[[#This Row],[58DD]]</f>
        <v>0</v>
      </c>
    </row>
    <row r="1165" spans="2:28" x14ac:dyDescent="0.25">
      <c r="B1165" s="2" t="s">
        <v>183</v>
      </c>
      <c r="C1165" s="2" t="s">
        <v>262</v>
      </c>
      <c r="D1165" s="2" t="s">
        <v>151</v>
      </c>
      <c r="E1165" s="2" t="s">
        <v>214</v>
      </c>
      <c r="F1165" s="2" t="s">
        <v>261</v>
      </c>
      <c r="G1165" s="2" t="s">
        <v>191</v>
      </c>
      <c r="I1165">
        <f>HEX2DEC(_0811_173439[[#This Row],[580C]])*B$4/B$5+B$6</f>
        <v>800</v>
      </c>
      <c r="J1165">
        <f>HEX2DEC(_0811_173439[[#This Row],[4402]])*C$4/C$5+C$6</f>
        <v>37</v>
      </c>
      <c r="K1165">
        <f>HEX2DEC(_0811_173439[[#This Row],[580F]])*D$4/D$5+D$6</f>
        <v>30</v>
      </c>
      <c r="L1165">
        <f>ROUND(HEX2DEC(_0811_173439[[#This Row],[58F0]])*E$4/E$5+E$6,0)</f>
        <v>70</v>
      </c>
      <c r="M1165">
        <f>ROUND(HEX2DEC(_0811_173439[[#This Row],[5805]])*F$4/F$5+F$6,0)</f>
        <v>44</v>
      </c>
      <c r="N1165">
        <f>ROUND(HEX2DEC(_0811_173439[[#This Row],[58DD]])*G$4/G$5+G$6,2)</f>
        <v>-0.03</v>
      </c>
      <c r="P1165">
        <v>800</v>
      </c>
      <c r="Q1165">
        <v>37</v>
      </c>
      <c r="R1165">
        <v>30</v>
      </c>
      <c r="S1165">
        <v>70</v>
      </c>
      <c r="T1165">
        <v>44</v>
      </c>
      <c r="U1165">
        <v>-0.03</v>
      </c>
      <c r="W1165">
        <f>DataLog_T717420_Aug11_4_59_37pm[[#This Row],[RPM '[1/MIN']]]-Table3[[#This Row],[580C]]</f>
        <v>0</v>
      </c>
      <c r="X1165">
        <f>DataLog_T717420_Aug11_4_59_37pm[[#This Row],[OIL TEMP '[Â°C']]]-Table3[[#This Row],[4402]]</f>
        <v>0</v>
      </c>
      <c r="Y1165">
        <f>DataLog_T717420_Aug11_4_59_37pm[[#This Row],[INTAKE TEMP '[Â°C']]]-Table3[[#This Row],[580F]]</f>
        <v>0</v>
      </c>
      <c r="Z1165">
        <f>DataLog_T717420_Aug11_4_59_37pm[[#This Row],[HPFP PRES. '[BAR']]]-Table3[[#This Row],[58F0]]</f>
        <v>0</v>
      </c>
      <c r="AA1165">
        <f>DataLog_T717420_Aug11_4_59_37pm[[#This Row],[COOLANT TEMP '[Â°C']]]-Table3[[#This Row],[5805]]</f>
        <v>0</v>
      </c>
      <c r="AB1165">
        <f>DataLog_T717420_Aug11_4_59_37pm[[#This Row],[BOOST '[BAR']]]-Table3[[#This Row],[58DD]]</f>
        <v>0</v>
      </c>
    </row>
    <row r="1166" spans="2:28" x14ac:dyDescent="0.25">
      <c r="B1166" s="2" t="s">
        <v>183</v>
      </c>
      <c r="C1166" s="2" t="s">
        <v>262</v>
      </c>
      <c r="D1166" s="2" t="s">
        <v>151</v>
      </c>
      <c r="E1166" s="2" t="s">
        <v>221</v>
      </c>
      <c r="F1166" s="2" t="s">
        <v>261</v>
      </c>
      <c r="G1166" s="2" t="s">
        <v>213</v>
      </c>
      <c r="I1166">
        <f>HEX2DEC(_0811_173439[[#This Row],[580C]])*B$4/B$5+B$6</f>
        <v>800</v>
      </c>
      <c r="J1166">
        <f>HEX2DEC(_0811_173439[[#This Row],[4402]])*C$4/C$5+C$6</f>
        <v>37</v>
      </c>
      <c r="K1166">
        <f>HEX2DEC(_0811_173439[[#This Row],[580F]])*D$4/D$5+D$6</f>
        <v>30</v>
      </c>
      <c r="L1166">
        <f>ROUND(HEX2DEC(_0811_173439[[#This Row],[58F0]])*E$4/E$5+E$6,0)</f>
        <v>70</v>
      </c>
      <c r="M1166">
        <f>ROUND(HEX2DEC(_0811_173439[[#This Row],[5805]])*F$4/F$5+F$6,0)</f>
        <v>44</v>
      </c>
      <c r="N1166">
        <f>ROUND(HEX2DEC(_0811_173439[[#This Row],[58DD]])*G$4/G$5+G$6,2)</f>
        <v>-0.03</v>
      </c>
      <c r="P1166">
        <v>800</v>
      </c>
      <c r="Q1166">
        <v>37</v>
      </c>
      <c r="R1166">
        <v>30</v>
      </c>
      <c r="S1166">
        <v>70</v>
      </c>
      <c r="T1166">
        <v>44</v>
      </c>
      <c r="U1166">
        <v>-0.03</v>
      </c>
      <c r="W1166">
        <f>DataLog_T717420_Aug11_4_59_37pm[[#This Row],[RPM '[1/MIN']]]-Table3[[#This Row],[580C]]</f>
        <v>0</v>
      </c>
      <c r="X1166">
        <f>DataLog_T717420_Aug11_4_59_37pm[[#This Row],[OIL TEMP '[Â°C']]]-Table3[[#This Row],[4402]]</f>
        <v>0</v>
      </c>
      <c r="Y1166">
        <f>DataLog_T717420_Aug11_4_59_37pm[[#This Row],[INTAKE TEMP '[Â°C']]]-Table3[[#This Row],[580F]]</f>
        <v>0</v>
      </c>
      <c r="Z1166">
        <f>DataLog_T717420_Aug11_4_59_37pm[[#This Row],[HPFP PRES. '[BAR']]]-Table3[[#This Row],[58F0]]</f>
        <v>0</v>
      </c>
      <c r="AA1166">
        <f>DataLog_T717420_Aug11_4_59_37pm[[#This Row],[COOLANT TEMP '[Â°C']]]-Table3[[#This Row],[5805]]</f>
        <v>0</v>
      </c>
      <c r="AB1166">
        <f>DataLog_T717420_Aug11_4_59_37pm[[#This Row],[BOOST '[BAR']]]-Table3[[#This Row],[58DD]]</f>
        <v>0</v>
      </c>
    </row>
    <row r="1167" spans="2:28" x14ac:dyDescent="0.25">
      <c r="B1167" s="2" t="s">
        <v>189</v>
      </c>
      <c r="C1167" s="2" t="s">
        <v>262</v>
      </c>
      <c r="D1167" s="2" t="s">
        <v>151</v>
      </c>
      <c r="E1167" s="2" t="s">
        <v>165</v>
      </c>
      <c r="F1167" s="2" t="s">
        <v>261</v>
      </c>
      <c r="G1167" s="2" t="s">
        <v>186</v>
      </c>
      <c r="I1167">
        <f>HEX2DEC(_0811_173439[[#This Row],[580C]])*B$4/B$5+B$6</f>
        <v>760</v>
      </c>
      <c r="J1167">
        <f>HEX2DEC(_0811_173439[[#This Row],[4402]])*C$4/C$5+C$6</f>
        <v>37</v>
      </c>
      <c r="K1167">
        <f>HEX2DEC(_0811_173439[[#This Row],[580F]])*D$4/D$5+D$6</f>
        <v>30</v>
      </c>
      <c r="L1167">
        <f>ROUND(HEX2DEC(_0811_173439[[#This Row],[58F0]])*E$4/E$5+E$6,0)</f>
        <v>70</v>
      </c>
      <c r="M1167">
        <f>ROUND(HEX2DEC(_0811_173439[[#This Row],[5805]])*F$4/F$5+F$6,0)</f>
        <v>44</v>
      </c>
      <c r="N1167">
        <f>ROUND(HEX2DEC(_0811_173439[[#This Row],[58DD]])*G$4/G$5+G$6,2)</f>
        <v>-0.03</v>
      </c>
      <c r="P1167">
        <v>760</v>
      </c>
      <c r="Q1167">
        <v>37</v>
      </c>
      <c r="R1167">
        <v>30</v>
      </c>
      <c r="S1167">
        <v>70</v>
      </c>
      <c r="T1167">
        <v>44</v>
      </c>
      <c r="U1167">
        <v>-0.03</v>
      </c>
      <c r="W1167">
        <f>DataLog_T717420_Aug11_4_59_37pm[[#This Row],[RPM '[1/MIN']]]-Table3[[#This Row],[580C]]</f>
        <v>0</v>
      </c>
      <c r="X1167">
        <f>DataLog_T717420_Aug11_4_59_37pm[[#This Row],[OIL TEMP '[Â°C']]]-Table3[[#This Row],[4402]]</f>
        <v>0</v>
      </c>
      <c r="Y1167">
        <f>DataLog_T717420_Aug11_4_59_37pm[[#This Row],[INTAKE TEMP '[Â°C']]]-Table3[[#This Row],[580F]]</f>
        <v>0</v>
      </c>
      <c r="Z1167">
        <f>DataLog_T717420_Aug11_4_59_37pm[[#This Row],[HPFP PRES. '[BAR']]]-Table3[[#This Row],[58F0]]</f>
        <v>0</v>
      </c>
      <c r="AA1167">
        <f>DataLog_T717420_Aug11_4_59_37pm[[#This Row],[COOLANT TEMP '[Â°C']]]-Table3[[#This Row],[5805]]</f>
        <v>0</v>
      </c>
      <c r="AB1167">
        <f>DataLog_T717420_Aug11_4_59_37pm[[#This Row],[BOOST '[BAR']]]-Table3[[#This Row],[58DD]]</f>
        <v>0</v>
      </c>
    </row>
    <row r="1168" spans="2:28" x14ac:dyDescent="0.25">
      <c r="B1168" s="2" t="s">
        <v>189</v>
      </c>
      <c r="C1168" s="2" t="s">
        <v>262</v>
      </c>
      <c r="D1168" s="2" t="s">
        <v>151</v>
      </c>
      <c r="E1168" s="2" t="s">
        <v>93</v>
      </c>
      <c r="F1168" s="2" t="s">
        <v>261</v>
      </c>
      <c r="G1168" s="2" t="s">
        <v>236</v>
      </c>
      <c r="I1168">
        <f>HEX2DEC(_0811_173439[[#This Row],[580C]])*B$4/B$5+B$6</f>
        <v>760</v>
      </c>
      <c r="J1168">
        <f>HEX2DEC(_0811_173439[[#This Row],[4402]])*C$4/C$5+C$6</f>
        <v>37</v>
      </c>
      <c r="K1168">
        <f>HEX2DEC(_0811_173439[[#This Row],[580F]])*D$4/D$5+D$6</f>
        <v>30</v>
      </c>
      <c r="L1168">
        <f>ROUND(HEX2DEC(_0811_173439[[#This Row],[58F0]])*E$4/E$5+E$6,0)</f>
        <v>70</v>
      </c>
      <c r="M1168">
        <f>ROUND(HEX2DEC(_0811_173439[[#This Row],[5805]])*F$4/F$5+F$6,0)</f>
        <v>44</v>
      </c>
      <c r="N1168">
        <f>ROUND(HEX2DEC(_0811_173439[[#This Row],[58DD]])*G$4/G$5+G$6,2)</f>
        <v>-0.03</v>
      </c>
      <c r="P1168">
        <v>760</v>
      </c>
      <c r="Q1168">
        <v>37</v>
      </c>
      <c r="R1168">
        <v>30</v>
      </c>
      <c r="S1168">
        <v>70</v>
      </c>
      <c r="T1168">
        <v>44</v>
      </c>
      <c r="U1168">
        <v>-0.03</v>
      </c>
      <c r="W1168">
        <f>DataLog_T717420_Aug11_4_59_37pm[[#This Row],[RPM '[1/MIN']]]-Table3[[#This Row],[580C]]</f>
        <v>0</v>
      </c>
      <c r="X1168">
        <f>DataLog_T717420_Aug11_4_59_37pm[[#This Row],[OIL TEMP '[Â°C']]]-Table3[[#This Row],[4402]]</f>
        <v>0</v>
      </c>
      <c r="Y1168">
        <f>DataLog_T717420_Aug11_4_59_37pm[[#This Row],[INTAKE TEMP '[Â°C']]]-Table3[[#This Row],[580F]]</f>
        <v>0</v>
      </c>
      <c r="Z1168">
        <f>DataLog_T717420_Aug11_4_59_37pm[[#This Row],[HPFP PRES. '[BAR']]]-Table3[[#This Row],[58F0]]</f>
        <v>0</v>
      </c>
      <c r="AA1168">
        <f>DataLog_T717420_Aug11_4_59_37pm[[#This Row],[COOLANT TEMP '[Â°C']]]-Table3[[#This Row],[5805]]</f>
        <v>0</v>
      </c>
      <c r="AB1168">
        <f>DataLog_T717420_Aug11_4_59_37pm[[#This Row],[BOOST '[BAR']]]-Table3[[#This Row],[58DD]]</f>
        <v>0</v>
      </c>
    </row>
    <row r="1169" spans="2:28" x14ac:dyDescent="0.25">
      <c r="B1169" s="2" t="s">
        <v>189</v>
      </c>
      <c r="C1169" s="2" t="s">
        <v>262</v>
      </c>
      <c r="D1169" s="2" t="s">
        <v>151</v>
      </c>
      <c r="E1169" s="2" t="s">
        <v>93</v>
      </c>
      <c r="F1169" s="2" t="s">
        <v>261</v>
      </c>
      <c r="G1169" s="2" t="s">
        <v>245</v>
      </c>
      <c r="I1169">
        <f>HEX2DEC(_0811_173439[[#This Row],[580C]])*B$4/B$5+B$6</f>
        <v>760</v>
      </c>
      <c r="J1169">
        <f>HEX2DEC(_0811_173439[[#This Row],[4402]])*C$4/C$5+C$6</f>
        <v>37</v>
      </c>
      <c r="K1169">
        <f>HEX2DEC(_0811_173439[[#This Row],[580F]])*D$4/D$5+D$6</f>
        <v>30</v>
      </c>
      <c r="L1169">
        <f>ROUND(HEX2DEC(_0811_173439[[#This Row],[58F0]])*E$4/E$5+E$6,0)</f>
        <v>70</v>
      </c>
      <c r="M1169">
        <f>ROUND(HEX2DEC(_0811_173439[[#This Row],[5805]])*F$4/F$5+F$6,0)</f>
        <v>44</v>
      </c>
      <c r="N1169">
        <f>ROUND(HEX2DEC(_0811_173439[[#This Row],[58DD]])*G$4/G$5+G$6,2)</f>
        <v>-0.03</v>
      </c>
      <c r="P1169">
        <v>760</v>
      </c>
      <c r="Q1169">
        <v>37</v>
      </c>
      <c r="R1169">
        <v>30</v>
      </c>
      <c r="S1169">
        <v>70</v>
      </c>
      <c r="T1169">
        <v>44</v>
      </c>
      <c r="U1169">
        <v>-0.03</v>
      </c>
      <c r="W1169">
        <f>DataLog_T717420_Aug11_4_59_37pm[[#This Row],[RPM '[1/MIN']]]-Table3[[#This Row],[580C]]</f>
        <v>0</v>
      </c>
      <c r="X1169">
        <f>DataLog_T717420_Aug11_4_59_37pm[[#This Row],[OIL TEMP '[Â°C']]]-Table3[[#This Row],[4402]]</f>
        <v>0</v>
      </c>
      <c r="Y1169">
        <f>DataLog_T717420_Aug11_4_59_37pm[[#This Row],[INTAKE TEMP '[Â°C']]]-Table3[[#This Row],[580F]]</f>
        <v>0</v>
      </c>
      <c r="Z1169">
        <f>DataLog_T717420_Aug11_4_59_37pm[[#This Row],[HPFP PRES. '[BAR']]]-Table3[[#This Row],[58F0]]</f>
        <v>0</v>
      </c>
      <c r="AA1169">
        <f>DataLog_T717420_Aug11_4_59_37pm[[#This Row],[COOLANT TEMP '[Â°C']]]-Table3[[#This Row],[5805]]</f>
        <v>0</v>
      </c>
      <c r="AB1169">
        <f>DataLog_T717420_Aug11_4_59_37pm[[#This Row],[BOOST '[BAR']]]-Table3[[#This Row],[58DD]]</f>
        <v>0</v>
      </c>
    </row>
    <row r="1170" spans="2:28" x14ac:dyDescent="0.25">
      <c r="B1170" s="2" t="s">
        <v>189</v>
      </c>
      <c r="C1170" s="2" t="s">
        <v>262</v>
      </c>
      <c r="D1170" s="2" t="s">
        <v>151</v>
      </c>
      <c r="E1170" s="2" t="s">
        <v>205</v>
      </c>
      <c r="F1170" s="2" t="s">
        <v>261</v>
      </c>
      <c r="G1170" s="2" t="s">
        <v>90</v>
      </c>
      <c r="I1170">
        <f>HEX2DEC(_0811_173439[[#This Row],[580C]])*B$4/B$5+B$6</f>
        <v>760</v>
      </c>
      <c r="J1170">
        <f>HEX2DEC(_0811_173439[[#This Row],[4402]])*C$4/C$5+C$6</f>
        <v>37</v>
      </c>
      <c r="K1170">
        <f>HEX2DEC(_0811_173439[[#This Row],[580F]])*D$4/D$5+D$6</f>
        <v>30</v>
      </c>
      <c r="L1170">
        <f>ROUND(HEX2DEC(_0811_173439[[#This Row],[58F0]])*E$4/E$5+E$6,0)</f>
        <v>71</v>
      </c>
      <c r="M1170">
        <f>ROUND(HEX2DEC(_0811_173439[[#This Row],[5805]])*F$4/F$5+F$6,0)</f>
        <v>44</v>
      </c>
      <c r="N1170">
        <f>ROUND(HEX2DEC(_0811_173439[[#This Row],[58DD]])*G$4/G$5+G$6,2)</f>
        <v>-0.03</v>
      </c>
      <c r="P1170">
        <v>760</v>
      </c>
      <c r="Q1170">
        <v>37</v>
      </c>
      <c r="R1170">
        <v>30</v>
      </c>
      <c r="S1170">
        <v>71</v>
      </c>
      <c r="T1170">
        <v>44</v>
      </c>
      <c r="U1170">
        <v>-0.03</v>
      </c>
      <c r="W1170">
        <f>DataLog_T717420_Aug11_4_59_37pm[[#This Row],[RPM '[1/MIN']]]-Table3[[#This Row],[580C]]</f>
        <v>0</v>
      </c>
      <c r="X1170">
        <f>DataLog_T717420_Aug11_4_59_37pm[[#This Row],[OIL TEMP '[Â°C']]]-Table3[[#This Row],[4402]]</f>
        <v>0</v>
      </c>
      <c r="Y1170">
        <f>DataLog_T717420_Aug11_4_59_37pm[[#This Row],[INTAKE TEMP '[Â°C']]]-Table3[[#This Row],[580F]]</f>
        <v>0</v>
      </c>
      <c r="Z1170">
        <f>DataLog_T717420_Aug11_4_59_37pm[[#This Row],[HPFP PRES. '[BAR']]]-Table3[[#This Row],[58F0]]</f>
        <v>0</v>
      </c>
      <c r="AA1170">
        <f>DataLog_T717420_Aug11_4_59_37pm[[#This Row],[COOLANT TEMP '[Â°C']]]-Table3[[#This Row],[5805]]</f>
        <v>0</v>
      </c>
      <c r="AB1170">
        <f>DataLog_T717420_Aug11_4_59_37pm[[#This Row],[BOOST '[BAR']]]-Table3[[#This Row],[58DD]]</f>
        <v>0</v>
      </c>
    </row>
    <row r="1171" spans="2:28" x14ac:dyDescent="0.25">
      <c r="B1171" s="2" t="s">
        <v>189</v>
      </c>
      <c r="C1171" s="2" t="s">
        <v>262</v>
      </c>
      <c r="D1171" s="2" t="s">
        <v>151</v>
      </c>
      <c r="E1171" s="2" t="s">
        <v>194</v>
      </c>
      <c r="F1171" s="2" t="s">
        <v>261</v>
      </c>
      <c r="G1171" s="2" t="s">
        <v>71</v>
      </c>
      <c r="I1171">
        <f>HEX2DEC(_0811_173439[[#This Row],[580C]])*B$4/B$5+B$6</f>
        <v>760</v>
      </c>
      <c r="J1171">
        <f>HEX2DEC(_0811_173439[[#This Row],[4402]])*C$4/C$5+C$6</f>
        <v>37</v>
      </c>
      <c r="K1171">
        <f>HEX2DEC(_0811_173439[[#This Row],[580F]])*D$4/D$5+D$6</f>
        <v>30</v>
      </c>
      <c r="L1171">
        <f>ROUND(HEX2DEC(_0811_173439[[#This Row],[58F0]])*E$4/E$5+E$6,0)</f>
        <v>70</v>
      </c>
      <c r="M1171">
        <f>ROUND(HEX2DEC(_0811_173439[[#This Row],[5805]])*F$4/F$5+F$6,0)</f>
        <v>44</v>
      </c>
      <c r="N1171">
        <f>ROUND(HEX2DEC(_0811_173439[[#This Row],[58DD]])*G$4/G$5+G$6,2)</f>
        <v>-0.03</v>
      </c>
      <c r="P1171">
        <v>760</v>
      </c>
      <c r="Q1171">
        <v>37</v>
      </c>
      <c r="R1171">
        <v>30</v>
      </c>
      <c r="S1171">
        <v>70</v>
      </c>
      <c r="T1171">
        <v>44</v>
      </c>
      <c r="U1171">
        <v>-0.03</v>
      </c>
      <c r="W1171">
        <f>DataLog_T717420_Aug11_4_59_37pm[[#This Row],[RPM '[1/MIN']]]-Table3[[#This Row],[580C]]</f>
        <v>0</v>
      </c>
      <c r="X1171">
        <f>DataLog_T717420_Aug11_4_59_37pm[[#This Row],[OIL TEMP '[Â°C']]]-Table3[[#This Row],[4402]]</f>
        <v>0</v>
      </c>
      <c r="Y1171">
        <f>DataLog_T717420_Aug11_4_59_37pm[[#This Row],[INTAKE TEMP '[Â°C']]]-Table3[[#This Row],[580F]]</f>
        <v>0</v>
      </c>
      <c r="Z1171">
        <f>DataLog_T717420_Aug11_4_59_37pm[[#This Row],[HPFP PRES. '[BAR']]]-Table3[[#This Row],[58F0]]</f>
        <v>0</v>
      </c>
      <c r="AA1171">
        <f>DataLog_T717420_Aug11_4_59_37pm[[#This Row],[COOLANT TEMP '[Â°C']]]-Table3[[#This Row],[5805]]</f>
        <v>0</v>
      </c>
      <c r="AB1171">
        <f>DataLog_T717420_Aug11_4_59_37pm[[#This Row],[BOOST '[BAR']]]-Table3[[#This Row],[58DD]]</f>
        <v>0</v>
      </c>
    </row>
    <row r="1172" spans="2:28" x14ac:dyDescent="0.25">
      <c r="B1172" s="2" t="s">
        <v>189</v>
      </c>
      <c r="C1172" s="2" t="s">
        <v>262</v>
      </c>
      <c r="D1172" s="2" t="s">
        <v>151</v>
      </c>
      <c r="E1172" s="2" t="s">
        <v>93</v>
      </c>
      <c r="F1172" s="2" t="s">
        <v>261</v>
      </c>
      <c r="G1172" s="2" t="s">
        <v>235</v>
      </c>
      <c r="I1172">
        <f>HEX2DEC(_0811_173439[[#This Row],[580C]])*B$4/B$5+B$6</f>
        <v>760</v>
      </c>
      <c r="J1172">
        <f>HEX2DEC(_0811_173439[[#This Row],[4402]])*C$4/C$5+C$6</f>
        <v>37</v>
      </c>
      <c r="K1172">
        <f>HEX2DEC(_0811_173439[[#This Row],[580F]])*D$4/D$5+D$6</f>
        <v>30</v>
      </c>
      <c r="L1172">
        <f>ROUND(HEX2DEC(_0811_173439[[#This Row],[58F0]])*E$4/E$5+E$6,0)</f>
        <v>70</v>
      </c>
      <c r="M1172">
        <f>ROUND(HEX2DEC(_0811_173439[[#This Row],[5805]])*F$4/F$5+F$6,0)</f>
        <v>44</v>
      </c>
      <c r="N1172">
        <f>ROUND(HEX2DEC(_0811_173439[[#This Row],[58DD]])*G$4/G$5+G$6,2)</f>
        <v>-0.03</v>
      </c>
      <c r="P1172">
        <v>760</v>
      </c>
      <c r="Q1172">
        <v>37</v>
      </c>
      <c r="R1172">
        <v>30</v>
      </c>
      <c r="S1172">
        <v>70</v>
      </c>
      <c r="T1172">
        <v>44</v>
      </c>
      <c r="U1172">
        <v>-0.03</v>
      </c>
      <c r="W1172">
        <f>DataLog_T717420_Aug11_4_59_37pm[[#This Row],[RPM '[1/MIN']]]-Table3[[#This Row],[580C]]</f>
        <v>0</v>
      </c>
      <c r="X1172">
        <f>DataLog_T717420_Aug11_4_59_37pm[[#This Row],[OIL TEMP '[Â°C']]]-Table3[[#This Row],[4402]]</f>
        <v>0</v>
      </c>
      <c r="Y1172">
        <f>DataLog_T717420_Aug11_4_59_37pm[[#This Row],[INTAKE TEMP '[Â°C']]]-Table3[[#This Row],[580F]]</f>
        <v>0</v>
      </c>
      <c r="Z1172">
        <f>DataLog_T717420_Aug11_4_59_37pm[[#This Row],[HPFP PRES. '[BAR']]]-Table3[[#This Row],[58F0]]</f>
        <v>0</v>
      </c>
      <c r="AA1172">
        <f>DataLog_T717420_Aug11_4_59_37pm[[#This Row],[COOLANT TEMP '[Â°C']]]-Table3[[#This Row],[5805]]</f>
        <v>0</v>
      </c>
      <c r="AB1172">
        <f>DataLog_T717420_Aug11_4_59_37pm[[#This Row],[BOOST '[BAR']]]-Table3[[#This Row],[58DD]]</f>
        <v>0</v>
      </c>
    </row>
    <row r="1173" spans="2:28" x14ac:dyDescent="0.25">
      <c r="B1173" s="2" t="s">
        <v>189</v>
      </c>
      <c r="C1173" s="2" t="s">
        <v>262</v>
      </c>
      <c r="D1173" s="2" t="s">
        <v>151</v>
      </c>
      <c r="E1173" s="2" t="s">
        <v>93</v>
      </c>
      <c r="F1173" s="2" t="s">
        <v>261</v>
      </c>
      <c r="G1173" s="2" t="s">
        <v>53</v>
      </c>
      <c r="I1173">
        <f>HEX2DEC(_0811_173439[[#This Row],[580C]])*B$4/B$5+B$6</f>
        <v>760</v>
      </c>
      <c r="J1173">
        <f>HEX2DEC(_0811_173439[[#This Row],[4402]])*C$4/C$5+C$6</f>
        <v>37</v>
      </c>
      <c r="K1173">
        <f>HEX2DEC(_0811_173439[[#This Row],[580F]])*D$4/D$5+D$6</f>
        <v>30</v>
      </c>
      <c r="L1173">
        <f>ROUND(HEX2DEC(_0811_173439[[#This Row],[58F0]])*E$4/E$5+E$6,0)</f>
        <v>70</v>
      </c>
      <c r="M1173">
        <f>ROUND(HEX2DEC(_0811_173439[[#This Row],[5805]])*F$4/F$5+F$6,0)</f>
        <v>44</v>
      </c>
      <c r="N1173">
        <f>ROUND(HEX2DEC(_0811_173439[[#This Row],[58DD]])*G$4/G$5+G$6,2)</f>
        <v>-0.03</v>
      </c>
      <c r="P1173">
        <v>760</v>
      </c>
      <c r="Q1173">
        <v>37</v>
      </c>
      <c r="R1173">
        <v>30</v>
      </c>
      <c r="S1173">
        <v>70</v>
      </c>
      <c r="T1173">
        <v>44</v>
      </c>
      <c r="U1173">
        <v>-0.03</v>
      </c>
      <c r="W1173">
        <f>DataLog_T717420_Aug11_4_59_37pm[[#This Row],[RPM '[1/MIN']]]-Table3[[#This Row],[580C]]</f>
        <v>0</v>
      </c>
      <c r="X1173">
        <f>DataLog_T717420_Aug11_4_59_37pm[[#This Row],[OIL TEMP '[Â°C']]]-Table3[[#This Row],[4402]]</f>
        <v>0</v>
      </c>
      <c r="Y1173">
        <f>DataLog_T717420_Aug11_4_59_37pm[[#This Row],[INTAKE TEMP '[Â°C']]]-Table3[[#This Row],[580F]]</f>
        <v>0</v>
      </c>
      <c r="Z1173">
        <f>DataLog_T717420_Aug11_4_59_37pm[[#This Row],[HPFP PRES. '[BAR']]]-Table3[[#This Row],[58F0]]</f>
        <v>0</v>
      </c>
      <c r="AA1173">
        <f>DataLog_T717420_Aug11_4_59_37pm[[#This Row],[COOLANT TEMP '[Â°C']]]-Table3[[#This Row],[5805]]</f>
        <v>0</v>
      </c>
      <c r="AB1173">
        <f>DataLog_T717420_Aug11_4_59_37pm[[#This Row],[BOOST '[BAR']]]-Table3[[#This Row],[58DD]]</f>
        <v>0</v>
      </c>
    </row>
    <row r="1174" spans="2:28" x14ac:dyDescent="0.25">
      <c r="B1174" s="2" t="s">
        <v>183</v>
      </c>
      <c r="C1174" s="2" t="s">
        <v>262</v>
      </c>
      <c r="D1174" s="2" t="s">
        <v>151</v>
      </c>
      <c r="E1174" s="2" t="s">
        <v>118</v>
      </c>
      <c r="F1174" s="2" t="s">
        <v>261</v>
      </c>
      <c r="G1174" s="2" t="s">
        <v>96</v>
      </c>
      <c r="I1174">
        <f>HEX2DEC(_0811_173439[[#This Row],[580C]])*B$4/B$5+B$6</f>
        <v>800</v>
      </c>
      <c r="J1174">
        <f>HEX2DEC(_0811_173439[[#This Row],[4402]])*C$4/C$5+C$6</f>
        <v>37</v>
      </c>
      <c r="K1174">
        <f>HEX2DEC(_0811_173439[[#This Row],[580F]])*D$4/D$5+D$6</f>
        <v>30</v>
      </c>
      <c r="L1174">
        <f>ROUND(HEX2DEC(_0811_173439[[#This Row],[58F0]])*E$4/E$5+E$6,0)</f>
        <v>70</v>
      </c>
      <c r="M1174">
        <f>ROUND(HEX2DEC(_0811_173439[[#This Row],[5805]])*F$4/F$5+F$6,0)</f>
        <v>44</v>
      </c>
      <c r="N1174">
        <f>ROUND(HEX2DEC(_0811_173439[[#This Row],[58DD]])*G$4/G$5+G$6,2)</f>
        <v>-0.03</v>
      </c>
      <c r="P1174">
        <v>800</v>
      </c>
      <c r="Q1174">
        <v>37</v>
      </c>
      <c r="R1174">
        <v>30</v>
      </c>
      <c r="S1174">
        <v>70</v>
      </c>
      <c r="T1174">
        <v>44</v>
      </c>
      <c r="U1174">
        <v>-0.03</v>
      </c>
      <c r="W1174">
        <f>DataLog_T717420_Aug11_4_59_37pm[[#This Row],[RPM '[1/MIN']]]-Table3[[#This Row],[580C]]</f>
        <v>0</v>
      </c>
      <c r="X1174">
        <f>DataLog_T717420_Aug11_4_59_37pm[[#This Row],[OIL TEMP '[Â°C']]]-Table3[[#This Row],[4402]]</f>
        <v>0</v>
      </c>
      <c r="Y1174">
        <f>DataLog_T717420_Aug11_4_59_37pm[[#This Row],[INTAKE TEMP '[Â°C']]]-Table3[[#This Row],[580F]]</f>
        <v>0</v>
      </c>
      <c r="Z1174">
        <f>DataLog_T717420_Aug11_4_59_37pm[[#This Row],[HPFP PRES. '[BAR']]]-Table3[[#This Row],[58F0]]</f>
        <v>0</v>
      </c>
      <c r="AA1174">
        <f>DataLog_T717420_Aug11_4_59_37pm[[#This Row],[COOLANT TEMP '[Â°C']]]-Table3[[#This Row],[5805]]</f>
        <v>0</v>
      </c>
      <c r="AB1174">
        <f>DataLog_T717420_Aug11_4_59_37pm[[#This Row],[BOOST '[BAR']]]-Table3[[#This Row],[58DD]]</f>
        <v>0</v>
      </c>
    </row>
    <row r="1175" spans="2:28" x14ac:dyDescent="0.25">
      <c r="B1175" s="2" t="s">
        <v>183</v>
      </c>
      <c r="C1175" s="2" t="s">
        <v>262</v>
      </c>
      <c r="D1175" s="2" t="s">
        <v>151</v>
      </c>
      <c r="E1175" s="2" t="s">
        <v>150</v>
      </c>
      <c r="F1175" s="2" t="s">
        <v>261</v>
      </c>
      <c r="G1175" s="2" t="s">
        <v>190</v>
      </c>
      <c r="I1175">
        <f>HEX2DEC(_0811_173439[[#This Row],[580C]])*B$4/B$5+B$6</f>
        <v>800</v>
      </c>
      <c r="J1175">
        <f>HEX2DEC(_0811_173439[[#This Row],[4402]])*C$4/C$5+C$6</f>
        <v>37</v>
      </c>
      <c r="K1175">
        <f>HEX2DEC(_0811_173439[[#This Row],[580F]])*D$4/D$5+D$6</f>
        <v>30</v>
      </c>
      <c r="L1175">
        <f>ROUND(HEX2DEC(_0811_173439[[#This Row],[58F0]])*E$4/E$5+E$6,0)</f>
        <v>70</v>
      </c>
      <c r="M1175">
        <f>ROUND(HEX2DEC(_0811_173439[[#This Row],[5805]])*F$4/F$5+F$6,0)</f>
        <v>44</v>
      </c>
      <c r="N1175">
        <f>ROUND(HEX2DEC(_0811_173439[[#This Row],[58DD]])*G$4/G$5+G$6,2)</f>
        <v>-0.03</v>
      </c>
      <c r="P1175">
        <v>800</v>
      </c>
      <c r="Q1175">
        <v>37</v>
      </c>
      <c r="R1175">
        <v>30</v>
      </c>
      <c r="S1175">
        <v>70</v>
      </c>
      <c r="T1175">
        <v>44</v>
      </c>
      <c r="U1175">
        <v>-0.03</v>
      </c>
      <c r="W1175">
        <f>DataLog_T717420_Aug11_4_59_37pm[[#This Row],[RPM '[1/MIN']]]-Table3[[#This Row],[580C]]</f>
        <v>0</v>
      </c>
      <c r="X1175">
        <f>DataLog_T717420_Aug11_4_59_37pm[[#This Row],[OIL TEMP '[Â°C']]]-Table3[[#This Row],[4402]]</f>
        <v>0</v>
      </c>
      <c r="Y1175">
        <f>DataLog_T717420_Aug11_4_59_37pm[[#This Row],[INTAKE TEMP '[Â°C']]]-Table3[[#This Row],[580F]]</f>
        <v>0</v>
      </c>
      <c r="Z1175">
        <f>DataLog_T717420_Aug11_4_59_37pm[[#This Row],[HPFP PRES. '[BAR']]]-Table3[[#This Row],[58F0]]</f>
        <v>0</v>
      </c>
      <c r="AA1175">
        <f>DataLog_T717420_Aug11_4_59_37pm[[#This Row],[COOLANT TEMP '[Â°C']]]-Table3[[#This Row],[5805]]</f>
        <v>0</v>
      </c>
      <c r="AB1175">
        <f>DataLog_T717420_Aug11_4_59_37pm[[#This Row],[BOOST '[BAR']]]-Table3[[#This Row],[58DD]]</f>
        <v>0</v>
      </c>
    </row>
    <row r="1176" spans="2:28" x14ac:dyDescent="0.25">
      <c r="B1176" s="2" t="s">
        <v>183</v>
      </c>
      <c r="C1176" s="2" t="s">
        <v>262</v>
      </c>
      <c r="D1176" s="2" t="s">
        <v>151</v>
      </c>
      <c r="E1176" s="2" t="s">
        <v>93</v>
      </c>
      <c r="F1176" s="2" t="s">
        <v>261</v>
      </c>
      <c r="G1176" s="2" t="s">
        <v>96</v>
      </c>
      <c r="I1176">
        <f>HEX2DEC(_0811_173439[[#This Row],[580C]])*B$4/B$5+B$6</f>
        <v>800</v>
      </c>
      <c r="J1176">
        <f>HEX2DEC(_0811_173439[[#This Row],[4402]])*C$4/C$5+C$6</f>
        <v>37</v>
      </c>
      <c r="K1176">
        <f>HEX2DEC(_0811_173439[[#This Row],[580F]])*D$4/D$5+D$6</f>
        <v>30</v>
      </c>
      <c r="L1176">
        <f>ROUND(HEX2DEC(_0811_173439[[#This Row],[58F0]])*E$4/E$5+E$6,0)</f>
        <v>70</v>
      </c>
      <c r="M1176">
        <f>ROUND(HEX2DEC(_0811_173439[[#This Row],[5805]])*F$4/F$5+F$6,0)</f>
        <v>44</v>
      </c>
      <c r="N1176">
        <f>ROUND(HEX2DEC(_0811_173439[[#This Row],[58DD]])*G$4/G$5+G$6,2)</f>
        <v>-0.03</v>
      </c>
      <c r="P1176">
        <v>800</v>
      </c>
      <c r="Q1176">
        <v>37</v>
      </c>
      <c r="R1176">
        <v>30</v>
      </c>
      <c r="S1176">
        <v>70</v>
      </c>
      <c r="T1176">
        <v>44</v>
      </c>
      <c r="U1176">
        <v>-0.03</v>
      </c>
      <c r="W1176">
        <f>DataLog_T717420_Aug11_4_59_37pm[[#This Row],[RPM '[1/MIN']]]-Table3[[#This Row],[580C]]</f>
        <v>0</v>
      </c>
      <c r="X1176">
        <f>DataLog_T717420_Aug11_4_59_37pm[[#This Row],[OIL TEMP '[Â°C']]]-Table3[[#This Row],[4402]]</f>
        <v>0</v>
      </c>
      <c r="Y1176">
        <f>DataLog_T717420_Aug11_4_59_37pm[[#This Row],[INTAKE TEMP '[Â°C']]]-Table3[[#This Row],[580F]]</f>
        <v>0</v>
      </c>
      <c r="Z1176">
        <f>DataLog_T717420_Aug11_4_59_37pm[[#This Row],[HPFP PRES. '[BAR']]]-Table3[[#This Row],[58F0]]</f>
        <v>0</v>
      </c>
      <c r="AA1176">
        <f>DataLog_T717420_Aug11_4_59_37pm[[#This Row],[COOLANT TEMP '[Â°C']]]-Table3[[#This Row],[5805]]</f>
        <v>0</v>
      </c>
      <c r="AB1176">
        <f>DataLog_T717420_Aug11_4_59_37pm[[#This Row],[BOOST '[BAR']]]-Table3[[#This Row],[58DD]]</f>
        <v>0</v>
      </c>
    </row>
    <row r="1177" spans="2:28" x14ac:dyDescent="0.25">
      <c r="B1177" s="2" t="s">
        <v>183</v>
      </c>
      <c r="C1177" s="2" t="s">
        <v>262</v>
      </c>
      <c r="D1177" s="2" t="s">
        <v>151</v>
      </c>
      <c r="E1177" s="2" t="s">
        <v>172</v>
      </c>
      <c r="F1177" s="2" t="s">
        <v>261</v>
      </c>
      <c r="G1177" s="2" t="s">
        <v>236</v>
      </c>
      <c r="I1177">
        <f>HEX2DEC(_0811_173439[[#This Row],[580C]])*B$4/B$5+B$6</f>
        <v>800</v>
      </c>
      <c r="J1177">
        <f>HEX2DEC(_0811_173439[[#This Row],[4402]])*C$4/C$5+C$6</f>
        <v>37</v>
      </c>
      <c r="K1177">
        <f>HEX2DEC(_0811_173439[[#This Row],[580F]])*D$4/D$5+D$6</f>
        <v>30</v>
      </c>
      <c r="L1177">
        <f>ROUND(HEX2DEC(_0811_173439[[#This Row],[58F0]])*E$4/E$5+E$6,0)</f>
        <v>70</v>
      </c>
      <c r="M1177">
        <f>ROUND(HEX2DEC(_0811_173439[[#This Row],[5805]])*F$4/F$5+F$6,0)</f>
        <v>44</v>
      </c>
      <c r="N1177">
        <f>ROUND(HEX2DEC(_0811_173439[[#This Row],[58DD]])*G$4/G$5+G$6,2)</f>
        <v>-0.03</v>
      </c>
      <c r="P1177">
        <v>800</v>
      </c>
      <c r="Q1177">
        <v>37</v>
      </c>
      <c r="R1177">
        <v>30</v>
      </c>
      <c r="S1177">
        <v>70</v>
      </c>
      <c r="T1177">
        <v>44</v>
      </c>
      <c r="U1177">
        <v>-0.03</v>
      </c>
      <c r="W1177">
        <f>DataLog_T717420_Aug11_4_59_37pm[[#This Row],[RPM '[1/MIN']]]-Table3[[#This Row],[580C]]</f>
        <v>0</v>
      </c>
      <c r="X1177">
        <f>DataLog_T717420_Aug11_4_59_37pm[[#This Row],[OIL TEMP '[Â°C']]]-Table3[[#This Row],[4402]]</f>
        <v>0</v>
      </c>
      <c r="Y1177">
        <f>DataLog_T717420_Aug11_4_59_37pm[[#This Row],[INTAKE TEMP '[Â°C']]]-Table3[[#This Row],[580F]]</f>
        <v>0</v>
      </c>
      <c r="Z1177">
        <f>DataLog_T717420_Aug11_4_59_37pm[[#This Row],[HPFP PRES. '[BAR']]]-Table3[[#This Row],[58F0]]</f>
        <v>0</v>
      </c>
      <c r="AA1177">
        <f>DataLog_T717420_Aug11_4_59_37pm[[#This Row],[COOLANT TEMP '[Â°C']]]-Table3[[#This Row],[5805]]</f>
        <v>0</v>
      </c>
      <c r="AB1177">
        <f>DataLog_T717420_Aug11_4_59_37pm[[#This Row],[BOOST '[BAR']]]-Table3[[#This Row],[58DD]]</f>
        <v>0</v>
      </c>
    </row>
    <row r="1178" spans="2:28" x14ac:dyDescent="0.25">
      <c r="B1178" s="2" t="s">
        <v>183</v>
      </c>
      <c r="C1178" s="2" t="s">
        <v>262</v>
      </c>
      <c r="D1178" s="2" t="s">
        <v>151</v>
      </c>
      <c r="E1178" s="2" t="s">
        <v>127</v>
      </c>
      <c r="F1178" s="2" t="s">
        <v>261</v>
      </c>
      <c r="G1178" s="2" t="s">
        <v>71</v>
      </c>
      <c r="I1178">
        <f>HEX2DEC(_0811_173439[[#This Row],[580C]])*B$4/B$5+B$6</f>
        <v>800</v>
      </c>
      <c r="J1178">
        <f>HEX2DEC(_0811_173439[[#This Row],[4402]])*C$4/C$5+C$6</f>
        <v>37</v>
      </c>
      <c r="K1178">
        <f>HEX2DEC(_0811_173439[[#This Row],[580F]])*D$4/D$5+D$6</f>
        <v>30</v>
      </c>
      <c r="L1178">
        <f>ROUND(HEX2DEC(_0811_173439[[#This Row],[58F0]])*E$4/E$5+E$6,0)</f>
        <v>70</v>
      </c>
      <c r="M1178">
        <f>ROUND(HEX2DEC(_0811_173439[[#This Row],[5805]])*F$4/F$5+F$6,0)</f>
        <v>44</v>
      </c>
      <c r="N1178">
        <f>ROUND(HEX2DEC(_0811_173439[[#This Row],[58DD]])*G$4/G$5+G$6,2)</f>
        <v>-0.03</v>
      </c>
      <c r="P1178">
        <v>800</v>
      </c>
      <c r="Q1178">
        <v>37</v>
      </c>
      <c r="R1178">
        <v>30</v>
      </c>
      <c r="S1178">
        <v>70</v>
      </c>
      <c r="T1178">
        <v>44</v>
      </c>
      <c r="U1178">
        <v>-0.03</v>
      </c>
      <c r="W1178">
        <f>DataLog_T717420_Aug11_4_59_37pm[[#This Row],[RPM '[1/MIN']]]-Table3[[#This Row],[580C]]</f>
        <v>0</v>
      </c>
      <c r="X1178">
        <f>DataLog_T717420_Aug11_4_59_37pm[[#This Row],[OIL TEMP '[Â°C']]]-Table3[[#This Row],[4402]]</f>
        <v>0</v>
      </c>
      <c r="Y1178">
        <f>DataLog_T717420_Aug11_4_59_37pm[[#This Row],[INTAKE TEMP '[Â°C']]]-Table3[[#This Row],[580F]]</f>
        <v>0</v>
      </c>
      <c r="Z1178">
        <f>DataLog_T717420_Aug11_4_59_37pm[[#This Row],[HPFP PRES. '[BAR']]]-Table3[[#This Row],[58F0]]</f>
        <v>0</v>
      </c>
      <c r="AA1178">
        <f>DataLog_T717420_Aug11_4_59_37pm[[#This Row],[COOLANT TEMP '[Â°C']]]-Table3[[#This Row],[5805]]</f>
        <v>0</v>
      </c>
      <c r="AB1178">
        <f>DataLog_T717420_Aug11_4_59_37pm[[#This Row],[BOOST '[BAR']]]-Table3[[#This Row],[58DD]]</f>
        <v>0</v>
      </c>
    </row>
    <row r="1179" spans="2:28" x14ac:dyDescent="0.25">
      <c r="B1179" s="2" t="s">
        <v>183</v>
      </c>
      <c r="C1179" s="2" t="s">
        <v>262</v>
      </c>
      <c r="D1179" s="2" t="s">
        <v>151</v>
      </c>
      <c r="E1179" s="2" t="s">
        <v>157</v>
      </c>
      <c r="F1179" s="2" t="s">
        <v>261</v>
      </c>
      <c r="G1179" s="2" t="s">
        <v>96</v>
      </c>
      <c r="I1179">
        <f>HEX2DEC(_0811_173439[[#This Row],[580C]])*B$4/B$5+B$6</f>
        <v>800</v>
      </c>
      <c r="J1179">
        <f>HEX2DEC(_0811_173439[[#This Row],[4402]])*C$4/C$5+C$6</f>
        <v>37</v>
      </c>
      <c r="K1179">
        <f>HEX2DEC(_0811_173439[[#This Row],[580F]])*D$4/D$5+D$6</f>
        <v>30</v>
      </c>
      <c r="L1179">
        <f>ROUND(HEX2DEC(_0811_173439[[#This Row],[58F0]])*E$4/E$5+E$6,0)</f>
        <v>70</v>
      </c>
      <c r="M1179">
        <f>ROUND(HEX2DEC(_0811_173439[[#This Row],[5805]])*F$4/F$5+F$6,0)</f>
        <v>44</v>
      </c>
      <c r="N1179">
        <f>ROUND(HEX2DEC(_0811_173439[[#This Row],[58DD]])*G$4/G$5+G$6,2)</f>
        <v>-0.03</v>
      </c>
      <c r="P1179">
        <v>800</v>
      </c>
      <c r="Q1179">
        <v>37</v>
      </c>
      <c r="R1179">
        <v>30</v>
      </c>
      <c r="S1179">
        <v>70</v>
      </c>
      <c r="T1179">
        <v>44</v>
      </c>
      <c r="U1179">
        <v>-0.03</v>
      </c>
      <c r="W1179">
        <f>DataLog_T717420_Aug11_4_59_37pm[[#This Row],[RPM '[1/MIN']]]-Table3[[#This Row],[580C]]</f>
        <v>0</v>
      </c>
      <c r="X1179">
        <f>DataLog_T717420_Aug11_4_59_37pm[[#This Row],[OIL TEMP '[Â°C']]]-Table3[[#This Row],[4402]]</f>
        <v>0</v>
      </c>
      <c r="Y1179">
        <f>DataLog_T717420_Aug11_4_59_37pm[[#This Row],[INTAKE TEMP '[Â°C']]]-Table3[[#This Row],[580F]]</f>
        <v>0</v>
      </c>
      <c r="Z1179">
        <f>DataLog_T717420_Aug11_4_59_37pm[[#This Row],[HPFP PRES. '[BAR']]]-Table3[[#This Row],[58F0]]</f>
        <v>0</v>
      </c>
      <c r="AA1179">
        <f>DataLog_T717420_Aug11_4_59_37pm[[#This Row],[COOLANT TEMP '[Â°C']]]-Table3[[#This Row],[5805]]</f>
        <v>0</v>
      </c>
      <c r="AB1179">
        <f>DataLog_T717420_Aug11_4_59_37pm[[#This Row],[BOOST '[BAR']]]-Table3[[#This Row],[58DD]]</f>
        <v>0</v>
      </c>
    </row>
    <row r="1180" spans="2:28" x14ac:dyDescent="0.25">
      <c r="B1180" s="2" t="s">
        <v>189</v>
      </c>
      <c r="C1180" s="2" t="s">
        <v>262</v>
      </c>
      <c r="D1180" s="2" t="s">
        <v>151</v>
      </c>
      <c r="E1180" s="2" t="s">
        <v>221</v>
      </c>
      <c r="F1180" s="2" t="s">
        <v>261</v>
      </c>
      <c r="G1180" s="2" t="s">
        <v>53</v>
      </c>
      <c r="I1180">
        <f>HEX2DEC(_0811_173439[[#This Row],[580C]])*B$4/B$5+B$6</f>
        <v>760</v>
      </c>
      <c r="J1180">
        <f>HEX2DEC(_0811_173439[[#This Row],[4402]])*C$4/C$5+C$6</f>
        <v>37</v>
      </c>
      <c r="K1180">
        <f>HEX2DEC(_0811_173439[[#This Row],[580F]])*D$4/D$5+D$6</f>
        <v>30</v>
      </c>
      <c r="L1180">
        <f>ROUND(HEX2DEC(_0811_173439[[#This Row],[58F0]])*E$4/E$5+E$6,0)</f>
        <v>70</v>
      </c>
      <c r="M1180">
        <f>ROUND(HEX2DEC(_0811_173439[[#This Row],[5805]])*F$4/F$5+F$6,0)</f>
        <v>44</v>
      </c>
      <c r="N1180">
        <f>ROUND(HEX2DEC(_0811_173439[[#This Row],[58DD]])*G$4/G$5+G$6,2)</f>
        <v>-0.03</v>
      </c>
      <c r="P1180">
        <v>760</v>
      </c>
      <c r="Q1180">
        <v>37</v>
      </c>
      <c r="R1180">
        <v>30</v>
      </c>
      <c r="S1180">
        <v>70</v>
      </c>
      <c r="T1180">
        <v>44</v>
      </c>
      <c r="U1180">
        <v>-0.03</v>
      </c>
      <c r="W1180">
        <f>DataLog_T717420_Aug11_4_59_37pm[[#This Row],[RPM '[1/MIN']]]-Table3[[#This Row],[580C]]</f>
        <v>0</v>
      </c>
      <c r="X1180">
        <f>DataLog_T717420_Aug11_4_59_37pm[[#This Row],[OIL TEMP '[Â°C']]]-Table3[[#This Row],[4402]]</f>
        <v>0</v>
      </c>
      <c r="Y1180">
        <f>DataLog_T717420_Aug11_4_59_37pm[[#This Row],[INTAKE TEMP '[Â°C']]]-Table3[[#This Row],[580F]]</f>
        <v>0</v>
      </c>
      <c r="Z1180">
        <f>DataLog_T717420_Aug11_4_59_37pm[[#This Row],[HPFP PRES. '[BAR']]]-Table3[[#This Row],[58F0]]</f>
        <v>0</v>
      </c>
      <c r="AA1180">
        <f>DataLog_T717420_Aug11_4_59_37pm[[#This Row],[COOLANT TEMP '[Â°C']]]-Table3[[#This Row],[5805]]</f>
        <v>0</v>
      </c>
      <c r="AB1180">
        <f>DataLog_T717420_Aug11_4_59_37pm[[#This Row],[BOOST '[BAR']]]-Table3[[#This Row],[58DD]]</f>
        <v>0</v>
      </c>
    </row>
    <row r="1181" spans="2:28" x14ac:dyDescent="0.25">
      <c r="B1181" s="2" t="s">
        <v>189</v>
      </c>
      <c r="C1181" s="2" t="s">
        <v>262</v>
      </c>
      <c r="D1181" s="2" t="s">
        <v>151</v>
      </c>
      <c r="E1181" s="2" t="s">
        <v>127</v>
      </c>
      <c r="F1181" s="2" t="s">
        <v>261</v>
      </c>
      <c r="G1181" s="2" t="s">
        <v>190</v>
      </c>
      <c r="I1181">
        <f>HEX2DEC(_0811_173439[[#This Row],[580C]])*B$4/B$5+B$6</f>
        <v>760</v>
      </c>
      <c r="J1181">
        <f>HEX2DEC(_0811_173439[[#This Row],[4402]])*C$4/C$5+C$6</f>
        <v>37</v>
      </c>
      <c r="K1181">
        <f>HEX2DEC(_0811_173439[[#This Row],[580F]])*D$4/D$5+D$6</f>
        <v>30</v>
      </c>
      <c r="L1181">
        <f>ROUND(HEX2DEC(_0811_173439[[#This Row],[58F0]])*E$4/E$5+E$6,0)</f>
        <v>70</v>
      </c>
      <c r="M1181">
        <f>ROUND(HEX2DEC(_0811_173439[[#This Row],[5805]])*F$4/F$5+F$6,0)</f>
        <v>44</v>
      </c>
      <c r="N1181">
        <f>ROUND(HEX2DEC(_0811_173439[[#This Row],[58DD]])*G$4/G$5+G$6,2)</f>
        <v>-0.03</v>
      </c>
      <c r="P1181">
        <v>760</v>
      </c>
      <c r="Q1181">
        <v>37</v>
      </c>
      <c r="R1181">
        <v>30</v>
      </c>
      <c r="S1181">
        <v>70</v>
      </c>
      <c r="T1181">
        <v>44</v>
      </c>
      <c r="U1181">
        <v>-0.03</v>
      </c>
      <c r="W1181">
        <f>DataLog_T717420_Aug11_4_59_37pm[[#This Row],[RPM '[1/MIN']]]-Table3[[#This Row],[580C]]</f>
        <v>0</v>
      </c>
      <c r="X1181">
        <f>DataLog_T717420_Aug11_4_59_37pm[[#This Row],[OIL TEMP '[Â°C']]]-Table3[[#This Row],[4402]]</f>
        <v>0</v>
      </c>
      <c r="Y1181">
        <f>DataLog_T717420_Aug11_4_59_37pm[[#This Row],[INTAKE TEMP '[Â°C']]]-Table3[[#This Row],[580F]]</f>
        <v>0</v>
      </c>
      <c r="Z1181">
        <f>DataLog_T717420_Aug11_4_59_37pm[[#This Row],[HPFP PRES. '[BAR']]]-Table3[[#This Row],[58F0]]</f>
        <v>0</v>
      </c>
      <c r="AA1181">
        <f>DataLog_T717420_Aug11_4_59_37pm[[#This Row],[COOLANT TEMP '[Â°C']]]-Table3[[#This Row],[5805]]</f>
        <v>0</v>
      </c>
      <c r="AB1181">
        <f>DataLog_T717420_Aug11_4_59_37pm[[#This Row],[BOOST '[BAR']]]-Table3[[#This Row],[58DD]]</f>
        <v>0</v>
      </c>
    </row>
    <row r="1182" spans="2:28" x14ac:dyDescent="0.25">
      <c r="B1182" s="2" t="s">
        <v>189</v>
      </c>
      <c r="C1182" s="2" t="s">
        <v>262</v>
      </c>
      <c r="D1182" s="2" t="s">
        <v>151</v>
      </c>
      <c r="E1182" s="2" t="s">
        <v>93</v>
      </c>
      <c r="F1182" s="2" t="s">
        <v>261</v>
      </c>
      <c r="G1182" s="2" t="s">
        <v>236</v>
      </c>
      <c r="I1182">
        <f>HEX2DEC(_0811_173439[[#This Row],[580C]])*B$4/B$5+B$6</f>
        <v>760</v>
      </c>
      <c r="J1182">
        <f>HEX2DEC(_0811_173439[[#This Row],[4402]])*C$4/C$5+C$6</f>
        <v>37</v>
      </c>
      <c r="K1182">
        <f>HEX2DEC(_0811_173439[[#This Row],[580F]])*D$4/D$5+D$6</f>
        <v>30</v>
      </c>
      <c r="L1182">
        <f>ROUND(HEX2DEC(_0811_173439[[#This Row],[58F0]])*E$4/E$5+E$6,0)</f>
        <v>70</v>
      </c>
      <c r="M1182">
        <f>ROUND(HEX2DEC(_0811_173439[[#This Row],[5805]])*F$4/F$5+F$6,0)</f>
        <v>44</v>
      </c>
      <c r="N1182">
        <f>ROUND(HEX2DEC(_0811_173439[[#This Row],[58DD]])*G$4/G$5+G$6,2)</f>
        <v>-0.03</v>
      </c>
      <c r="P1182">
        <v>760</v>
      </c>
      <c r="Q1182">
        <v>37</v>
      </c>
      <c r="R1182">
        <v>30</v>
      </c>
      <c r="S1182">
        <v>70</v>
      </c>
      <c r="T1182">
        <v>44</v>
      </c>
      <c r="U1182">
        <v>-0.03</v>
      </c>
      <c r="W1182">
        <f>DataLog_T717420_Aug11_4_59_37pm[[#This Row],[RPM '[1/MIN']]]-Table3[[#This Row],[580C]]</f>
        <v>0</v>
      </c>
      <c r="X1182">
        <f>DataLog_T717420_Aug11_4_59_37pm[[#This Row],[OIL TEMP '[Â°C']]]-Table3[[#This Row],[4402]]</f>
        <v>0</v>
      </c>
      <c r="Y1182">
        <f>DataLog_T717420_Aug11_4_59_37pm[[#This Row],[INTAKE TEMP '[Â°C']]]-Table3[[#This Row],[580F]]</f>
        <v>0</v>
      </c>
      <c r="Z1182">
        <f>DataLog_T717420_Aug11_4_59_37pm[[#This Row],[HPFP PRES. '[BAR']]]-Table3[[#This Row],[58F0]]</f>
        <v>0</v>
      </c>
      <c r="AA1182">
        <f>DataLog_T717420_Aug11_4_59_37pm[[#This Row],[COOLANT TEMP '[Â°C']]]-Table3[[#This Row],[5805]]</f>
        <v>0</v>
      </c>
      <c r="AB1182">
        <f>DataLog_T717420_Aug11_4_59_37pm[[#This Row],[BOOST '[BAR']]]-Table3[[#This Row],[58DD]]</f>
        <v>0</v>
      </c>
    </row>
    <row r="1183" spans="2:28" x14ac:dyDescent="0.25">
      <c r="B1183" s="2" t="s">
        <v>189</v>
      </c>
      <c r="C1183" s="2" t="s">
        <v>262</v>
      </c>
      <c r="D1183" s="2" t="s">
        <v>151</v>
      </c>
      <c r="E1183" s="2" t="s">
        <v>178</v>
      </c>
      <c r="F1183" s="2" t="s">
        <v>261</v>
      </c>
      <c r="G1183" s="2" t="s">
        <v>236</v>
      </c>
      <c r="I1183">
        <f>HEX2DEC(_0811_173439[[#This Row],[580C]])*B$4/B$5+B$6</f>
        <v>760</v>
      </c>
      <c r="J1183">
        <f>HEX2DEC(_0811_173439[[#This Row],[4402]])*C$4/C$5+C$6</f>
        <v>37</v>
      </c>
      <c r="K1183">
        <f>HEX2DEC(_0811_173439[[#This Row],[580F]])*D$4/D$5+D$6</f>
        <v>30</v>
      </c>
      <c r="L1183">
        <f>ROUND(HEX2DEC(_0811_173439[[#This Row],[58F0]])*E$4/E$5+E$6,0)</f>
        <v>71</v>
      </c>
      <c r="M1183">
        <f>ROUND(HEX2DEC(_0811_173439[[#This Row],[5805]])*F$4/F$5+F$6,0)</f>
        <v>44</v>
      </c>
      <c r="N1183">
        <f>ROUND(HEX2DEC(_0811_173439[[#This Row],[58DD]])*G$4/G$5+G$6,2)</f>
        <v>-0.03</v>
      </c>
      <c r="P1183">
        <v>760</v>
      </c>
      <c r="Q1183">
        <v>37</v>
      </c>
      <c r="R1183">
        <v>30</v>
      </c>
      <c r="S1183">
        <v>71</v>
      </c>
      <c r="T1183">
        <v>44</v>
      </c>
      <c r="U1183">
        <v>-0.03</v>
      </c>
      <c r="W1183">
        <f>DataLog_T717420_Aug11_4_59_37pm[[#This Row],[RPM '[1/MIN']]]-Table3[[#This Row],[580C]]</f>
        <v>0</v>
      </c>
      <c r="X1183">
        <f>DataLog_T717420_Aug11_4_59_37pm[[#This Row],[OIL TEMP '[Â°C']]]-Table3[[#This Row],[4402]]</f>
        <v>0</v>
      </c>
      <c r="Y1183">
        <f>DataLog_T717420_Aug11_4_59_37pm[[#This Row],[INTAKE TEMP '[Â°C']]]-Table3[[#This Row],[580F]]</f>
        <v>0</v>
      </c>
      <c r="Z1183">
        <f>DataLog_T717420_Aug11_4_59_37pm[[#This Row],[HPFP PRES. '[BAR']]]-Table3[[#This Row],[58F0]]</f>
        <v>0</v>
      </c>
      <c r="AA1183">
        <f>DataLog_T717420_Aug11_4_59_37pm[[#This Row],[COOLANT TEMP '[Â°C']]]-Table3[[#This Row],[5805]]</f>
        <v>0</v>
      </c>
      <c r="AB1183">
        <f>DataLog_T717420_Aug11_4_59_37pm[[#This Row],[BOOST '[BAR']]]-Table3[[#This Row],[58DD]]</f>
        <v>0</v>
      </c>
    </row>
    <row r="1184" spans="2:28" x14ac:dyDescent="0.25">
      <c r="B1184" s="2" t="s">
        <v>189</v>
      </c>
      <c r="C1184" s="2" t="s">
        <v>262</v>
      </c>
      <c r="D1184" s="2" t="s">
        <v>151</v>
      </c>
      <c r="E1184" s="2" t="s">
        <v>157</v>
      </c>
      <c r="F1184" s="2" t="s">
        <v>261</v>
      </c>
      <c r="G1184" s="2" t="s">
        <v>236</v>
      </c>
      <c r="I1184">
        <f>HEX2DEC(_0811_173439[[#This Row],[580C]])*B$4/B$5+B$6</f>
        <v>760</v>
      </c>
      <c r="J1184">
        <f>HEX2DEC(_0811_173439[[#This Row],[4402]])*C$4/C$5+C$6</f>
        <v>37</v>
      </c>
      <c r="K1184">
        <f>HEX2DEC(_0811_173439[[#This Row],[580F]])*D$4/D$5+D$6</f>
        <v>30</v>
      </c>
      <c r="L1184">
        <f>ROUND(HEX2DEC(_0811_173439[[#This Row],[58F0]])*E$4/E$5+E$6,0)</f>
        <v>70</v>
      </c>
      <c r="M1184">
        <f>ROUND(HEX2DEC(_0811_173439[[#This Row],[5805]])*F$4/F$5+F$6,0)</f>
        <v>44</v>
      </c>
      <c r="N1184">
        <f>ROUND(HEX2DEC(_0811_173439[[#This Row],[58DD]])*G$4/G$5+G$6,2)</f>
        <v>-0.03</v>
      </c>
      <c r="P1184">
        <v>760</v>
      </c>
      <c r="Q1184">
        <v>37</v>
      </c>
      <c r="R1184">
        <v>30</v>
      </c>
      <c r="S1184">
        <v>70</v>
      </c>
      <c r="T1184">
        <v>44</v>
      </c>
      <c r="U1184">
        <v>-0.03</v>
      </c>
      <c r="W1184">
        <f>DataLog_T717420_Aug11_4_59_37pm[[#This Row],[RPM '[1/MIN']]]-Table3[[#This Row],[580C]]</f>
        <v>0</v>
      </c>
      <c r="X1184">
        <f>DataLog_T717420_Aug11_4_59_37pm[[#This Row],[OIL TEMP '[Â°C']]]-Table3[[#This Row],[4402]]</f>
        <v>0</v>
      </c>
      <c r="Y1184">
        <f>DataLog_T717420_Aug11_4_59_37pm[[#This Row],[INTAKE TEMP '[Â°C']]]-Table3[[#This Row],[580F]]</f>
        <v>0</v>
      </c>
      <c r="Z1184">
        <f>DataLog_T717420_Aug11_4_59_37pm[[#This Row],[HPFP PRES. '[BAR']]]-Table3[[#This Row],[58F0]]</f>
        <v>0</v>
      </c>
      <c r="AA1184">
        <f>DataLog_T717420_Aug11_4_59_37pm[[#This Row],[COOLANT TEMP '[Â°C']]]-Table3[[#This Row],[5805]]</f>
        <v>0</v>
      </c>
      <c r="AB1184">
        <f>DataLog_T717420_Aug11_4_59_37pm[[#This Row],[BOOST '[BAR']]]-Table3[[#This Row],[58DD]]</f>
        <v>0</v>
      </c>
    </row>
    <row r="1185" spans="2:28" x14ac:dyDescent="0.25">
      <c r="B1185" s="2" t="s">
        <v>189</v>
      </c>
      <c r="C1185" s="2" t="s">
        <v>262</v>
      </c>
      <c r="D1185" s="2" t="s">
        <v>151</v>
      </c>
      <c r="E1185" s="2" t="s">
        <v>93</v>
      </c>
      <c r="F1185" s="2" t="s">
        <v>261</v>
      </c>
      <c r="G1185" s="2" t="s">
        <v>53</v>
      </c>
      <c r="I1185">
        <f>HEX2DEC(_0811_173439[[#This Row],[580C]])*B$4/B$5+B$6</f>
        <v>760</v>
      </c>
      <c r="J1185">
        <f>HEX2DEC(_0811_173439[[#This Row],[4402]])*C$4/C$5+C$6</f>
        <v>37</v>
      </c>
      <c r="K1185">
        <f>HEX2DEC(_0811_173439[[#This Row],[580F]])*D$4/D$5+D$6</f>
        <v>30</v>
      </c>
      <c r="L1185">
        <f>ROUND(HEX2DEC(_0811_173439[[#This Row],[58F0]])*E$4/E$5+E$6,0)</f>
        <v>70</v>
      </c>
      <c r="M1185">
        <f>ROUND(HEX2DEC(_0811_173439[[#This Row],[5805]])*F$4/F$5+F$6,0)</f>
        <v>44</v>
      </c>
      <c r="N1185">
        <f>ROUND(HEX2DEC(_0811_173439[[#This Row],[58DD]])*G$4/G$5+G$6,2)</f>
        <v>-0.03</v>
      </c>
      <c r="P1185">
        <v>760</v>
      </c>
      <c r="Q1185">
        <v>37</v>
      </c>
      <c r="R1185">
        <v>30</v>
      </c>
      <c r="S1185">
        <v>70</v>
      </c>
      <c r="T1185">
        <v>44</v>
      </c>
      <c r="U1185">
        <v>-0.03</v>
      </c>
      <c r="W1185">
        <f>DataLog_T717420_Aug11_4_59_37pm[[#This Row],[RPM '[1/MIN']]]-Table3[[#This Row],[580C]]</f>
        <v>0</v>
      </c>
      <c r="X1185">
        <f>DataLog_T717420_Aug11_4_59_37pm[[#This Row],[OIL TEMP '[Â°C']]]-Table3[[#This Row],[4402]]</f>
        <v>0</v>
      </c>
      <c r="Y1185">
        <f>DataLog_T717420_Aug11_4_59_37pm[[#This Row],[INTAKE TEMP '[Â°C']]]-Table3[[#This Row],[580F]]</f>
        <v>0</v>
      </c>
      <c r="Z1185">
        <f>DataLog_T717420_Aug11_4_59_37pm[[#This Row],[HPFP PRES. '[BAR']]]-Table3[[#This Row],[58F0]]</f>
        <v>0</v>
      </c>
      <c r="AA1185">
        <f>DataLog_T717420_Aug11_4_59_37pm[[#This Row],[COOLANT TEMP '[Â°C']]]-Table3[[#This Row],[5805]]</f>
        <v>0</v>
      </c>
      <c r="AB1185">
        <f>DataLog_T717420_Aug11_4_59_37pm[[#This Row],[BOOST '[BAR']]]-Table3[[#This Row],[58DD]]</f>
        <v>0</v>
      </c>
    </row>
    <row r="1186" spans="2:28" x14ac:dyDescent="0.25">
      <c r="B1186" s="2" t="s">
        <v>189</v>
      </c>
      <c r="C1186" s="2" t="s">
        <v>262</v>
      </c>
      <c r="D1186" s="2" t="s">
        <v>151</v>
      </c>
      <c r="E1186" s="2" t="s">
        <v>147</v>
      </c>
      <c r="F1186" s="2" t="s">
        <v>261</v>
      </c>
      <c r="G1186" s="2" t="s">
        <v>96</v>
      </c>
      <c r="I1186">
        <f>HEX2DEC(_0811_173439[[#This Row],[580C]])*B$4/B$5+B$6</f>
        <v>760</v>
      </c>
      <c r="J1186">
        <f>HEX2DEC(_0811_173439[[#This Row],[4402]])*C$4/C$5+C$6</f>
        <v>37</v>
      </c>
      <c r="K1186">
        <f>HEX2DEC(_0811_173439[[#This Row],[580F]])*D$4/D$5+D$6</f>
        <v>30</v>
      </c>
      <c r="L1186">
        <f>ROUND(HEX2DEC(_0811_173439[[#This Row],[58F0]])*E$4/E$5+E$6,0)</f>
        <v>71</v>
      </c>
      <c r="M1186">
        <f>ROUND(HEX2DEC(_0811_173439[[#This Row],[5805]])*F$4/F$5+F$6,0)</f>
        <v>44</v>
      </c>
      <c r="N1186">
        <f>ROUND(HEX2DEC(_0811_173439[[#This Row],[58DD]])*G$4/G$5+G$6,2)</f>
        <v>-0.03</v>
      </c>
      <c r="P1186">
        <v>760</v>
      </c>
      <c r="Q1186">
        <v>37</v>
      </c>
      <c r="R1186">
        <v>30</v>
      </c>
      <c r="S1186">
        <v>71</v>
      </c>
      <c r="T1186">
        <v>44</v>
      </c>
      <c r="U1186">
        <v>-0.03</v>
      </c>
      <c r="W1186">
        <f>DataLog_T717420_Aug11_4_59_37pm[[#This Row],[RPM '[1/MIN']]]-Table3[[#This Row],[580C]]</f>
        <v>0</v>
      </c>
      <c r="X1186">
        <f>DataLog_T717420_Aug11_4_59_37pm[[#This Row],[OIL TEMP '[Â°C']]]-Table3[[#This Row],[4402]]</f>
        <v>0</v>
      </c>
      <c r="Y1186">
        <f>DataLog_T717420_Aug11_4_59_37pm[[#This Row],[INTAKE TEMP '[Â°C']]]-Table3[[#This Row],[580F]]</f>
        <v>0</v>
      </c>
      <c r="Z1186">
        <f>DataLog_T717420_Aug11_4_59_37pm[[#This Row],[HPFP PRES. '[BAR']]]-Table3[[#This Row],[58F0]]</f>
        <v>0</v>
      </c>
      <c r="AA1186">
        <f>DataLog_T717420_Aug11_4_59_37pm[[#This Row],[COOLANT TEMP '[Â°C']]]-Table3[[#This Row],[5805]]</f>
        <v>0</v>
      </c>
      <c r="AB1186">
        <f>DataLog_T717420_Aug11_4_59_37pm[[#This Row],[BOOST '[BAR']]]-Table3[[#This Row],[58DD]]</f>
        <v>0</v>
      </c>
    </row>
    <row r="1187" spans="2:28" x14ac:dyDescent="0.25">
      <c r="B1187" s="2" t="s">
        <v>189</v>
      </c>
      <c r="C1187" s="2" t="s">
        <v>262</v>
      </c>
      <c r="D1187" s="2" t="s">
        <v>151</v>
      </c>
      <c r="E1187" s="2" t="s">
        <v>150</v>
      </c>
      <c r="F1187" s="2" t="s">
        <v>261</v>
      </c>
      <c r="G1187" s="2" t="s">
        <v>191</v>
      </c>
      <c r="I1187">
        <f>HEX2DEC(_0811_173439[[#This Row],[580C]])*B$4/B$5+B$6</f>
        <v>760</v>
      </c>
      <c r="J1187">
        <f>HEX2DEC(_0811_173439[[#This Row],[4402]])*C$4/C$5+C$6</f>
        <v>37</v>
      </c>
      <c r="K1187">
        <f>HEX2DEC(_0811_173439[[#This Row],[580F]])*D$4/D$5+D$6</f>
        <v>30</v>
      </c>
      <c r="L1187">
        <f>ROUND(HEX2DEC(_0811_173439[[#This Row],[58F0]])*E$4/E$5+E$6,0)</f>
        <v>70</v>
      </c>
      <c r="M1187">
        <f>ROUND(HEX2DEC(_0811_173439[[#This Row],[5805]])*F$4/F$5+F$6,0)</f>
        <v>44</v>
      </c>
      <c r="N1187">
        <f>ROUND(HEX2DEC(_0811_173439[[#This Row],[58DD]])*G$4/G$5+G$6,2)</f>
        <v>-0.03</v>
      </c>
      <c r="P1187">
        <v>760</v>
      </c>
      <c r="Q1187">
        <v>37</v>
      </c>
      <c r="R1187">
        <v>30</v>
      </c>
      <c r="S1187">
        <v>70</v>
      </c>
      <c r="T1187">
        <v>44</v>
      </c>
      <c r="U1187">
        <v>-0.03</v>
      </c>
      <c r="W1187">
        <f>DataLog_T717420_Aug11_4_59_37pm[[#This Row],[RPM '[1/MIN']]]-Table3[[#This Row],[580C]]</f>
        <v>0</v>
      </c>
      <c r="X1187">
        <f>DataLog_T717420_Aug11_4_59_37pm[[#This Row],[OIL TEMP '[Â°C']]]-Table3[[#This Row],[4402]]</f>
        <v>0</v>
      </c>
      <c r="Y1187">
        <f>DataLog_T717420_Aug11_4_59_37pm[[#This Row],[INTAKE TEMP '[Â°C']]]-Table3[[#This Row],[580F]]</f>
        <v>0</v>
      </c>
      <c r="Z1187">
        <f>DataLog_T717420_Aug11_4_59_37pm[[#This Row],[HPFP PRES. '[BAR']]]-Table3[[#This Row],[58F0]]</f>
        <v>0</v>
      </c>
      <c r="AA1187">
        <f>DataLog_T717420_Aug11_4_59_37pm[[#This Row],[COOLANT TEMP '[Â°C']]]-Table3[[#This Row],[5805]]</f>
        <v>0</v>
      </c>
      <c r="AB1187">
        <f>DataLog_T717420_Aug11_4_59_37pm[[#This Row],[BOOST '[BAR']]]-Table3[[#This Row],[58DD]]</f>
        <v>0</v>
      </c>
    </row>
    <row r="1188" spans="2:28" x14ac:dyDescent="0.25">
      <c r="B1188" s="2" t="s">
        <v>189</v>
      </c>
      <c r="C1188" s="2" t="s">
        <v>262</v>
      </c>
      <c r="D1188" s="2" t="s">
        <v>151</v>
      </c>
      <c r="E1188" s="2" t="s">
        <v>132</v>
      </c>
      <c r="F1188" s="2" t="s">
        <v>261</v>
      </c>
      <c r="G1188" s="2" t="s">
        <v>236</v>
      </c>
      <c r="I1188">
        <f>HEX2DEC(_0811_173439[[#This Row],[580C]])*B$4/B$5+B$6</f>
        <v>760</v>
      </c>
      <c r="J1188">
        <f>HEX2DEC(_0811_173439[[#This Row],[4402]])*C$4/C$5+C$6</f>
        <v>37</v>
      </c>
      <c r="K1188">
        <f>HEX2DEC(_0811_173439[[#This Row],[580F]])*D$4/D$5+D$6</f>
        <v>30</v>
      </c>
      <c r="L1188">
        <f>ROUND(HEX2DEC(_0811_173439[[#This Row],[58F0]])*E$4/E$5+E$6,0)</f>
        <v>70</v>
      </c>
      <c r="M1188">
        <f>ROUND(HEX2DEC(_0811_173439[[#This Row],[5805]])*F$4/F$5+F$6,0)</f>
        <v>44</v>
      </c>
      <c r="N1188">
        <f>ROUND(HEX2DEC(_0811_173439[[#This Row],[58DD]])*G$4/G$5+G$6,2)</f>
        <v>-0.03</v>
      </c>
      <c r="P1188">
        <v>760</v>
      </c>
      <c r="Q1188">
        <v>37</v>
      </c>
      <c r="R1188">
        <v>30</v>
      </c>
      <c r="S1188">
        <v>70</v>
      </c>
      <c r="T1188">
        <v>44</v>
      </c>
      <c r="U1188">
        <v>-0.03</v>
      </c>
      <c r="W1188">
        <f>DataLog_T717420_Aug11_4_59_37pm[[#This Row],[RPM '[1/MIN']]]-Table3[[#This Row],[580C]]</f>
        <v>0</v>
      </c>
      <c r="X1188">
        <f>DataLog_T717420_Aug11_4_59_37pm[[#This Row],[OIL TEMP '[Â°C']]]-Table3[[#This Row],[4402]]</f>
        <v>0</v>
      </c>
      <c r="Y1188">
        <f>DataLog_T717420_Aug11_4_59_37pm[[#This Row],[INTAKE TEMP '[Â°C']]]-Table3[[#This Row],[580F]]</f>
        <v>0</v>
      </c>
      <c r="Z1188">
        <f>DataLog_T717420_Aug11_4_59_37pm[[#This Row],[HPFP PRES. '[BAR']]]-Table3[[#This Row],[58F0]]</f>
        <v>0</v>
      </c>
      <c r="AA1188">
        <f>DataLog_T717420_Aug11_4_59_37pm[[#This Row],[COOLANT TEMP '[Â°C']]]-Table3[[#This Row],[5805]]</f>
        <v>0</v>
      </c>
      <c r="AB1188">
        <f>DataLog_T717420_Aug11_4_59_37pm[[#This Row],[BOOST '[BAR']]]-Table3[[#This Row],[58DD]]</f>
        <v>0</v>
      </c>
    </row>
    <row r="1189" spans="2:28" x14ac:dyDescent="0.25">
      <c r="B1189" s="2" t="s">
        <v>189</v>
      </c>
      <c r="C1189" s="2" t="s">
        <v>262</v>
      </c>
      <c r="D1189" s="2" t="s">
        <v>151</v>
      </c>
      <c r="E1189" s="2" t="s">
        <v>205</v>
      </c>
      <c r="F1189" s="2" t="s">
        <v>261</v>
      </c>
      <c r="G1189" s="2" t="s">
        <v>96</v>
      </c>
      <c r="I1189">
        <f>HEX2DEC(_0811_173439[[#This Row],[580C]])*B$4/B$5+B$6</f>
        <v>760</v>
      </c>
      <c r="J1189">
        <f>HEX2DEC(_0811_173439[[#This Row],[4402]])*C$4/C$5+C$6</f>
        <v>37</v>
      </c>
      <c r="K1189">
        <f>HEX2DEC(_0811_173439[[#This Row],[580F]])*D$4/D$5+D$6</f>
        <v>30</v>
      </c>
      <c r="L1189">
        <f>ROUND(HEX2DEC(_0811_173439[[#This Row],[58F0]])*E$4/E$5+E$6,0)</f>
        <v>71</v>
      </c>
      <c r="M1189">
        <f>ROUND(HEX2DEC(_0811_173439[[#This Row],[5805]])*F$4/F$5+F$6,0)</f>
        <v>44</v>
      </c>
      <c r="N1189">
        <f>ROUND(HEX2DEC(_0811_173439[[#This Row],[58DD]])*G$4/G$5+G$6,2)</f>
        <v>-0.03</v>
      </c>
      <c r="P1189">
        <v>760</v>
      </c>
      <c r="Q1189">
        <v>37</v>
      </c>
      <c r="R1189">
        <v>30</v>
      </c>
      <c r="S1189">
        <v>71</v>
      </c>
      <c r="T1189">
        <v>44</v>
      </c>
      <c r="U1189">
        <v>-0.03</v>
      </c>
      <c r="W1189">
        <f>DataLog_T717420_Aug11_4_59_37pm[[#This Row],[RPM '[1/MIN']]]-Table3[[#This Row],[580C]]</f>
        <v>0</v>
      </c>
      <c r="X1189">
        <f>DataLog_T717420_Aug11_4_59_37pm[[#This Row],[OIL TEMP '[Â°C']]]-Table3[[#This Row],[4402]]</f>
        <v>0</v>
      </c>
      <c r="Y1189">
        <f>DataLog_T717420_Aug11_4_59_37pm[[#This Row],[INTAKE TEMP '[Â°C']]]-Table3[[#This Row],[580F]]</f>
        <v>0</v>
      </c>
      <c r="Z1189">
        <f>DataLog_T717420_Aug11_4_59_37pm[[#This Row],[HPFP PRES. '[BAR']]]-Table3[[#This Row],[58F0]]</f>
        <v>0</v>
      </c>
      <c r="AA1189">
        <f>DataLog_T717420_Aug11_4_59_37pm[[#This Row],[COOLANT TEMP '[Â°C']]]-Table3[[#This Row],[5805]]</f>
        <v>0</v>
      </c>
      <c r="AB1189">
        <f>DataLog_T717420_Aug11_4_59_37pm[[#This Row],[BOOST '[BAR']]]-Table3[[#This Row],[58DD]]</f>
        <v>0</v>
      </c>
    </row>
    <row r="1190" spans="2:28" x14ac:dyDescent="0.25">
      <c r="B1190" s="2" t="s">
        <v>189</v>
      </c>
      <c r="C1190" s="2" t="s">
        <v>262</v>
      </c>
      <c r="D1190" s="2" t="s">
        <v>151</v>
      </c>
      <c r="E1190" s="2" t="s">
        <v>127</v>
      </c>
      <c r="F1190" s="2" t="s">
        <v>261</v>
      </c>
      <c r="G1190" s="2" t="s">
        <v>236</v>
      </c>
      <c r="I1190">
        <f>HEX2DEC(_0811_173439[[#This Row],[580C]])*B$4/B$5+B$6</f>
        <v>760</v>
      </c>
      <c r="J1190">
        <f>HEX2DEC(_0811_173439[[#This Row],[4402]])*C$4/C$5+C$6</f>
        <v>37</v>
      </c>
      <c r="K1190">
        <f>HEX2DEC(_0811_173439[[#This Row],[580F]])*D$4/D$5+D$6</f>
        <v>30</v>
      </c>
      <c r="L1190">
        <f>ROUND(HEX2DEC(_0811_173439[[#This Row],[58F0]])*E$4/E$5+E$6,0)</f>
        <v>70</v>
      </c>
      <c r="M1190">
        <f>ROUND(HEX2DEC(_0811_173439[[#This Row],[5805]])*F$4/F$5+F$6,0)</f>
        <v>44</v>
      </c>
      <c r="N1190">
        <f>ROUND(HEX2DEC(_0811_173439[[#This Row],[58DD]])*G$4/G$5+G$6,2)</f>
        <v>-0.03</v>
      </c>
      <c r="P1190">
        <v>760</v>
      </c>
      <c r="Q1190">
        <v>37</v>
      </c>
      <c r="R1190">
        <v>30</v>
      </c>
      <c r="S1190">
        <v>70</v>
      </c>
      <c r="T1190">
        <v>44</v>
      </c>
      <c r="U1190">
        <v>-0.03</v>
      </c>
      <c r="W1190">
        <f>DataLog_T717420_Aug11_4_59_37pm[[#This Row],[RPM '[1/MIN']]]-Table3[[#This Row],[580C]]</f>
        <v>0</v>
      </c>
      <c r="X1190">
        <f>DataLog_T717420_Aug11_4_59_37pm[[#This Row],[OIL TEMP '[Â°C']]]-Table3[[#This Row],[4402]]</f>
        <v>0</v>
      </c>
      <c r="Y1190">
        <f>DataLog_T717420_Aug11_4_59_37pm[[#This Row],[INTAKE TEMP '[Â°C']]]-Table3[[#This Row],[580F]]</f>
        <v>0</v>
      </c>
      <c r="Z1190">
        <f>DataLog_T717420_Aug11_4_59_37pm[[#This Row],[HPFP PRES. '[BAR']]]-Table3[[#This Row],[58F0]]</f>
        <v>0</v>
      </c>
      <c r="AA1190">
        <f>DataLog_T717420_Aug11_4_59_37pm[[#This Row],[COOLANT TEMP '[Â°C']]]-Table3[[#This Row],[5805]]</f>
        <v>0</v>
      </c>
      <c r="AB1190">
        <f>DataLog_T717420_Aug11_4_59_37pm[[#This Row],[BOOST '[BAR']]]-Table3[[#This Row],[58DD]]</f>
        <v>0</v>
      </c>
    </row>
    <row r="1191" spans="2:28" x14ac:dyDescent="0.25">
      <c r="B1191" s="2" t="s">
        <v>189</v>
      </c>
      <c r="C1191" s="2" t="s">
        <v>262</v>
      </c>
      <c r="D1191" s="2" t="s">
        <v>151</v>
      </c>
      <c r="E1191" s="2" t="s">
        <v>93</v>
      </c>
      <c r="F1191" s="2" t="s">
        <v>261</v>
      </c>
      <c r="G1191" s="2" t="s">
        <v>216</v>
      </c>
      <c r="I1191">
        <f>HEX2DEC(_0811_173439[[#This Row],[580C]])*B$4/B$5+B$6</f>
        <v>760</v>
      </c>
      <c r="J1191">
        <f>HEX2DEC(_0811_173439[[#This Row],[4402]])*C$4/C$5+C$6</f>
        <v>37</v>
      </c>
      <c r="K1191">
        <f>HEX2DEC(_0811_173439[[#This Row],[580F]])*D$4/D$5+D$6</f>
        <v>30</v>
      </c>
      <c r="L1191">
        <f>ROUND(HEX2DEC(_0811_173439[[#This Row],[58F0]])*E$4/E$5+E$6,0)</f>
        <v>70</v>
      </c>
      <c r="M1191">
        <f>ROUND(HEX2DEC(_0811_173439[[#This Row],[5805]])*F$4/F$5+F$6,0)</f>
        <v>44</v>
      </c>
      <c r="N1191">
        <f>ROUND(HEX2DEC(_0811_173439[[#This Row],[58DD]])*G$4/G$5+G$6,2)</f>
        <v>-0.03</v>
      </c>
      <c r="P1191">
        <v>760</v>
      </c>
      <c r="Q1191">
        <v>37</v>
      </c>
      <c r="R1191">
        <v>30</v>
      </c>
      <c r="S1191">
        <v>70</v>
      </c>
      <c r="T1191">
        <v>44</v>
      </c>
      <c r="U1191">
        <v>-0.03</v>
      </c>
      <c r="W1191">
        <f>DataLog_T717420_Aug11_4_59_37pm[[#This Row],[RPM '[1/MIN']]]-Table3[[#This Row],[580C]]</f>
        <v>0</v>
      </c>
      <c r="X1191">
        <f>DataLog_T717420_Aug11_4_59_37pm[[#This Row],[OIL TEMP '[Â°C']]]-Table3[[#This Row],[4402]]</f>
        <v>0</v>
      </c>
      <c r="Y1191">
        <f>DataLog_T717420_Aug11_4_59_37pm[[#This Row],[INTAKE TEMP '[Â°C']]]-Table3[[#This Row],[580F]]</f>
        <v>0</v>
      </c>
      <c r="Z1191">
        <f>DataLog_T717420_Aug11_4_59_37pm[[#This Row],[HPFP PRES. '[BAR']]]-Table3[[#This Row],[58F0]]</f>
        <v>0</v>
      </c>
      <c r="AA1191">
        <f>DataLog_T717420_Aug11_4_59_37pm[[#This Row],[COOLANT TEMP '[Â°C']]]-Table3[[#This Row],[5805]]</f>
        <v>0</v>
      </c>
      <c r="AB1191">
        <f>DataLog_T717420_Aug11_4_59_37pm[[#This Row],[BOOST '[BAR']]]-Table3[[#This Row],[58DD]]</f>
        <v>0</v>
      </c>
    </row>
    <row r="1192" spans="2:28" x14ac:dyDescent="0.25">
      <c r="B1192" s="2" t="s">
        <v>189</v>
      </c>
      <c r="C1192" s="2" t="s">
        <v>262</v>
      </c>
      <c r="D1192" s="2" t="s">
        <v>151</v>
      </c>
      <c r="E1192" s="2" t="s">
        <v>122</v>
      </c>
      <c r="F1192" s="2" t="s">
        <v>261</v>
      </c>
      <c r="G1192" s="2" t="s">
        <v>190</v>
      </c>
      <c r="I1192">
        <f>HEX2DEC(_0811_173439[[#This Row],[580C]])*B$4/B$5+B$6</f>
        <v>760</v>
      </c>
      <c r="J1192">
        <f>HEX2DEC(_0811_173439[[#This Row],[4402]])*C$4/C$5+C$6</f>
        <v>37</v>
      </c>
      <c r="K1192">
        <f>HEX2DEC(_0811_173439[[#This Row],[580F]])*D$4/D$5+D$6</f>
        <v>30</v>
      </c>
      <c r="L1192">
        <f>ROUND(HEX2DEC(_0811_173439[[#This Row],[58F0]])*E$4/E$5+E$6,0)</f>
        <v>71</v>
      </c>
      <c r="M1192">
        <f>ROUND(HEX2DEC(_0811_173439[[#This Row],[5805]])*F$4/F$5+F$6,0)</f>
        <v>44</v>
      </c>
      <c r="N1192">
        <f>ROUND(HEX2DEC(_0811_173439[[#This Row],[58DD]])*G$4/G$5+G$6,2)</f>
        <v>-0.03</v>
      </c>
      <c r="P1192">
        <v>760</v>
      </c>
      <c r="Q1192">
        <v>37</v>
      </c>
      <c r="R1192">
        <v>30</v>
      </c>
      <c r="S1192">
        <v>71</v>
      </c>
      <c r="T1192">
        <v>44</v>
      </c>
      <c r="U1192">
        <v>-0.03</v>
      </c>
      <c r="W1192">
        <f>DataLog_T717420_Aug11_4_59_37pm[[#This Row],[RPM '[1/MIN']]]-Table3[[#This Row],[580C]]</f>
        <v>0</v>
      </c>
      <c r="X1192">
        <f>DataLog_T717420_Aug11_4_59_37pm[[#This Row],[OIL TEMP '[Â°C']]]-Table3[[#This Row],[4402]]</f>
        <v>0</v>
      </c>
      <c r="Y1192">
        <f>DataLog_T717420_Aug11_4_59_37pm[[#This Row],[INTAKE TEMP '[Â°C']]]-Table3[[#This Row],[580F]]</f>
        <v>0</v>
      </c>
      <c r="Z1192">
        <f>DataLog_T717420_Aug11_4_59_37pm[[#This Row],[HPFP PRES. '[BAR']]]-Table3[[#This Row],[58F0]]</f>
        <v>0</v>
      </c>
      <c r="AA1192">
        <f>DataLog_T717420_Aug11_4_59_37pm[[#This Row],[COOLANT TEMP '[Â°C']]]-Table3[[#This Row],[5805]]</f>
        <v>0</v>
      </c>
      <c r="AB1192">
        <f>DataLog_T717420_Aug11_4_59_37pm[[#This Row],[BOOST '[BAR']]]-Table3[[#This Row],[58DD]]</f>
        <v>0</v>
      </c>
    </row>
    <row r="1193" spans="2:28" x14ac:dyDescent="0.25">
      <c r="B1193" s="2" t="s">
        <v>189</v>
      </c>
      <c r="C1193" s="2" t="s">
        <v>262</v>
      </c>
      <c r="D1193" s="2" t="s">
        <v>151</v>
      </c>
      <c r="E1193" s="2" t="s">
        <v>127</v>
      </c>
      <c r="F1193" s="2" t="s">
        <v>261</v>
      </c>
      <c r="G1193" s="2" t="s">
        <v>213</v>
      </c>
      <c r="I1193">
        <f>HEX2DEC(_0811_173439[[#This Row],[580C]])*B$4/B$5+B$6</f>
        <v>760</v>
      </c>
      <c r="J1193">
        <f>HEX2DEC(_0811_173439[[#This Row],[4402]])*C$4/C$5+C$6</f>
        <v>37</v>
      </c>
      <c r="K1193">
        <f>HEX2DEC(_0811_173439[[#This Row],[580F]])*D$4/D$5+D$6</f>
        <v>30</v>
      </c>
      <c r="L1193">
        <f>ROUND(HEX2DEC(_0811_173439[[#This Row],[58F0]])*E$4/E$5+E$6,0)</f>
        <v>70</v>
      </c>
      <c r="M1193">
        <f>ROUND(HEX2DEC(_0811_173439[[#This Row],[5805]])*F$4/F$5+F$6,0)</f>
        <v>44</v>
      </c>
      <c r="N1193">
        <f>ROUND(HEX2DEC(_0811_173439[[#This Row],[58DD]])*G$4/G$5+G$6,2)</f>
        <v>-0.03</v>
      </c>
      <c r="P1193">
        <v>760</v>
      </c>
      <c r="Q1193">
        <v>37</v>
      </c>
      <c r="R1193">
        <v>30</v>
      </c>
      <c r="S1193">
        <v>70</v>
      </c>
      <c r="T1193">
        <v>44</v>
      </c>
      <c r="U1193">
        <v>-0.03</v>
      </c>
      <c r="W1193">
        <f>DataLog_T717420_Aug11_4_59_37pm[[#This Row],[RPM '[1/MIN']]]-Table3[[#This Row],[580C]]</f>
        <v>0</v>
      </c>
      <c r="X1193">
        <f>DataLog_T717420_Aug11_4_59_37pm[[#This Row],[OIL TEMP '[Â°C']]]-Table3[[#This Row],[4402]]</f>
        <v>0</v>
      </c>
      <c r="Y1193">
        <f>DataLog_T717420_Aug11_4_59_37pm[[#This Row],[INTAKE TEMP '[Â°C']]]-Table3[[#This Row],[580F]]</f>
        <v>0</v>
      </c>
      <c r="Z1193">
        <f>DataLog_T717420_Aug11_4_59_37pm[[#This Row],[HPFP PRES. '[BAR']]]-Table3[[#This Row],[58F0]]</f>
        <v>0</v>
      </c>
      <c r="AA1193">
        <f>DataLog_T717420_Aug11_4_59_37pm[[#This Row],[COOLANT TEMP '[Â°C']]]-Table3[[#This Row],[5805]]</f>
        <v>0</v>
      </c>
      <c r="AB1193">
        <f>DataLog_T717420_Aug11_4_59_37pm[[#This Row],[BOOST '[BAR']]]-Table3[[#This Row],[58DD]]</f>
        <v>0</v>
      </c>
    </row>
    <row r="1194" spans="2:28" x14ac:dyDescent="0.25">
      <c r="B1194" s="2" t="s">
        <v>183</v>
      </c>
      <c r="C1194" s="2" t="s">
        <v>262</v>
      </c>
      <c r="D1194" s="2" t="s">
        <v>151</v>
      </c>
      <c r="E1194" s="2" t="s">
        <v>127</v>
      </c>
      <c r="F1194" s="2" t="s">
        <v>261</v>
      </c>
      <c r="G1194" s="2" t="s">
        <v>191</v>
      </c>
      <c r="I1194">
        <f>HEX2DEC(_0811_173439[[#This Row],[580C]])*B$4/B$5+B$6</f>
        <v>800</v>
      </c>
      <c r="J1194">
        <f>HEX2DEC(_0811_173439[[#This Row],[4402]])*C$4/C$5+C$6</f>
        <v>37</v>
      </c>
      <c r="K1194">
        <f>HEX2DEC(_0811_173439[[#This Row],[580F]])*D$4/D$5+D$6</f>
        <v>30</v>
      </c>
      <c r="L1194">
        <f>ROUND(HEX2DEC(_0811_173439[[#This Row],[58F0]])*E$4/E$5+E$6,0)</f>
        <v>70</v>
      </c>
      <c r="M1194">
        <f>ROUND(HEX2DEC(_0811_173439[[#This Row],[5805]])*F$4/F$5+F$6,0)</f>
        <v>44</v>
      </c>
      <c r="N1194">
        <f>ROUND(HEX2DEC(_0811_173439[[#This Row],[58DD]])*G$4/G$5+G$6,2)</f>
        <v>-0.03</v>
      </c>
      <c r="P1194">
        <v>800</v>
      </c>
      <c r="Q1194">
        <v>37</v>
      </c>
      <c r="R1194">
        <v>30</v>
      </c>
      <c r="S1194">
        <v>70</v>
      </c>
      <c r="T1194">
        <v>44</v>
      </c>
      <c r="U1194">
        <v>-0.03</v>
      </c>
      <c r="W1194">
        <f>DataLog_T717420_Aug11_4_59_37pm[[#This Row],[RPM '[1/MIN']]]-Table3[[#This Row],[580C]]</f>
        <v>0</v>
      </c>
      <c r="X1194">
        <f>DataLog_T717420_Aug11_4_59_37pm[[#This Row],[OIL TEMP '[Â°C']]]-Table3[[#This Row],[4402]]</f>
        <v>0</v>
      </c>
      <c r="Y1194">
        <f>DataLog_T717420_Aug11_4_59_37pm[[#This Row],[INTAKE TEMP '[Â°C']]]-Table3[[#This Row],[580F]]</f>
        <v>0</v>
      </c>
      <c r="Z1194">
        <f>DataLog_T717420_Aug11_4_59_37pm[[#This Row],[HPFP PRES. '[BAR']]]-Table3[[#This Row],[58F0]]</f>
        <v>0</v>
      </c>
      <c r="AA1194">
        <f>DataLog_T717420_Aug11_4_59_37pm[[#This Row],[COOLANT TEMP '[Â°C']]]-Table3[[#This Row],[5805]]</f>
        <v>0</v>
      </c>
      <c r="AB1194">
        <f>DataLog_T717420_Aug11_4_59_37pm[[#This Row],[BOOST '[BAR']]]-Table3[[#This Row],[58DD]]</f>
        <v>0</v>
      </c>
    </row>
    <row r="1195" spans="2:28" x14ac:dyDescent="0.25">
      <c r="B1195" s="2" t="s">
        <v>183</v>
      </c>
      <c r="C1195" s="2" t="s">
        <v>262</v>
      </c>
      <c r="D1195" s="2" t="s">
        <v>151</v>
      </c>
      <c r="E1195" s="2" t="s">
        <v>93</v>
      </c>
      <c r="F1195" s="2" t="s">
        <v>261</v>
      </c>
      <c r="G1195" s="2" t="s">
        <v>96</v>
      </c>
      <c r="I1195">
        <f>HEX2DEC(_0811_173439[[#This Row],[580C]])*B$4/B$5+B$6</f>
        <v>800</v>
      </c>
      <c r="J1195">
        <f>HEX2DEC(_0811_173439[[#This Row],[4402]])*C$4/C$5+C$6</f>
        <v>37</v>
      </c>
      <c r="K1195">
        <f>HEX2DEC(_0811_173439[[#This Row],[580F]])*D$4/D$5+D$6</f>
        <v>30</v>
      </c>
      <c r="L1195">
        <f>ROUND(HEX2DEC(_0811_173439[[#This Row],[58F0]])*E$4/E$5+E$6,0)</f>
        <v>70</v>
      </c>
      <c r="M1195">
        <f>ROUND(HEX2DEC(_0811_173439[[#This Row],[5805]])*F$4/F$5+F$6,0)</f>
        <v>44</v>
      </c>
      <c r="N1195">
        <f>ROUND(HEX2DEC(_0811_173439[[#This Row],[58DD]])*G$4/G$5+G$6,2)</f>
        <v>-0.03</v>
      </c>
      <c r="P1195">
        <v>800</v>
      </c>
      <c r="Q1195">
        <v>37</v>
      </c>
      <c r="R1195">
        <v>30</v>
      </c>
      <c r="S1195">
        <v>70</v>
      </c>
      <c r="T1195">
        <v>44</v>
      </c>
      <c r="U1195">
        <v>-0.03</v>
      </c>
      <c r="W1195">
        <f>DataLog_T717420_Aug11_4_59_37pm[[#This Row],[RPM '[1/MIN']]]-Table3[[#This Row],[580C]]</f>
        <v>0</v>
      </c>
      <c r="X1195">
        <f>DataLog_T717420_Aug11_4_59_37pm[[#This Row],[OIL TEMP '[Â°C']]]-Table3[[#This Row],[4402]]</f>
        <v>0</v>
      </c>
      <c r="Y1195">
        <f>DataLog_T717420_Aug11_4_59_37pm[[#This Row],[INTAKE TEMP '[Â°C']]]-Table3[[#This Row],[580F]]</f>
        <v>0</v>
      </c>
      <c r="Z1195">
        <f>DataLog_T717420_Aug11_4_59_37pm[[#This Row],[HPFP PRES. '[BAR']]]-Table3[[#This Row],[58F0]]</f>
        <v>0</v>
      </c>
      <c r="AA1195">
        <f>DataLog_T717420_Aug11_4_59_37pm[[#This Row],[COOLANT TEMP '[Â°C']]]-Table3[[#This Row],[5805]]</f>
        <v>0</v>
      </c>
      <c r="AB1195">
        <f>DataLog_T717420_Aug11_4_59_37pm[[#This Row],[BOOST '[BAR']]]-Table3[[#This Row],[58DD]]</f>
        <v>0</v>
      </c>
    </row>
    <row r="1196" spans="2:28" x14ac:dyDescent="0.25">
      <c r="B1196" s="2" t="s">
        <v>183</v>
      </c>
      <c r="C1196" s="2" t="s">
        <v>262</v>
      </c>
      <c r="D1196" s="2" t="s">
        <v>151</v>
      </c>
      <c r="E1196" s="2" t="s">
        <v>215</v>
      </c>
      <c r="F1196" s="2" t="s">
        <v>261</v>
      </c>
      <c r="G1196" s="2" t="s">
        <v>190</v>
      </c>
      <c r="I1196">
        <f>HEX2DEC(_0811_173439[[#This Row],[580C]])*B$4/B$5+B$6</f>
        <v>800</v>
      </c>
      <c r="J1196">
        <f>HEX2DEC(_0811_173439[[#This Row],[4402]])*C$4/C$5+C$6</f>
        <v>37</v>
      </c>
      <c r="K1196">
        <f>HEX2DEC(_0811_173439[[#This Row],[580F]])*D$4/D$5+D$6</f>
        <v>30</v>
      </c>
      <c r="L1196">
        <f>ROUND(HEX2DEC(_0811_173439[[#This Row],[58F0]])*E$4/E$5+E$6,0)</f>
        <v>70</v>
      </c>
      <c r="M1196">
        <f>ROUND(HEX2DEC(_0811_173439[[#This Row],[5805]])*F$4/F$5+F$6,0)</f>
        <v>44</v>
      </c>
      <c r="N1196">
        <f>ROUND(HEX2DEC(_0811_173439[[#This Row],[58DD]])*G$4/G$5+G$6,2)</f>
        <v>-0.03</v>
      </c>
      <c r="P1196">
        <v>800</v>
      </c>
      <c r="Q1196">
        <v>37</v>
      </c>
      <c r="R1196">
        <v>30</v>
      </c>
      <c r="S1196">
        <v>70</v>
      </c>
      <c r="T1196">
        <v>44</v>
      </c>
      <c r="U1196">
        <v>-0.03</v>
      </c>
      <c r="W1196">
        <f>DataLog_T717420_Aug11_4_59_37pm[[#This Row],[RPM '[1/MIN']]]-Table3[[#This Row],[580C]]</f>
        <v>0</v>
      </c>
      <c r="X1196">
        <f>DataLog_T717420_Aug11_4_59_37pm[[#This Row],[OIL TEMP '[Â°C']]]-Table3[[#This Row],[4402]]</f>
        <v>0</v>
      </c>
      <c r="Y1196">
        <f>DataLog_T717420_Aug11_4_59_37pm[[#This Row],[INTAKE TEMP '[Â°C']]]-Table3[[#This Row],[580F]]</f>
        <v>0</v>
      </c>
      <c r="Z1196">
        <f>DataLog_T717420_Aug11_4_59_37pm[[#This Row],[HPFP PRES. '[BAR']]]-Table3[[#This Row],[58F0]]</f>
        <v>0</v>
      </c>
      <c r="AA1196">
        <f>DataLog_T717420_Aug11_4_59_37pm[[#This Row],[COOLANT TEMP '[Â°C']]]-Table3[[#This Row],[5805]]</f>
        <v>0</v>
      </c>
      <c r="AB1196">
        <f>DataLog_T717420_Aug11_4_59_37pm[[#This Row],[BOOST '[BAR']]]-Table3[[#This Row],[58DD]]</f>
        <v>0</v>
      </c>
    </row>
    <row r="1197" spans="2:28" x14ac:dyDescent="0.25">
      <c r="B1197" s="2" t="s">
        <v>183</v>
      </c>
      <c r="C1197" s="2" t="s">
        <v>262</v>
      </c>
      <c r="D1197" s="2" t="s">
        <v>151</v>
      </c>
      <c r="E1197" s="2" t="s">
        <v>127</v>
      </c>
      <c r="F1197" s="2" t="s">
        <v>261</v>
      </c>
      <c r="G1197" s="2" t="s">
        <v>53</v>
      </c>
      <c r="I1197">
        <f>HEX2DEC(_0811_173439[[#This Row],[580C]])*B$4/B$5+B$6</f>
        <v>800</v>
      </c>
      <c r="J1197">
        <f>HEX2DEC(_0811_173439[[#This Row],[4402]])*C$4/C$5+C$6</f>
        <v>37</v>
      </c>
      <c r="K1197">
        <f>HEX2DEC(_0811_173439[[#This Row],[580F]])*D$4/D$5+D$6</f>
        <v>30</v>
      </c>
      <c r="L1197">
        <f>ROUND(HEX2DEC(_0811_173439[[#This Row],[58F0]])*E$4/E$5+E$6,0)</f>
        <v>70</v>
      </c>
      <c r="M1197">
        <f>ROUND(HEX2DEC(_0811_173439[[#This Row],[5805]])*F$4/F$5+F$6,0)</f>
        <v>44</v>
      </c>
      <c r="N1197">
        <f>ROUND(HEX2DEC(_0811_173439[[#This Row],[58DD]])*G$4/G$5+G$6,2)</f>
        <v>-0.03</v>
      </c>
      <c r="P1197">
        <v>800</v>
      </c>
      <c r="Q1197">
        <v>37</v>
      </c>
      <c r="R1197">
        <v>30</v>
      </c>
      <c r="S1197">
        <v>70</v>
      </c>
      <c r="T1197">
        <v>44</v>
      </c>
      <c r="U1197">
        <v>-0.03</v>
      </c>
      <c r="W1197">
        <f>DataLog_T717420_Aug11_4_59_37pm[[#This Row],[RPM '[1/MIN']]]-Table3[[#This Row],[580C]]</f>
        <v>0</v>
      </c>
      <c r="X1197">
        <f>DataLog_T717420_Aug11_4_59_37pm[[#This Row],[OIL TEMP '[Â°C']]]-Table3[[#This Row],[4402]]</f>
        <v>0</v>
      </c>
      <c r="Y1197">
        <f>DataLog_T717420_Aug11_4_59_37pm[[#This Row],[INTAKE TEMP '[Â°C']]]-Table3[[#This Row],[580F]]</f>
        <v>0</v>
      </c>
      <c r="Z1197">
        <f>DataLog_T717420_Aug11_4_59_37pm[[#This Row],[HPFP PRES. '[BAR']]]-Table3[[#This Row],[58F0]]</f>
        <v>0</v>
      </c>
      <c r="AA1197">
        <f>DataLog_T717420_Aug11_4_59_37pm[[#This Row],[COOLANT TEMP '[Â°C']]]-Table3[[#This Row],[5805]]</f>
        <v>0</v>
      </c>
      <c r="AB1197">
        <f>DataLog_T717420_Aug11_4_59_37pm[[#This Row],[BOOST '[BAR']]]-Table3[[#This Row],[58DD]]</f>
        <v>0</v>
      </c>
    </row>
    <row r="1198" spans="2:28" x14ac:dyDescent="0.25">
      <c r="B1198" s="2" t="s">
        <v>183</v>
      </c>
      <c r="C1198" s="2" t="s">
        <v>262</v>
      </c>
      <c r="D1198" s="2" t="s">
        <v>151</v>
      </c>
      <c r="E1198" s="2" t="s">
        <v>139</v>
      </c>
      <c r="F1198" s="2" t="s">
        <v>261</v>
      </c>
      <c r="G1198" s="2" t="s">
        <v>190</v>
      </c>
      <c r="I1198">
        <f>HEX2DEC(_0811_173439[[#This Row],[580C]])*B$4/B$5+B$6</f>
        <v>800</v>
      </c>
      <c r="J1198">
        <f>HEX2DEC(_0811_173439[[#This Row],[4402]])*C$4/C$5+C$6</f>
        <v>37</v>
      </c>
      <c r="K1198">
        <f>HEX2DEC(_0811_173439[[#This Row],[580F]])*D$4/D$5+D$6</f>
        <v>30</v>
      </c>
      <c r="L1198">
        <f>ROUND(HEX2DEC(_0811_173439[[#This Row],[58F0]])*E$4/E$5+E$6,0)</f>
        <v>71</v>
      </c>
      <c r="M1198">
        <f>ROUND(HEX2DEC(_0811_173439[[#This Row],[5805]])*F$4/F$5+F$6,0)</f>
        <v>44</v>
      </c>
      <c r="N1198">
        <f>ROUND(HEX2DEC(_0811_173439[[#This Row],[58DD]])*G$4/G$5+G$6,2)</f>
        <v>-0.03</v>
      </c>
      <c r="P1198">
        <v>800</v>
      </c>
      <c r="Q1198">
        <v>37</v>
      </c>
      <c r="R1198">
        <v>30</v>
      </c>
      <c r="S1198">
        <v>71</v>
      </c>
      <c r="T1198">
        <v>44</v>
      </c>
      <c r="U1198">
        <v>-0.03</v>
      </c>
      <c r="W1198">
        <f>DataLog_T717420_Aug11_4_59_37pm[[#This Row],[RPM '[1/MIN']]]-Table3[[#This Row],[580C]]</f>
        <v>0</v>
      </c>
      <c r="X1198">
        <f>DataLog_T717420_Aug11_4_59_37pm[[#This Row],[OIL TEMP '[Â°C']]]-Table3[[#This Row],[4402]]</f>
        <v>0</v>
      </c>
      <c r="Y1198">
        <f>DataLog_T717420_Aug11_4_59_37pm[[#This Row],[INTAKE TEMP '[Â°C']]]-Table3[[#This Row],[580F]]</f>
        <v>0</v>
      </c>
      <c r="Z1198">
        <f>DataLog_T717420_Aug11_4_59_37pm[[#This Row],[HPFP PRES. '[BAR']]]-Table3[[#This Row],[58F0]]</f>
        <v>0</v>
      </c>
      <c r="AA1198">
        <f>DataLog_T717420_Aug11_4_59_37pm[[#This Row],[COOLANT TEMP '[Â°C']]]-Table3[[#This Row],[5805]]</f>
        <v>0</v>
      </c>
      <c r="AB1198">
        <f>DataLog_T717420_Aug11_4_59_37pm[[#This Row],[BOOST '[BAR']]]-Table3[[#This Row],[58DD]]</f>
        <v>0</v>
      </c>
    </row>
    <row r="1199" spans="2:28" x14ac:dyDescent="0.25">
      <c r="B1199" s="2" t="s">
        <v>183</v>
      </c>
      <c r="C1199" s="2" t="s">
        <v>262</v>
      </c>
      <c r="D1199" s="2" t="s">
        <v>151</v>
      </c>
      <c r="E1199" s="2" t="s">
        <v>141</v>
      </c>
      <c r="F1199" s="2" t="s">
        <v>261</v>
      </c>
      <c r="G1199" s="2" t="s">
        <v>96</v>
      </c>
      <c r="I1199">
        <f>HEX2DEC(_0811_173439[[#This Row],[580C]])*B$4/B$5+B$6</f>
        <v>800</v>
      </c>
      <c r="J1199">
        <f>HEX2DEC(_0811_173439[[#This Row],[4402]])*C$4/C$5+C$6</f>
        <v>37</v>
      </c>
      <c r="K1199">
        <f>HEX2DEC(_0811_173439[[#This Row],[580F]])*D$4/D$5+D$6</f>
        <v>30</v>
      </c>
      <c r="L1199">
        <f>ROUND(HEX2DEC(_0811_173439[[#This Row],[58F0]])*E$4/E$5+E$6,0)</f>
        <v>70</v>
      </c>
      <c r="M1199">
        <f>ROUND(HEX2DEC(_0811_173439[[#This Row],[5805]])*F$4/F$5+F$6,0)</f>
        <v>44</v>
      </c>
      <c r="N1199">
        <f>ROUND(HEX2DEC(_0811_173439[[#This Row],[58DD]])*G$4/G$5+G$6,2)</f>
        <v>-0.03</v>
      </c>
      <c r="P1199">
        <v>800</v>
      </c>
      <c r="Q1199">
        <v>37</v>
      </c>
      <c r="R1199">
        <v>30</v>
      </c>
      <c r="S1199">
        <v>70</v>
      </c>
      <c r="T1199">
        <v>44</v>
      </c>
      <c r="U1199">
        <v>-0.03</v>
      </c>
      <c r="W1199">
        <f>DataLog_T717420_Aug11_4_59_37pm[[#This Row],[RPM '[1/MIN']]]-Table3[[#This Row],[580C]]</f>
        <v>0</v>
      </c>
      <c r="X1199">
        <f>DataLog_T717420_Aug11_4_59_37pm[[#This Row],[OIL TEMP '[Â°C']]]-Table3[[#This Row],[4402]]</f>
        <v>0</v>
      </c>
      <c r="Y1199">
        <f>DataLog_T717420_Aug11_4_59_37pm[[#This Row],[INTAKE TEMP '[Â°C']]]-Table3[[#This Row],[580F]]</f>
        <v>0</v>
      </c>
      <c r="Z1199">
        <f>DataLog_T717420_Aug11_4_59_37pm[[#This Row],[HPFP PRES. '[BAR']]]-Table3[[#This Row],[58F0]]</f>
        <v>0</v>
      </c>
      <c r="AA1199">
        <f>DataLog_T717420_Aug11_4_59_37pm[[#This Row],[COOLANT TEMP '[Â°C']]]-Table3[[#This Row],[5805]]</f>
        <v>0</v>
      </c>
      <c r="AB1199">
        <f>DataLog_T717420_Aug11_4_59_37pm[[#This Row],[BOOST '[BAR']]]-Table3[[#This Row],[58DD]]</f>
        <v>0</v>
      </c>
    </row>
    <row r="1200" spans="2:28" x14ac:dyDescent="0.25">
      <c r="B1200" s="2" t="s">
        <v>183</v>
      </c>
      <c r="C1200" s="2" t="s">
        <v>262</v>
      </c>
      <c r="D1200" s="2" t="s">
        <v>151</v>
      </c>
      <c r="E1200" s="2" t="s">
        <v>93</v>
      </c>
      <c r="F1200" s="2" t="s">
        <v>261</v>
      </c>
      <c r="G1200" s="2" t="s">
        <v>187</v>
      </c>
      <c r="I1200">
        <f>HEX2DEC(_0811_173439[[#This Row],[580C]])*B$4/B$5+B$6</f>
        <v>800</v>
      </c>
      <c r="J1200">
        <f>HEX2DEC(_0811_173439[[#This Row],[4402]])*C$4/C$5+C$6</f>
        <v>37</v>
      </c>
      <c r="K1200">
        <f>HEX2DEC(_0811_173439[[#This Row],[580F]])*D$4/D$5+D$6</f>
        <v>30</v>
      </c>
      <c r="L1200">
        <f>ROUND(HEX2DEC(_0811_173439[[#This Row],[58F0]])*E$4/E$5+E$6,0)</f>
        <v>70</v>
      </c>
      <c r="M1200">
        <f>ROUND(HEX2DEC(_0811_173439[[#This Row],[5805]])*F$4/F$5+F$6,0)</f>
        <v>44</v>
      </c>
      <c r="N1200">
        <f>ROUND(HEX2DEC(_0811_173439[[#This Row],[58DD]])*G$4/G$5+G$6,2)</f>
        <v>-0.03</v>
      </c>
      <c r="P1200">
        <v>800</v>
      </c>
      <c r="Q1200">
        <v>37</v>
      </c>
      <c r="R1200">
        <v>30</v>
      </c>
      <c r="S1200">
        <v>70</v>
      </c>
      <c r="T1200">
        <v>44</v>
      </c>
      <c r="U1200">
        <v>-0.03</v>
      </c>
      <c r="W1200">
        <f>DataLog_T717420_Aug11_4_59_37pm[[#This Row],[RPM '[1/MIN']]]-Table3[[#This Row],[580C]]</f>
        <v>0</v>
      </c>
      <c r="X1200">
        <f>DataLog_T717420_Aug11_4_59_37pm[[#This Row],[OIL TEMP '[Â°C']]]-Table3[[#This Row],[4402]]</f>
        <v>0</v>
      </c>
      <c r="Y1200">
        <f>DataLog_T717420_Aug11_4_59_37pm[[#This Row],[INTAKE TEMP '[Â°C']]]-Table3[[#This Row],[580F]]</f>
        <v>0</v>
      </c>
      <c r="Z1200">
        <f>DataLog_T717420_Aug11_4_59_37pm[[#This Row],[HPFP PRES. '[BAR']]]-Table3[[#This Row],[58F0]]</f>
        <v>0</v>
      </c>
      <c r="AA1200">
        <f>DataLog_T717420_Aug11_4_59_37pm[[#This Row],[COOLANT TEMP '[Â°C']]]-Table3[[#This Row],[5805]]</f>
        <v>0</v>
      </c>
      <c r="AB1200">
        <f>DataLog_T717420_Aug11_4_59_37pm[[#This Row],[BOOST '[BAR']]]-Table3[[#This Row],[58DD]]</f>
        <v>0</v>
      </c>
    </row>
    <row r="1201" spans="2:28" x14ac:dyDescent="0.25">
      <c r="B1201" s="2" t="s">
        <v>183</v>
      </c>
      <c r="C1201" s="2" t="s">
        <v>262</v>
      </c>
      <c r="D1201" s="2" t="s">
        <v>151</v>
      </c>
      <c r="E1201" s="2" t="s">
        <v>162</v>
      </c>
      <c r="F1201" s="2" t="s">
        <v>261</v>
      </c>
      <c r="G1201" s="2" t="s">
        <v>90</v>
      </c>
      <c r="I1201">
        <f>HEX2DEC(_0811_173439[[#This Row],[580C]])*B$4/B$5+B$6</f>
        <v>800</v>
      </c>
      <c r="J1201">
        <f>HEX2DEC(_0811_173439[[#This Row],[4402]])*C$4/C$5+C$6</f>
        <v>37</v>
      </c>
      <c r="K1201">
        <f>HEX2DEC(_0811_173439[[#This Row],[580F]])*D$4/D$5+D$6</f>
        <v>30</v>
      </c>
      <c r="L1201">
        <f>ROUND(HEX2DEC(_0811_173439[[#This Row],[58F0]])*E$4/E$5+E$6,0)</f>
        <v>71</v>
      </c>
      <c r="M1201">
        <f>ROUND(HEX2DEC(_0811_173439[[#This Row],[5805]])*F$4/F$5+F$6,0)</f>
        <v>44</v>
      </c>
      <c r="N1201">
        <f>ROUND(HEX2DEC(_0811_173439[[#This Row],[58DD]])*G$4/G$5+G$6,2)</f>
        <v>-0.03</v>
      </c>
      <c r="P1201">
        <v>800</v>
      </c>
      <c r="Q1201">
        <v>37</v>
      </c>
      <c r="R1201">
        <v>30</v>
      </c>
      <c r="S1201">
        <v>71</v>
      </c>
      <c r="T1201">
        <v>44</v>
      </c>
      <c r="U1201">
        <v>-0.03</v>
      </c>
      <c r="W1201">
        <f>DataLog_T717420_Aug11_4_59_37pm[[#This Row],[RPM '[1/MIN']]]-Table3[[#This Row],[580C]]</f>
        <v>0</v>
      </c>
      <c r="X1201">
        <f>DataLog_T717420_Aug11_4_59_37pm[[#This Row],[OIL TEMP '[Â°C']]]-Table3[[#This Row],[4402]]</f>
        <v>0</v>
      </c>
      <c r="Y1201">
        <f>DataLog_T717420_Aug11_4_59_37pm[[#This Row],[INTAKE TEMP '[Â°C']]]-Table3[[#This Row],[580F]]</f>
        <v>0</v>
      </c>
      <c r="Z1201">
        <f>DataLog_T717420_Aug11_4_59_37pm[[#This Row],[HPFP PRES. '[BAR']]]-Table3[[#This Row],[58F0]]</f>
        <v>0</v>
      </c>
      <c r="AA1201">
        <f>DataLog_T717420_Aug11_4_59_37pm[[#This Row],[COOLANT TEMP '[Â°C']]]-Table3[[#This Row],[5805]]</f>
        <v>0</v>
      </c>
      <c r="AB1201">
        <f>DataLog_T717420_Aug11_4_59_37pm[[#This Row],[BOOST '[BAR']]]-Table3[[#This Row],[58DD]]</f>
        <v>0</v>
      </c>
    </row>
    <row r="1202" spans="2:28" x14ac:dyDescent="0.25">
      <c r="B1202" s="2" t="s">
        <v>183</v>
      </c>
      <c r="C1202" s="2" t="s">
        <v>262</v>
      </c>
      <c r="D1202" s="2" t="s">
        <v>151</v>
      </c>
      <c r="E1202" s="2" t="s">
        <v>122</v>
      </c>
      <c r="F1202" s="2" t="s">
        <v>261</v>
      </c>
      <c r="G1202" s="2" t="s">
        <v>190</v>
      </c>
      <c r="I1202">
        <f>HEX2DEC(_0811_173439[[#This Row],[580C]])*B$4/B$5+B$6</f>
        <v>800</v>
      </c>
      <c r="J1202">
        <f>HEX2DEC(_0811_173439[[#This Row],[4402]])*C$4/C$5+C$6</f>
        <v>37</v>
      </c>
      <c r="K1202">
        <f>HEX2DEC(_0811_173439[[#This Row],[580F]])*D$4/D$5+D$6</f>
        <v>30</v>
      </c>
      <c r="L1202">
        <f>ROUND(HEX2DEC(_0811_173439[[#This Row],[58F0]])*E$4/E$5+E$6,0)</f>
        <v>71</v>
      </c>
      <c r="M1202">
        <f>ROUND(HEX2DEC(_0811_173439[[#This Row],[5805]])*F$4/F$5+F$6,0)</f>
        <v>44</v>
      </c>
      <c r="N1202">
        <f>ROUND(HEX2DEC(_0811_173439[[#This Row],[58DD]])*G$4/G$5+G$6,2)</f>
        <v>-0.03</v>
      </c>
      <c r="P1202">
        <v>800</v>
      </c>
      <c r="Q1202">
        <v>37</v>
      </c>
      <c r="R1202">
        <v>30</v>
      </c>
      <c r="S1202">
        <v>71</v>
      </c>
      <c r="T1202">
        <v>44</v>
      </c>
      <c r="U1202">
        <v>-0.03</v>
      </c>
      <c r="W1202">
        <f>DataLog_T717420_Aug11_4_59_37pm[[#This Row],[RPM '[1/MIN']]]-Table3[[#This Row],[580C]]</f>
        <v>0</v>
      </c>
      <c r="X1202">
        <f>DataLog_T717420_Aug11_4_59_37pm[[#This Row],[OIL TEMP '[Â°C']]]-Table3[[#This Row],[4402]]</f>
        <v>0</v>
      </c>
      <c r="Y1202">
        <f>DataLog_T717420_Aug11_4_59_37pm[[#This Row],[INTAKE TEMP '[Â°C']]]-Table3[[#This Row],[580F]]</f>
        <v>0</v>
      </c>
      <c r="Z1202">
        <f>DataLog_T717420_Aug11_4_59_37pm[[#This Row],[HPFP PRES. '[BAR']]]-Table3[[#This Row],[58F0]]</f>
        <v>0</v>
      </c>
      <c r="AA1202">
        <f>DataLog_T717420_Aug11_4_59_37pm[[#This Row],[COOLANT TEMP '[Â°C']]]-Table3[[#This Row],[5805]]</f>
        <v>0</v>
      </c>
      <c r="AB1202">
        <f>DataLog_T717420_Aug11_4_59_37pm[[#This Row],[BOOST '[BAR']]]-Table3[[#This Row],[58DD]]</f>
        <v>0</v>
      </c>
    </row>
    <row r="1203" spans="2:28" x14ac:dyDescent="0.25">
      <c r="B1203" s="2" t="s">
        <v>183</v>
      </c>
      <c r="C1203" s="2" t="s">
        <v>262</v>
      </c>
      <c r="D1203" s="2" t="s">
        <v>151</v>
      </c>
      <c r="E1203" s="2" t="s">
        <v>124</v>
      </c>
      <c r="F1203" s="2" t="s">
        <v>261</v>
      </c>
      <c r="G1203" s="2" t="s">
        <v>53</v>
      </c>
      <c r="I1203">
        <f>HEX2DEC(_0811_173439[[#This Row],[580C]])*B$4/B$5+B$6</f>
        <v>800</v>
      </c>
      <c r="J1203">
        <f>HEX2DEC(_0811_173439[[#This Row],[4402]])*C$4/C$5+C$6</f>
        <v>37</v>
      </c>
      <c r="K1203">
        <f>HEX2DEC(_0811_173439[[#This Row],[580F]])*D$4/D$5+D$6</f>
        <v>30</v>
      </c>
      <c r="L1203">
        <f>ROUND(HEX2DEC(_0811_173439[[#This Row],[58F0]])*E$4/E$5+E$6,0)</f>
        <v>71</v>
      </c>
      <c r="M1203">
        <f>ROUND(HEX2DEC(_0811_173439[[#This Row],[5805]])*F$4/F$5+F$6,0)</f>
        <v>44</v>
      </c>
      <c r="N1203">
        <f>ROUND(HEX2DEC(_0811_173439[[#This Row],[58DD]])*G$4/G$5+G$6,2)</f>
        <v>-0.03</v>
      </c>
      <c r="P1203">
        <v>800</v>
      </c>
      <c r="Q1203">
        <v>37</v>
      </c>
      <c r="R1203">
        <v>30</v>
      </c>
      <c r="S1203">
        <v>71</v>
      </c>
      <c r="T1203">
        <v>44</v>
      </c>
      <c r="U1203">
        <v>-0.03</v>
      </c>
      <c r="W1203">
        <f>DataLog_T717420_Aug11_4_59_37pm[[#This Row],[RPM '[1/MIN']]]-Table3[[#This Row],[580C]]</f>
        <v>0</v>
      </c>
      <c r="X1203">
        <f>DataLog_T717420_Aug11_4_59_37pm[[#This Row],[OIL TEMP '[Â°C']]]-Table3[[#This Row],[4402]]</f>
        <v>0</v>
      </c>
      <c r="Y1203">
        <f>DataLog_T717420_Aug11_4_59_37pm[[#This Row],[INTAKE TEMP '[Â°C']]]-Table3[[#This Row],[580F]]</f>
        <v>0</v>
      </c>
      <c r="Z1203">
        <f>DataLog_T717420_Aug11_4_59_37pm[[#This Row],[HPFP PRES. '[BAR']]]-Table3[[#This Row],[58F0]]</f>
        <v>0</v>
      </c>
      <c r="AA1203">
        <f>DataLog_T717420_Aug11_4_59_37pm[[#This Row],[COOLANT TEMP '[Â°C']]]-Table3[[#This Row],[5805]]</f>
        <v>0</v>
      </c>
      <c r="AB1203">
        <f>DataLog_T717420_Aug11_4_59_37pm[[#This Row],[BOOST '[BAR']]]-Table3[[#This Row],[58DD]]</f>
        <v>0</v>
      </c>
    </row>
    <row r="1204" spans="2:28" x14ac:dyDescent="0.25">
      <c r="B1204" s="2" t="s">
        <v>183</v>
      </c>
      <c r="C1204" s="2" t="s">
        <v>262</v>
      </c>
      <c r="D1204" s="2" t="s">
        <v>151</v>
      </c>
      <c r="E1204" s="2" t="s">
        <v>119</v>
      </c>
      <c r="F1204" s="2" t="s">
        <v>261</v>
      </c>
      <c r="G1204" s="2" t="s">
        <v>235</v>
      </c>
      <c r="I1204">
        <f>HEX2DEC(_0811_173439[[#This Row],[580C]])*B$4/B$5+B$6</f>
        <v>800</v>
      </c>
      <c r="J1204">
        <f>HEX2DEC(_0811_173439[[#This Row],[4402]])*C$4/C$5+C$6</f>
        <v>37</v>
      </c>
      <c r="K1204">
        <f>HEX2DEC(_0811_173439[[#This Row],[580F]])*D$4/D$5+D$6</f>
        <v>30</v>
      </c>
      <c r="L1204">
        <f>ROUND(HEX2DEC(_0811_173439[[#This Row],[58F0]])*E$4/E$5+E$6,0)</f>
        <v>71</v>
      </c>
      <c r="M1204">
        <f>ROUND(HEX2DEC(_0811_173439[[#This Row],[5805]])*F$4/F$5+F$6,0)</f>
        <v>44</v>
      </c>
      <c r="N1204">
        <f>ROUND(HEX2DEC(_0811_173439[[#This Row],[58DD]])*G$4/G$5+G$6,2)</f>
        <v>-0.03</v>
      </c>
      <c r="P1204">
        <v>800</v>
      </c>
      <c r="Q1204">
        <v>37</v>
      </c>
      <c r="R1204">
        <v>30</v>
      </c>
      <c r="S1204">
        <v>71</v>
      </c>
      <c r="T1204">
        <v>44</v>
      </c>
      <c r="U1204">
        <v>-0.03</v>
      </c>
      <c r="W1204">
        <f>DataLog_T717420_Aug11_4_59_37pm[[#This Row],[RPM '[1/MIN']]]-Table3[[#This Row],[580C]]</f>
        <v>0</v>
      </c>
      <c r="X1204">
        <f>DataLog_T717420_Aug11_4_59_37pm[[#This Row],[OIL TEMP '[Â°C']]]-Table3[[#This Row],[4402]]</f>
        <v>0</v>
      </c>
      <c r="Y1204">
        <f>DataLog_T717420_Aug11_4_59_37pm[[#This Row],[INTAKE TEMP '[Â°C']]]-Table3[[#This Row],[580F]]</f>
        <v>0</v>
      </c>
      <c r="Z1204">
        <f>DataLog_T717420_Aug11_4_59_37pm[[#This Row],[HPFP PRES. '[BAR']]]-Table3[[#This Row],[58F0]]</f>
        <v>0</v>
      </c>
      <c r="AA1204">
        <f>DataLog_T717420_Aug11_4_59_37pm[[#This Row],[COOLANT TEMP '[Â°C']]]-Table3[[#This Row],[5805]]</f>
        <v>0</v>
      </c>
      <c r="AB1204">
        <f>DataLog_T717420_Aug11_4_59_37pm[[#This Row],[BOOST '[BAR']]]-Table3[[#This Row],[58DD]]</f>
        <v>0</v>
      </c>
    </row>
    <row r="1205" spans="2:28" x14ac:dyDescent="0.25">
      <c r="B1205" s="2" t="s">
        <v>183</v>
      </c>
      <c r="C1205" s="2" t="s">
        <v>262</v>
      </c>
      <c r="D1205" s="2" t="s">
        <v>151</v>
      </c>
      <c r="E1205" s="2" t="s">
        <v>122</v>
      </c>
      <c r="F1205" s="2" t="s">
        <v>261</v>
      </c>
      <c r="G1205" s="2" t="s">
        <v>250</v>
      </c>
      <c r="I1205">
        <f>HEX2DEC(_0811_173439[[#This Row],[580C]])*B$4/B$5+B$6</f>
        <v>800</v>
      </c>
      <c r="J1205">
        <f>HEX2DEC(_0811_173439[[#This Row],[4402]])*C$4/C$5+C$6</f>
        <v>37</v>
      </c>
      <c r="K1205">
        <f>HEX2DEC(_0811_173439[[#This Row],[580F]])*D$4/D$5+D$6</f>
        <v>30</v>
      </c>
      <c r="L1205">
        <f>ROUND(HEX2DEC(_0811_173439[[#This Row],[58F0]])*E$4/E$5+E$6,0)</f>
        <v>71</v>
      </c>
      <c r="M1205">
        <f>ROUND(HEX2DEC(_0811_173439[[#This Row],[5805]])*F$4/F$5+F$6,0)</f>
        <v>44</v>
      </c>
      <c r="N1205">
        <f>ROUND(HEX2DEC(_0811_173439[[#This Row],[58DD]])*G$4/G$5+G$6,2)</f>
        <v>-0.03</v>
      </c>
      <c r="P1205">
        <v>800</v>
      </c>
      <c r="Q1205">
        <v>37</v>
      </c>
      <c r="R1205">
        <v>30</v>
      </c>
      <c r="S1205">
        <v>71</v>
      </c>
      <c r="T1205">
        <v>44</v>
      </c>
      <c r="U1205">
        <v>-0.03</v>
      </c>
      <c r="W1205">
        <f>DataLog_T717420_Aug11_4_59_37pm[[#This Row],[RPM '[1/MIN']]]-Table3[[#This Row],[580C]]</f>
        <v>0</v>
      </c>
      <c r="X1205">
        <f>DataLog_T717420_Aug11_4_59_37pm[[#This Row],[OIL TEMP '[Â°C']]]-Table3[[#This Row],[4402]]</f>
        <v>0</v>
      </c>
      <c r="Y1205">
        <f>DataLog_T717420_Aug11_4_59_37pm[[#This Row],[INTAKE TEMP '[Â°C']]]-Table3[[#This Row],[580F]]</f>
        <v>0</v>
      </c>
      <c r="Z1205">
        <f>DataLog_T717420_Aug11_4_59_37pm[[#This Row],[HPFP PRES. '[BAR']]]-Table3[[#This Row],[58F0]]</f>
        <v>0</v>
      </c>
      <c r="AA1205">
        <f>DataLog_T717420_Aug11_4_59_37pm[[#This Row],[COOLANT TEMP '[Â°C']]]-Table3[[#This Row],[5805]]</f>
        <v>0</v>
      </c>
      <c r="AB1205">
        <f>DataLog_T717420_Aug11_4_59_37pm[[#This Row],[BOOST '[BAR']]]-Table3[[#This Row],[58DD]]</f>
        <v>0</v>
      </c>
    </row>
    <row r="1206" spans="2:28" x14ac:dyDescent="0.25">
      <c r="B1206" s="2" t="s">
        <v>183</v>
      </c>
      <c r="C1206" s="2" t="s">
        <v>262</v>
      </c>
      <c r="D1206" s="2" t="s">
        <v>151</v>
      </c>
      <c r="E1206" s="2" t="s">
        <v>122</v>
      </c>
      <c r="F1206" s="2" t="s">
        <v>261</v>
      </c>
      <c r="G1206" s="2" t="s">
        <v>245</v>
      </c>
      <c r="I1206">
        <f>HEX2DEC(_0811_173439[[#This Row],[580C]])*B$4/B$5+B$6</f>
        <v>800</v>
      </c>
      <c r="J1206">
        <f>HEX2DEC(_0811_173439[[#This Row],[4402]])*C$4/C$5+C$6</f>
        <v>37</v>
      </c>
      <c r="K1206">
        <f>HEX2DEC(_0811_173439[[#This Row],[580F]])*D$4/D$5+D$6</f>
        <v>30</v>
      </c>
      <c r="L1206">
        <f>ROUND(HEX2DEC(_0811_173439[[#This Row],[58F0]])*E$4/E$5+E$6,0)</f>
        <v>71</v>
      </c>
      <c r="M1206">
        <f>ROUND(HEX2DEC(_0811_173439[[#This Row],[5805]])*F$4/F$5+F$6,0)</f>
        <v>44</v>
      </c>
      <c r="N1206">
        <f>ROUND(HEX2DEC(_0811_173439[[#This Row],[58DD]])*G$4/G$5+G$6,2)</f>
        <v>-0.03</v>
      </c>
      <c r="P1206">
        <v>800</v>
      </c>
      <c r="Q1206">
        <v>37</v>
      </c>
      <c r="R1206">
        <v>30</v>
      </c>
      <c r="S1206">
        <v>71</v>
      </c>
      <c r="T1206">
        <v>44</v>
      </c>
      <c r="U1206">
        <v>-0.03</v>
      </c>
      <c r="W1206">
        <f>DataLog_T717420_Aug11_4_59_37pm[[#This Row],[RPM '[1/MIN']]]-Table3[[#This Row],[580C]]</f>
        <v>0</v>
      </c>
      <c r="X1206">
        <f>DataLog_T717420_Aug11_4_59_37pm[[#This Row],[OIL TEMP '[Â°C']]]-Table3[[#This Row],[4402]]</f>
        <v>0</v>
      </c>
      <c r="Y1206">
        <f>DataLog_T717420_Aug11_4_59_37pm[[#This Row],[INTAKE TEMP '[Â°C']]]-Table3[[#This Row],[580F]]</f>
        <v>0</v>
      </c>
      <c r="Z1206">
        <f>DataLog_T717420_Aug11_4_59_37pm[[#This Row],[HPFP PRES. '[BAR']]]-Table3[[#This Row],[58F0]]</f>
        <v>0</v>
      </c>
      <c r="AA1206">
        <f>DataLog_T717420_Aug11_4_59_37pm[[#This Row],[COOLANT TEMP '[Â°C']]]-Table3[[#This Row],[5805]]</f>
        <v>0</v>
      </c>
      <c r="AB1206">
        <f>DataLog_T717420_Aug11_4_59_37pm[[#This Row],[BOOST '[BAR']]]-Table3[[#This Row],[58DD]]</f>
        <v>0</v>
      </c>
    </row>
    <row r="1207" spans="2:28" x14ac:dyDescent="0.25">
      <c r="B1207" s="2" t="s">
        <v>183</v>
      </c>
      <c r="C1207" s="2" t="s">
        <v>262</v>
      </c>
      <c r="D1207" s="2" t="s">
        <v>151</v>
      </c>
      <c r="E1207" s="2" t="s">
        <v>125</v>
      </c>
      <c r="F1207" s="2" t="s">
        <v>261</v>
      </c>
      <c r="G1207" s="2" t="s">
        <v>250</v>
      </c>
      <c r="I1207">
        <f>HEX2DEC(_0811_173439[[#This Row],[580C]])*B$4/B$5+B$6</f>
        <v>800</v>
      </c>
      <c r="J1207">
        <f>HEX2DEC(_0811_173439[[#This Row],[4402]])*C$4/C$5+C$6</f>
        <v>37</v>
      </c>
      <c r="K1207">
        <f>HEX2DEC(_0811_173439[[#This Row],[580F]])*D$4/D$5+D$6</f>
        <v>30</v>
      </c>
      <c r="L1207">
        <f>ROUND(HEX2DEC(_0811_173439[[#This Row],[58F0]])*E$4/E$5+E$6,0)</f>
        <v>70</v>
      </c>
      <c r="M1207">
        <f>ROUND(HEX2DEC(_0811_173439[[#This Row],[5805]])*F$4/F$5+F$6,0)</f>
        <v>44</v>
      </c>
      <c r="N1207">
        <f>ROUND(HEX2DEC(_0811_173439[[#This Row],[58DD]])*G$4/G$5+G$6,2)</f>
        <v>-0.03</v>
      </c>
      <c r="P1207">
        <v>800</v>
      </c>
      <c r="Q1207">
        <v>37</v>
      </c>
      <c r="R1207">
        <v>30</v>
      </c>
      <c r="S1207">
        <v>70</v>
      </c>
      <c r="T1207">
        <v>44</v>
      </c>
      <c r="U1207">
        <v>-0.03</v>
      </c>
      <c r="W1207">
        <f>DataLog_T717420_Aug11_4_59_37pm[[#This Row],[RPM '[1/MIN']]]-Table3[[#This Row],[580C]]</f>
        <v>0</v>
      </c>
      <c r="X1207">
        <f>DataLog_T717420_Aug11_4_59_37pm[[#This Row],[OIL TEMP '[Â°C']]]-Table3[[#This Row],[4402]]</f>
        <v>0</v>
      </c>
      <c r="Y1207">
        <f>DataLog_T717420_Aug11_4_59_37pm[[#This Row],[INTAKE TEMP '[Â°C']]]-Table3[[#This Row],[580F]]</f>
        <v>0</v>
      </c>
      <c r="Z1207">
        <f>DataLog_T717420_Aug11_4_59_37pm[[#This Row],[HPFP PRES. '[BAR']]]-Table3[[#This Row],[58F0]]</f>
        <v>0</v>
      </c>
      <c r="AA1207">
        <f>DataLog_T717420_Aug11_4_59_37pm[[#This Row],[COOLANT TEMP '[Â°C']]]-Table3[[#This Row],[5805]]</f>
        <v>0</v>
      </c>
      <c r="AB1207">
        <f>DataLog_T717420_Aug11_4_59_37pm[[#This Row],[BOOST '[BAR']]]-Table3[[#This Row],[58DD]]</f>
        <v>0</v>
      </c>
    </row>
    <row r="1208" spans="2:28" x14ac:dyDescent="0.25">
      <c r="B1208" s="2" t="s">
        <v>183</v>
      </c>
      <c r="C1208" s="2" t="s">
        <v>262</v>
      </c>
      <c r="D1208" s="2" t="s">
        <v>151</v>
      </c>
      <c r="E1208" s="2" t="s">
        <v>207</v>
      </c>
      <c r="F1208" s="2" t="s">
        <v>261</v>
      </c>
      <c r="G1208" s="2" t="s">
        <v>71</v>
      </c>
      <c r="I1208">
        <f>HEX2DEC(_0811_173439[[#This Row],[580C]])*B$4/B$5+B$6</f>
        <v>800</v>
      </c>
      <c r="J1208">
        <f>HEX2DEC(_0811_173439[[#This Row],[4402]])*C$4/C$5+C$6</f>
        <v>37</v>
      </c>
      <c r="K1208">
        <f>HEX2DEC(_0811_173439[[#This Row],[580F]])*D$4/D$5+D$6</f>
        <v>30</v>
      </c>
      <c r="L1208">
        <f>ROUND(HEX2DEC(_0811_173439[[#This Row],[58F0]])*E$4/E$5+E$6,0)</f>
        <v>70</v>
      </c>
      <c r="M1208">
        <f>ROUND(HEX2DEC(_0811_173439[[#This Row],[5805]])*F$4/F$5+F$6,0)</f>
        <v>44</v>
      </c>
      <c r="N1208">
        <f>ROUND(HEX2DEC(_0811_173439[[#This Row],[58DD]])*G$4/G$5+G$6,2)</f>
        <v>-0.03</v>
      </c>
      <c r="P1208">
        <v>800</v>
      </c>
      <c r="Q1208">
        <v>37</v>
      </c>
      <c r="R1208">
        <v>30</v>
      </c>
      <c r="S1208">
        <v>70</v>
      </c>
      <c r="T1208">
        <v>44</v>
      </c>
      <c r="U1208">
        <v>-0.03</v>
      </c>
      <c r="W1208">
        <f>DataLog_T717420_Aug11_4_59_37pm[[#This Row],[RPM '[1/MIN']]]-Table3[[#This Row],[580C]]</f>
        <v>0</v>
      </c>
      <c r="X1208">
        <f>DataLog_T717420_Aug11_4_59_37pm[[#This Row],[OIL TEMP '[Â°C']]]-Table3[[#This Row],[4402]]</f>
        <v>0</v>
      </c>
      <c r="Y1208">
        <f>DataLog_T717420_Aug11_4_59_37pm[[#This Row],[INTAKE TEMP '[Â°C']]]-Table3[[#This Row],[580F]]</f>
        <v>0</v>
      </c>
      <c r="Z1208">
        <f>DataLog_T717420_Aug11_4_59_37pm[[#This Row],[HPFP PRES. '[BAR']]]-Table3[[#This Row],[58F0]]</f>
        <v>0</v>
      </c>
      <c r="AA1208">
        <f>DataLog_T717420_Aug11_4_59_37pm[[#This Row],[COOLANT TEMP '[Â°C']]]-Table3[[#This Row],[5805]]</f>
        <v>0</v>
      </c>
      <c r="AB1208">
        <f>DataLog_T717420_Aug11_4_59_37pm[[#This Row],[BOOST '[BAR']]]-Table3[[#This Row],[58DD]]</f>
        <v>0</v>
      </c>
    </row>
    <row r="1209" spans="2:28" x14ac:dyDescent="0.25">
      <c r="B1209" s="2" t="s">
        <v>183</v>
      </c>
      <c r="C1209" s="2" t="s">
        <v>262</v>
      </c>
      <c r="D1209" s="2" t="s">
        <v>151</v>
      </c>
      <c r="E1209" s="2" t="s">
        <v>221</v>
      </c>
      <c r="F1209" s="2" t="s">
        <v>261</v>
      </c>
      <c r="G1209" s="2" t="s">
        <v>258</v>
      </c>
      <c r="I1209">
        <f>HEX2DEC(_0811_173439[[#This Row],[580C]])*B$4/B$5+B$6</f>
        <v>800</v>
      </c>
      <c r="J1209">
        <f>HEX2DEC(_0811_173439[[#This Row],[4402]])*C$4/C$5+C$6</f>
        <v>37</v>
      </c>
      <c r="K1209">
        <f>HEX2DEC(_0811_173439[[#This Row],[580F]])*D$4/D$5+D$6</f>
        <v>30</v>
      </c>
      <c r="L1209">
        <f>ROUND(HEX2DEC(_0811_173439[[#This Row],[58F0]])*E$4/E$5+E$6,0)</f>
        <v>70</v>
      </c>
      <c r="M1209">
        <f>ROUND(HEX2DEC(_0811_173439[[#This Row],[5805]])*F$4/F$5+F$6,0)</f>
        <v>44</v>
      </c>
      <c r="N1209">
        <f>ROUND(HEX2DEC(_0811_173439[[#This Row],[58DD]])*G$4/G$5+G$6,2)</f>
        <v>-0.03</v>
      </c>
      <c r="P1209">
        <v>800</v>
      </c>
      <c r="Q1209">
        <v>37</v>
      </c>
      <c r="R1209">
        <v>30</v>
      </c>
      <c r="S1209">
        <v>70</v>
      </c>
      <c r="T1209">
        <v>44</v>
      </c>
      <c r="U1209">
        <v>-0.03</v>
      </c>
      <c r="W1209">
        <f>DataLog_T717420_Aug11_4_59_37pm[[#This Row],[RPM '[1/MIN']]]-Table3[[#This Row],[580C]]</f>
        <v>0</v>
      </c>
      <c r="X1209">
        <f>DataLog_T717420_Aug11_4_59_37pm[[#This Row],[OIL TEMP '[Â°C']]]-Table3[[#This Row],[4402]]</f>
        <v>0</v>
      </c>
      <c r="Y1209">
        <f>DataLog_T717420_Aug11_4_59_37pm[[#This Row],[INTAKE TEMP '[Â°C']]]-Table3[[#This Row],[580F]]</f>
        <v>0</v>
      </c>
      <c r="Z1209">
        <f>DataLog_T717420_Aug11_4_59_37pm[[#This Row],[HPFP PRES. '[BAR']]]-Table3[[#This Row],[58F0]]</f>
        <v>0</v>
      </c>
      <c r="AA1209">
        <f>DataLog_T717420_Aug11_4_59_37pm[[#This Row],[COOLANT TEMP '[Â°C']]]-Table3[[#This Row],[5805]]</f>
        <v>0</v>
      </c>
      <c r="AB1209">
        <f>DataLog_T717420_Aug11_4_59_37pm[[#This Row],[BOOST '[BAR']]]-Table3[[#This Row],[58DD]]</f>
        <v>0</v>
      </c>
    </row>
    <row r="1210" spans="2:28" x14ac:dyDescent="0.25">
      <c r="B1210" s="2" t="s">
        <v>183</v>
      </c>
      <c r="C1210" s="2" t="s">
        <v>262</v>
      </c>
      <c r="D1210" s="2" t="s">
        <v>151</v>
      </c>
      <c r="E1210" s="2" t="s">
        <v>176</v>
      </c>
      <c r="F1210" s="2" t="s">
        <v>261</v>
      </c>
      <c r="G1210" s="2" t="s">
        <v>247</v>
      </c>
      <c r="I1210">
        <f>HEX2DEC(_0811_173439[[#This Row],[580C]])*B$4/B$5+B$6</f>
        <v>800</v>
      </c>
      <c r="J1210">
        <f>HEX2DEC(_0811_173439[[#This Row],[4402]])*C$4/C$5+C$6</f>
        <v>37</v>
      </c>
      <c r="K1210">
        <f>HEX2DEC(_0811_173439[[#This Row],[580F]])*D$4/D$5+D$6</f>
        <v>30</v>
      </c>
      <c r="L1210">
        <f>ROUND(HEX2DEC(_0811_173439[[#This Row],[58F0]])*E$4/E$5+E$6,0)</f>
        <v>70</v>
      </c>
      <c r="M1210">
        <f>ROUND(HEX2DEC(_0811_173439[[#This Row],[5805]])*F$4/F$5+F$6,0)</f>
        <v>44</v>
      </c>
      <c r="N1210">
        <f>ROUND(HEX2DEC(_0811_173439[[#This Row],[58DD]])*G$4/G$5+G$6,2)</f>
        <v>-0.03</v>
      </c>
      <c r="P1210">
        <v>800</v>
      </c>
      <c r="Q1210">
        <v>37</v>
      </c>
      <c r="R1210">
        <v>30</v>
      </c>
      <c r="S1210">
        <v>70</v>
      </c>
      <c r="T1210">
        <v>44</v>
      </c>
      <c r="U1210">
        <v>-0.03</v>
      </c>
      <c r="W1210">
        <f>DataLog_T717420_Aug11_4_59_37pm[[#This Row],[RPM '[1/MIN']]]-Table3[[#This Row],[580C]]</f>
        <v>0</v>
      </c>
      <c r="X1210">
        <f>DataLog_T717420_Aug11_4_59_37pm[[#This Row],[OIL TEMP '[Â°C']]]-Table3[[#This Row],[4402]]</f>
        <v>0</v>
      </c>
      <c r="Y1210">
        <f>DataLog_T717420_Aug11_4_59_37pm[[#This Row],[INTAKE TEMP '[Â°C']]]-Table3[[#This Row],[580F]]</f>
        <v>0</v>
      </c>
      <c r="Z1210">
        <f>DataLog_T717420_Aug11_4_59_37pm[[#This Row],[HPFP PRES. '[BAR']]]-Table3[[#This Row],[58F0]]</f>
        <v>0</v>
      </c>
      <c r="AA1210">
        <f>DataLog_T717420_Aug11_4_59_37pm[[#This Row],[COOLANT TEMP '[Â°C']]]-Table3[[#This Row],[5805]]</f>
        <v>0</v>
      </c>
      <c r="AB1210">
        <f>DataLog_T717420_Aug11_4_59_37pm[[#This Row],[BOOST '[BAR']]]-Table3[[#This Row],[58DD]]</f>
        <v>0</v>
      </c>
    </row>
    <row r="1211" spans="2:28" x14ac:dyDescent="0.25">
      <c r="B1211" s="2" t="s">
        <v>183</v>
      </c>
      <c r="C1211" s="2" t="s">
        <v>262</v>
      </c>
      <c r="D1211" s="2" t="s">
        <v>151</v>
      </c>
      <c r="E1211" s="2" t="s">
        <v>127</v>
      </c>
      <c r="F1211" s="2" t="s">
        <v>261</v>
      </c>
      <c r="G1211" s="2" t="s">
        <v>258</v>
      </c>
      <c r="I1211">
        <f>HEX2DEC(_0811_173439[[#This Row],[580C]])*B$4/B$5+B$6</f>
        <v>800</v>
      </c>
      <c r="J1211">
        <f>HEX2DEC(_0811_173439[[#This Row],[4402]])*C$4/C$5+C$6</f>
        <v>37</v>
      </c>
      <c r="K1211">
        <f>HEX2DEC(_0811_173439[[#This Row],[580F]])*D$4/D$5+D$6</f>
        <v>30</v>
      </c>
      <c r="L1211">
        <f>ROUND(HEX2DEC(_0811_173439[[#This Row],[58F0]])*E$4/E$5+E$6,0)</f>
        <v>70</v>
      </c>
      <c r="M1211">
        <f>ROUND(HEX2DEC(_0811_173439[[#This Row],[5805]])*F$4/F$5+F$6,0)</f>
        <v>44</v>
      </c>
      <c r="N1211">
        <f>ROUND(HEX2DEC(_0811_173439[[#This Row],[58DD]])*G$4/G$5+G$6,2)</f>
        <v>-0.03</v>
      </c>
      <c r="P1211">
        <v>800</v>
      </c>
      <c r="Q1211">
        <v>37</v>
      </c>
      <c r="R1211">
        <v>30</v>
      </c>
      <c r="S1211">
        <v>70</v>
      </c>
      <c r="T1211">
        <v>44</v>
      </c>
      <c r="U1211">
        <v>-0.03</v>
      </c>
      <c r="W1211">
        <f>DataLog_T717420_Aug11_4_59_37pm[[#This Row],[RPM '[1/MIN']]]-Table3[[#This Row],[580C]]</f>
        <v>0</v>
      </c>
      <c r="X1211">
        <f>DataLog_T717420_Aug11_4_59_37pm[[#This Row],[OIL TEMP '[Â°C']]]-Table3[[#This Row],[4402]]</f>
        <v>0</v>
      </c>
      <c r="Y1211">
        <f>DataLog_T717420_Aug11_4_59_37pm[[#This Row],[INTAKE TEMP '[Â°C']]]-Table3[[#This Row],[580F]]</f>
        <v>0</v>
      </c>
      <c r="Z1211">
        <f>DataLog_T717420_Aug11_4_59_37pm[[#This Row],[HPFP PRES. '[BAR']]]-Table3[[#This Row],[58F0]]</f>
        <v>0</v>
      </c>
      <c r="AA1211">
        <f>DataLog_T717420_Aug11_4_59_37pm[[#This Row],[COOLANT TEMP '[Â°C']]]-Table3[[#This Row],[5805]]</f>
        <v>0</v>
      </c>
      <c r="AB1211">
        <f>DataLog_T717420_Aug11_4_59_37pm[[#This Row],[BOOST '[BAR']]]-Table3[[#This Row],[58DD]]</f>
        <v>0</v>
      </c>
    </row>
    <row r="1212" spans="2:28" x14ac:dyDescent="0.25">
      <c r="B1212" s="2" t="s">
        <v>183</v>
      </c>
      <c r="C1212" s="2" t="s">
        <v>262</v>
      </c>
      <c r="D1212" s="2" t="s">
        <v>151</v>
      </c>
      <c r="E1212" s="2" t="s">
        <v>127</v>
      </c>
      <c r="F1212" s="2" t="s">
        <v>261</v>
      </c>
      <c r="G1212" s="2" t="s">
        <v>90</v>
      </c>
      <c r="I1212">
        <f>HEX2DEC(_0811_173439[[#This Row],[580C]])*B$4/B$5+B$6</f>
        <v>800</v>
      </c>
      <c r="J1212">
        <f>HEX2DEC(_0811_173439[[#This Row],[4402]])*C$4/C$5+C$6</f>
        <v>37</v>
      </c>
      <c r="K1212">
        <f>HEX2DEC(_0811_173439[[#This Row],[580F]])*D$4/D$5+D$6</f>
        <v>30</v>
      </c>
      <c r="L1212">
        <f>ROUND(HEX2DEC(_0811_173439[[#This Row],[58F0]])*E$4/E$5+E$6,0)</f>
        <v>70</v>
      </c>
      <c r="M1212">
        <f>ROUND(HEX2DEC(_0811_173439[[#This Row],[5805]])*F$4/F$5+F$6,0)</f>
        <v>44</v>
      </c>
      <c r="N1212">
        <f>ROUND(HEX2DEC(_0811_173439[[#This Row],[58DD]])*G$4/G$5+G$6,2)</f>
        <v>-0.03</v>
      </c>
      <c r="P1212">
        <v>800</v>
      </c>
      <c r="Q1212">
        <v>37</v>
      </c>
      <c r="R1212">
        <v>30</v>
      </c>
      <c r="S1212">
        <v>70</v>
      </c>
      <c r="T1212">
        <v>44</v>
      </c>
      <c r="U1212">
        <v>-0.03</v>
      </c>
      <c r="W1212">
        <f>DataLog_T717420_Aug11_4_59_37pm[[#This Row],[RPM '[1/MIN']]]-Table3[[#This Row],[580C]]</f>
        <v>0</v>
      </c>
      <c r="X1212">
        <f>DataLog_T717420_Aug11_4_59_37pm[[#This Row],[OIL TEMP '[Â°C']]]-Table3[[#This Row],[4402]]</f>
        <v>0</v>
      </c>
      <c r="Y1212">
        <f>DataLog_T717420_Aug11_4_59_37pm[[#This Row],[INTAKE TEMP '[Â°C']]]-Table3[[#This Row],[580F]]</f>
        <v>0</v>
      </c>
      <c r="Z1212">
        <f>DataLog_T717420_Aug11_4_59_37pm[[#This Row],[HPFP PRES. '[BAR']]]-Table3[[#This Row],[58F0]]</f>
        <v>0</v>
      </c>
      <c r="AA1212">
        <f>DataLog_T717420_Aug11_4_59_37pm[[#This Row],[COOLANT TEMP '[Â°C']]]-Table3[[#This Row],[5805]]</f>
        <v>0</v>
      </c>
      <c r="AB1212">
        <f>DataLog_T717420_Aug11_4_59_37pm[[#This Row],[BOOST '[BAR']]]-Table3[[#This Row],[58DD]]</f>
        <v>0</v>
      </c>
    </row>
    <row r="1213" spans="2:28" x14ac:dyDescent="0.25">
      <c r="B1213" s="2" t="s">
        <v>183</v>
      </c>
      <c r="C1213" s="2" t="s">
        <v>262</v>
      </c>
      <c r="D1213" s="2" t="s">
        <v>151</v>
      </c>
      <c r="E1213" s="2" t="s">
        <v>248</v>
      </c>
      <c r="F1213" s="2" t="s">
        <v>261</v>
      </c>
      <c r="G1213" s="2" t="s">
        <v>71</v>
      </c>
      <c r="I1213">
        <f>HEX2DEC(_0811_173439[[#This Row],[580C]])*B$4/B$5+B$6</f>
        <v>800</v>
      </c>
      <c r="J1213">
        <f>HEX2DEC(_0811_173439[[#This Row],[4402]])*C$4/C$5+C$6</f>
        <v>37</v>
      </c>
      <c r="K1213">
        <f>HEX2DEC(_0811_173439[[#This Row],[580F]])*D$4/D$5+D$6</f>
        <v>30</v>
      </c>
      <c r="L1213">
        <f>ROUND(HEX2DEC(_0811_173439[[#This Row],[58F0]])*E$4/E$5+E$6,0)</f>
        <v>70</v>
      </c>
      <c r="M1213">
        <f>ROUND(HEX2DEC(_0811_173439[[#This Row],[5805]])*F$4/F$5+F$6,0)</f>
        <v>44</v>
      </c>
      <c r="N1213">
        <f>ROUND(HEX2DEC(_0811_173439[[#This Row],[58DD]])*G$4/G$5+G$6,2)</f>
        <v>-0.03</v>
      </c>
      <c r="P1213">
        <v>800</v>
      </c>
      <c r="Q1213">
        <v>37</v>
      </c>
      <c r="R1213">
        <v>30</v>
      </c>
      <c r="S1213">
        <v>70</v>
      </c>
      <c r="T1213">
        <v>44</v>
      </c>
      <c r="U1213">
        <v>-0.03</v>
      </c>
      <c r="W1213">
        <f>DataLog_T717420_Aug11_4_59_37pm[[#This Row],[RPM '[1/MIN']]]-Table3[[#This Row],[580C]]</f>
        <v>0</v>
      </c>
      <c r="X1213">
        <f>DataLog_T717420_Aug11_4_59_37pm[[#This Row],[OIL TEMP '[Â°C']]]-Table3[[#This Row],[4402]]</f>
        <v>0</v>
      </c>
      <c r="Y1213">
        <f>DataLog_T717420_Aug11_4_59_37pm[[#This Row],[INTAKE TEMP '[Â°C']]]-Table3[[#This Row],[580F]]</f>
        <v>0</v>
      </c>
      <c r="Z1213">
        <f>DataLog_T717420_Aug11_4_59_37pm[[#This Row],[HPFP PRES. '[BAR']]]-Table3[[#This Row],[58F0]]</f>
        <v>0</v>
      </c>
      <c r="AA1213">
        <f>DataLog_T717420_Aug11_4_59_37pm[[#This Row],[COOLANT TEMP '[Â°C']]]-Table3[[#This Row],[5805]]</f>
        <v>0</v>
      </c>
      <c r="AB1213">
        <f>DataLog_T717420_Aug11_4_59_37pm[[#This Row],[BOOST '[BAR']]]-Table3[[#This Row],[58DD]]</f>
        <v>0</v>
      </c>
    </row>
    <row r="1214" spans="2:28" x14ac:dyDescent="0.25">
      <c r="B1214" s="2" t="s">
        <v>183</v>
      </c>
      <c r="C1214" s="2" t="s">
        <v>262</v>
      </c>
      <c r="D1214" s="2" t="s">
        <v>151</v>
      </c>
      <c r="E1214" s="2" t="s">
        <v>249</v>
      </c>
      <c r="F1214" s="2" t="s">
        <v>261</v>
      </c>
      <c r="G1214" s="2" t="s">
        <v>236</v>
      </c>
      <c r="I1214">
        <f>HEX2DEC(_0811_173439[[#This Row],[580C]])*B$4/B$5+B$6</f>
        <v>800</v>
      </c>
      <c r="J1214">
        <f>HEX2DEC(_0811_173439[[#This Row],[4402]])*C$4/C$5+C$6</f>
        <v>37</v>
      </c>
      <c r="K1214">
        <f>HEX2DEC(_0811_173439[[#This Row],[580F]])*D$4/D$5+D$6</f>
        <v>30</v>
      </c>
      <c r="L1214">
        <f>ROUND(HEX2DEC(_0811_173439[[#This Row],[58F0]])*E$4/E$5+E$6,0)</f>
        <v>70</v>
      </c>
      <c r="M1214">
        <f>ROUND(HEX2DEC(_0811_173439[[#This Row],[5805]])*F$4/F$5+F$6,0)</f>
        <v>44</v>
      </c>
      <c r="N1214">
        <f>ROUND(HEX2DEC(_0811_173439[[#This Row],[58DD]])*G$4/G$5+G$6,2)</f>
        <v>-0.03</v>
      </c>
      <c r="P1214">
        <v>800</v>
      </c>
      <c r="Q1214">
        <v>37</v>
      </c>
      <c r="R1214">
        <v>30</v>
      </c>
      <c r="S1214">
        <v>70</v>
      </c>
      <c r="T1214">
        <v>44</v>
      </c>
      <c r="U1214">
        <v>-0.03</v>
      </c>
      <c r="W1214">
        <f>DataLog_T717420_Aug11_4_59_37pm[[#This Row],[RPM '[1/MIN']]]-Table3[[#This Row],[580C]]</f>
        <v>0</v>
      </c>
      <c r="X1214">
        <f>DataLog_T717420_Aug11_4_59_37pm[[#This Row],[OIL TEMP '[Â°C']]]-Table3[[#This Row],[4402]]</f>
        <v>0</v>
      </c>
      <c r="Y1214">
        <f>DataLog_T717420_Aug11_4_59_37pm[[#This Row],[INTAKE TEMP '[Â°C']]]-Table3[[#This Row],[580F]]</f>
        <v>0</v>
      </c>
      <c r="Z1214">
        <f>DataLog_T717420_Aug11_4_59_37pm[[#This Row],[HPFP PRES. '[BAR']]]-Table3[[#This Row],[58F0]]</f>
        <v>0</v>
      </c>
      <c r="AA1214">
        <f>DataLog_T717420_Aug11_4_59_37pm[[#This Row],[COOLANT TEMP '[Â°C']]]-Table3[[#This Row],[5805]]</f>
        <v>0</v>
      </c>
      <c r="AB1214">
        <f>DataLog_T717420_Aug11_4_59_37pm[[#This Row],[BOOST '[BAR']]]-Table3[[#This Row],[58DD]]</f>
        <v>0</v>
      </c>
    </row>
    <row r="1215" spans="2:28" x14ac:dyDescent="0.25">
      <c r="B1215" s="2" t="s">
        <v>183</v>
      </c>
      <c r="C1215" s="2" t="s">
        <v>262</v>
      </c>
      <c r="D1215" s="2" t="s">
        <v>151</v>
      </c>
      <c r="E1215" s="2" t="s">
        <v>153</v>
      </c>
      <c r="F1215" s="2" t="s">
        <v>261</v>
      </c>
      <c r="G1215" s="2" t="s">
        <v>96</v>
      </c>
      <c r="I1215">
        <f>HEX2DEC(_0811_173439[[#This Row],[580C]])*B$4/B$5+B$6</f>
        <v>800</v>
      </c>
      <c r="J1215">
        <f>HEX2DEC(_0811_173439[[#This Row],[4402]])*C$4/C$5+C$6</f>
        <v>37</v>
      </c>
      <c r="K1215">
        <f>HEX2DEC(_0811_173439[[#This Row],[580F]])*D$4/D$5+D$6</f>
        <v>30</v>
      </c>
      <c r="L1215">
        <f>ROUND(HEX2DEC(_0811_173439[[#This Row],[58F0]])*E$4/E$5+E$6,0)</f>
        <v>70</v>
      </c>
      <c r="M1215">
        <f>ROUND(HEX2DEC(_0811_173439[[#This Row],[5805]])*F$4/F$5+F$6,0)</f>
        <v>44</v>
      </c>
      <c r="N1215">
        <f>ROUND(HEX2DEC(_0811_173439[[#This Row],[58DD]])*G$4/G$5+G$6,2)</f>
        <v>-0.03</v>
      </c>
      <c r="P1215">
        <v>800</v>
      </c>
      <c r="Q1215">
        <v>37</v>
      </c>
      <c r="R1215">
        <v>30</v>
      </c>
      <c r="S1215">
        <v>70</v>
      </c>
      <c r="T1215">
        <v>44</v>
      </c>
      <c r="U1215">
        <v>-0.03</v>
      </c>
      <c r="W1215">
        <f>DataLog_T717420_Aug11_4_59_37pm[[#This Row],[RPM '[1/MIN']]]-Table3[[#This Row],[580C]]</f>
        <v>0</v>
      </c>
      <c r="X1215">
        <f>DataLog_T717420_Aug11_4_59_37pm[[#This Row],[OIL TEMP '[Â°C']]]-Table3[[#This Row],[4402]]</f>
        <v>0</v>
      </c>
      <c r="Y1215">
        <f>DataLog_T717420_Aug11_4_59_37pm[[#This Row],[INTAKE TEMP '[Â°C']]]-Table3[[#This Row],[580F]]</f>
        <v>0</v>
      </c>
      <c r="Z1215">
        <f>DataLog_T717420_Aug11_4_59_37pm[[#This Row],[HPFP PRES. '[BAR']]]-Table3[[#This Row],[58F0]]</f>
        <v>0</v>
      </c>
      <c r="AA1215">
        <f>DataLog_T717420_Aug11_4_59_37pm[[#This Row],[COOLANT TEMP '[Â°C']]]-Table3[[#This Row],[5805]]</f>
        <v>0</v>
      </c>
      <c r="AB1215">
        <f>DataLog_T717420_Aug11_4_59_37pm[[#This Row],[BOOST '[BAR']]]-Table3[[#This Row],[58DD]]</f>
        <v>0</v>
      </c>
    </row>
    <row r="1216" spans="2:28" x14ac:dyDescent="0.25">
      <c r="B1216" s="2" t="s">
        <v>183</v>
      </c>
      <c r="C1216" s="2" t="s">
        <v>262</v>
      </c>
      <c r="D1216" s="2" t="s">
        <v>151</v>
      </c>
      <c r="E1216" s="2" t="s">
        <v>93</v>
      </c>
      <c r="F1216" s="2" t="s">
        <v>261</v>
      </c>
      <c r="G1216" s="2" t="s">
        <v>96</v>
      </c>
      <c r="I1216">
        <f>HEX2DEC(_0811_173439[[#This Row],[580C]])*B$4/B$5+B$6</f>
        <v>800</v>
      </c>
      <c r="J1216">
        <f>HEX2DEC(_0811_173439[[#This Row],[4402]])*C$4/C$5+C$6</f>
        <v>37</v>
      </c>
      <c r="K1216">
        <f>HEX2DEC(_0811_173439[[#This Row],[580F]])*D$4/D$5+D$6</f>
        <v>30</v>
      </c>
      <c r="L1216">
        <f>ROUND(HEX2DEC(_0811_173439[[#This Row],[58F0]])*E$4/E$5+E$6,0)</f>
        <v>70</v>
      </c>
      <c r="M1216">
        <f>ROUND(HEX2DEC(_0811_173439[[#This Row],[5805]])*F$4/F$5+F$6,0)</f>
        <v>44</v>
      </c>
      <c r="N1216">
        <f>ROUND(HEX2DEC(_0811_173439[[#This Row],[58DD]])*G$4/G$5+G$6,2)</f>
        <v>-0.03</v>
      </c>
      <c r="P1216">
        <v>800</v>
      </c>
      <c r="Q1216">
        <v>37</v>
      </c>
      <c r="R1216">
        <v>30</v>
      </c>
      <c r="S1216">
        <v>70</v>
      </c>
      <c r="T1216">
        <v>44</v>
      </c>
      <c r="U1216">
        <v>-0.03</v>
      </c>
      <c r="W1216">
        <f>DataLog_T717420_Aug11_4_59_37pm[[#This Row],[RPM '[1/MIN']]]-Table3[[#This Row],[580C]]</f>
        <v>0</v>
      </c>
      <c r="X1216">
        <f>DataLog_T717420_Aug11_4_59_37pm[[#This Row],[OIL TEMP '[Â°C']]]-Table3[[#This Row],[4402]]</f>
        <v>0</v>
      </c>
      <c r="Y1216">
        <f>DataLog_T717420_Aug11_4_59_37pm[[#This Row],[INTAKE TEMP '[Â°C']]]-Table3[[#This Row],[580F]]</f>
        <v>0</v>
      </c>
      <c r="Z1216">
        <f>DataLog_T717420_Aug11_4_59_37pm[[#This Row],[HPFP PRES. '[BAR']]]-Table3[[#This Row],[58F0]]</f>
        <v>0</v>
      </c>
      <c r="AA1216">
        <f>DataLog_T717420_Aug11_4_59_37pm[[#This Row],[COOLANT TEMP '[Â°C']]]-Table3[[#This Row],[5805]]</f>
        <v>0</v>
      </c>
      <c r="AB1216">
        <f>DataLog_T717420_Aug11_4_59_37pm[[#This Row],[BOOST '[BAR']]]-Table3[[#This Row],[58DD]]</f>
        <v>0</v>
      </c>
    </row>
    <row r="1217" spans="2:28" x14ac:dyDescent="0.25">
      <c r="B1217" s="2" t="s">
        <v>183</v>
      </c>
      <c r="C1217" s="2" t="s">
        <v>262</v>
      </c>
      <c r="D1217" s="2" t="s">
        <v>151</v>
      </c>
      <c r="E1217" s="2" t="s">
        <v>195</v>
      </c>
      <c r="F1217" s="2" t="s">
        <v>261</v>
      </c>
      <c r="G1217" s="2" t="s">
        <v>236</v>
      </c>
      <c r="I1217">
        <f>HEX2DEC(_0811_173439[[#This Row],[580C]])*B$4/B$5+B$6</f>
        <v>800</v>
      </c>
      <c r="J1217">
        <f>HEX2DEC(_0811_173439[[#This Row],[4402]])*C$4/C$5+C$6</f>
        <v>37</v>
      </c>
      <c r="K1217">
        <f>HEX2DEC(_0811_173439[[#This Row],[580F]])*D$4/D$5+D$6</f>
        <v>30</v>
      </c>
      <c r="L1217">
        <f>ROUND(HEX2DEC(_0811_173439[[#This Row],[58F0]])*E$4/E$5+E$6,0)</f>
        <v>70</v>
      </c>
      <c r="M1217">
        <f>ROUND(HEX2DEC(_0811_173439[[#This Row],[5805]])*F$4/F$5+F$6,0)</f>
        <v>44</v>
      </c>
      <c r="N1217">
        <f>ROUND(HEX2DEC(_0811_173439[[#This Row],[58DD]])*G$4/G$5+G$6,2)</f>
        <v>-0.03</v>
      </c>
      <c r="P1217">
        <v>800</v>
      </c>
      <c r="Q1217">
        <v>37</v>
      </c>
      <c r="R1217">
        <v>30</v>
      </c>
      <c r="S1217">
        <v>70</v>
      </c>
      <c r="T1217">
        <v>44</v>
      </c>
      <c r="U1217">
        <v>-0.03</v>
      </c>
      <c r="W1217">
        <f>DataLog_T717420_Aug11_4_59_37pm[[#This Row],[RPM '[1/MIN']]]-Table3[[#This Row],[580C]]</f>
        <v>0</v>
      </c>
      <c r="X1217">
        <f>DataLog_T717420_Aug11_4_59_37pm[[#This Row],[OIL TEMP '[Â°C']]]-Table3[[#This Row],[4402]]</f>
        <v>0</v>
      </c>
      <c r="Y1217">
        <f>DataLog_T717420_Aug11_4_59_37pm[[#This Row],[INTAKE TEMP '[Â°C']]]-Table3[[#This Row],[580F]]</f>
        <v>0</v>
      </c>
      <c r="Z1217">
        <f>DataLog_T717420_Aug11_4_59_37pm[[#This Row],[HPFP PRES. '[BAR']]]-Table3[[#This Row],[58F0]]</f>
        <v>0</v>
      </c>
      <c r="AA1217">
        <f>DataLog_T717420_Aug11_4_59_37pm[[#This Row],[COOLANT TEMP '[Â°C']]]-Table3[[#This Row],[5805]]</f>
        <v>0</v>
      </c>
      <c r="AB1217">
        <f>DataLog_T717420_Aug11_4_59_37pm[[#This Row],[BOOST '[BAR']]]-Table3[[#This Row],[58DD]]</f>
        <v>0</v>
      </c>
    </row>
    <row r="1218" spans="2:28" x14ac:dyDescent="0.25">
      <c r="B1218" s="2" t="s">
        <v>183</v>
      </c>
      <c r="C1218" s="2" t="s">
        <v>262</v>
      </c>
      <c r="D1218" s="2" t="s">
        <v>151</v>
      </c>
      <c r="E1218" s="2" t="s">
        <v>93</v>
      </c>
      <c r="F1218" s="2" t="s">
        <v>261</v>
      </c>
      <c r="G1218" s="2" t="s">
        <v>90</v>
      </c>
      <c r="I1218">
        <f>HEX2DEC(_0811_173439[[#This Row],[580C]])*B$4/B$5+B$6</f>
        <v>800</v>
      </c>
      <c r="J1218">
        <f>HEX2DEC(_0811_173439[[#This Row],[4402]])*C$4/C$5+C$6</f>
        <v>37</v>
      </c>
      <c r="K1218">
        <f>HEX2DEC(_0811_173439[[#This Row],[580F]])*D$4/D$5+D$6</f>
        <v>30</v>
      </c>
      <c r="L1218">
        <f>ROUND(HEX2DEC(_0811_173439[[#This Row],[58F0]])*E$4/E$5+E$6,0)</f>
        <v>70</v>
      </c>
      <c r="M1218">
        <f>ROUND(HEX2DEC(_0811_173439[[#This Row],[5805]])*F$4/F$5+F$6,0)</f>
        <v>44</v>
      </c>
      <c r="N1218">
        <f>ROUND(HEX2DEC(_0811_173439[[#This Row],[58DD]])*G$4/G$5+G$6,2)</f>
        <v>-0.03</v>
      </c>
      <c r="P1218">
        <v>800</v>
      </c>
      <c r="Q1218">
        <v>37</v>
      </c>
      <c r="R1218">
        <v>30</v>
      </c>
      <c r="S1218">
        <v>70</v>
      </c>
      <c r="T1218">
        <v>44</v>
      </c>
      <c r="U1218">
        <v>-0.03</v>
      </c>
      <c r="W1218">
        <f>DataLog_T717420_Aug11_4_59_37pm[[#This Row],[RPM '[1/MIN']]]-Table3[[#This Row],[580C]]</f>
        <v>0</v>
      </c>
      <c r="X1218">
        <f>DataLog_T717420_Aug11_4_59_37pm[[#This Row],[OIL TEMP '[Â°C']]]-Table3[[#This Row],[4402]]</f>
        <v>0</v>
      </c>
      <c r="Y1218">
        <f>DataLog_T717420_Aug11_4_59_37pm[[#This Row],[INTAKE TEMP '[Â°C']]]-Table3[[#This Row],[580F]]</f>
        <v>0</v>
      </c>
      <c r="Z1218">
        <f>DataLog_T717420_Aug11_4_59_37pm[[#This Row],[HPFP PRES. '[BAR']]]-Table3[[#This Row],[58F0]]</f>
        <v>0</v>
      </c>
      <c r="AA1218">
        <f>DataLog_T717420_Aug11_4_59_37pm[[#This Row],[COOLANT TEMP '[Â°C']]]-Table3[[#This Row],[5805]]</f>
        <v>0</v>
      </c>
      <c r="AB1218">
        <f>DataLog_T717420_Aug11_4_59_37pm[[#This Row],[BOOST '[BAR']]]-Table3[[#This Row],[58DD]]</f>
        <v>0</v>
      </c>
    </row>
    <row r="1219" spans="2:28" x14ac:dyDescent="0.25">
      <c r="B1219" s="2" t="s">
        <v>183</v>
      </c>
      <c r="C1219" s="2" t="s">
        <v>262</v>
      </c>
      <c r="D1219" s="2" t="s">
        <v>151</v>
      </c>
      <c r="E1219" s="2" t="s">
        <v>147</v>
      </c>
      <c r="F1219" s="2" t="s">
        <v>261</v>
      </c>
      <c r="G1219" s="2" t="s">
        <v>96</v>
      </c>
      <c r="I1219">
        <f>HEX2DEC(_0811_173439[[#This Row],[580C]])*B$4/B$5+B$6</f>
        <v>800</v>
      </c>
      <c r="J1219">
        <f>HEX2DEC(_0811_173439[[#This Row],[4402]])*C$4/C$5+C$6</f>
        <v>37</v>
      </c>
      <c r="K1219">
        <f>HEX2DEC(_0811_173439[[#This Row],[580F]])*D$4/D$5+D$6</f>
        <v>30</v>
      </c>
      <c r="L1219">
        <f>ROUND(HEX2DEC(_0811_173439[[#This Row],[58F0]])*E$4/E$5+E$6,0)</f>
        <v>71</v>
      </c>
      <c r="M1219">
        <f>ROUND(HEX2DEC(_0811_173439[[#This Row],[5805]])*F$4/F$5+F$6,0)</f>
        <v>44</v>
      </c>
      <c r="N1219">
        <f>ROUND(HEX2DEC(_0811_173439[[#This Row],[58DD]])*G$4/G$5+G$6,2)</f>
        <v>-0.03</v>
      </c>
      <c r="P1219">
        <v>800</v>
      </c>
      <c r="Q1219">
        <v>37</v>
      </c>
      <c r="R1219">
        <v>30</v>
      </c>
      <c r="S1219">
        <v>71</v>
      </c>
      <c r="T1219">
        <v>44</v>
      </c>
      <c r="U1219">
        <v>-0.03</v>
      </c>
      <c r="W1219">
        <f>DataLog_T717420_Aug11_4_59_37pm[[#This Row],[RPM '[1/MIN']]]-Table3[[#This Row],[580C]]</f>
        <v>0</v>
      </c>
      <c r="X1219">
        <f>DataLog_T717420_Aug11_4_59_37pm[[#This Row],[OIL TEMP '[Â°C']]]-Table3[[#This Row],[4402]]</f>
        <v>0</v>
      </c>
      <c r="Y1219">
        <f>DataLog_T717420_Aug11_4_59_37pm[[#This Row],[INTAKE TEMP '[Â°C']]]-Table3[[#This Row],[580F]]</f>
        <v>0</v>
      </c>
      <c r="Z1219">
        <f>DataLog_T717420_Aug11_4_59_37pm[[#This Row],[HPFP PRES. '[BAR']]]-Table3[[#This Row],[58F0]]</f>
        <v>0</v>
      </c>
      <c r="AA1219">
        <f>DataLog_T717420_Aug11_4_59_37pm[[#This Row],[COOLANT TEMP '[Â°C']]]-Table3[[#This Row],[5805]]</f>
        <v>0</v>
      </c>
      <c r="AB1219">
        <f>DataLog_T717420_Aug11_4_59_37pm[[#This Row],[BOOST '[BAR']]]-Table3[[#This Row],[58DD]]</f>
        <v>0</v>
      </c>
    </row>
    <row r="1220" spans="2:28" x14ac:dyDescent="0.25">
      <c r="B1220" s="2" t="s">
        <v>183</v>
      </c>
      <c r="C1220" s="2" t="s">
        <v>262</v>
      </c>
      <c r="D1220" s="2" t="s">
        <v>151</v>
      </c>
      <c r="E1220" s="2" t="s">
        <v>249</v>
      </c>
      <c r="F1220" s="2" t="s">
        <v>263</v>
      </c>
      <c r="G1220" s="2" t="s">
        <v>258</v>
      </c>
      <c r="I1220">
        <f>HEX2DEC(_0811_173439[[#This Row],[580C]])*B$4/B$5+B$6</f>
        <v>800</v>
      </c>
      <c r="J1220">
        <f>HEX2DEC(_0811_173439[[#This Row],[4402]])*C$4/C$5+C$6</f>
        <v>37</v>
      </c>
      <c r="K1220">
        <f>HEX2DEC(_0811_173439[[#This Row],[580F]])*D$4/D$5+D$6</f>
        <v>30</v>
      </c>
      <c r="L1220">
        <f>ROUND(HEX2DEC(_0811_173439[[#This Row],[58F0]])*E$4/E$5+E$6,0)</f>
        <v>70</v>
      </c>
      <c r="M1220">
        <f>ROUND(HEX2DEC(_0811_173439[[#This Row],[5805]])*F$4/F$5+F$6,0)</f>
        <v>44</v>
      </c>
      <c r="N1220">
        <f>ROUND(HEX2DEC(_0811_173439[[#This Row],[58DD]])*G$4/G$5+G$6,2)</f>
        <v>-0.03</v>
      </c>
      <c r="P1220">
        <v>800</v>
      </c>
      <c r="Q1220">
        <v>37</v>
      </c>
      <c r="R1220">
        <v>30</v>
      </c>
      <c r="S1220">
        <v>70</v>
      </c>
      <c r="T1220">
        <v>44</v>
      </c>
      <c r="U1220">
        <v>-0.03</v>
      </c>
      <c r="W1220">
        <f>DataLog_T717420_Aug11_4_59_37pm[[#This Row],[RPM '[1/MIN']]]-Table3[[#This Row],[580C]]</f>
        <v>0</v>
      </c>
      <c r="X1220">
        <f>DataLog_T717420_Aug11_4_59_37pm[[#This Row],[OIL TEMP '[Â°C']]]-Table3[[#This Row],[4402]]</f>
        <v>0</v>
      </c>
      <c r="Y1220">
        <f>DataLog_T717420_Aug11_4_59_37pm[[#This Row],[INTAKE TEMP '[Â°C']]]-Table3[[#This Row],[580F]]</f>
        <v>0</v>
      </c>
      <c r="Z1220">
        <f>DataLog_T717420_Aug11_4_59_37pm[[#This Row],[HPFP PRES. '[BAR']]]-Table3[[#This Row],[58F0]]</f>
        <v>0</v>
      </c>
      <c r="AA1220">
        <f>DataLog_T717420_Aug11_4_59_37pm[[#This Row],[COOLANT TEMP '[Â°C']]]-Table3[[#This Row],[5805]]</f>
        <v>0</v>
      </c>
      <c r="AB1220">
        <f>DataLog_T717420_Aug11_4_59_37pm[[#This Row],[BOOST '[BAR']]]-Table3[[#This Row],[58DD]]</f>
        <v>0</v>
      </c>
    </row>
    <row r="1221" spans="2:28" x14ac:dyDescent="0.25">
      <c r="B1221" s="2" t="s">
        <v>183</v>
      </c>
      <c r="C1221" s="2" t="s">
        <v>262</v>
      </c>
      <c r="D1221" s="2" t="s">
        <v>151</v>
      </c>
      <c r="E1221" s="2" t="s">
        <v>93</v>
      </c>
      <c r="F1221" s="2" t="s">
        <v>263</v>
      </c>
      <c r="G1221" s="2" t="s">
        <v>71</v>
      </c>
      <c r="I1221">
        <f>HEX2DEC(_0811_173439[[#This Row],[580C]])*B$4/B$5+B$6</f>
        <v>800</v>
      </c>
      <c r="J1221">
        <f>HEX2DEC(_0811_173439[[#This Row],[4402]])*C$4/C$5+C$6</f>
        <v>37</v>
      </c>
      <c r="K1221">
        <f>HEX2DEC(_0811_173439[[#This Row],[580F]])*D$4/D$5+D$6</f>
        <v>30</v>
      </c>
      <c r="L1221">
        <f>ROUND(HEX2DEC(_0811_173439[[#This Row],[58F0]])*E$4/E$5+E$6,0)</f>
        <v>70</v>
      </c>
      <c r="M1221">
        <f>ROUND(HEX2DEC(_0811_173439[[#This Row],[5805]])*F$4/F$5+F$6,0)</f>
        <v>44</v>
      </c>
      <c r="N1221">
        <f>ROUND(HEX2DEC(_0811_173439[[#This Row],[58DD]])*G$4/G$5+G$6,2)</f>
        <v>-0.03</v>
      </c>
      <c r="P1221">
        <v>800</v>
      </c>
      <c r="Q1221">
        <v>37</v>
      </c>
      <c r="R1221">
        <v>30</v>
      </c>
      <c r="S1221">
        <v>70</v>
      </c>
      <c r="T1221">
        <v>44</v>
      </c>
      <c r="U1221">
        <v>-0.03</v>
      </c>
      <c r="W1221">
        <f>DataLog_T717420_Aug11_4_59_37pm[[#This Row],[RPM '[1/MIN']]]-Table3[[#This Row],[580C]]</f>
        <v>0</v>
      </c>
      <c r="X1221">
        <f>DataLog_T717420_Aug11_4_59_37pm[[#This Row],[OIL TEMP '[Â°C']]]-Table3[[#This Row],[4402]]</f>
        <v>0</v>
      </c>
      <c r="Y1221">
        <f>DataLog_T717420_Aug11_4_59_37pm[[#This Row],[INTAKE TEMP '[Â°C']]]-Table3[[#This Row],[580F]]</f>
        <v>0</v>
      </c>
      <c r="Z1221">
        <f>DataLog_T717420_Aug11_4_59_37pm[[#This Row],[HPFP PRES. '[BAR']]]-Table3[[#This Row],[58F0]]</f>
        <v>0</v>
      </c>
      <c r="AA1221">
        <f>DataLog_T717420_Aug11_4_59_37pm[[#This Row],[COOLANT TEMP '[Â°C']]]-Table3[[#This Row],[5805]]</f>
        <v>0</v>
      </c>
      <c r="AB1221">
        <f>DataLog_T717420_Aug11_4_59_37pm[[#This Row],[BOOST '[BAR']]]-Table3[[#This Row],[58DD]]</f>
        <v>0</v>
      </c>
    </row>
    <row r="1222" spans="2:28" x14ac:dyDescent="0.25">
      <c r="B1222" s="2" t="s">
        <v>183</v>
      </c>
      <c r="C1222" s="2" t="s">
        <v>262</v>
      </c>
      <c r="D1222" s="2" t="s">
        <v>151</v>
      </c>
      <c r="E1222" s="2" t="s">
        <v>93</v>
      </c>
      <c r="F1222" s="2" t="s">
        <v>263</v>
      </c>
      <c r="G1222" s="2" t="s">
        <v>236</v>
      </c>
      <c r="I1222">
        <f>HEX2DEC(_0811_173439[[#This Row],[580C]])*B$4/B$5+B$6</f>
        <v>800</v>
      </c>
      <c r="J1222">
        <f>HEX2DEC(_0811_173439[[#This Row],[4402]])*C$4/C$5+C$6</f>
        <v>37</v>
      </c>
      <c r="K1222">
        <f>HEX2DEC(_0811_173439[[#This Row],[580F]])*D$4/D$5+D$6</f>
        <v>30</v>
      </c>
      <c r="L1222">
        <f>ROUND(HEX2DEC(_0811_173439[[#This Row],[58F0]])*E$4/E$5+E$6,0)</f>
        <v>70</v>
      </c>
      <c r="M1222">
        <f>ROUND(HEX2DEC(_0811_173439[[#This Row],[5805]])*F$4/F$5+F$6,0)</f>
        <v>44</v>
      </c>
      <c r="N1222">
        <f>ROUND(HEX2DEC(_0811_173439[[#This Row],[58DD]])*G$4/G$5+G$6,2)</f>
        <v>-0.03</v>
      </c>
      <c r="P1222">
        <v>800</v>
      </c>
      <c r="Q1222">
        <v>37</v>
      </c>
      <c r="R1222">
        <v>30</v>
      </c>
      <c r="S1222">
        <v>70</v>
      </c>
      <c r="T1222">
        <v>44</v>
      </c>
      <c r="U1222">
        <v>-0.03</v>
      </c>
      <c r="W1222">
        <f>DataLog_T717420_Aug11_4_59_37pm[[#This Row],[RPM '[1/MIN']]]-Table3[[#This Row],[580C]]</f>
        <v>0</v>
      </c>
      <c r="X1222">
        <f>DataLog_T717420_Aug11_4_59_37pm[[#This Row],[OIL TEMP '[Â°C']]]-Table3[[#This Row],[4402]]</f>
        <v>0</v>
      </c>
      <c r="Y1222">
        <f>DataLog_T717420_Aug11_4_59_37pm[[#This Row],[INTAKE TEMP '[Â°C']]]-Table3[[#This Row],[580F]]</f>
        <v>0</v>
      </c>
      <c r="Z1222">
        <f>DataLog_T717420_Aug11_4_59_37pm[[#This Row],[HPFP PRES. '[BAR']]]-Table3[[#This Row],[58F0]]</f>
        <v>0</v>
      </c>
      <c r="AA1222">
        <f>DataLog_T717420_Aug11_4_59_37pm[[#This Row],[COOLANT TEMP '[Â°C']]]-Table3[[#This Row],[5805]]</f>
        <v>0</v>
      </c>
      <c r="AB1222">
        <f>DataLog_T717420_Aug11_4_59_37pm[[#This Row],[BOOST '[BAR']]]-Table3[[#This Row],[58DD]]</f>
        <v>0</v>
      </c>
    </row>
    <row r="1223" spans="2:28" x14ac:dyDescent="0.25">
      <c r="B1223" s="2" t="s">
        <v>183</v>
      </c>
      <c r="C1223" s="2" t="s">
        <v>262</v>
      </c>
      <c r="D1223" s="2" t="s">
        <v>151</v>
      </c>
      <c r="E1223" s="2" t="s">
        <v>198</v>
      </c>
      <c r="F1223" s="2" t="s">
        <v>263</v>
      </c>
      <c r="G1223" s="2" t="s">
        <v>71</v>
      </c>
      <c r="I1223">
        <f>HEX2DEC(_0811_173439[[#This Row],[580C]])*B$4/B$5+B$6</f>
        <v>800</v>
      </c>
      <c r="J1223">
        <f>HEX2DEC(_0811_173439[[#This Row],[4402]])*C$4/C$5+C$6</f>
        <v>37</v>
      </c>
      <c r="K1223">
        <f>HEX2DEC(_0811_173439[[#This Row],[580F]])*D$4/D$5+D$6</f>
        <v>30</v>
      </c>
      <c r="L1223">
        <f>ROUND(HEX2DEC(_0811_173439[[#This Row],[58F0]])*E$4/E$5+E$6,0)</f>
        <v>70</v>
      </c>
      <c r="M1223">
        <f>ROUND(HEX2DEC(_0811_173439[[#This Row],[5805]])*F$4/F$5+F$6,0)</f>
        <v>44</v>
      </c>
      <c r="N1223">
        <f>ROUND(HEX2DEC(_0811_173439[[#This Row],[58DD]])*G$4/G$5+G$6,2)</f>
        <v>-0.03</v>
      </c>
      <c r="P1223">
        <v>800</v>
      </c>
      <c r="Q1223">
        <v>37</v>
      </c>
      <c r="R1223">
        <v>30</v>
      </c>
      <c r="S1223">
        <v>70</v>
      </c>
      <c r="T1223">
        <v>44</v>
      </c>
      <c r="U1223">
        <v>-0.03</v>
      </c>
      <c r="W1223">
        <f>DataLog_T717420_Aug11_4_59_37pm[[#This Row],[RPM '[1/MIN']]]-Table3[[#This Row],[580C]]</f>
        <v>0</v>
      </c>
      <c r="X1223">
        <f>DataLog_T717420_Aug11_4_59_37pm[[#This Row],[OIL TEMP '[Â°C']]]-Table3[[#This Row],[4402]]</f>
        <v>0</v>
      </c>
      <c r="Y1223">
        <f>DataLog_T717420_Aug11_4_59_37pm[[#This Row],[INTAKE TEMP '[Â°C']]]-Table3[[#This Row],[580F]]</f>
        <v>0</v>
      </c>
      <c r="Z1223">
        <f>DataLog_T717420_Aug11_4_59_37pm[[#This Row],[HPFP PRES. '[BAR']]]-Table3[[#This Row],[58F0]]</f>
        <v>0</v>
      </c>
      <c r="AA1223">
        <f>DataLog_T717420_Aug11_4_59_37pm[[#This Row],[COOLANT TEMP '[Â°C']]]-Table3[[#This Row],[5805]]</f>
        <v>0</v>
      </c>
      <c r="AB1223">
        <f>DataLog_T717420_Aug11_4_59_37pm[[#This Row],[BOOST '[BAR']]]-Table3[[#This Row],[58DD]]</f>
        <v>0</v>
      </c>
    </row>
    <row r="1224" spans="2:28" x14ac:dyDescent="0.25">
      <c r="B1224" s="2" t="s">
        <v>189</v>
      </c>
      <c r="C1224" s="2" t="s">
        <v>262</v>
      </c>
      <c r="D1224" s="2" t="s">
        <v>151</v>
      </c>
      <c r="E1224" s="2" t="s">
        <v>172</v>
      </c>
      <c r="F1224" s="2" t="s">
        <v>263</v>
      </c>
      <c r="G1224" s="2" t="s">
        <v>245</v>
      </c>
      <c r="I1224">
        <f>HEX2DEC(_0811_173439[[#This Row],[580C]])*B$4/B$5+B$6</f>
        <v>760</v>
      </c>
      <c r="J1224">
        <f>HEX2DEC(_0811_173439[[#This Row],[4402]])*C$4/C$5+C$6</f>
        <v>37</v>
      </c>
      <c r="K1224">
        <f>HEX2DEC(_0811_173439[[#This Row],[580F]])*D$4/D$5+D$6</f>
        <v>30</v>
      </c>
      <c r="L1224">
        <f>ROUND(HEX2DEC(_0811_173439[[#This Row],[58F0]])*E$4/E$5+E$6,0)</f>
        <v>70</v>
      </c>
      <c r="M1224">
        <f>ROUND(HEX2DEC(_0811_173439[[#This Row],[5805]])*F$4/F$5+F$6,0)</f>
        <v>44</v>
      </c>
      <c r="N1224">
        <f>ROUND(HEX2DEC(_0811_173439[[#This Row],[58DD]])*G$4/G$5+G$6,2)</f>
        <v>-0.03</v>
      </c>
      <c r="P1224">
        <v>760</v>
      </c>
      <c r="Q1224">
        <v>37</v>
      </c>
      <c r="R1224">
        <v>30</v>
      </c>
      <c r="S1224">
        <v>70</v>
      </c>
      <c r="T1224">
        <v>44</v>
      </c>
      <c r="U1224">
        <v>-0.03</v>
      </c>
      <c r="W1224">
        <f>DataLog_T717420_Aug11_4_59_37pm[[#This Row],[RPM '[1/MIN']]]-Table3[[#This Row],[580C]]</f>
        <v>0</v>
      </c>
      <c r="X1224">
        <f>DataLog_T717420_Aug11_4_59_37pm[[#This Row],[OIL TEMP '[Â°C']]]-Table3[[#This Row],[4402]]</f>
        <v>0</v>
      </c>
      <c r="Y1224">
        <f>DataLog_T717420_Aug11_4_59_37pm[[#This Row],[INTAKE TEMP '[Â°C']]]-Table3[[#This Row],[580F]]</f>
        <v>0</v>
      </c>
      <c r="Z1224">
        <f>DataLog_T717420_Aug11_4_59_37pm[[#This Row],[HPFP PRES. '[BAR']]]-Table3[[#This Row],[58F0]]</f>
        <v>0</v>
      </c>
      <c r="AA1224">
        <f>DataLog_T717420_Aug11_4_59_37pm[[#This Row],[COOLANT TEMP '[Â°C']]]-Table3[[#This Row],[5805]]</f>
        <v>0</v>
      </c>
      <c r="AB1224">
        <f>DataLog_T717420_Aug11_4_59_37pm[[#This Row],[BOOST '[BAR']]]-Table3[[#This Row],[58DD]]</f>
        <v>0</v>
      </c>
    </row>
    <row r="1225" spans="2:28" x14ac:dyDescent="0.25">
      <c r="B1225" s="2" t="s">
        <v>189</v>
      </c>
      <c r="C1225" s="2" t="s">
        <v>262</v>
      </c>
      <c r="D1225" s="2" t="s">
        <v>151</v>
      </c>
      <c r="E1225" s="2" t="s">
        <v>93</v>
      </c>
      <c r="F1225" s="2" t="s">
        <v>263</v>
      </c>
      <c r="G1225" s="2" t="s">
        <v>235</v>
      </c>
      <c r="I1225">
        <f>HEX2DEC(_0811_173439[[#This Row],[580C]])*B$4/B$5+B$6</f>
        <v>760</v>
      </c>
      <c r="J1225">
        <f>HEX2DEC(_0811_173439[[#This Row],[4402]])*C$4/C$5+C$6</f>
        <v>37</v>
      </c>
      <c r="K1225">
        <f>HEX2DEC(_0811_173439[[#This Row],[580F]])*D$4/D$5+D$6</f>
        <v>30</v>
      </c>
      <c r="L1225">
        <f>ROUND(HEX2DEC(_0811_173439[[#This Row],[58F0]])*E$4/E$5+E$6,0)</f>
        <v>70</v>
      </c>
      <c r="M1225">
        <f>ROUND(HEX2DEC(_0811_173439[[#This Row],[5805]])*F$4/F$5+F$6,0)</f>
        <v>44</v>
      </c>
      <c r="N1225">
        <f>ROUND(HEX2DEC(_0811_173439[[#This Row],[58DD]])*G$4/G$5+G$6,2)</f>
        <v>-0.03</v>
      </c>
      <c r="P1225">
        <v>760</v>
      </c>
      <c r="Q1225">
        <v>37</v>
      </c>
      <c r="R1225">
        <v>30</v>
      </c>
      <c r="S1225">
        <v>70</v>
      </c>
      <c r="T1225">
        <v>44</v>
      </c>
      <c r="U1225">
        <v>-0.03</v>
      </c>
      <c r="W1225">
        <f>DataLog_T717420_Aug11_4_59_37pm[[#This Row],[RPM '[1/MIN']]]-Table3[[#This Row],[580C]]</f>
        <v>0</v>
      </c>
      <c r="X1225">
        <f>DataLog_T717420_Aug11_4_59_37pm[[#This Row],[OIL TEMP '[Â°C']]]-Table3[[#This Row],[4402]]</f>
        <v>0</v>
      </c>
      <c r="Y1225">
        <f>DataLog_T717420_Aug11_4_59_37pm[[#This Row],[INTAKE TEMP '[Â°C']]]-Table3[[#This Row],[580F]]</f>
        <v>0</v>
      </c>
      <c r="Z1225">
        <f>DataLog_T717420_Aug11_4_59_37pm[[#This Row],[HPFP PRES. '[BAR']]]-Table3[[#This Row],[58F0]]</f>
        <v>0</v>
      </c>
      <c r="AA1225">
        <f>DataLog_T717420_Aug11_4_59_37pm[[#This Row],[COOLANT TEMP '[Â°C']]]-Table3[[#This Row],[5805]]</f>
        <v>0</v>
      </c>
      <c r="AB1225">
        <f>DataLog_T717420_Aug11_4_59_37pm[[#This Row],[BOOST '[BAR']]]-Table3[[#This Row],[58DD]]</f>
        <v>0</v>
      </c>
    </row>
    <row r="1226" spans="2:28" x14ac:dyDescent="0.25">
      <c r="B1226" s="2" t="s">
        <v>189</v>
      </c>
      <c r="C1226" s="2" t="s">
        <v>262</v>
      </c>
      <c r="D1226" s="2" t="s">
        <v>151</v>
      </c>
      <c r="E1226" s="2" t="s">
        <v>155</v>
      </c>
      <c r="F1226" s="2" t="s">
        <v>263</v>
      </c>
      <c r="G1226" s="2" t="s">
        <v>245</v>
      </c>
      <c r="I1226">
        <f>HEX2DEC(_0811_173439[[#This Row],[580C]])*B$4/B$5+B$6</f>
        <v>760</v>
      </c>
      <c r="J1226">
        <f>HEX2DEC(_0811_173439[[#This Row],[4402]])*C$4/C$5+C$6</f>
        <v>37</v>
      </c>
      <c r="K1226">
        <f>HEX2DEC(_0811_173439[[#This Row],[580F]])*D$4/D$5+D$6</f>
        <v>30</v>
      </c>
      <c r="L1226">
        <f>ROUND(HEX2DEC(_0811_173439[[#This Row],[58F0]])*E$4/E$5+E$6,0)</f>
        <v>70</v>
      </c>
      <c r="M1226">
        <f>ROUND(HEX2DEC(_0811_173439[[#This Row],[5805]])*F$4/F$5+F$6,0)</f>
        <v>44</v>
      </c>
      <c r="N1226">
        <f>ROUND(HEX2DEC(_0811_173439[[#This Row],[58DD]])*G$4/G$5+G$6,2)</f>
        <v>-0.03</v>
      </c>
      <c r="P1226">
        <v>760</v>
      </c>
      <c r="Q1226">
        <v>37</v>
      </c>
      <c r="R1226">
        <v>30</v>
      </c>
      <c r="S1226">
        <v>70</v>
      </c>
      <c r="T1226">
        <v>44</v>
      </c>
      <c r="U1226">
        <v>-0.03</v>
      </c>
      <c r="W1226">
        <f>DataLog_T717420_Aug11_4_59_37pm[[#This Row],[RPM '[1/MIN']]]-Table3[[#This Row],[580C]]</f>
        <v>0</v>
      </c>
      <c r="X1226">
        <f>DataLog_T717420_Aug11_4_59_37pm[[#This Row],[OIL TEMP '[Â°C']]]-Table3[[#This Row],[4402]]</f>
        <v>0</v>
      </c>
      <c r="Y1226">
        <f>DataLog_T717420_Aug11_4_59_37pm[[#This Row],[INTAKE TEMP '[Â°C']]]-Table3[[#This Row],[580F]]</f>
        <v>0</v>
      </c>
      <c r="Z1226">
        <f>DataLog_T717420_Aug11_4_59_37pm[[#This Row],[HPFP PRES. '[BAR']]]-Table3[[#This Row],[58F0]]</f>
        <v>0</v>
      </c>
      <c r="AA1226">
        <f>DataLog_T717420_Aug11_4_59_37pm[[#This Row],[COOLANT TEMP '[Â°C']]]-Table3[[#This Row],[5805]]</f>
        <v>0</v>
      </c>
      <c r="AB1226">
        <f>DataLog_T717420_Aug11_4_59_37pm[[#This Row],[BOOST '[BAR']]]-Table3[[#This Row],[58DD]]</f>
        <v>0</v>
      </c>
    </row>
    <row r="1227" spans="2:28" x14ac:dyDescent="0.25">
      <c r="B1227" s="2" t="s">
        <v>189</v>
      </c>
      <c r="C1227" s="2" t="s">
        <v>262</v>
      </c>
      <c r="D1227" s="2" t="s">
        <v>151</v>
      </c>
      <c r="E1227" s="2" t="s">
        <v>153</v>
      </c>
      <c r="F1227" s="2" t="s">
        <v>263</v>
      </c>
      <c r="G1227" s="2" t="s">
        <v>245</v>
      </c>
      <c r="I1227">
        <f>HEX2DEC(_0811_173439[[#This Row],[580C]])*B$4/B$5+B$6</f>
        <v>760</v>
      </c>
      <c r="J1227">
        <f>HEX2DEC(_0811_173439[[#This Row],[4402]])*C$4/C$5+C$6</f>
        <v>37</v>
      </c>
      <c r="K1227">
        <f>HEX2DEC(_0811_173439[[#This Row],[580F]])*D$4/D$5+D$6</f>
        <v>30</v>
      </c>
      <c r="L1227">
        <f>ROUND(HEX2DEC(_0811_173439[[#This Row],[58F0]])*E$4/E$5+E$6,0)</f>
        <v>70</v>
      </c>
      <c r="M1227">
        <f>ROUND(HEX2DEC(_0811_173439[[#This Row],[5805]])*F$4/F$5+F$6,0)</f>
        <v>44</v>
      </c>
      <c r="N1227">
        <f>ROUND(HEX2DEC(_0811_173439[[#This Row],[58DD]])*G$4/G$5+G$6,2)</f>
        <v>-0.03</v>
      </c>
      <c r="P1227">
        <v>760</v>
      </c>
      <c r="Q1227">
        <v>37</v>
      </c>
      <c r="R1227">
        <v>30</v>
      </c>
      <c r="S1227">
        <v>70</v>
      </c>
      <c r="T1227">
        <v>44</v>
      </c>
      <c r="U1227">
        <v>-0.03</v>
      </c>
      <c r="W1227">
        <f>DataLog_T717420_Aug11_4_59_37pm[[#This Row],[RPM '[1/MIN']]]-Table3[[#This Row],[580C]]</f>
        <v>0</v>
      </c>
      <c r="X1227">
        <f>DataLog_T717420_Aug11_4_59_37pm[[#This Row],[OIL TEMP '[Â°C']]]-Table3[[#This Row],[4402]]</f>
        <v>0</v>
      </c>
      <c r="Y1227">
        <f>DataLog_T717420_Aug11_4_59_37pm[[#This Row],[INTAKE TEMP '[Â°C']]]-Table3[[#This Row],[580F]]</f>
        <v>0</v>
      </c>
      <c r="Z1227">
        <f>DataLog_T717420_Aug11_4_59_37pm[[#This Row],[HPFP PRES. '[BAR']]]-Table3[[#This Row],[58F0]]</f>
        <v>0</v>
      </c>
      <c r="AA1227">
        <f>DataLog_T717420_Aug11_4_59_37pm[[#This Row],[COOLANT TEMP '[Â°C']]]-Table3[[#This Row],[5805]]</f>
        <v>0</v>
      </c>
      <c r="AB1227">
        <f>DataLog_T717420_Aug11_4_59_37pm[[#This Row],[BOOST '[BAR']]]-Table3[[#This Row],[58DD]]</f>
        <v>0</v>
      </c>
    </row>
    <row r="1228" spans="2:28" x14ac:dyDescent="0.25">
      <c r="B1228" s="2" t="s">
        <v>183</v>
      </c>
      <c r="C1228" s="2" t="s">
        <v>262</v>
      </c>
      <c r="D1228" s="2" t="s">
        <v>151</v>
      </c>
      <c r="E1228" s="2" t="s">
        <v>93</v>
      </c>
      <c r="F1228" s="2" t="s">
        <v>263</v>
      </c>
      <c r="G1228" s="2" t="s">
        <v>255</v>
      </c>
      <c r="I1228">
        <f>HEX2DEC(_0811_173439[[#This Row],[580C]])*B$4/B$5+B$6</f>
        <v>800</v>
      </c>
      <c r="J1228">
        <f>HEX2DEC(_0811_173439[[#This Row],[4402]])*C$4/C$5+C$6</f>
        <v>37</v>
      </c>
      <c r="K1228">
        <f>HEX2DEC(_0811_173439[[#This Row],[580F]])*D$4/D$5+D$6</f>
        <v>30</v>
      </c>
      <c r="L1228">
        <f>ROUND(HEX2DEC(_0811_173439[[#This Row],[58F0]])*E$4/E$5+E$6,0)</f>
        <v>70</v>
      </c>
      <c r="M1228">
        <f>ROUND(HEX2DEC(_0811_173439[[#This Row],[5805]])*F$4/F$5+F$6,0)</f>
        <v>44</v>
      </c>
      <c r="N1228">
        <f>ROUND(HEX2DEC(_0811_173439[[#This Row],[58DD]])*G$4/G$5+G$6,2)</f>
        <v>-0.03</v>
      </c>
      <c r="P1228">
        <v>800</v>
      </c>
      <c r="Q1228">
        <v>37</v>
      </c>
      <c r="R1228">
        <v>30</v>
      </c>
      <c r="S1228">
        <v>70</v>
      </c>
      <c r="T1228">
        <v>44</v>
      </c>
      <c r="U1228">
        <v>-0.03</v>
      </c>
      <c r="W1228">
        <f>DataLog_T717420_Aug11_4_59_37pm[[#This Row],[RPM '[1/MIN']]]-Table3[[#This Row],[580C]]</f>
        <v>0</v>
      </c>
      <c r="X1228">
        <f>DataLog_T717420_Aug11_4_59_37pm[[#This Row],[OIL TEMP '[Â°C']]]-Table3[[#This Row],[4402]]</f>
        <v>0</v>
      </c>
      <c r="Y1228">
        <f>DataLog_T717420_Aug11_4_59_37pm[[#This Row],[INTAKE TEMP '[Â°C']]]-Table3[[#This Row],[580F]]</f>
        <v>0</v>
      </c>
      <c r="Z1228">
        <f>DataLog_T717420_Aug11_4_59_37pm[[#This Row],[HPFP PRES. '[BAR']]]-Table3[[#This Row],[58F0]]</f>
        <v>0</v>
      </c>
      <c r="AA1228">
        <f>DataLog_T717420_Aug11_4_59_37pm[[#This Row],[COOLANT TEMP '[Â°C']]]-Table3[[#This Row],[5805]]</f>
        <v>0</v>
      </c>
      <c r="AB1228">
        <f>DataLog_T717420_Aug11_4_59_37pm[[#This Row],[BOOST '[BAR']]]-Table3[[#This Row],[58DD]]</f>
        <v>0</v>
      </c>
    </row>
    <row r="1229" spans="2:28" x14ac:dyDescent="0.25">
      <c r="B1229" s="2" t="s">
        <v>183</v>
      </c>
      <c r="C1229" s="2" t="s">
        <v>262</v>
      </c>
      <c r="D1229" s="2" t="s">
        <v>151</v>
      </c>
      <c r="E1229" s="2" t="s">
        <v>134</v>
      </c>
      <c r="F1229" s="2" t="s">
        <v>263</v>
      </c>
      <c r="G1229" s="2" t="s">
        <v>258</v>
      </c>
      <c r="I1229">
        <f>HEX2DEC(_0811_173439[[#This Row],[580C]])*B$4/B$5+B$6</f>
        <v>800</v>
      </c>
      <c r="J1229">
        <f>HEX2DEC(_0811_173439[[#This Row],[4402]])*C$4/C$5+C$6</f>
        <v>37</v>
      </c>
      <c r="K1229">
        <f>HEX2DEC(_0811_173439[[#This Row],[580F]])*D$4/D$5+D$6</f>
        <v>30</v>
      </c>
      <c r="L1229">
        <f>ROUND(HEX2DEC(_0811_173439[[#This Row],[58F0]])*E$4/E$5+E$6,0)</f>
        <v>70</v>
      </c>
      <c r="M1229">
        <f>ROUND(HEX2DEC(_0811_173439[[#This Row],[5805]])*F$4/F$5+F$6,0)</f>
        <v>44</v>
      </c>
      <c r="N1229">
        <f>ROUND(HEX2DEC(_0811_173439[[#This Row],[58DD]])*G$4/G$5+G$6,2)</f>
        <v>-0.03</v>
      </c>
      <c r="P1229">
        <v>800</v>
      </c>
      <c r="Q1229">
        <v>37</v>
      </c>
      <c r="R1229">
        <v>30</v>
      </c>
      <c r="S1229">
        <v>70</v>
      </c>
      <c r="T1229">
        <v>44</v>
      </c>
      <c r="U1229">
        <v>-0.03</v>
      </c>
      <c r="W1229">
        <f>DataLog_T717420_Aug11_4_59_37pm[[#This Row],[RPM '[1/MIN']]]-Table3[[#This Row],[580C]]</f>
        <v>0</v>
      </c>
      <c r="X1229">
        <f>DataLog_T717420_Aug11_4_59_37pm[[#This Row],[OIL TEMP '[Â°C']]]-Table3[[#This Row],[4402]]</f>
        <v>0</v>
      </c>
      <c r="Y1229">
        <f>DataLog_T717420_Aug11_4_59_37pm[[#This Row],[INTAKE TEMP '[Â°C']]]-Table3[[#This Row],[580F]]</f>
        <v>0</v>
      </c>
      <c r="Z1229">
        <f>DataLog_T717420_Aug11_4_59_37pm[[#This Row],[HPFP PRES. '[BAR']]]-Table3[[#This Row],[58F0]]</f>
        <v>0</v>
      </c>
      <c r="AA1229">
        <f>DataLog_T717420_Aug11_4_59_37pm[[#This Row],[COOLANT TEMP '[Â°C']]]-Table3[[#This Row],[5805]]</f>
        <v>0</v>
      </c>
      <c r="AB1229">
        <f>DataLog_T717420_Aug11_4_59_37pm[[#This Row],[BOOST '[BAR']]]-Table3[[#This Row],[58DD]]</f>
        <v>0</v>
      </c>
    </row>
    <row r="1230" spans="2:28" x14ac:dyDescent="0.25">
      <c r="B1230" s="2" t="s">
        <v>183</v>
      </c>
      <c r="C1230" s="2" t="s">
        <v>262</v>
      </c>
      <c r="D1230" s="2" t="s">
        <v>151</v>
      </c>
      <c r="E1230" s="2" t="s">
        <v>207</v>
      </c>
      <c r="F1230" s="2" t="s">
        <v>263</v>
      </c>
      <c r="G1230" s="2" t="s">
        <v>235</v>
      </c>
      <c r="I1230">
        <f>HEX2DEC(_0811_173439[[#This Row],[580C]])*B$4/B$5+B$6</f>
        <v>800</v>
      </c>
      <c r="J1230">
        <f>HEX2DEC(_0811_173439[[#This Row],[4402]])*C$4/C$5+C$6</f>
        <v>37</v>
      </c>
      <c r="K1230">
        <f>HEX2DEC(_0811_173439[[#This Row],[580F]])*D$4/D$5+D$6</f>
        <v>30</v>
      </c>
      <c r="L1230">
        <f>ROUND(HEX2DEC(_0811_173439[[#This Row],[58F0]])*E$4/E$5+E$6,0)</f>
        <v>70</v>
      </c>
      <c r="M1230">
        <f>ROUND(HEX2DEC(_0811_173439[[#This Row],[5805]])*F$4/F$5+F$6,0)</f>
        <v>44</v>
      </c>
      <c r="N1230">
        <f>ROUND(HEX2DEC(_0811_173439[[#This Row],[58DD]])*G$4/G$5+G$6,2)</f>
        <v>-0.03</v>
      </c>
      <c r="P1230">
        <v>800</v>
      </c>
      <c r="Q1230">
        <v>37</v>
      </c>
      <c r="R1230">
        <v>30</v>
      </c>
      <c r="S1230">
        <v>70</v>
      </c>
      <c r="T1230">
        <v>44</v>
      </c>
      <c r="U1230">
        <v>-0.03</v>
      </c>
      <c r="W1230">
        <f>DataLog_T717420_Aug11_4_59_37pm[[#This Row],[RPM '[1/MIN']]]-Table3[[#This Row],[580C]]</f>
        <v>0</v>
      </c>
      <c r="X1230">
        <f>DataLog_T717420_Aug11_4_59_37pm[[#This Row],[OIL TEMP '[Â°C']]]-Table3[[#This Row],[4402]]</f>
        <v>0</v>
      </c>
      <c r="Y1230">
        <f>DataLog_T717420_Aug11_4_59_37pm[[#This Row],[INTAKE TEMP '[Â°C']]]-Table3[[#This Row],[580F]]</f>
        <v>0</v>
      </c>
      <c r="Z1230">
        <f>DataLog_T717420_Aug11_4_59_37pm[[#This Row],[HPFP PRES. '[BAR']]]-Table3[[#This Row],[58F0]]</f>
        <v>0</v>
      </c>
      <c r="AA1230">
        <f>DataLog_T717420_Aug11_4_59_37pm[[#This Row],[COOLANT TEMP '[Â°C']]]-Table3[[#This Row],[5805]]</f>
        <v>0</v>
      </c>
      <c r="AB1230">
        <f>DataLog_T717420_Aug11_4_59_37pm[[#This Row],[BOOST '[BAR']]]-Table3[[#This Row],[58DD]]</f>
        <v>0</v>
      </c>
    </row>
    <row r="1231" spans="2:28" x14ac:dyDescent="0.25">
      <c r="B1231" s="2" t="s">
        <v>183</v>
      </c>
      <c r="C1231" s="2" t="s">
        <v>262</v>
      </c>
      <c r="D1231" s="2" t="s">
        <v>151</v>
      </c>
      <c r="E1231" s="2" t="s">
        <v>93</v>
      </c>
      <c r="F1231" s="2" t="s">
        <v>263</v>
      </c>
      <c r="G1231" s="2" t="s">
        <v>245</v>
      </c>
      <c r="I1231">
        <f>HEX2DEC(_0811_173439[[#This Row],[580C]])*B$4/B$5+B$6</f>
        <v>800</v>
      </c>
      <c r="J1231">
        <f>HEX2DEC(_0811_173439[[#This Row],[4402]])*C$4/C$5+C$6</f>
        <v>37</v>
      </c>
      <c r="K1231">
        <f>HEX2DEC(_0811_173439[[#This Row],[580F]])*D$4/D$5+D$6</f>
        <v>30</v>
      </c>
      <c r="L1231">
        <f>ROUND(HEX2DEC(_0811_173439[[#This Row],[58F0]])*E$4/E$5+E$6,0)</f>
        <v>70</v>
      </c>
      <c r="M1231">
        <f>ROUND(HEX2DEC(_0811_173439[[#This Row],[5805]])*F$4/F$5+F$6,0)</f>
        <v>44</v>
      </c>
      <c r="N1231">
        <f>ROUND(HEX2DEC(_0811_173439[[#This Row],[58DD]])*G$4/G$5+G$6,2)</f>
        <v>-0.03</v>
      </c>
      <c r="P1231">
        <v>800</v>
      </c>
      <c r="Q1231">
        <v>37</v>
      </c>
      <c r="R1231">
        <v>30</v>
      </c>
      <c r="S1231">
        <v>70</v>
      </c>
      <c r="T1231">
        <v>44</v>
      </c>
      <c r="U1231">
        <v>-0.03</v>
      </c>
      <c r="W1231">
        <f>DataLog_T717420_Aug11_4_59_37pm[[#This Row],[RPM '[1/MIN']]]-Table3[[#This Row],[580C]]</f>
        <v>0</v>
      </c>
      <c r="X1231">
        <f>DataLog_T717420_Aug11_4_59_37pm[[#This Row],[OIL TEMP '[Â°C']]]-Table3[[#This Row],[4402]]</f>
        <v>0</v>
      </c>
      <c r="Y1231">
        <f>DataLog_T717420_Aug11_4_59_37pm[[#This Row],[INTAKE TEMP '[Â°C']]]-Table3[[#This Row],[580F]]</f>
        <v>0</v>
      </c>
      <c r="Z1231">
        <f>DataLog_T717420_Aug11_4_59_37pm[[#This Row],[HPFP PRES. '[BAR']]]-Table3[[#This Row],[58F0]]</f>
        <v>0</v>
      </c>
      <c r="AA1231">
        <f>DataLog_T717420_Aug11_4_59_37pm[[#This Row],[COOLANT TEMP '[Â°C']]]-Table3[[#This Row],[5805]]</f>
        <v>0</v>
      </c>
      <c r="AB1231">
        <f>DataLog_T717420_Aug11_4_59_37pm[[#This Row],[BOOST '[BAR']]]-Table3[[#This Row],[58DD]]</f>
        <v>0</v>
      </c>
    </row>
    <row r="1232" spans="2:28" x14ac:dyDescent="0.25">
      <c r="B1232" s="2" t="s">
        <v>183</v>
      </c>
      <c r="C1232" s="2" t="s">
        <v>262</v>
      </c>
      <c r="D1232" s="2" t="s">
        <v>151</v>
      </c>
      <c r="E1232" s="2" t="s">
        <v>222</v>
      </c>
      <c r="F1232" s="2" t="s">
        <v>263</v>
      </c>
      <c r="G1232" s="2" t="s">
        <v>245</v>
      </c>
      <c r="I1232">
        <f>HEX2DEC(_0811_173439[[#This Row],[580C]])*B$4/B$5+B$6</f>
        <v>800</v>
      </c>
      <c r="J1232">
        <f>HEX2DEC(_0811_173439[[#This Row],[4402]])*C$4/C$5+C$6</f>
        <v>37</v>
      </c>
      <c r="K1232">
        <f>HEX2DEC(_0811_173439[[#This Row],[580F]])*D$4/D$5+D$6</f>
        <v>30</v>
      </c>
      <c r="L1232">
        <f>ROUND(HEX2DEC(_0811_173439[[#This Row],[58F0]])*E$4/E$5+E$6,0)</f>
        <v>70</v>
      </c>
      <c r="M1232">
        <f>ROUND(HEX2DEC(_0811_173439[[#This Row],[5805]])*F$4/F$5+F$6,0)</f>
        <v>44</v>
      </c>
      <c r="N1232">
        <f>ROUND(HEX2DEC(_0811_173439[[#This Row],[58DD]])*G$4/G$5+G$6,2)</f>
        <v>-0.03</v>
      </c>
      <c r="P1232">
        <v>800</v>
      </c>
      <c r="Q1232">
        <v>37</v>
      </c>
      <c r="R1232">
        <v>30</v>
      </c>
      <c r="S1232">
        <v>70</v>
      </c>
      <c r="T1232">
        <v>44</v>
      </c>
      <c r="U1232">
        <v>-0.03</v>
      </c>
      <c r="W1232">
        <f>DataLog_T717420_Aug11_4_59_37pm[[#This Row],[RPM '[1/MIN']]]-Table3[[#This Row],[580C]]</f>
        <v>0</v>
      </c>
      <c r="X1232">
        <f>DataLog_T717420_Aug11_4_59_37pm[[#This Row],[OIL TEMP '[Â°C']]]-Table3[[#This Row],[4402]]</f>
        <v>0</v>
      </c>
      <c r="Y1232">
        <f>DataLog_T717420_Aug11_4_59_37pm[[#This Row],[INTAKE TEMP '[Â°C']]]-Table3[[#This Row],[580F]]</f>
        <v>0</v>
      </c>
      <c r="Z1232">
        <f>DataLog_T717420_Aug11_4_59_37pm[[#This Row],[HPFP PRES. '[BAR']]]-Table3[[#This Row],[58F0]]</f>
        <v>0</v>
      </c>
      <c r="AA1232">
        <f>DataLog_T717420_Aug11_4_59_37pm[[#This Row],[COOLANT TEMP '[Â°C']]]-Table3[[#This Row],[5805]]</f>
        <v>0</v>
      </c>
      <c r="AB1232">
        <f>DataLog_T717420_Aug11_4_59_37pm[[#This Row],[BOOST '[BAR']]]-Table3[[#This Row],[58DD]]</f>
        <v>0</v>
      </c>
    </row>
    <row r="1233" spans="2:28" x14ac:dyDescent="0.25">
      <c r="B1233" s="2" t="s">
        <v>183</v>
      </c>
      <c r="C1233" s="2" t="s">
        <v>262</v>
      </c>
      <c r="D1233" s="2" t="s">
        <v>151</v>
      </c>
      <c r="E1233" s="2" t="s">
        <v>93</v>
      </c>
      <c r="F1233" s="2" t="s">
        <v>263</v>
      </c>
      <c r="G1233" s="2" t="s">
        <v>90</v>
      </c>
      <c r="I1233">
        <f>HEX2DEC(_0811_173439[[#This Row],[580C]])*B$4/B$5+B$6</f>
        <v>800</v>
      </c>
      <c r="J1233">
        <f>HEX2DEC(_0811_173439[[#This Row],[4402]])*C$4/C$5+C$6</f>
        <v>37</v>
      </c>
      <c r="K1233">
        <f>HEX2DEC(_0811_173439[[#This Row],[580F]])*D$4/D$5+D$6</f>
        <v>30</v>
      </c>
      <c r="L1233">
        <f>ROUND(HEX2DEC(_0811_173439[[#This Row],[58F0]])*E$4/E$5+E$6,0)</f>
        <v>70</v>
      </c>
      <c r="M1233">
        <f>ROUND(HEX2DEC(_0811_173439[[#This Row],[5805]])*F$4/F$5+F$6,0)</f>
        <v>44</v>
      </c>
      <c r="N1233">
        <f>ROUND(HEX2DEC(_0811_173439[[#This Row],[58DD]])*G$4/G$5+G$6,2)</f>
        <v>-0.03</v>
      </c>
      <c r="P1233">
        <v>800</v>
      </c>
      <c r="Q1233">
        <v>37</v>
      </c>
      <c r="R1233">
        <v>30</v>
      </c>
      <c r="S1233">
        <v>70</v>
      </c>
      <c r="T1233">
        <v>44</v>
      </c>
      <c r="U1233">
        <v>-0.03</v>
      </c>
      <c r="W1233">
        <f>DataLog_T717420_Aug11_4_59_37pm[[#This Row],[RPM '[1/MIN']]]-Table3[[#This Row],[580C]]</f>
        <v>0</v>
      </c>
      <c r="X1233">
        <f>DataLog_T717420_Aug11_4_59_37pm[[#This Row],[OIL TEMP '[Â°C']]]-Table3[[#This Row],[4402]]</f>
        <v>0</v>
      </c>
      <c r="Y1233">
        <f>DataLog_T717420_Aug11_4_59_37pm[[#This Row],[INTAKE TEMP '[Â°C']]]-Table3[[#This Row],[580F]]</f>
        <v>0</v>
      </c>
      <c r="Z1233">
        <f>DataLog_T717420_Aug11_4_59_37pm[[#This Row],[HPFP PRES. '[BAR']]]-Table3[[#This Row],[58F0]]</f>
        <v>0</v>
      </c>
      <c r="AA1233">
        <f>DataLog_T717420_Aug11_4_59_37pm[[#This Row],[COOLANT TEMP '[Â°C']]]-Table3[[#This Row],[5805]]</f>
        <v>0</v>
      </c>
      <c r="AB1233">
        <f>DataLog_T717420_Aug11_4_59_37pm[[#This Row],[BOOST '[BAR']]]-Table3[[#This Row],[58DD]]</f>
        <v>0</v>
      </c>
    </row>
    <row r="1234" spans="2:28" x14ac:dyDescent="0.25">
      <c r="B1234" s="2" t="s">
        <v>183</v>
      </c>
      <c r="C1234" s="2" t="s">
        <v>262</v>
      </c>
      <c r="D1234" s="2" t="s">
        <v>151</v>
      </c>
      <c r="E1234" s="2" t="s">
        <v>93</v>
      </c>
      <c r="F1234" s="2" t="s">
        <v>263</v>
      </c>
      <c r="G1234" s="2" t="s">
        <v>96</v>
      </c>
      <c r="I1234">
        <f>HEX2DEC(_0811_173439[[#This Row],[580C]])*B$4/B$5+B$6</f>
        <v>800</v>
      </c>
      <c r="J1234">
        <f>HEX2DEC(_0811_173439[[#This Row],[4402]])*C$4/C$5+C$6</f>
        <v>37</v>
      </c>
      <c r="K1234">
        <f>HEX2DEC(_0811_173439[[#This Row],[580F]])*D$4/D$5+D$6</f>
        <v>30</v>
      </c>
      <c r="L1234">
        <f>ROUND(HEX2DEC(_0811_173439[[#This Row],[58F0]])*E$4/E$5+E$6,0)</f>
        <v>70</v>
      </c>
      <c r="M1234">
        <f>ROUND(HEX2DEC(_0811_173439[[#This Row],[5805]])*F$4/F$5+F$6,0)</f>
        <v>44</v>
      </c>
      <c r="N1234">
        <f>ROUND(HEX2DEC(_0811_173439[[#This Row],[58DD]])*G$4/G$5+G$6,2)</f>
        <v>-0.03</v>
      </c>
      <c r="P1234">
        <v>800</v>
      </c>
      <c r="Q1234">
        <v>37</v>
      </c>
      <c r="R1234">
        <v>30</v>
      </c>
      <c r="S1234">
        <v>70</v>
      </c>
      <c r="T1234">
        <v>44</v>
      </c>
      <c r="U1234">
        <v>-0.03</v>
      </c>
      <c r="W1234">
        <f>DataLog_T717420_Aug11_4_59_37pm[[#This Row],[RPM '[1/MIN']]]-Table3[[#This Row],[580C]]</f>
        <v>0</v>
      </c>
      <c r="X1234">
        <f>DataLog_T717420_Aug11_4_59_37pm[[#This Row],[OIL TEMP '[Â°C']]]-Table3[[#This Row],[4402]]</f>
        <v>0</v>
      </c>
      <c r="Y1234">
        <f>DataLog_T717420_Aug11_4_59_37pm[[#This Row],[INTAKE TEMP '[Â°C']]]-Table3[[#This Row],[580F]]</f>
        <v>0</v>
      </c>
      <c r="Z1234">
        <f>DataLog_T717420_Aug11_4_59_37pm[[#This Row],[HPFP PRES. '[BAR']]]-Table3[[#This Row],[58F0]]</f>
        <v>0</v>
      </c>
      <c r="AA1234">
        <f>DataLog_T717420_Aug11_4_59_37pm[[#This Row],[COOLANT TEMP '[Â°C']]]-Table3[[#This Row],[5805]]</f>
        <v>0</v>
      </c>
      <c r="AB1234">
        <f>DataLog_T717420_Aug11_4_59_37pm[[#This Row],[BOOST '[BAR']]]-Table3[[#This Row],[58DD]]</f>
        <v>0</v>
      </c>
    </row>
    <row r="1235" spans="2:28" x14ac:dyDescent="0.25">
      <c r="B1235" s="2" t="s">
        <v>183</v>
      </c>
      <c r="C1235" s="2" t="s">
        <v>262</v>
      </c>
      <c r="D1235" s="2" t="s">
        <v>151</v>
      </c>
      <c r="E1235" s="2" t="s">
        <v>137</v>
      </c>
      <c r="F1235" s="2" t="s">
        <v>263</v>
      </c>
      <c r="G1235" s="2" t="s">
        <v>90</v>
      </c>
      <c r="I1235">
        <f>HEX2DEC(_0811_173439[[#This Row],[580C]])*B$4/B$5+B$6</f>
        <v>800</v>
      </c>
      <c r="J1235">
        <f>HEX2DEC(_0811_173439[[#This Row],[4402]])*C$4/C$5+C$6</f>
        <v>37</v>
      </c>
      <c r="K1235">
        <f>HEX2DEC(_0811_173439[[#This Row],[580F]])*D$4/D$5+D$6</f>
        <v>30</v>
      </c>
      <c r="L1235">
        <f>ROUND(HEX2DEC(_0811_173439[[#This Row],[58F0]])*E$4/E$5+E$6,0)</f>
        <v>70</v>
      </c>
      <c r="M1235">
        <f>ROUND(HEX2DEC(_0811_173439[[#This Row],[5805]])*F$4/F$5+F$6,0)</f>
        <v>44</v>
      </c>
      <c r="N1235">
        <f>ROUND(HEX2DEC(_0811_173439[[#This Row],[58DD]])*G$4/G$5+G$6,2)</f>
        <v>-0.03</v>
      </c>
      <c r="P1235">
        <v>800</v>
      </c>
      <c r="Q1235">
        <v>37</v>
      </c>
      <c r="R1235">
        <v>30</v>
      </c>
      <c r="S1235">
        <v>70</v>
      </c>
      <c r="T1235">
        <v>44</v>
      </c>
      <c r="U1235">
        <v>-0.03</v>
      </c>
      <c r="W1235">
        <f>DataLog_T717420_Aug11_4_59_37pm[[#This Row],[RPM '[1/MIN']]]-Table3[[#This Row],[580C]]</f>
        <v>0</v>
      </c>
      <c r="X1235">
        <f>DataLog_T717420_Aug11_4_59_37pm[[#This Row],[OIL TEMP '[Â°C']]]-Table3[[#This Row],[4402]]</f>
        <v>0</v>
      </c>
      <c r="Y1235">
        <f>DataLog_T717420_Aug11_4_59_37pm[[#This Row],[INTAKE TEMP '[Â°C']]]-Table3[[#This Row],[580F]]</f>
        <v>0</v>
      </c>
      <c r="Z1235">
        <f>DataLog_T717420_Aug11_4_59_37pm[[#This Row],[HPFP PRES. '[BAR']]]-Table3[[#This Row],[58F0]]</f>
        <v>0</v>
      </c>
      <c r="AA1235">
        <f>DataLog_T717420_Aug11_4_59_37pm[[#This Row],[COOLANT TEMP '[Â°C']]]-Table3[[#This Row],[5805]]</f>
        <v>0</v>
      </c>
      <c r="AB1235">
        <f>DataLog_T717420_Aug11_4_59_37pm[[#This Row],[BOOST '[BAR']]]-Table3[[#This Row],[58DD]]</f>
        <v>0</v>
      </c>
    </row>
    <row r="1236" spans="2:28" x14ac:dyDescent="0.25">
      <c r="B1236" s="2" t="s">
        <v>183</v>
      </c>
      <c r="C1236" s="2" t="s">
        <v>262</v>
      </c>
      <c r="D1236" s="2" t="s">
        <v>151</v>
      </c>
      <c r="E1236" s="2" t="s">
        <v>93</v>
      </c>
      <c r="F1236" s="2" t="s">
        <v>263</v>
      </c>
      <c r="G1236" s="2" t="s">
        <v>96</v>
      </c>
      <c r="I1236">
        <f>HEX2DEC(_0811_173439[[#This Row],[580C]])*B$4/B$5+B$6</f>
        <v>800</v>
      </c>
      <c r="J1236">
        <f>HEX2DEC(_0811_173439[[#This Row],[4402]])*C$4/C$5+C$6</f>
        <v>37</v>
      </c>
      <c r="K1236">
        <f>HEX2DEC(_0811_173439[[#This Row],[580F]])*D$4/D$5+D$6</f>
        <v>30</v>
      </c>
      <c r="L1236">
        <f>ROUND(HEX2DEC(_0811_173439[[#This Row],[58F0]])*E$4/E$5+E$6,0)</f>
        <v>70</v>
      </c>
      <c r="M1236">
        <f>ROUND(HEX2DEC(_0811_173439[[#This Row],[5805]])*F$4/F$5+F$6,0)</f>
        <v>44</v>
      </c>
      <c r="N1236">
        <f>ROUND(HEX2DEC(_0811_173439[[#This Row],[58DD]])*G$4/G$5+G$6,2)</f>
        <v>-0.03</v>
      </c>
      <c r="P1236">
        <v>800</v>
      </c>
      <c r="Q1236">
        <v>37</v>
      </c>
      <c r="R1236">
        <v>30</v>
      </c>
      <c r="S1236">
        <v>70</v>
      </c>
      <c r="T1236">
        <v>44</v>
      </c>
      <c r="U1236">
        <v>-0.03</v>
      </c>
      <c r="W1236">
        <f>DataLog_T717420_Aug11_4_59_37pm[[#This Row],[RPM '[1/MIN']]]-Table3[[#This Row],[580C]]</f>
        <v>0</v>
      </c>
      <c r="X1236">
        <f>DataLog_T717420_Aug11_4_59_37pm[[#This Row],[OIL TEMP '[Â°C']]]-Table3[[#This Row],[4402]]</f>
        <v>0</v>
      </c>
      <c r="Y1236">
        <f>DataLog_T717420_Aug11_4_59_37pm[[#This Row],[INTAKE TEMP '[Â°C']]]-Table3[[#This Row],[580F]]</f>
        <v>0</v>
      </c>
      <c r="Z1236">
        <f>DataLog_T717420_Aug11_4_59_37pm[[#This Row],[HPFP PRES. '[BAR']]]-Table3[[#This Row],[58F0]]</f>
        <v>0</v>
      </c>
      <c r="AA1236">
        <f>DataLog_T717420_Aug11_4_59_37pm[[#This Row],[COOLANT TEMP '[Â°C']]]-Table3[[#This Row],[5805]]</f>
        <v>0</v>
      </c>
      <c r="AB1236">
        <f>DataLog_T717420_Aug11_4_59_37pm[[#This Row],[BOOST '[BAR']]]-Table3[[#This Row],[58DD]]</f>
        <v>0</v>
      </c>
    </row>
    <row r="1237" spans="2:28" x14ac:dyDescent="0.25">
      <c r="B1237" s="2" t="s">
        <v>183</v>
      </c>
      <c r="C1237" s="2" t="s">
        <v>262</v>
      </c>
      <c r="D1237" s="2" t="s">
        <v>151</v>
      </c>
      <c r="E1237" s="2" t="s">
        <v>125</v>
      </c>
      <c r="F1237" s="2" t="s">
        <v>263</v>
      </c>
      <c r="G1237" s="2" t="s">
        <v>236</v>
      </c>
      <c r="I1237">
        <f>HEX2DEC(_0811_173439[[#This Row],[580C]])*B$4/B$5+B$6</f>
        <v>800</v>
      </c>
      <c r="J1237">
        <f>HEX2DEC(_0811_173439[[#This Row],[4402]])*C$4/C$5+C$6</f>
        <v>37</v>
      </c>
      <c r="K1237">
        <f>HEX2DEC(_0811_173439[[#This Row],[580F]])*D$4/D$5+D$6</f>
        <v>30</v>
      </c>
      <c r="L1237">
        <f>ROUND(HEX2DEC(_0811_173439[[#This Row],[58F0]])*E$4/E$5+E$6,0)</f>
        <v>70</v>
      </c>
      <c r="M1237">
        <f>ROUND(HEX2DEC(_0811_173439[[#This Row],[5805]])*F$4/F$5+F$6,0)</f>
        <v>44</v>
      </c>
      <c r="N1237">
        <f>ROUND(HEX2DEC(_0811_173439[[#This Row],[58DD]])*G$4/G$5+G$6,2)</f>
        <v>-0.03</v>
      </c>
      <c r="P1237">
        <v>800</v>
      </c>
      <c r="Q1237">
        <v>37</v>
      </c>
      <c r="R1237">
        <v>30</v>
      </c>
      <c r="S1237">
        <v>70</v>
      </c>
      <c r="T1237">
        <v>44</v>
      </c>
      <c r="U1237">
        <v>-0.03</v>
      </c>
      <c r="W1237">
        <f>DataLog_T717420_Aug11_4_59_37pm[[#This Row],[RPM '[1/MIN']]]-Table3[[#This Row],[580C]]</f>
        <v>0</v>
      </c>
      <c r="X1237">
        <f>DataLog_T717420_Aug11_4_59_37pm[[#This Row],[OIL TEMP '[Â°C']]]-Table3[[#This Row],[4402]]</f>
        <v>0</v>
      </c>
      <c r="Y1237">
        <f>DataLog_T717420_Aug11_4_59_37pm[[#This Row],[INTAKE TEMP '[Â°C']]]-Table3[[#This Row],[580F]]</f>
        <v>0</v>
      </c>
      <c r="Z1237">
        <f>DataLog_T717420_Aug11_4_59_37pm[[#This Row],[HPFP PRES. '[BAR']]]-Table3[[#This Row],[58F0]]</f>
        <v>0</v>
      </c>
      <c r="AA1237">
        <f>DataLog_T717420_Aug11_4_59_37pm[[#This Row],[COOLANT TEMP '[Â°C']]]-Table3[[#This Row],[5805]]</f>
        <v>0</v>
      </c>
      <c r="AB1237">
        <f>DataLog_T717420_Aug11_4_59_37pm[[#This Row],[BOOST '[BAR']]]-Table3[[#This Row],[58DD]]</f>
        <v>0</v>
      </c>
    </row>
    <row r="1238" spans="2:28" x14ac:dyDescent="0.25">
      <c r="B1238" s="2" t="s">
        <v>183</v>
      </c>
      <c r="C1238" s="2" t="s">
        <v>262</v>
      </c>
      <c r="D1238" s="2" t="s">
        <v>151</v>
      </c>
      <c r="E1238" s="2" t="s">
        <v>249</v>
      </c>
      <c r="F1238" s="2" t="s">
        <v>263</v>
      </c>
      <c r="G1238" s="2" t="s">
        <v>258</v>
      </c>
      <c r="I1238">
        <f>HEX2DEC(_0811_173439[[#This Row],[580C]])*B$4/B$5+B$6</f>
        <v>800</v>
      </c>
      <c r="J1238">
        <f>HEX2DEC(_0811_173439[[#This Row],[4402]])*C$4/C$5+C$6</f>
        <v>37</v>
      </c>
      <c r="K1238">
        <f>HEX2DEC(_0811_173439[[#This Row],[580F]])*D$4/D$5+D$6</f>
        <v>30</v>
      </c>
      <c r="L1238">
        <f>ROUND(HEX2DEC(_0811_173439[[#This Row],[58F0]])*E$4/E$5+E$6,0)</f>
        <v>70</v>
      </c>
      <c r="M1238">
        <f>ROUND(HEX2DEC(_0811_173439[[#This Row],[5805]])*F$4/F$5+F$6,0)</f>
        <v>44</v>
      </c>
      <c r="N1238">
        <f>ROUND(HEX2DEC(_0811_173439[[#This Row],[58DD]])*G$4/G$5+G$6,2)</f>
        <v>-0.03</v>
      </c>
      <c r="P1238">
        <v>800</v>
      </c>
      <c r="Q1238">
        <v>37</v>
      </c>
      <c r="R1238">
        <v>30</v>
      </c>
      <c r="S1238">
        <v>70</v>
      </c>
      <c r="T1238">
        <v>44</v>
      </c>
      <c r="U1238">
        <v>-0.03</v>
      </c>
      <c r="W1238">
        <f>DataLog_T717420_Aug11_4_59_37pm[[#This Row],[RPM '[1/MIN']]]-Table3[[#This Row],[580C]]</f>
        <v>0</v>
      </c>
      <c r="X1238">
        <f>DataLog_T717420_Aug11_4_59_37pm[[#This Row],[OIL TEMP '[Â°C']]]-Table3[[#This Row],[4402]]</f>
        <v>0</v>
      </c>
      <c r="Y1238">
        <f>DataLog_T717420_Aug11_4_59_37pm[[#This Row],[INTAKE TEMP '[Â°C']]]-Table3[[#This Row],[580F]]</f>
        <v>0</v>
      </c>
      <c r="Z1238">
        <f>DataLog_T717420_Aug11_4_59_37pm[[#This Row],[HPFP PRES. '[BAR']]]-Table3[[#This Row],[58F0]]</f>
        <v>0</v>
      </c>
      <c r="AA1238">
        <f>DataLog_T717420_Aug11_4_59_37pm[[#This Row],[COOLANT TEMP '[Â°C']]]-Table3[[#This Row],[5805]]</f>
        <v>0</v>
      </c>
      <c r="AB1238">
        <f>DataLog_T717420_Aug11_4_59_37pm[[#This Row],[BOOST '[BAR']]]-Table3[[#This Row],[58DD]]</f>
        <v>0</v>
      </c>
    </row>
    <row r="1239" spans="2:28" x14ac:dyDescent="0.25">
      <c r="B1239" s="2" t="s">
        <v>189</v>
      </c>
      <c r="C1239" s="2" t="s">
        <v>262</v>
      </c>
      <c r="D1239" s="2" t="s">
        <v>151</v>
      </c>
      <c r="E1239" s="2" t="s">
        <v>93</v>
      </c>
      <c r="F1239" s="2" t="s">
        <v>263</v>
      </c>
      <c r="G1239" s="2" t="s">
        <v>236</v>
      </c>
      <c r="I1239">
        <f>HEX2DEC(_0811_173439[[#This Row],[580C]])*B$4/B$5+B$6</f>
        <v>760</v>
      </c>
      <c r="J1239">
        <f>HEX2DEC(_0811_173439[[#This Row],[4402]])*C$4/C$5+C$6</f>
        <v>37</v>
      </c>
      <c r="K1239">
        <f>HEX2DEC(_0811_173439[[#This Row],[580F]])*D$4/D$5+D$6</f>
        <v>30</v>
      </c>
      <c r="L1239">
        <f>ROUND(HEX2DEC(_0811_173439[[#This Row],[58F0]])*E$4/E$5+E$6,0)</f>
        <v>70</v>
      </c>
      <c r="M1239">
        <f>ROUND(HEX2DEC(_0811_173439[[#This Row],[5805]])*F$4/F$5+F$6,0)</f>
        <v>44</v>
      </c>
      <c r="N1239">
        <f>ROUND(HEX2DEC(_0811_173439[[#This Row],[58DD]])*G$4/G$5+G$6,2)</f>
        <v>-0.03</v>
      </c>
      <c r="P1239">
        <v>760</v>
      </c>
      <c r="Q1239">
        <v>37</v>
      </c>
      <c r="R1239">
        <v>30</v>
      </c>
      <c r="S1239">
        <v>70</v>
      </c>
      <c r="T1239">
        <v>44</v>
      </c>
      <c r="U1239">
        <v>-0.03</v>
      </c>
      <c r="W1239">
        <f>DataLog_T717420_Aug11_4_59_37pm[[#This Row],[RPM '[1/MIN']]]-Table3[[#This Row],[580C]]</f>
        <v>0</v>
      </c>
      <c r="X1239">
        <f>DataLog_T717420_Aug11_4_59_37pm[[#This Row],[OIL TEMP '[Â°C']]]-Table3[[#This Row],[4402]]</f>
        <v>0</v>
      </c>
      <c r="Y1239">
        <f>DataLog_T717420_Aug11_4_59_37pm[[#This Row],[INTAKE TEMP '[Â°C']]]-Table3[[#This Row],[580F]]</f>
        <v>0</v>
      </c>
      <c r="Z1239">
        <f>DataLog_T717420_Aug11_4_59_37pm[[#This Row],[HPFP PRES. '[BAR']]]-Table3[[#This Row],[58F0]]</f>
        <v>0</v>
      </c>
      <c r="AA1239">
        <f>DataLog_T717420_Aug11_4_59_37pm[[#This Row],[COOLANT TEMP '[Â°C']]]-Table3[[#This Row],[5805]]</f>
        <v>0</v>
      </c>
      <c r="AB1239">
        <f>DataLog_T717420_Aug11_4_59_37pm[[#This Row],[BOOST '[BAR']]]-Table3[[#This Row],[58DD]]</f>
        <v>0</v>
      </c>
    </row>
    <row r="1240" spans="2:28" x14ac:dyDescent="0.25">
      <c r="B1240" s="2" t="s">
        <v>189</v>
      </c>
      <c r="C1240" s="2" t="s">
        <v>262</v>
      </c>
      <c r="D1240" s="2" t="s">
        <v>151</v>
      </c>
      <c r="E1240" s="2" t="s">
        <v>93</v>
      </c>
      <c r="F1240" s="2" t="s">
        <v>263</v>
      </c>
      <c r="G1240" s="2" t="s">
        <v>236</v>
      </c>
      <c r="I1240">
        <f>HEX2DEC(_0811_173439[[#This Row],[580C]])*B$4/B$5+B$6</f>
        <v>760</v>
      </c>
      <c r="J1240">
        <f>HEX2DEC(_0811_173439[[#This Row],[4402]])*C$4/C$5+C$6</f>
        <v>37</v>
      </c>
      <c r="K1240">
        <f>HEX2DEC(_0811_173439[[#This Row],[580F]])*D$4/D$5+D$6</f>
        <v>30</v>
      </c>
      <c r="L1240">
        <f>ROUND(HEX2DEC(_0811_173439[[#This Row],[58F0]])*E$4/E$5+E$6,0)</f>
        <v>70</v>
      </c>
      <c r="M1240">
        <f>ROUND(HEX2DEC(_0811_173439[[#This Row],[5805]])*F$4/F$5+F$6,0)</f>
        <v>44</v>
      </c>
      <c r="N1240">
        <f>ROUND(HEX2DEC(_0811_173439[[#This Row],[58DD]])*G$4/G$5+G$6,2)</f>
        <v>-0.03</v>
      </c>
      <c r="P1240">
        <v>760</v>
      </c>
      <c r="Q1240">
        <v>37</v>
      </c>
      <c r="R1240">
        <v>30</v>
      </c>
      <c r="S1240">
        <v>70</v>
      </c>
      <c r="T1240">
        <v>44</v>
      </c>
      <c r="U1240">
        <v>-0.03</v>
      </c>
      <c r="W1240">
        <f>DataLog_T717420_Aug11_4_59_37pm[[#This Row],[RPM '[1/MIN']]]-Table3[[#This Row],[580C]]</f>
        <v>0</v>
      </c>
      <c r="X1240">
        <f>DataLog_T717420_Aug11_4_59_37pm[[#This Row],[OIL TEMP '[Â°C']]]-Table3[[#This Row],[4402]]</f>
        <v>0</v>
      </c>
      <c r="Y1240">
        <f>DataLog_T717420_Aug11_4_59_37pm[[#This Row],[INTAKE TEMP '[Â°C']]]-Table3[[#This Row],[580F]]</f>
        <v>0</v>
      </c>
      <c r="Z1240">
        <f>DataLog_T717420_Aug11_4_59_37pm[[#This Row],[HPFP PRES. '[BAR']]]-Table3[[#This Row],[58F0]]</f>
        <v>0</v>
      </c>
      <c r="AA1240">
        <f>DataLog_T717420_Aug11_4_59_37pm[[#This Row],[COOLANT TEMP '[Â°C']]]-Table3[[#This Row],[5805]]</f>
        <v>0</v>
      </c>
      <c r="AB1240">
        <f>DataLog_T717420_Aug11_4_59_37pm[[#This Row],[BOOST '[BAR']]]-Table3[[#This Row],[58DD]]</f>
        <v>0</v>
      </c>
    </row>
    <row r="1241" spans="2:28" x14ac:dyDescent="0.25">
      <c r="B1241" s="2" t="s">
        <v>189</v>
      </c>
      <c r="C1241" s="2" t="s">
        <v>262</v>
      </c>
      <c r="D1241" s="2" t="s">
        <v>151</v>
      </c>
      <c r="E1241" s="2" t="s">
        <v>222</v>
      </c>
      <c r="F1241" s="2" t="s">
        <v>263</v>
      </c>
      <c r="G1241" s="2" t="s">
        <v>245</v>
      </c>
      <c r="I1241">
        <f>HEX2DEC(_0811_173439[[#This Row],[580C]])*B$4/B$5+B$6</f>
        <v>760</v>
      </c>
      <c r="J1241">
        <f>HEX2DEC(_0811_173439[[#This Row],[4402]])*C$4/C$5+C$6</f>
        <v>37</v>
      </c>
      <c r="K1241">
        <f>HEX2DEC(_0811_173439[[#This Row],[580F]])*D$4/D$5+D$6</f>
        <v>30</v>
      </c>
      <c r="L1241">
        <f>ROUND(HEX2DEC(_0811_173439[[#This Row],[58F0]])*E$4/E$5+E$6,0)</f>
        <v>70</v>
      </c>
      <c r="M1241">
        <f>ROUND(HEX2DEC(_0811_173439[[#This Row],[5805]])*F$4/F$5+F$6,0)</f>
        <v>44</v>
      </c>
      <c r="N1241">
        <f>ROUND(HEX2DEC(_0811_173439[[#This Row],[58DD]])*G$4/G$5+G$6,2)</f>
        <v>-0.03</v>
      </c>
      <c r="P1241">
        <v>760</v>
      </c>
      <c r="Q1241">
        <v>37</v>
      </c>
      <c r="R1241">
        <v>30</v>
      </c>
      <c r="S1241">
        <v>70</v>
      </c>
      <c r="T1241">
        <v>44</v>
      </c>
      <c r="U1241">
        <v>-0.03</v>
      </c>
      <c r="W1241">
        <f>DataLog_T717420_Aug11_4_59_37pm[[#This Row],[RPM '[1/MIN']]]-Table3[[#This Row],[580C]]</f>
        <v>0</v>
      </c>
      <c r="X1241">
        <f>DataLog_T717420_Aug11_4_59_37pm[[#This Row],[OIL TEMP '[Â°C']]]-Table3[[#This Row],[4402]]</f>
        <v>0</v>
      </c>
      <c r="Y1241">
        <f>DataLog_T717420_Aug11_4_59_37pm[[#This Row],[INTAKE TEMP '[Â°C']]]-Table3[[#This Row],[580F]]</f>
        <v>0</v>
      </c>
      <c r="Z1241">
        <f>DataLog_T717420_Aug11_4_59_37pm[[#This Row],[HPFP PRES. '[BAR']]]-Table3[[#This Row],[58F0]]</f>
        <v>0</v>
      </c>
      <c r="AA1241">
        <f>DataLog_T717420_Aug11_4_59_37pm[[#This Row],[COOLANT TEMP '[Â°C']]]-Table3[[#This Row],[5805]]</f>
        <v>0</v>
      </c>
      <c r="AB1241">
        <f>DataLog_T717420_Aug11_4_59_37pm[[#This Row],[BOOST '[BAR']]]-Table3[[#This Row],[58DD]]</f>
        <v>0</v>
      </c>
    </row>
    <row r="1242" spans="2:28" x14ac:dyDescent="0.25">
      <c r="B1242" s="2" t="s">
        <v>189</v>
      </c>
      <c r="C1242" s="2" t="s">
        <v>262</v>
      </c>
      <c r="D1242" s="2" t="s">
        <v>151</v>
      </c>
      <c r="E1242" s="2" t="s">
        <v>172</v>
      </c>
      <c r="F1242" s="2" t="s">
        <v>263</v>
      </c>
      <c r="G1242" s="2" t="s">
        <v>236</v>
      </c>
      <c r="I1242">
        <f>HEX2DEC(_0811_173439[[#This Row],[580C]])*B$4/B$5+B$6</f>
        <v>760</v>
      </c>
      <c r="J1242">
        <f>HEX2DEC(_0811_173439[[#This Row],[4402]])*C$4/C$5+C$6</f>
        <v>37</v>
      </c>
      <c r="K1242">
        <f>HEX2DEC(_0811_173439[[#This Row],[580F]])*D$4/D$5+D$6</f>
        <v>30</v>
      </c>
      <c r="L1242">
        <f>ROUND(HEX2DEC(_0811_173439[[#This Row],[58F0]])*E$4/E$5+E$6,0)</f>
        <v>70</v>
      </c>
      <c r="M1242">
        <f>ROUND(HEX2DEC(_0811_173439[[#This Row],[5805]])*F$4/F$5+F$6,0)</f>
        <v>44</v>
      </c>
      <c r="N1242">
        <f>ROUND(HEX2DEC(_0811_173439[[#This Row],[58DD]])*G$4/G$5+G$6,2)</f>
        <v>-0.03</v>
      </c>
      <c r="P1242">
        <v>760</v>
      </c>
      <c r="Q1242">
        <v>37</v>
      </c>
      <c r="R1242">
        <v>30</v>
      </c>
      <c r="S1242">
        <v>70</v>
      </c>
      <c r="T1242">
        <v>44</v>
      </c>
      <c r="U1242">
        <v>-0.03</v>
      </c>
      <c r="W1242">
        <f>DataLog_T717420_Aug11_4_59_37pm[[#This Row],[RPM '[1/MIN']]]-Table3[[#This Row],[580C]]</f>
        <v>0</v>
      </c>
      <c r="X1242">
        <f>DataLog_T717420_Aug11_4_59_37pm[[#This Row],[OIL TEMP '[Â°C']]]-Table3[[#This Row],[4402]]</f>
        <v>0</v>
      </c>
      <c r="Y1242">
        <f>DataLog_T717420_Aug11_4_59_37pm[[#This Row],[INTAKE TEMP '[Â°C']]]-Table3[[#This Row],[580F]]</f>
        <v>0</v>
      </c>
      <c r="Z1242">
        <f>DataLog_T717420_Aug11_4_59_37pm[[#This Row],[HPFP PRES. '[BAR']]]-Table3[[#This Row],[58F0]]</f>
        <v>0</v>
      </c>
      <c r="AA1242">
        <f>DataLog_T717420_Aug11_4_59_37pm[[#This Row],[COOLANT TEMP '[Â°C']]]-Table3[[#This Row],[5805]]</f>
        <v>0</v>
      </c>
      <c r="AB1242">
        <f>DataLog_T717420_Aug11_4_59_37pm[[#This Row],[BOOST '[BAR']]]-Table3[[#This Row],[58DD]]</f>
        <v>0</v>
      </c>
    </row>
    <row r="1243" spans="2:28" x14ac:dyDescent="0.25">
      <c r="B1243" s="2" t="s">
        <v>189</v>
      </c>
      <c r="C1243" s="2" t="s">
        <v>262</v>
      </c>
      <c r="D1243" s="2" t="s">
        <v>151</v>
      </c>
      <c r="E1243" s="2" t="s">
        <v>93</v>
      </c>
      <c r="F1243" s="2" t="s">
        <v>263</v>
      </c>
      <c r="G1243" s="2" t="s">
        <v>71</v>
      </c>
      <c r="I1243">
        <f>HEX2DEC(_0811_173439[[#This Row],[580C]])*B$4/B$5+B$6</f>
        <v>760</v>
      </c>
      <c r="J1243">
        <f>HEX2DEC(_0811_173439[[#This Row],[4402]])*C$4/C$5+C$6</f>
        <v>37</v>
      </c>
      <c r="K1243">
        <f>HEX2DEC(_0811_173439[[#This Row],[580F]])*D$4/D$5+D$6</f>
        <v>30</v>
      </c>
      <c r="L1243">
        <f>ROUND(HEX2DEC(_0811_173439[[#This Row],[58F0]])*E$4/E$5+E$6,0)</f>
        <v>70</v>
      </c>
      <c r="M1243">
        <f>ROUND(HEX2DEC(_0811_173439[[#This Row],[5805]])*F$4/F$5+F$6,0)</f>
        <v>44</v>
      </c>
      <c r="N1243">
        <f>ROUND(HEX2DEC(_0811_173439[[#This Row],[58DD]])*G$4/G$5+G$6,2)</f>
        <v>-0.03</v>
      </c>
      <c r="P1243">
        <v>760</v>
      </c>
      <c r="Q1243">
        <v>37</v>
      </c>
      <c r="R1243">
        <v>30</v>
      </c>
      <c r="S1243">
        <v>70</v>
      </c>
      <c r="T1243">
        <v>44</v>
      </c>
      <c r="U1243">
        <v>-0.03</v>
      </c>
      <c r="W1243">
        <f>DataLog_T717420_Aug11_4_59_37pm[[#This Row],[RPM '[1/MIN']]]-Table3[[#This Row],[580C]]</f>
        <v>0</v>
      </c>
      <c r="X1243">
        <f>DataLog_T717420_Aug11_4_59_37pm[[#This Row],[OIL TEMP '[Â°C']]]-Table3[[#This Row],[4402]]</f>
        <v>0</v>
      </c>
      <c r="Y1243">
        <f>DataLog_T717420_Aug11_4_59_37pm[[#This Row],[INTAKE TEMP '[Â°C']]]-Table3[[#This Row],[580F]]</f>
        <v>0</v>
      </c>
      <c r="Z1243">
        <f>DataLog_T717420_Aug11_4_59_37pm[[#This Row],[HPFP PRES. '[BAR']]]-Table3[[#This Row],[58F0]]</f>
        <v>0</v>
      </c>
      <c r="AA1243">
        <f>DataLog_T717420_Aug11_4_59_37pm[[#This Row],[COOLANT TEMP '[Â°C']]]-Table3[[#This Row],[5805]]</f>
        <v>0</v>
      </c>
      <c r="AB1243">
        <f>DataLog_T717420_Aug11_4_59_37pm[[#This Row],[BOOST '[BAR']]]-Table3[[#This Row],[58DD]]</f>
        <v>0</v>
      </c>
    </row>
    <row r="1244" spans="2:28" x14ac:dyDescent="0.25">
      <c r="B1244" s="2" t="s">
        <v>183</v>
      </c>
      <c r="C1244" s="2" t="s">
        <v>262</v>
      </c>
      <c r="D1244" s="2" t="s">
        <v>151</v>
      </c>
      <c r="E1244" s="2" t="s">
        <v>138</v>
      </c>
      <c r="F1244" s="2" t="s">
        <v>263</v>
      </c>
      <c r="G1244" s="2" t="s">
        <v>71</v>
      </c>
      <c r="I1244">
        <f>HEX2DEC(_0811_173439[[#This Row],[580C]])*B$4/B$5+B$6</f>
        <v>800</v>
      </c>
      <c r="J1244">
        <f>HEX2DEC(_0811_173439[[#This Row],[4402]])*C$4/C$5+C$6</f>
        <v>37</v>
      </c>
      <c r="K1244">
        <f>HEX2DEC(_0811_173439[[#This Row],[580F]])*D$4/D$5+D$6</f>
        <v>30</v>
      </c>
      <c r="L1244">
        <f>ROUND(HEX2DEC(_0811_173439[[#This Row],[58F0]])*E$4/E$5+E$6,0)</f>
        <v>70</v>
      </c>
      <c r="M1244">
        <f>ROUND(HEX2DEC(_0811_173439[[#This Row],[5805]])*F$4/F$5+F$6,0)</f>
        <v>44</v>
      </c>
      <c r="N1244">
        <f>ROUND(HEX2DEC(_0811_173439[[#This Row],[58DD]])*G$4/G$5+G$6,2)</f>
        <v>-0.03</v>
      </c>
      <c r="P1244">
        <v>800</v>
      </c>
      <c r="Q1244">
        <v>37</v>
      </c>
      <c r="R1244">
        <v>30</v>
      </c>
      <c r="S1244">
        <v>70</v>
      </c>
      <c r="T1244">
        <v>44</v>
      </c>
      <c r="U1244">
        <v>-0.03</v>
      </c>
      <c r="W1244">
        <f>DataLog_T717420_Aug11_4_59_37pm[[#This Row],[RPM '[1/MIN']]]-Table3[[#This Row],[580C]]</f>
        <v>0</v>
      </c>
      <c r="X1244">
        <f>DataLog_T717420_Aug11_4_59_37pm[[#This Row],[OIL TEMP '[Â°C']]]-Table3[[#This Row],[4402]]</f>
        <v>0</v>
      </c>
      <c r="Y1244">
        <f>DataLog_T717420_Aug11_4_59_37pm[[#This Row],[INTAKE TEMP '[Â°C']]]-Table3[[#This Row],[580F]]</f>
        <v>0</v>
      </c>
      <c r="Z1244">
        <f>DataLog_T717420_Aug11_4_59_37pm[[#This Row],[HPFP PRES. '[BAR']]]-Table3[[#This Row],[58F0]]</f>
        <v>0</v>
      </c>
      <c r="AA1244">
        <f>DataLog_T717420_Aug11_4_59_37pm[[#This Row],[COOLANT TEMP '[Â°C']]]-Table3[[#This Row],[5805]]</f>
        <v>0</v>
      </c>
      <c r="AB1244">
        <f>DataLog_T717420_Aug11_4_59_37pm[[#This Row],[BOOST '[BAR']]]-Table3[[#This Row],[58DD]]</f>
        <v>0</v>
      </c>
    </row>
    <row r="1245" spans="2:28" x14ac:dyDescent="0.25">
      <c r="B1245" s="2" t="s">
        <v>189</v>
      </c>
      <c r="C1245" s="2" t="s">
        <v>262</v>
      </c>
      <c r="D1245" s="2" t="s">
        <v>151</v>
      </c>
      <c r="E1245" s="2" t="s">
        <v>152</v>
      </c>
      <c r="F1245" s="2" t="s">
        <v>263</v>
      </c>
      <c r="G1245" s="2" t="s">
        <v>71</v>
      </c>
      <c r="I1245">
        <f>HEX2DEC(_0811_173439[[#This Row],[580C]])*B$4/B$5+B$6</f>
        <v>760</v>
      </c>
      <c r="J1245">
        <f>HEX2DEC(_0811_173439[[#This Row],[4402]])*C$4/C$5+C$6</f>
        <v>37</v>
      </c>
      <c r="K1245">
        <f>HEX2DEC(_0811_173439[[#This Row],[580F]])*D$4/D$5+D$6</f>
        <v>30</v>
      </c>
      <c r="L1245">
        <f>ROUND(HEX2DEC(_0811_173439[[#This Row],[58F0]])*E$4/E$5+E$6,0)</f>
        <v>70</v>
      </c>
      <c r="M1245">
        <f>ROUND(HEX2DEC(_0811_173439[[#This Row],[5805]])*F$4/F$5+F$6,0)</f>
        <v>44</v>
      </c>
      <c r="N1245">
        <f>ROUND(HEX2DEC(_0811_173439[[#This Row],[58DD]])*G$4/G$5+G$6,2)</f>
        <v>-0.03</v>
      </c>
      <c r="P1245">
        <v>760</v>
      </c>
      <c r="Q1245">
        <v>37</v>
      </c>
      <c r="R1245">
        <v>30</v>
      </c>
      <c r="S1245">
        <v>70</v>
      </c>
      <c r="T1245">
        <v>44</v>
      </c>
      <c r="U1245">
        <v>-0.03</v>
      </c>
      <c r="W1245">
        <f>DataLog_T717420_Aug11_4_59_37pm[[#This Row],[RPM '[1/MIN']]]-Table3[[#This Row],[580C]]</f>
        <v>0</v>
      </c>
      <c r="X1245">
        <f>DataLog_T717420_Aug11_4_59_37pm[[#This Row],[OIL TEMP '[Â°C']]]-Table3[[#This Row],[4402]]</f>
        <v>0</v>
      </c>
      <c r="Y1245">
        <f>DataLog_T717420_Aug11_4_59_37pm[[#This Row],[INTAKE TEMP '[Â°C']]]-Table3[[#This Row],[580F]]</f>
        <v>0</v>
      </c>
      <c r="Z1245">
        <f>DataLog_T717420_Aug11_4_59_37pm[[#This Row],[HPFP PRES. '[BAR']]]-Table3[[#This Row],[58F0]]</f>
        <v>0</v>
      </c>
      <c r="AA1245">
        <f>DataLog_T717420_Aug11_4_59_37pm[[#This Row],[COOLANT TEMP '[Â°C']]]-Table3[[#This Row],[5805]]</f>
        <v>0</v>
      </c>
      <c r="AB1245">
        <f>DataLog_T717420_Aug11_4_59_37pm[[#This Row],[BOOST '[BAR']]]-Table3[[#This Row],[58DD]]</f>
        <v>0</v>
      </c>
    </row>
    <row r="1246" spans="2:28" x14ac:dyDescent="0.25">
      <c r="B1246" s="2" t="s">
        <v>189</v>
      </c>
      <c r="C1246" s="2" t="s">
        <v>262</v>
      </c>
      <c r="D1246" s="2" t="s">
        <v>151</v>
      </c>
      <c r="E1246" s="2" t="s">
        <v>93</v>
      </c>
      <c r="F1246" s="2" t="s">
        <v>263</v>
      </c>
      <c r="G1246" s="2" t="s">
        <v>71</v>
      </c>
      <c r="I1246">
        <f>HEX2DEC(_0811_173439[[#This Row],[580C]])*B$4/B$5+B$6</f>
        <v>760</v>
      </c>
      <c r="J1246">
        <f>HEX2DEC(_0811_173439[[#This Row],[4402]])*C$4/C$5+C$6</f>
        <v>37</v>
      </c>
      <c r="K1246">
        <f>HEX2DEC(_0811_173439[[#This Row],[580F]])*D$4/D$5+D$6</f>
        <v>30</v>
      </c>
      <c r="L1246">
        <f>ROUND(HEX2DEC(_0811_173439[[#This Row],[58F0]])*E$4/E$5+E$6,0)</f>
        <v>70</v>
      </c>
      <c r="M1246">
        <f>ROUND(HEX2DEC(_0811_173439[[#This Row],[5805]])*F$4/F$5+F$6,0)</f>
        <v>44</v>
      </c>
      <c r="N1246">
        <f>ROUND(HEX2DEC(_0811_173439[[#This Row],[58DD]])*G$4/G$5+G$6,2)</f>
        <v>-0.03</v>
      </c>
      <c r="P1246">
        <v>760</v>
      </c>
      <c r="Q1246">
        <v>37</v>
      </c>
      <c r="R1246">
        <v>30</v>
      </c>
      <c r="S1246">
        <v>70</v>
      </c>
      <c r="T1246">
        <v>44</v>
      </c>
      <c r="U1246">
        <v>-0.03</v>
      </c>
      <c r="W1246">
        <f>DataLog_T717420_Aug11_4_59_37pm[[#This Row],[RPM '[1/MIN']]]-Table3[[#This Row],[580C]]</f>
        <v>0</v>
      </c>
      <c r="X1246">
        <f>DataLog_T717420_Aug11_4_59_37pm[[#This Row],[OIL TEMP '[Â°C']]]-Table3[[#This Row],[4402]]</f>
        <v>0</v>
      </c>
      <c r="Y1246">
        <f>DataLog_T717420_Aug11_4_59_37pm[[#This Row],[INTAKE TEMP '[Â°C']]]-Table3[[#This Row],[580F]]</f>
        <v>0</v>
      </c>
      <c r="Z1246">
        <f>DataLog_T717420_Aug11_4_59_37pm[[#This Row],[HPFP PRES. '[BAR']]]-Table3[[#This Row],[58F0]]</f>
        <v>0</v>
      </c>
      <c r="AA1246">
        <f>DataLog_T717420_Aug11_4_59_37pm[[#This Row],[COOLANT TEMP '[Â°C']]]-Table3[[#This Row],[5805]]</f>
        <v>0</v>
      </c>
      <c r="AB1246">
        <f>DataLog_T717420_Aug11_4_59_37pm[[#This Row],[BOOST '[BAR']]]-Table3[[#This Row],[58DD]]</f>
        <v>0</v>
      </c>
    </row>
    <row r="1247" spans="2:28" x14ac:dyDescent="0.25">
      <c r="B1247" s="2" t="s">
        <v>189</v>
      </c>
      <c r="C1247" s="2" t="s">
        <v>262</v>
      </c>
      <c r="D1247" s="2" t="s">
        <v>151</v>
      </c>
      <c r="E1247" s="2" t="s">
        <v>198</v>
      </c>
      <c r="F1247" s="2" t="s">
        <v>263</v>
      </c>
      <c r="G1247" s="2" t="s">
        <v>96</v>
      </c>
      <c r="I1247">
        <f>HEX2DEC(_0811_173439[[#This Row],[580C]])*B$4/B$5+B$6</f>
        <v>760</v>
      </c>
      <c r="J1247">
        <f>HEX2DEC(_0811_173439[[#This Row],[4402]])*C$4/C$5+C$6</f>
        <v>37</v>
      </c>
      <c r="K1247">
        <f>HEX2DEC(_0811_173439[[#This Row],[580F]])*D$4/D$5+D$6</f>
        <v>30</v>
      </c>
      <c r="L1247">
        <f>ROUND(HEX2DEC(_0811_173439[[#This Row],[58F0]])*E$4/E$5+E$6,0)</f>
        <v>70</v>
      </c>
      <c r="M1247">
        <f>ROUND(HEX2DEC(_0811_173439[[#This Row],[5805]])*F$4/F$5+F$6,0)</f>
        <v>44</v>
      </c>
      <c r="N1247">
        <f>ROUND(HEX2DEC(_0811_173439[[#This Row],[58DD]])*G$4/G$5+G$6,2)</f>
        <v>-0.03</v>
      </c>
      <c r="P1247">
        <v>760</v>
      </c>
      <c r="Q1247">
        <v>37</v>
      </c>
      <c r="R1247">
        <v>30</v>
      </c>
      <c r="S1247">
        <v>70</v>
      </c>
      <c r="T1247">
        <v>44</v>
      </c>
      <c r="U1247">
        <v>-0.03</v>
      </c>
      <c r="W1247">
        <f>DataLog_T717420_Aug11_4_59_37pm[[#This Row],[RPM '[1/MIN']]]-Table3[[#This Row],[580C]]</f>
        <v>0</v>
      </c>
      <c r="X1247">
        <f>DataLog_T717420_Aug11_4_59_37pm[[#This Row],[OIL TEMP '[Â°C']]]-Table3[[#This Row],[4402]]</f>
        <v>0</v>
      </c>
      <c r="Y1247">
        <f>DataLog_T717420_Aug11_4_59_37pm[[#This Row],[INTAKE TEMP '[Â°C']]]-Table3[[#This Row],[580F]]</f>
        <v>0</v>
      </c>
      <c r="Z1247">
        <f>DataLog_T717420_Aug11_4_59_37pm[[#This Row],[HPFP PRES. '[BAR']]]-Table3[[#This Row],[58F0]]</f>
        <v>0</v>
      </c>
      <c r="AA1247">
        <f>DataLog_T717420_Aug11_4_59_37pm[[#This Row],[COOLANT TEMP '[Â°C']]]-Table3[[#This Row],[5805]]</f>
        <v>0</v>
      </c>
      <c r="AB1247">
        <f>DataLog_T717420_Aug11_4_59_37pm[[#This Row],[BOOST '[BAR']]]-Table3[[#This Row],[58DD]]</f>
        <v>0</v>
      </c>
    </row>
    <row r="1248" spans="2:28" x14ac:dyDescent="0.25">
      <c r="B1248" s="2" t="s">
        <v>189</v>
      </c>
      <c r="C1248" s="2" t="s">
        <v>262</v>
      </c>
      <c r="D1248" s="2" t="s">
        <v>151</v>
      </c>
      <c r="E1248" s="2" t="s">
        <v>93</v>
      </c>
      <c r="F1248" s="2" t="s">
        <v>263</v>
      </c>
      <c r="G1248" s="2" t="s">
        <v>216</v>
      </c>
      <c r="I1248">
        <f>HEX2DEC(_0811_173439[[#This Row],[580C]])*B$4/B$5+B$6</f>
        <v>760</v>
      </c>
      <c r="J1248">
        <f>HEX2DEC(_0811_173439[[#This Row],[4402]])*C$4/C$5+C$6</f>
        <v>37</v>
      </c>
      <c r="K1248">
        <f>HEX2DEC(_0811_173439[[#This Row],[580F]])*D$4/D$5+D$6</f>
        <v>30</v>
      </c>
      <c r="L1248">
        <f>ROUND(HEX2DEC(_0811_173439[[#This Row],[58F0]])*E$4/E$5+E$6,0)</f>
        <v>70</v>
      </c>
      <c r="M1248">
        <f>ROUND(HEX2DEC(_0811_173439[[#This Row],[5805]])*F$4/F$5+F$6,0)</f>
        <v>44</v>
      </c>
      <c r="N1248">
        <f>ROUND(HEX2DEC(_0811_173439[[#This Row],[58DD]])*G$4/G$5+G$6,2)</f>
        <v>-0.03</v>
      </c>
      <c r="P1248">
        <v>760</v>
      </c>
      <c r="Q1248">
        <v>37</v>
      </c>
      <c r="R1248">
        <v>30</v>
      </c>
      <c r="S1248">
        <v>70</v>
      </c>
      <c r="T1248">
        <v>44</v>
      </c>
      <c r="U1248">
        <v>-0.03</v>
      </c>
      <c r="W1248">
        <f>DataLog_T717420_Aug11_4_59_37pm[[#This Row],[RPM '[1/MIN']]]-Table3[[#This Row],[580C]]</f>
        <v>0</v>
      </c>
      <c r="X1248">
        <f>DataLog_T717420_Aug11_4_59_37pm[[#This Row],[OIL TEMP '[Â°C']]]-Table3[[#This Row],[4402]]</f>
        <v>0</v>
      </c>
      <c r="Y1248">
        <f>DataLog_T717420_Aug11_4_59_37pm[[#This Row],[INTAKE TEMP '[Â°C']]]-Table3[[#This Row],[580F]]</f>
        <v>0</v>
      </c>
      <c r="Z1248">
        <f>DataLog_T717420_Aug11_4_59_37pm[[#This Row],[HPFP PRES. '[BAR']]]-Table3[[#This Row],[58F0]]</f>
        <v>0</v>
      </c>
      <c r="AA1248">
        <f>DataLog_T717420_Aug11_4_59_37pm[[#This Row],[COOLANT TEMP '[Â°C']]]-Table3[[#This Row],[5805]]</f>
        <v>0</v>
      </c>
      <c r="AB1248">
        <f>DataLog_T717420_Aug11_4_59_37pm[[#This Row],[BOOST '[BAR']]]-Table3[[#This Row],[58DD]]</f>
        <v>0</v>
      </c>
    </row>
    <row r="1249" spans="2:28" x14ac:dyDescent="0.25">
      <c r="B1249" s="2" t="s">
        <v>183</v>
      </c>
      <c r="C1249" s="2" t="s">
        <v>262</v>
      </c>
      <c r="D1249" s="2" t="s">
        <v>151</v>
      </c>
      <c r="E1249" s="2" t="s">
        <v>93</v>
      </c>
      <c r="F1249" s="2" t="s">
        <v>263</v>
      </c>
      <c r="G1249" s="2" t="s">
        <v>96</v>
      </c>
      <c r="I1249">
        <f>HEX2DEC(_0811_173439[[#This Row],[580C]])*B$4/B$5+B$6</f>
        <v>800</v>
      </c>
      <c r="J1249">
        <f>HEX2DEC(_0811_173439[[#This Row],[4402]])*C$4/C$5+C$6</f>
        <v>37</v>
      </c>
      <c r="K1249">
        <f>HEX2DEC(_0811_173439[[#This Row],[580F]])*D$4/D$5+D$6</f>
        <v>30</v>
      </c>
      <c r="L1249">
        <f>ROUND(HEX2DEC(_0811_173439[[#This Row],[58F0]])*E$4/E$5+E$6,0)</f>
        <v>70</v>
      </c>
      <c r="M1249">
        <f>ROUND(HEX2DEC(_0811_173439[[#This Row],[5805]])*F$4/F$5+F$6,0)</f>
        <v>44</v>
      </c>
      <c r="N1249">
        <f>ROUND(HEX2DEC(_0811_173439[[#This Row],[58DD]])*G$4/G$5+G$6,2)</f>
        <v>-0.03</v>
      </c>
      <c r="P1249">
        <v>800</v>
      </c>
      <c r="Q1249">
        <v>37</v>
      </c>
      <c r="R1249">
        <v>30</v>
      </c>
      <c r="S1249">
        <v>70</v>
      </c>
      <c r="T1249">
        <v>44</v>
      </c>
      <c r="U1249">
        <v>-0.03</v>
      </c>
      <c r="W1249">
        <f>DataLog_T717420_Aug11_4_59_37pm[[#This Row],[RPM '[1/MIN']]]-Table3[[#This Row],[580C]]</f>
        <v>0</v>
      </c>
      <c r="X1249">
        <f>DataLog_T717420_Aug11_4_59_37pm[[#This Row],[OIL TEMP '[Â°C']]]-Table3[[#This Row],[4402]]</f>
        <v>0</v>
      </c>
      <c r="Y1249">
        <f>DataLog_T717420_Aug11_4_59_37pm[[#This Row],[INTAKE TEMP '[Â°C']]]-Table3[[#This Row],[580F]]</f>
        <v>0</v>
      </c>
      <c r="Z1249">
        <f>DataLog_T717420_Aug11_4_59_37pm[[#This Row],[HPFP PRES. '[BAR']]]-Table3[[#This Row],[58F0]]</f>
        <v>0</v>
      </c>
      <c r="AA1249">
        <f>DataLog_T717420_Aug11_4_59_37pm[[#This Row],[COOLANT TEMP '[Â°C']]]-Table3[[#This Row],[5805]]</f>
        <v>0</v>
      </c>
      <c r="AB1249">
        <f>DataLog_T717420_Aug11_4_59_37pm[[#This Row],[BOOST '[BAR']]]-Table3[[#This Row],[58DD]]</f>
        <v>0</v>
      </c>
    </row>
    <row r="1250" spans="2:28" x14ac:dyDescent="0.25">
      <c r="B1250" s="2" t="s">
        <v>183</v>
      </c>
      <c r="C1250" s="2" t="s">
        <v>262</v>
      </c>
      <c r="D1250" s="2" t="s">
        <v>151</v>
      </c>
      <c r="E1250" s="2" t="s">
        <v>194</v>
      </c>
      <c r="F1250" s="2" t="s">
        <v>263</v>
      </c>
      <c r="G1250" s="2" t="s">
        <v>245</v>
      </c>
      <c r="I1250">
        <f>HEX2DEC(_0811_173439[[#This Row],[580C]])*B$4/B$5+B$6</f>
        <v>800</v>
      </c>
      <c r="J1250">
        <f>HEX2DEC(_0811_173439[[#This Row],[4402]])*C$4/C$5+C$6</f>
        <v>37</v>
      </c>
      <c r="K1250">
        <f>HEX2DEC(_0811_173439[[#This Row],[580F]])*D$4/D$5+D$6</f>
        <v>30</v>
      </c>
      <c r="L1250">
        <f>ROUND(HEX2DEC(_0811_173439[[#This Row],[58F0]])*E$4/E$5+E$6,0)</f>
        <v>70</v>
      </c>
      <c r="M1250">
        <f>ROUND(HEX2DEC(_0811_173439[[#This Row],[5805]])*F$4/F$5+F$6,0)</f>
        <v>44</v>
      </c>
      <c r="N1250">
        <f>ROUND(HEX2DEC(_0811_173439[[#This Row],[58DD]])*G$4/G$5+G$6,2)</f>
        <v>-0.03</v>
      </c>
      <c r="P1250">
        <v>800</v>
      </c>
      <c r="Q1250">
        <v>37</v>
      </c>
      <c r="R1250">
        <v>30</v>
      </c>
      <c r="S1250">
        <v>70</v>
      </c>
      <c r="T1250">
        <v>44</v>
      </c>
      <c r="U1250">
        <v>-0.03</v>
      </c>
      <c r="W1250">
        <f>DataLog_T717420_Aug11_4_59_37pm[[#This Row],[RPM '[1/MIN']]]-Table3[[#This Row],[580C]]</f>
        <v>0</v>
      </c>
      <c r="X1250">
        <f>DataLog_T717420_Aug11_4_59_37pm[[#This Row],[OIL TEMP '[Â°C']]]-Table3[[#This Row],[4402]]</f>
        <v>0</v>
      </c>
      <c r="Y1250">
        <f>DataLog_T717420_Aug11_4_59_37pm[[#This Row],[INTAKE TEMP '[Â°C']]]-Table3[[#This Row],[580F]]</f>
        <v>0</v>
      </c>
      <c r="Z1250">
        <f>DataLog_T717420_Aug11_4_59_37pm[[#This Row],[HPFP PRES. '[BAR']]]-Table3[[#This Row],[58F0]]</f>
        <v>0</v>
      </c>
      <c r="AA1250">
        <f>DataLog_T717420_Aug11_4_59_37pm[[#This Row],[COOLANT TEMP '[Â°C']]]-Table3[[#This Row],[5805]]</f>
        <v>0</v>
      </c>
      <c r="AB1250">
        <f>DataLog_T717420_Aug11_4_59_37pm[[#This Row],[BOOST '[BAR']]]-Table3[[#This Row],[58DD]]</f>
        <v>0</v>
      </c>
    </row>
    <row r="1251" spans="2:28" x14ac:dyDescent="0.25">
      <c r="B1251" s="2" t="s">
        <v>183</v>
      </c>
      <c r="C1251" s="2" t="s">
        <v>262</v>
      </c>
      <c r="D1251" s="2" t="s">
        <v>151</v>
      </c>
      <c r="E1251" s="2" t="s">
        <v>93</v>
      </c>
      <c r="F1251" s="2" t="s">
        <v>263</v>
      </c>
      <c r="G1251" s="2" t="s">
        <v>235</v>
      </c>
      <c r="I1251">
        <f>HEX2DEC(_0811_173439[[#This Row],[580C]])*B$4/B$5+B$6</f>
        <v>800</v>
      </c>
      <c r="J1251">
        <f>HEX2DEC(_0811_173439[[#This Row],[4402]])*C$4/C$5+C$6</f>
        <v>37</v>
      </c>
      <c r="K1251">
        <f>HEX2DEC(_0811_173439[[#This Row],[580F]])*D$4/D$5+D$6</f>
        <v>30</v>
      </c>
      <c r="L1251">
        <f>ROUND(HEX2DEC(_0811_173439[[#This Row],[58F0]])*E$4/E$5+E$6,0)</f>
        <v>70</v>
      </c>
      <c r="M1251">
        <f>ROUND(HEX2DEC(_0811_173439[[#This Row],[5805]])*F$4/F$5+F$6,0)</f>
        <v>44</v>
      </c>
      <c r="N1251">
        <f>ROUND(HEX2DEC(_0811_173439[[#This Row],[58DD]])*G$4/G$5+G$6,2)</f>
        <v>-0.03</v>
      </c>
      <c r="P1251">
        <v>800</v>
      </c>
      <c r="Q1251">
        <v>37</v>
      </c>
      <c r="R1251">
        <v>30</v>
      </c>
      <c r="S1251">
        <v>70</v>
      </c>
      <c r="T1251">
        <v>44</v>
      </c>
      <c r="U1251">
        <v>-0.03</v>
      </c>
      <c r="W1251">
        <f>DataLog_T717420_Aug11_4_59_37pm[[#This Row],[RPM '[1/MIN']]]-Table3[[#This Row],[580C]]</f>
        <v>0</v>
      </c>
      <c r="X1251">
        <f>DataLog_T717420_Aug11_4_59_37pm[[#This Row],[OIL TEMP '[Â°C']]]-Table3[[#This Row],[4402]]</f>
        <v>0</v>
      </c>
      <c r="Y1251">
        <f>DataLog_T717420_Aug11_4_59_37pm[[#This Row],[INTAKE TEMP '[Â°C']]]-Table3[[#This Row],[580F]]</f>
        <v>0</v>
      </c>
      <c r="Z1251">
        <f>DataLog_T717420_Aug11_4_59_37pm[[#This Row],[HPFP PRES. '[BAR']]]-Table3[[#This Row],[58F0]]</f>
        <v>0</v>
      </c>
      <c r="AA1251">
        <f>DataLog_T717420_Aug11_4_59_37pm[[#This Row],[COOLANT TEMP '[Â°C']]]-Table3[[#This Row],[5805]]</f>
        <v>0</v>
      </c>
      <c r="AB1251">
        <f>DataLog_T717420_Aug11_4_59_37pm[[#This Row],[BOOST '[BAR']]]-Table3[[#This Row],[58DD]]</f>
        <v>0</v>
      </c>
    </row>
    <row r="1252" spans="2:28" x14ac:dyDescent="0.25">
      <c r="B1252" s="2" t="s">
        <v>183</v>
      </c>
      <c r="C1252" s="2" t="s">
        <v>262</v>
      </c>
      <c r="D1252" s="2" t="s">
        <v>151</v>
      </c>
      <c r="E1252" s="2" t="s">
        <v>93</v>
      </c>
      <c r="F1252" s="2" t="s">
        <v>263</v>
      </c>
      <c r="G1252" s="2" t="s">
        <v>250</v>
      </c>
      <c r="I1252">
        <f>HEX2DEC(_0811_173439[[#This Row],[580C]])*B$4/B$5+B$6</f>
        <v>800</v>
      </c>
      <c r="J1252">
        <f>HEX2DEC(_0811_173439[[#This Row],[4402]])*C$4/C$5+C$6</f>
        <v>37</v>
      </c>
      <c r="K1252">
        <f>HEX2DEC(_0811_173439[[#This Row],[580F]])*D$4/D$5+D$6</f>
        <v>30</v>
      </c>
      <c r="L1252">
        <f>ROUND(HEX2DEC(_0811_173439[[#This Row],[58F0]])*E$4/E$5+E$6,0)</f>
        <v>70</v>
      </c>
      <c r="M1252">
        <f>ROUND(HEX2DEC(_0811_173439[[#This Row],[5805]])*F$4/F$5+F$6,0)</f>
        <v>44</v>
      </c>
      <c r="N1252">
        <f>ROUND(HEX2DEC(_0811_173439[[#This Row],[58DD]])*G$4/G$5+G$6,2)</f>
        <v>-0.03</v>
      </c>
      <c r="P1252">
        <v>800</v>
      </c>
      <c r="Q1252">
        <v>37</v>
      </c>
      <c r="R1252">
        <v>30</v>
      </c>
      <c r="S1252">
        <v>70</v>
      </c>
      <c r="T1252">
        <v>44</v>
      </c>
      <c r="U1252">
        <v>-0.03</v>
      </c>
      <c r="W1252">
        <f>DataLog_T717420_Aug11_4_59_37pm[[#This Row],[RPM '[1/MIN']]]-Table3[[#This Row],[580C]]</f>
        <v>0</v>
      </c>
      <c r="X1252">
        <f>DataLog_T717420_Aug11_4_59_37pm[[#This Row],[OIL TEMP '[Â°C']]]-Table3[[#This Row],[4402]]</f>
        <v>0</v>
      </c>
      <c r="Y1252">
        <f>DataLog_T717420_Aug11_4_59_37pm[[#This Row],[INTAKE TEMP '[Â°C']]]-Table3[[#This Row],[580F]]</f>
        <v>0</v>
      </c>
      <c r="Z1252">
        <f>DataLog_T717420_Aug11_4_59_37pm[[#This Row],[HPFP PRES. '[BAR']]]-Table3[[#This Row],[58F0]]</f>
        <v>0</v>
      </c>
      <c r="AA1252">
        <f>DataLog_T717420_Aug11_4_59_37pm[[#This Row],[COOLANT TEMP '[Â°C']]]-Table3[[#This Row],[5805]]</f>
        <v>0</v>
      </c>
      <c r="AB1252">
        <f>DataLog_T717420_Aug11_4_59_37pm[[#This Row],[BOOST '[BAR']]]-Table3[[#This Row],[58DD]]</f>
        <v>0</v>
      </c>
    </row>
    <row r="1253" spans="2:28" x14ac:dyDescent="0.25">
      <c r="B1253" s="2" t="s">
        <v>183</v>
      </c>
      <c r="C1253" s="2" t="s">
        <v>262</v>
      </c>
      <c r="D1253" s="2" t="s">
        <v>151</v>
      </c>
      <c r="E1253" s="2" t="s">
        <v>214</v>
      </c>
      <c r="F1253" s="2" t="s">
        <v>263</v>
      </c>
      <c r="G1253" s="2" t="s">
        <v>247</v>
      </c>
      <c r="I1253">
        <f>HEX2DEC(_0811_173439[[#This Row],[580C]])*B$4/B$5+B$6</f>
        <v>800</v>
      </c>
      <c r="J1253">
        <f>HEX2DEC(_0811_173439[[#This Row],[4402]])*C$4/C$5+C$6</f>
        <v>37</v>
      </c>
      <c r="K1253">
        <f>HEX2DEC(_0811_173439[[#This Row],[580F]])*D$4/D$5+D$6</f>
        <v>30</v>
      </c>
      <c r="L1253">
        <f>ROUND(HEX2DEC(_0811_173439[[#This Row],[58F0]])*E$4/E$5+E$6,0)</f>
        <v>70</v>
      </c>
      <c r="M1253">
        <f>ROUND(HEX2DEC(_0811_173439[[#This Row],[5805]])*F$4/F$5+F$6,0)</f>
        <v>44</v>
      </c>
      <c r="N1253">
        <f>ROUND(HEX2DEC(_0811_173439[[#This Row],[58DD]])*G$4/G$5+G$6,2)</f>
        <v>-0.03</v>
      </c>
      <c r="P1253">
        <v>800</v>
      </c>
      <c r="Q1253">
        <v>37</v>
      </c>
      <c r="R1253">
        <v>30</v>
      </c>
      <c r="S1253">
        <v>70</v>
      </c>
      <c r="T1253">
        <v>44</v>
      </c>
      <c r="U1253">
        <v>-0.03</v>
      </c>
      <c r="W1253">
        <f>DataLog_T717420_Aug11_4_59_37pm[[#This Row],[RPM '[1/MIN']]]-Table3[[#This Row],[580C]]</f>
        <v>0</v>
      </c>
      <c r="X1253">
        <f>DataLog_T717420_Aug11_4_59_37pm[[#This Row],[OIL TEMP '[Â°C']]]-Table3[[#This Row],[4402]]</f>
        <v>0</v>
      </c>
      <c r="Y1253">
        <f>DataLog_T717420_Aug11_4_59_37pm[[#This Row],[INTAKE TEMP '[Â°C']]]-Table3[[#This Row],[580F]]</f>
        <v>0</v>
      </c>
      <c r="Z1253">
        <f>DataLog_T717420_Aug11_4_59_37pm[[#This Row],[HPFP PRES. '[BAR']]]-Table3[[#This Row],[58F0]]</f>
        <v>0</v>
      </c>
      <c r="AA1253">
        <f>DataLog_T717420_Aug11_4_59_37pm[[#This Row],[COOLANT TEMP '[Â°C']]]-Table3[[#This Row],[5805]]</f>
        <v>0</v>
      </c>
      <c r="AB1253">
        <f>DataLog_T717420_Aug11_4_59_37pm[[#This Row],[BOOST '[BAR']]]-Table3[[#This Row],[58DD]]</f>
        <v>0</v>
      </c>
    </row>
    <row r="1254" spans="2:28" x14ac:dyDescent="0.25">
      <c r="B1254" s="2" t="s">
        <v>183</v>
      </c>
      <c r="C1254" s="2" t="s">
        <v>262</v>
      </c>
      <c r="D1254" s="2" t="s">
        <v>151</v>
      </c>
      <c r="E1254" s="2" t="s">
        <v>93</v>
      </c>
      <c r="F1254" s="2" t="s">
        <v>263</v>
      </c>
      <c r="G1254" s="2" t="s">
        <v>236</v>
      </c>
      <c r="I1254">
        <f>HEX2DEC(_0811_173439[[#This Row],[580C]])*B$4/B$5+B$6</f>
        <v>800</v>
      </c>
      <c r="J1254">
        <f>HEX2DEC(_0811_173439[[#This Row],[4402]])*C$4/C$5+C$6</f>
        <v>37</v>
      </c>
      <c r="K1254">
        <f>HEX2DEC(_0811_173439[[#This Row],[580F]])*D$4/D$5+D$6</f>
        <v>30</v>
      </c>
      <c r="L1254">
        <f>ROUND(HEX2DEC(_0811_173439[[#This Row],[58F0]])*E$4/E$5+E$6,0)</f>
        <v>70</v>
      </c>
      <c r="M1254">
        <f>ROUND(HEX2DEC(_0811_173439[[#This Row],[5805]])*F$4/F$5+F$6,0)</f>
        <v>44</v>
      </c>
      <c r="N1254">
        <f>ROUND(HEX2DEC(_0811_173439[[#This Row],[58DD]])*G$4/G$5+G$6,2)</f>
        <v>-0.03</v>
      </c>
      <c r="P1254">
        <v>800</v>
      </c>
      <c r="Q1254">
        <v>37</v>
      </c>
      <c r="R1254">
        <v>30</v>
      </c>
      <c r="S1254">
        <v>70</v>
      </c>
      <c r="T1254">
        <v>44</v>
      </c>
      <c r="U1254">
        <v>-0.03</v>
      </c>
      <c r="W1254">
        <f>DataLog_T717420_Aug11_4_59_37pm[[#This Row],[RPM '[1/MIN']]]-Table3[[#This Row],[580C]]</f>
        <v>0</v>
      </c>
      <c r="X1254">
        <f>DataLog_T717420_Aug11_4_59_37pm[[#This Row],[OIL TEMP '[Â°C']]]-Table3[[#This Row],[4402]]</f>
        <v>0</v>
      </c>
      <c r="Y1254">
        <f>DataLog_T717420_Aug11_4_59_37pm[[#This Row],[INTAKE TEMP '[Â°C']]]-Table3[[#This Row],[580F]]</f>
        <v>0</v>
      </c>
      <c r="Z1254">
        <f>DataLog_T717420_Aug11_4_59_37pm[[#This Row],[HPFP PRES. '[BAR']]]-Table3[[#This Row],[58F0]]</f>
        <v>0</v>
      </c>
      <c r="AA1254">
        <f>DataLog_T717420_Aug11_4_59_37pm[[#This Row],[COOLANT TEMP '[Â°C']]]-Table3[[#This Row],[5805]]</f>
        <v>0</v>
      </c>
      <c r="AB1254">
        <f>DataLog_T717420_Aug11_4_59_37pm[[#This Row],[BOOST '[BAR']]]-Table3[[#This Row],[58DD]]</f>
        <v>0</v>
      </c>
    </row>
    <row r="1255" spans="2:28" x14ac:dyDescent="0.25">
      <c r="B1255" s="2" t="s">
        <v>183</v>
      </c>
      <c r="C1255" s="2" t="s">
        <v>262</v>
      </c>
      <c r="D1255" s="2" t="s">
        <v>151</v>
      </c>
      <c r="E1255" s="2" t="s">
        <v>93</v>
      </c>
      <c r="F1255" s="2" t="s">
        <v>263</v>
      </c>
      <c r="G1255" s="2" t="s">
        <v>255</v>
      </c>
      <c r="I1255">
        <f>HEX2DEC(_0811_173439[[#This Row],[580C]])*B$4/B$5+B$6</f>
        <v>800</v>
      </c>
      <c r="J1255">
        <f>HEX2DEC(_0811_173439[[#This Row],[4402]])*C$4/C$5+C$6</f>
        <v>37</v>
      </c>
      <c r="K1255">
        <f>HEX2DEC(_0811_173439[[#This Row],[580F]])*D$4/D$5+D$6</f>
        <v>30</v>
      </c>
      <c r="L1255">
        <f>ROUND(HEX2DEC(_0811_173439[[#This Row],[58F0]])*E$4/E$5+E$6,0)</f>
        <v>70</v>
      </c>
      <c r="M1255">
        <f>ROUND(HEX2DEC(_0811_173439[[#This Row],[5805]])*F$4/F$5+F$6,0)</f>
        <v>44</v>
      </c>
      <c r="N1255">
        <f>ROUND(HEX2DEC(_0811_173439[[#This Row],[58DD]])*G$4/G$5+G$6,2)</f>
        <v>-0.03</v>
      </c>
      <c r="P1255">
        <v>800</v>
      </c>
      <c r="Q1255">
        <v>37</v>
      </c>
      <c r="R1255">
        <v>30</v>
      </c>
      <c r="S1255">
        <v>70</v>
      </c>
      <c r="T1255">
        <v>44</v>
      </c>
      <c r="U1255">
        <v>-0.03</v>
      </c>
      <c r="W1255">
        <f>DataLog_T717420_Aug11_4_59_37pm[[#This Row],[RPM '[1/MIN']]]-Table3[[#This Row],[580C]]</f>
        <v>0</v>
      </c>
      <c r="X1255">
        <f>DataLog_T717420_Aug11_4_59_37pm[[#This Row],[OIL TEMP '[Â°C']]]-Table3[[#This Row],[4402]]</f>
        <v>0</v>
      </c>
      <c r="Y1255">
        <f>DataLog_T717420_Aug11_4_59_37pm[[#This Row],[INTAKE TEMP '[Â°C']]]-Table3[[#This Row],[580F]]</f>
        <v>0</v>
      </c>
      <c r="Z1255">
        <f>DataLog_T717420_Aug11_4_59_37pm[[#This Row],[HPFP PRES. '[BAR']]]-Table3[[#This Row],[58F0]]</f>
        <v>0</v>
      </c>
      <c r="AA1255">
        <f>DataLog_T717420_Aug11_4_59_37pm[[#This Row],[COOLANT TEMP '[Â°C']]]-Table3[[#This Row],[5805]]</f>
        <v>0</v>
      </c>
      <c r="AB1255">
        <f>DataLog_T717420_Aug11_4_59_37pm[[#This Row],[BOOST '[BAR']]]-Table3[[#This Row],[58DD]]</f>
        <v>0</v>
      </c>
    </row>
    <row r="1256" spans="2:28" x14ac:dyDescent="0.25">
      <c r="B1256" s="2" t="s">
        <v>183</v>
      </c>
      <c r="C1256" s="2" t="s">
        <v>262</v>
      </c>
      <c r="D1256" s="2" t="s">
        <v>151</v>
      </c>
      <c r="E1256" s="2" t="s">
        <v>149</v>
      </c>
      <c r="F1256" s="2" t="s">
        <v>263</v>
      </c>
      <c r="G1256" s="2" t="s">
        <v>90</v>
      </c>
      <c r="I1256">
        <f>HEX2DEC(_0811_173439[[#This Row],[580C]])*B$4/B$5+B$6</f>
        <v>800</v>
      </c>
      <c r="J1256">
        <f>HEX2DEC(_0811_173439[[#This Row],[4402]])*C$4/C$5+C$6</f>
        <v>37</v>
      </c>
      <c r="K1256">
        <f>HEX2DEC(_0811_173439[[#This Row],[580F]])*D$4/D$5+D$6</f>
        <v>30</v>
      </c>
      <c r="L1256">
        <f>ROUND(HEX2DEC(_0811_173439[[#This Row],[58F0]])*E$4/E$5+E$6,0)</f>
        <v>70</v>
      </c>
      <c r="M1256">
        <f>ROUND(HEX2DEC(_0811_173439[[#This Row],[5805]])*F$4/F$5+F$6,0)</f>
        <v>44</v>
      </c>
      <c r="N1256">
        <f>ROUND(HEX2DEC(_0811_173439[[#This Row],[58DD]])*G$4/G$5+G$6,2)</f>
        <v>-0.03</v>
      </c>
      <c r="P1256">
        <v>800</v>
      </c>
      <c r="Q1256">
        <v>37</v>
      </c>
      <c r="R1256">
        <v>30</v>
      </c>
      <c r="S1256">
        <v>70</v>
      </c>
      <c r="T1256">
        <v>44</v>
      </c>
      <c r="U1256">
        <v>-0.03</v>
      </c>
      <c r="W1256">
        <f>DataLog_T717420_Aug11_4_59_37pm[[#This Row],[RPM '[1/MIN']]]-Table3[[#This Row],[580C]]</f>
        <v>0</v>
      </c>
      <c r="X1256">
        <f>DataLog_T717420_Aug11_4_59_37pm[[#This Row],[OIL TEMP '[Â°C']]]-Table3[[#This Row],[4402]]</f>
        <v>0</v>
      </c>
      <c r="Y1256">
        <f>DataLog_T717420_Aug11_4_59_37pm[[#This Row],[INTAKE TEMP '[Â°C']]]-Table3[[#This Row],[580F]]</f>
        <v>0</v>
      </c>
      <c r="Z1256">
        <f>DataLog_T717420_Aug11_4_59_37pm[[#This Row],[HPFP PRES. '[BAR']]]-Table3[[#This Row],[58F0]]</f>
        <v>0</v>
      </c>
      <c r="AA1256">
        <f>DataLog_T717420_Aug11_4_59_37pm[[#This Row],[COOLANT TEMP '[Â°C']]]-Table3[[#This Row],[5805]]</f>
        <v>0</v>
      </c>
      <c r="AB1256">
        <f>DataLog_T717420_Aug11_4_59_37pm[[#This Row],[BOOST '[BAR']]]-Table3[[#This Row],[58DD]]</f>
        <v>0</v>
      </c>
    </row>
    <row r="1257" spans="2:28" x14ac:dyDescent="0.25">
      <c r="B1257" s="2" t="s">
        <v>183</v>
      </c>
      <c r="C1257" s="2" t="s">
        <v>262</v>
      </c>
      <c r="D1257" s="2" t="s">
        <v>151</v>
      </c>
      <c r="E1257" s="2" t="s">
        <v>172</v>
      </c>
      <c r="F1257" s="2" t="s">
        <v>263</v>
      </c>
      <c r="G1257" s="2" t="s">
        <v>96</v>
      </c>
      <c r="I1257">
        <f>HEX2DEC(_0811_173439[[#This Row],[580C]])*B$4/B$5+B$6</f>
        <v>800</v>
      </c>
      <c r="J1257">
        <f>HEX2DEC(_0811_173439[[#This Row],[4402]])*C$4/C$5+C$6</f>
        <v>37</v>
      </c>
      <c r="K1257">
        <f>HEX2DEC(_0811_173439[[#This Row],[580F]])*D$4/D$5+D$6</f>
        <v>30</v>
      </c>
      <c r="L1257">
        <f>ROUND(HEX2DEC(_0811_173439[[#This Row],[58F0]])*E$4/E$5+E$6,0)</f>
        <v>70</v>
      </c>
      <c r="M1257">
        <f>ROUND(HEX2DEC(_0811_173439[[#This Row],[5805]])*F$4/F$5+F$6,0)</f>
        <v>44</v>
      </c>
      <c r="N1257">
        <f>ROUND(HEX2DEC(_0811_173439[[#This Row],[58DD]])*G$4/G$5+G$6,2)</f>
        <v>-0.03</v>
      </c>
      <c r="P1257">
        <v>800</v>
      </c>
      <c r="Q1257">
        <v>37</v>
      </c>
      <c r="R1257">
        <v>30</v>
      </c>
      <c r="S1257">
        <v>70</v>
      </c>
      <c r="T1257">
        <v>44</v>
      </c>
      <c r="U1257">
        <v>-0.03</v>
      </c>
      <c r="W1257">
        <f>DataLog_T717420_Aug11_4_59_37pm[[#This Row],[RPM '[1/MIN']]]-Table3[[#This Row],[580C]]</f>
        <v>0</v>
      </c>
      <c r="X1257">
        <f>DataLog_T717420_Aug11_4_59_37pm[[#This Row],[OIL TEMP '[Â°C']]]-Table3[[#This Row],[4402]]</f>
        <v>0</v>
      </c>
      <c r="Y1257">
        <f>DataLog_T717420_Aug11_4_59_37pm[[#This Row],[INTAKE TEMP '[Â°C']]]-Table3[[#This Row],[580F]]</f>
        <v>0</v>
      </c>
      <c r="Z1257">
        <f>DataLog_T717420_Aug11_4_59_37pm[[#This Row],[HPFP PRES. '[BAR']]]-Table3[[#This Row],[58F0]]</f>
        <v>0</v>
      </c>
      <c r="AA1257">
        <f>DataLog_T717420_Aug11_4_59_37pm[[#This Row],[COOLANT TEMP '[Â°C']]]-Table3[[#This Row],[5805]]</f>
        <v>0</v>
      </c>
      <c r="AB1257">
        <f>DataLog_T717420_Aug11_4_59_37pm[[#This Row],[BOOST '[BAR']]]-Table3[[#This Row],[58DD]]</f>
        <v>0</v>
      </c>
    </row>
    <row r="1258" spans="2:28" x14ac:dyDescent="0.25">
      <c r="B1258" s="2" t="s">
        <v>183</v>
      </c>
      <c r="C1258" s="2" t="s">
        <v>262</v>
      </c>
      <c r="D1258" s="2" t="s">
        <v>151</v>
      </c>
      <c r="E1258" s="2" t="s">
        <v>93</v>
      </c>
      <c r="F1258" s="2" t="s">
        <v>263</v>
      </c>
      <c r="G1258" s="2" t="s">
        <v>71</v>
      </c>
      <c r="I1258">
        <f>HEX2DEC(_0811_173439[[#This Row],[580C]])*B$4/B$5+B$6</f>
        <v>800</v>
      </c>
      <c r="J1258">
        <f>HEX2DEC(_0811_173439[[#This Row],[4402]])*C$4/C$5+C$6</f>
        <v>37</v>
      </c>
      <c r="K1258">
        <f>HEX2DEC(_0811_173439[[#This Row],[580F]])*D$4/D$5+D$6</f>
        <v>30</v>
      </c>
      <c r="L1258">
        <f>ROUND(HEX2DEC(_0811_173439[[#This Row],[58F0]])*E$4/E$5+E$6,0)</f>
        <v>70</v>
      </c>
      <c r="M1258">
        <f>ROUND(HEX2DEC(_0811_173439[[#This Row],[5805]])*F$4/F$5+F$6,0)</f>
        <v>44</v>
      </c>
      <c r="N1258">
        <f>ROUND(HEX2DEC(_0811_173439[[#This Row],[58DD]])*G$4/G$5+G$6,2)</f>
        <v>-0.03</v>
      </c>
      <c r="P1258">
        <v>800</v>
      </c>
      <c r="Q1258">
        <v>37</v>
      </c>
      <c r="R1258">
        <v>30</v>
      </c>
      <c r="S1258">
        <v>70</v>
      </c>
      <c r="T1258">
        <v>44</v>
      </c>
      <c r="U1258">
        <v>-0.03</v>
      </c>
      <c r="W1258">
        <f>DataLog_T717420_Aug11_4_59_37pm[[#This Row],[RPM '[1/MIN']]]-Table3[[#This Row],[580C]]</f>
        <v>0</v>
      </c>
      <c r="X1258">
        <f>DataLog_T717420_Aug11_4_59_37pm[[#This Row],[OIL TEMP '[Â°C']]]-Table3[[#This Row],[4402]]</f>
        <v>0</v>
      </c>
      <c r="Y1258">
        <f>DataLog_T717420_Aug11_4_59_37pm[[#This Row],[INTAKE TEMP '[Â°C']]]-Table3[[#This Row],[580F]]</f>
        <v>0</v>
      </c>
      <c r="Z1258">
        <f>DataLog_T717420_Aug11_4_59_37pm[[#This Row],[HPFP PRES. '[BAR']]]-Table3[[#This Row],[58F0]]</f>
        <v>0</v>
      </c>
      <c r="AA1258">
        <f>DataLog_T717420_Aug11_4_59_37pm[[#This Row],[COOLANT TEMP '[Â°C']]]-Table3[[#This Row],[5805]]</f>
        <v>0</v>
      </c>
      <c r="AB1258">
        <f>DataLog_T717420_Aug11_4_59_37pm[[#This Row],[BOOST '[BAR']]]-Table3[[#This Row],[58DD]]</f>
        <v>0</v>
      </c>
    </row>
    <row r="1259" spans="2:28" x14ac:dyDescent="0.25">
      <c r="B1259" s="2" t="s">
        <v>183</v>
      </c>
      <c r="C1259" s="2" t="s">
        <v>262</v>
      </c>
      <c r="D1259" s="2" t="s">
        <v>151</v>
      </c>
      <c r="E1259" s="2" t="s">
        <v>198</v>
      </c>
      <c r="F1259" s="2" t="s">
        <v>263</v>
      </c>
      <c r="G1259" s="2" t="s">
        <v>235</v>
      </c>
      <c r="I1259">
        <f>HEX2DEC(_0811_173439[[#This Row],[580C]])*B$4/B$5+B$6</f>
        <v>800</v>
      </c>
      <c r="J1259">
        <f>HEX2DEC(_0811_173439[[#This Row],[4402]])*C$4/C$5+C$6</f>
        <v>37</v>
      </c>
      <c r="K1259">
        <f>HEX2DEC(_0811_173439[[#This Row],[580F]])*D$4/D$5+D$6</f>
        <v>30</v>
      </c>
      <c r="L1259">
        <f>ROUND(HEX2DEC(_0811_173439[[#This Row],[58F0]])*E$4/E$5+E$6,0)</f>
        <v>70</v>
      </c>
      <c r="M1259">
        <f>ROUND(HEX2DEC(_0811_173439[[#This Row],[5805]])*F$4/F$5+F$6,0)</f>
        <v>44</v>
      </c>
      <c r="N1259">
        <f>ROUND(HEX2DEC(_0811_173439[[#This Row],[58DD]])*G$4/G$5+G$6,2)</f>
        <v>-0.03</v>
      </c>
      <c r="P1259">
        <v>800</v>
      </c>
      <c r="Q1259">
        <v>37</v>
      </c>
      <c r="R1259">
        <v>30</v>
      </c>
      <c r="S1259">
        <v>70</v>
      </c>
      <c r="T1259">
        <v>44</v>
      </c>
      <c r="U1259">
        <v>-0.03</v>
      </c>
      <c r="W1259">
        <f>DataLog_T717420_Aug11_4_59_37pm[[#This Row],[RPM '[1/MIN']]]-Table3[[#This Row],[580C]]</f>
        <v>0</v>
      </c>
      <c r="X1259">
        <f>DataLog_T717420_Aug11_4_59_37pm[[#This Row],[OIL TEMP '[Â°C']]]-Table3[[#This Row],[4402]]</f>
        <v>0</v>
      </c>
      <c r="Y1259">
        <f>DataLog_T717420_Aug11_4_59_37pm[[#This Row],[INTAKE TEMP '[Â°C']]]-Table3[[#This Row],[580F]]</f>
        <v>0</v>
      </c>
      <c r="Z1259">
        <f>DataLog_T717420_Aug11_4_59_37pm[[#This Row],[HPFP PRES. '[BAR']]]-Table3[[#This Row],[58F0]]</f>
        <v>0</v>
      </c>
      <c r="AA1259">
        <f>DataLog_T717420_Aug11_4_59_37pm[[#This Row],[COOLANT TEMP '[Â°C']]]-Table3[[#This Row],[5805]]</f>
        <v>0</v>
      </c>
      <c r="AB1259">
        <f>DataLog_T717420_Aug11_4_59_37pm[[#This Row],[BOOST '[BAR']]]-Table3[[#This Row],[58DD]]</f>
        <v>0</v>
      </c>
    </row>
    <row r="1260" spans="2:28" x14ac:dyDescent="0.25">
      <c r="B1260" s="2" t="s">
        <v>183</v>
      </c>
      <c r="C1260" s="2" t="s">
        <v>262</v>
      </c>
      <c r="D1260" s="2" t="s">
        <v>151</v>
      </c>
      <c r="E1260" s="2" t="s">
        <v>93</v>
      </c>
      <c r="F1260" s="2" t="s">
        <v>263</v>
      </c>
      <c r="G1260" s="2" t="s">
        <v>71</v>
      </c>
      <c r="I1260">
        <f>HEX2DEC(_0811_173439[[#This Row],[580C]])*B$4/B$5+B$6</f>
        <v>800</v>
      </c>
      <c r="J1260">
        <f>HEX2DEC(_0811_173439[[#This Row],[4402]])*C$4/C$5+C$6</f>
        <v>37</v>
      </c>
      <c r="K1260">
        <f>HEX2DEC(_0811_173439[[#This Row],[580F]])*D$4/D$5+D$6</f>
        <v>30</v>
      </c>
      <c r="L1260">
        <f>ROUND(HEX2DEC(_0811_173439[[#This Row],[58F0]])*E$4/E$5+E$6,0)</f>
        <v>70</v>
      </c>
      <c r="M1260">
        <f>ROUND(HEX2DEC(_0811_173439[[#This Row],[5805]])*F$4/F$5+F$6,0)</f>
        <v>44</v>
      </c>
      <c r="N1260">
        <f>ROUND(HEX2DEC(_0811_173439[[#This Row],[58DD]])*G$4/G$5+G$6,2)</f>
        <v>-0.03</v>
      </c>
      <c r="P1260">
        <v>800</v>
      </c>
      <c r="Q1260">
        <v>37</v>
      </c>
      <c r="R1260">
        <v>30</v>
      </c>
      <c r="S1260">
        <v>70</v>
      </c>
      <c r="T1260">
        <v>44</v>
      </c>
      <c r="U1260">
        <v>-0.03</v>
      </c>
      <c r="W1260">
        <f>DataLog_T717420_Aug11_4_59_37pm[[#This Row],[RPM '[1/MIN']]]-Table3[[#This Row],[580C]]</f>
        <v>0</v>
      </c>
      <c r="X1260">
        <f>DataLog_T717420_Aug11_4_59_37pm[[#This Row],[OIL TEMP '[Â°C']]]-Table3[[#This Row],[4402]]</f>
        <v>0</v>
      </c>
      <c r="Y1260">
        <f>DataLog_T717420_Aug11_4_59_37pm[[#This Row],[INTAKE TEMP '[Â°C']]]-Table3[[#This Row],[580F]]</f>
        <v>0</v>
      </c>
      <c r="Z1260">
        <f>DataLog_T717420_Aug11_4_59_37pm[[#This Row],[HPFP PRES. '[BAR']]]-Table3[[#This Row],[58F0]]</f>
        <v>0</v>
      </c>
      <c r="AA1260">
        <f>DataLog_T717420_Aug11_4_59_37pm[[#This Row],[COOLANT TEMP '[Â°C']]]-Table3[[#This Row],[5805]]</f>
        <v>0</v>
      </c>
      <c r="AB1260">
        <f>DataLog_T717420_Aug11_4_59_37pm[[#This Row],[BOOST '[BAR']]]-Table3[[#This Row],[58DD]]</f>
        <v>0</v>
      </c>
    </row>
    <row r="1261" spans="2:28" x14ac:dyDescent="0.25">
      <c r="B1261" s="2" t="s">
        <v>183</v>
      </c>
      <c r="C1261" s="2" t="s">
        <v>262</v>
      </c>
      <c r="D1261" s="2" t="s">
        <v>151</v>
      </c>
      <c r="E1261" s="2" t="s">
        <v>93</v>
      </c>
      <c r="F1261" s="2" t="s">
        <v>263</v>
      </c>
      <c r="G1261" s="2" t="s">
        <v>90</v>
      </c>
      <c r="I1261">
        <f>HEX2DEC(_0811_173439[[#This Row],[580C]])*B$4/B$5+B$6</f>
        <v>800</v>
      </c>
      <c r="J1261">
        <f>HEX2DEC(_0811_173439[[#This Row],[4402]])*C$4/C$5+C$6</f>
        <v>37</v>
      </c>
      <c r="K1261">
        <f>HEX2DEC(_0811_173439[[#This Row],[580F]])*D$4/D$5+D$6</f>
        <v>30</v>
      </c>
      <c r="L1261">
        <f>ROUND(HEX2DEC(_0811_173439[[#This Row],[58F0]])*E$4/E$5+E$6,0)</f>
        <v>70</v>
      </c>
      <c r="M1261">
        <f>ROUND(HEX2DEC(_0811_173439[[#This Row],[5805]])*F$4/F$5+F$6,0)</f>
        <v>44</v>
      </c>
      <c r="N1261">
        <f>ROUND(HEX2DEC(_0811_173439[[#This Row],[58DD]])*G$4/G$5+G$6,2)</f>
        <v>-0.03</v>
      </c>
      <c r="P1261">
        <v>800</v>
      </c>
      <c r="Q1261">
        <v>37</v>
      </c>
      <c r="R1261">
        <v>30</v>
      </c>
      <c r="S1261">
        <v>70</v>
      </c>
      <c r="T1261">
        <v>44</v>
      </c>
      <c r="U1261">
        <v>-0.03</v>
      </c>
      <c r="W1261">
        <f>DataLog_T717420_Aug11_4_59_37pm[[#This Row],[RPM '[1/MIN']]]-Table3[[#This Row],[580C]]</f>
        <v>0</v>
      </c>
      <c r="X1261">
        <f>DataLog_T717420_Aug11_4_59_37pm[[#This Row],[OIL TEMP '[Â°C']]]-Table3[[#This Row],[4402]]</f>
        <v>0</v>
      </c>
      <c r="Y1261">
        <f>DataLog_T717420_Aug11_4_59_37pm[[#This Row],[INTAKE TEMP '[Â°C']]]-Table3[[#This Row],[580F]]</f>
        <v>0</v>
      </c>
      <c r="Z1261">
        <f>DataLog_T717420_Aug11_4_59_37pm[[#This Row],[HPFP PRES. '[BAR']]]-Table3[[#This Row],[58F0]]</f>
        <v>0</v>
      </c>
      <c r="AA1261">
        <f>DataLog_T717420_Aug11_4_59_37pm[[#This Row],[COOLANT TEMP '[Â°C']]]-Table3[[#This Row],[5805]]</f>
        <v>0</v>
      </c>
      <c r="AB1261">
        <f>DataLog_T717420_Aug11_4_59_37pm[[#This Row],[BOOST '[BAR']]]-Table3[[#This Row],[58DD]]</f>
        <v>0</v>
      </c>
    </row>
    <row r="1262" spans="2:28" x14ac:dyDescent="0.25">
      <c r="B1262" s="2" t="s">
        <v>189</v>
      </c>
      <c r="C1262" s="2" t="s">
        <v>262</v>
      </c>
      <c r="D1262" s="2" t="s">
        <v>151</v>
      </c>
      <c r="E1262" s="2" t="s">
        <v>214</v>
      </c>
      <c r="F1262" s="2" t="s">
        <v>263</v>
      </c>
      <c r="G1262" s="2" t="s">
        <v>255</v>
      </c>
      <c r="I1262">
        <f>HEX2DEC(_0811_173439[[#This Row],[580C]])*B$4/B$5+B$6</f>
        <v>760</v>
      </c>
      <c r="J1262">
        <f>HEX2DEC(_0811_173439[[#This Row],[4402]])*C$4/C$5+C$6</f>
        <v>37</v>
      </c>
      <c r="K1262">
        <f>HEX2DEC(_0811_173439[[#This Row],[580F]])*D$4/D$5+D$6</f>
        <v>30</v>
      </c>
      <c r="L1262">
        <f>ROUND(HEX2DEC(_0811_173439[[#This Row],[58F0]])*E$4/E$5+E$6,0)</f>
        <v>70</v>
      </c>
      <c r="M1262">
        <f>ROUND(HEX2DEC(_0811_173439[[#This Row],[5805]])*F$4/F$5+F$6,0)</f>
        <v>44</v>
      </c>
      <c r="N1262">
        <f>ROUND(HEX2DEC(_0811_173439[[#This Row],[58DD]])*G$4/G$5+G$6,2)</f>
        <v>-0.03</v>
      </c>
      <c r="P1262">
        <v>760</v>
      </c>
      <c r="Q1262">
        <v>37</v>
      </c>
      <c r="R1262">
        <v>30</v>
      </c>
      <c r="S1262">
        <v>70</v>
      </c>
      <c r="T1262">
        <v>44</v>
      </c>
      <c r="U1262">
        <v>-0.03</v>
      </c>
      <c r="W1262">
        <f>DataLog_T717420_Aug11_4_59_37pm[[#This Row],[RPM '[1/MIN']]]-Table3[[#This Row],[580C]]</f>
        <v>0</v>
      </c>
      <c r="X1262">
        <f>DataLog_T717420_Aug11_4_59_37pm[[#This Row],[OIL TEMP '[Â°C']]]-Table3[[#This Row],[4402]]</f>
        <v>0</v>
      </c>
      <c r="Y1262">
        <f>DataLog_T717420_Aug11_4_59_37pm[[#This Row],[INTAKE TEMP '[Â°C']]]-Table3[[#This Row],[580F]]</f>
        <v>0</v>
      </c>
      <c r="Z1262">
        <f>DataLog_T717420_Aug11_4_59_37pm[[#This Row],[HPFP PRES. '[BAR']]]-Table3[[#This Row],[58F0]]</f>
        <v>0</v>
      </c>
      <c r="AA1262">
        <f>DataLog_T717420_Aug11_4_59_37pm[[#This Row],[COOLANT TEMP '[Â°C']]]-Table3[[#This Row],[5805]]</f>
        <v>0</v>
      </c>
      <c r="AB1262">
        <f>DataLog_T717420_Aug11_4_59_37pm[[#This Row],[BOOST '[BAR']]]-Table3[[#This Row],[58DD]]</f>
        <v>0</v>
      </c>
    </row>
    <row r="1263" spans="2:28" x14ac:dyDescent="0.25">
      <c r="B1263" s="2" t="s">
        <v>189</v>
      </c>
      <c r="C1263" s="2" t="s">
        <v>262</v>
      </c>
      <c r="D1263" s="2" t="s">
        <v>151</v>
      </c>
      <c r="E1263" s="2" t="s">
        <v>93</v>
      </c>
      <c r="F1263" s="2" t="s">
        <v>263</v>
      </c>
      <c r="G1263" s="2" t="s">
        <v>258</v>
      </c>
      <c r="I1263">
        <f>HEX2DEC(_0811_173439[[#This Row],[580C]])*B$4/B$5+B$6</f>
        <v>760</v>
      </c>
      <c r="J1263">
        <f>HEX2DEC(_0811_173439[[#This Row],[4402]])*C$4/C$5+C$6</f>
        <v>37</v>
      </c>
      <c r="K1263">
        <f>HEX2DEC(_0811_173439[[#This Row],[580F]])*D$4/D$5+D$6</f>
        <v>30</v>
      </c>
      <c r="L1263">
        <f>ROUND(HEX2DEC(_0811_173439[[#This Row],[58F0]])*E$4/E$5+E$6,0)</f>
        <v>70</v>
      </c>
      <c r="M1263">
        <f>ROUND(HEX2DEC(_0811_173439[[#This Row],[5805]])*F$4/F$5+F$6,0)</f>
        <v>44</v>
      </c>
      <c r="N1263">
        <f>ROUND(HEX2DEC(_0811_173439[[#This Row],[58DD]])*G$4/G$5+G$6,2)</f>
        <v>-0.03</v>
      </c>
      <c r="P1263">
        <v>760</v>
      </c>
      <c r="Q1263">
        <v>37</v>
      </c>
      <c r="R1263">
        <v>30</v>
      </c>
      <c r="S1263">
        <v>70</v>
      </c>
      <c r="T1263">
        <v>44</v>
      </c>
      <c r="U1263">
        <v>-0.03</v>
      </c>
      <c r="W1263">
        <f>DataLog_T717420_Aug11_4_59_37pm[[#This Row],[RPM '[1/MIN']]]-Table3[[#This Row],[580C]]</f>
        <v>0</v>
      </c>
      <c r="X1263">
        <f>DataLog_T717420_Aug11_4_59_37pm[[#This Row],[OIL TEMP '[Â°C']]]-Table3[[#This Row],[4402]]</f>
        <v>0</v>
      </c>
      <c r="Y1263">
        <f>DataLog_T717420_Aug11_4_59_37pm[[#This Row],[INTAKE TEMP '[Â°C']]]-Table3[[#This Row],[580F]]</f>
        <v>0</v>
      </c>
      <c r="Z1263">
        <f>DataLog_T717420_Aug11_4_59_37pm[[#This Row],[HPFP PRES. '[BAR']]]-Table3[[#This Row],[58F0]]</f>
        <v>0</v>
      </c>
      <c r="AA1263">
        <f>DataLog_T717420_Aug11_4_59_37pm[[#This Row],[COOLANT TEMP '[Â°C']]]-Table3[[#This Row],[5805]]</f>
        <v>0</v>
      </c>
      <c r="AB1263">
        <f>DataLog_T717420_Aug11_4_59_37pm[[#This Row],[BOOST '[BAR']]]-Table3[[#This Row],[58DD]]</f>
        <v>0</v>
      </c>
    </row>
    <row r="1264" spans="2:28" x14ac:dyDescent="0.25">
      <c r="B1264" s="2" t="s">
        <v>183</v>
      </c>
      <c r="C1264" s="2" t="s">
        <v>262</v>
      </c>
      <c r="D1264" s="2" t="s">
        <v>151</v>
      </c>
      <c r="E1264" s="2" t="s">
        <v>93</v>
      </c>
      <c r="F1264" s="2" t="s">
        <v>263</v>
      </c>
      <c r="G1264" s="2" t="s">
        <v>258</v>
      </c>
      <c r="I1264">
        <f>HEX2DEC(_0811_173439[[#This Row],[580C]])*B$4/B$5+B$6</f>
        <v>800</v>
      </c>
      <c r="J1264">
        <f>HEX2DEC(_0811_173439[[#This Row],[4402]])*C$4/C$5+C$6</f>
        <v>37</v>
      </c>
      <c r="K1264">
        <f>HEX2DEC(_0811_173439[[#This Row],[580F]])*D$4/D$5+D$6</f>
        <v>30</v>
      </c>
      <c r="L1264">
        <f>ROUND(HEX2DEC(_0811_173439[[#This Row],[58F0]])*E$4/E$5+E$6,0)</f>
        <v>70</v>
      </c>
      <c r="M1264">
        <f>ROUND(HEX2DEC(_0811_173439[[#This Row],[5805]])*F$4/F$5+F$6,0)</f>
        <v>44</v>
      </c>
      <c r="N1264">
        <f>ROUND(HEX2DEC(_0811_173439[[#This Row],[58DD]])*G$4/G$5+G$6,2)</f>
        <v>-0.03</v>
      </c>
      <c r="P1264">
        <v>800</v>
      </c>
      <c r="Q1264">
        <v>37</v>
      </c>
      <c r="R1264">
        <v>30</v>
      </c>
      <c r="S1264">
        <v>70</v>
      </c>
      <c r="T1264">
        <v>44</v>
      </c>
      <c r="U1264">
        <v>-0.03</v>
      </c>
      <c r="W1264">
        <f>DataLog_T717420_Aug11_4_59_37pm[[#This Row],[RPM '[1/MIN']]]-Table3[[#This Row],[580C]]</f>
        <v>0</v>
      </c>
      <c r="X1264">
        <f>DataLog_T717420_Aug11_4_59_37pm[[#This Row],[OIL TEMP '[Â°C']]]-Table3[[#This Row],[4402]]</f>
        <v>0</v>
      </c>
      <c r="Y1264">
        <f>DataLog_T717420_Aug11_4_59_37pm[[#This Row],[INTAKE TEMP '[Â°C']]]-Table3[[#This Row],[580F]]</f>
        <v>0</v>
      </c>
      <c r="Z1264">
        <f>DataLog_T717420_Aug11_4_59_37pm[[#This Row],[HPFP PRES. '[BAR']]]-Table3[[#This Row],[58F0]]</f>
        <v>0</v>
      </c>
      <c r="AA1264">
        <f>DataLog_T717420_Aug11_4_59_37pm[[#This Row],[COOLANT TEMP '[Â°C']]]-Table3[[#This Row],[5805]]</f>
        <v>0</v>
      </c>
      <c r="AB1264">
        <f>DataLog_T717420_Aug11_4_59_37pm[[#This Row],[BOOST '[BAR']]]-Table3[[#This Row],[58DD]]</f>
        <v>0</v>
      </c>
    </row>
    <row r="1265" spans="2:28" x14ac:dyDescent="0.25">
      <c r="B1265" s="2" t="s">
        <v>189</v>
      </c>
      <c r="C1265" s="2" t="s">
        <v>262</v>
      </c>
      <c r="D1265" s="2" t="s">
        <v>151</v>
      </c>
      <c r="E1265" s="2" t="s">
        <v>147</v>
      </c>
      <c r="F1265" s="2" t="s">
        <v>263</v>
      </c>
      <c r="G1265" s="2" t="s">
        <v>255</v>
      </c>
      <c r="I1265">
        <f>HEX2DEC(_0811_173439[[#This Row],[580C]])*B$4/B$5+B$6</f>
        <v>760</v>
      </c>
      <c r="J1265">
        <f>HEX2DEC(_0811_173439[[#This Row],[4402]])*C$4/C$5+C$6</f>
        <v>37</v>
      </c>
      <c r="K1265">
        <f>HEX2DEC(_0811_173439[[#This Row],[580F]])*D$4/D$5+D$6</f>
        <v>30</v>
      </c>
      <c r="L1265">
        <f>ROUND(HEX2DEC(_0811_173439[[#This Row],[58F0]])*E$4/E$5+E$6,0)</f>
        <v>71</v>
      </c>
      <c r="M1265">
        <f>ROUND(HEX2DEC(_0811_173439[[#This Row],[5805]])*F$4/F$5+F$6,0)</f>
        <v>44</v>
      </c>
      <c r="N1265">
        <f>ROUND(HEX2DEC(_0811_173439[[#This Row],[58DD]])*G$4/G$5+G$6,2)</f>
        <v>-0.03</v>
      </c>
      <c r="P1265">
        <v>760</v>
      </c>
      <c r="Q1265">
        <v>37</v>
      </c>
      <c r="R1265">
        <v>30</v>
      </c>
      <c r="S1265">
        <v>71</v>
      </c>
      <c r="T1265">
        <v>44</v>
      </c>
      <c r="U1265">
        <v>-0.03</v>
      </c>
      <c r="W1265">
        <f>DataLog_T717420_Aug11_4_59_37pm[[#This Row],[RPM '[1/MIN']]]-Table3[[#This Row],[580C]]</f>
        <v>0</v>
      </c>
      <c r="X1265">
        <f>DataLog_T717420_Aug11_4_59_37pm[[#This Row],[OIL TEMP '[Â°C']]]-Table3[[#This Row],[4402]]</f>
        <v>0</v>
      </c>
      <c r="Y1265">
        <f>DataLog_T717420_Aug11_4_59_37pm[[#This Row],[INTAKE TEMP '[Â°C']]]-Table3[[#This Row],[580F]]</f>
        <v>0</v>
      </c>
      <c r="Z1265">
        <f>DataLog_T717420_Aug11_4_59_37pm[[#This Row],[HPFP PRES. '[BAR']]]-Table3[[#This Row],[58F0]]</f>
        <v>0</v>
      </c>
      <c r="AA1265">
        <f>DataLog_T717420_Aug11_4_59_37pm[[#This Row],[COOLANT TEMP '[Â°C']]]-Table3[[#This Row],[5805]]</f>
        <v>0</v>
      </c>
      <c r="AB1265">
        <f>DataLog_T717420_Aug11_4_59_37pm[[#This Row],[BOOST '[BAR']]]-Table3[[#This Row],[58DD]]</f>
        <v>0</v>
      </c>
    </row>
    <row r="1266" spans="2:28" x14ac:dyDescent="0.25">
      <c r="B1266" s="2" t="s">
        <v>189</v>
      </c>
      <c r="C1266" s="2" t="s">
        <v>262</v>
      </c>
      <c r="D1266" s="2" t="s">
        <v>151</v>
      </c>
      <c r="E1266" s="2" t="s">
        <v>157</v>
      </c>
      <c r="F1266" s="2" t="s">
        <v>263</v>
      </c>
      <c r="G1266" s="2" t="s">
        <v>258</v>
      </c>
      <c r="I1266">
        <f>HEX2DEC(_0811_173439[[#This Row],[580C]])*B$4/B$5+B$6</f>
        <v>760</v>
      </c>
      <c r="J1266">
        <f>HEX2DEC(_0811_173439[[#This Row],[4402]])*C$4/C$5+C$6</f>
        <v>37</v>
      </c>
      <c r="K1266">
        <f>HEX2DEC(_0811_173439[[#This Row],[580F]])*D$4/D$5+D$6</f>
        <v>30</v>
      </c>
      <c r="L1266">
        <f>ROUND(HEX2DEC(_0811_173439[[#This Row],[58F0]])*E$4/E$5+E$6,0)</f>
        <v>70</v>
      </c>
      <c r="M1266">
        <f>ROUND(HEX2DEC(_0811_173439[[#This Row],[5805]])*F$4/F$5+F$6,0)</f>
        <v>44</v>
      </c>
      <c r="N1266">
        <f>ROUND(HEX2DEC(_0811_173439[[#This Row],[58DD]])*G$4/G$5+G$6,2)</f>
        <v>-0.03</v>
      </c>
      <c r="P1266">
        <v>760</v>
      </c>
      <c r="Q1266">
        <v>37</v>
      </c>
      <c r="R1266">
        <v>30</v>
      </c>
      <c r="S1266">
        <v>70</v>
      </c>
      <c r="T1266">
        <v>44</v>
      </c>
      <c r="U1266">
        <v>-0.03</v>
      </c>
      <c r="W1266">
        <f>DataLog_T717420_Aug11_4_59_37pm[[#This Row],[RPM '[1/MIN']]]-Table3[[#This Row],[580C]]</f>
        <v>0</v>
      </c>
      <c r="X1266">
        <f>DataLog_T717420_Aug11_4_59_37pm[[#This Row],[OIL TEMP '[Â°C']]]-Table3[[#This Row],[4402]]</f>
        <v>0</v>
      </c>
      <c r="Y1266">
        <f>DataLog_T717420_Aug11_4_59_37pm[[#This Row],[INTAKE TEMP '[Â°C']]]-Table3[[#This Row],[580F]]</f>
        <v>0</v>
      </c>
      <c r="Z1266">
        <f>DataLog_T717420_Aug11_4_59_37pm[[#This Row],[HPFP PRES. '[BAR']]]-Table3[[#This Row],[58F0]]</f>
        <v>0</v>
      </c>
      <c r="AA1266">
        <f>DataLog_T717420_Aug11_4_59_37pm[[#This Row],[COOLANT TEMP '[Â°C']]]-Table3[[#This Row],[5805]]</f>
        <v>0</v>
      </c>
      <c r="AB1266">
        <f>DataLog_T717420_Aug11_4_59_37pm[[#This Row],[BOOST '[BAR']]]-Table3[[#This Row],[58DD]]</f>
        <v>0</v>
      </c>
    </row>
    <row r="1267" spans="2:28" x14ac:dyDescent="0.25">
      <c r="B1267" s="2" t="s">
        <v>189</v>
      </c>
      <c r="C1267" s="2" t="s">
        <v>262</v>
      </c>
      <c r="D1267" s="2" t="s">
        <v>151</v>
      </c>
      <c r="E1267" s="2" t="s">
        <v>93</v>
      </c>
      <c r="F1267" s="2" t="s">
        <v>263</v>
      </c>
      <c r="G1267" s="2" t="s">
        <v>71</v>
      </c>
      <c r="I1267">
        <f>HEX2DEC(_0811_173439[[#This Row],[580C]])*B$4/B$5+B$6</f>
        <v>760</v>
      </c>
      <c r="J1267">
        <f>HEX2DEC(_0811_173439[[#This Row],[4402]])*C$4/C$5+C$6</f>
        <v>37</v>
      </c>
      <c r="K1267">
        <f>HEX2DEC(_0811_173439[[#This Row],[580F]])*D$4/D$5+D$6</f>
        <v>30</v>
      </c>
      <c r="L1267">
        <f>ROUND(HEX2DEC(_0811_173439[[#This Row],[58F0]])*E$4/E$5+E$6,0)</f>
        <v>70</v>
      </c>
      <c r="M1267">
        <f>ROUND(HEX2DEC(_0811_173439[[#This Row],[5805]])*F$4/F$5+F$6,0)</f>
        <v>44</v>
      </c>
      <c r="N1267">
        <f>ROUND(HEX2DEC(_0811_173439[[#This Row],[58DD]])*G$4/G$5+G$6,2)</f>
        <v>-0.03</v>
      </c>
      <c r="P1267">
        <v>760</v>
      </c>
      <c r="Q1267">
        <v>37</v>
      </c>
      <c r="R1267">
        <v>30</v>
      </c>
      <c r="S1267">
        <v>70</v>
      </c>
      <c r="T1267">
        <v>44</v>
      </c>
      <c r="U1267">
        <v>-0.03</v>
      </c>
      <c r="W1267">
        <f>DataLog_T717420_Aug11_4_59_37pm[[#This Row],[RPM '[1/MIN']]]-Table3[[#This Row],[580C]]</f>
        <v>0</v>
      </c>
      <c r="X1267">
        <f>DataLog_T717420_Aug11_4_59_37pm[[#This Row],[OIL TEMP '[Â°C']]]-Table3[[#This Row],[4402]]</f>
        <v>0</v>
      </c>
      <c r="Y1267">
        <f>DataLog_T717420_Aug11_4_59_37pm[[#This Row],[INTAKE TEMP '[Â°C']]]-Table3[[#This Row],[580F]]</f>
        <v>0</v>
      </c>
      <c r="Z1267">
        <f>DataLog_T717420_Aug11_4_59_37pm[[#This Row],[HPFP PRES. '[BAR']]]-Table3[[#This Row],[58F0]]</f>
        <v>0</v>
      </c>
      <c r="AA1267">
        <f>DataLog_T717420_Aug11_4_59_37pm[[#This Row],[COOLANT TEMP '[Â°C']]]-Table3[[#This Row],[5805]]</f>
        <v>0</v>
      </c>
      <c r="AB1267">
        <f>DataLog_T717420_Aug11_4_59_37pm[[#This Row],[BOOST '[BAR']]]-Table3[[#This Row],[58DD]]</f>
        <v>0</v>
      </c>
    </row>
    <row r="1268" spans="2:28" x14ac:dyDescent="0.25">
      <c r="B1268" s="2" t="s">
        <v>189</v>
      </c>
      <c r="C1268" s="2" t="s">
        <v>262</v>
      </c>
      <c r="D1268" s="2" t="s">
        <v>151</v>
      </c>
      <c r="E1268" s="2" t="s">
        <v>162</v>
      </c>
      <c r="F1268" s="2" t="s">
        <v>263</v>
      </c>
      <c r="G1268" s="2" t="s">
        <v>236</v>
      </c>
      <c r="I1268">
        <f>HEX2DEC(_0811_173439[[#This Row],[580C]])*B$4/B$5+B$6</f>
        <v>760</v>
      </c>
      <c r="J1268">
        <f>HEX2DEC(_0811_173439[[#This Row],[4402]])*C$4/C$5+C$6</f>
        <v>37</v>
      </c>
      <c r="K1268">
        <f>HEX2DEC(_0811_173439[[#This Row],[580F]])*D$4/D$5+D$6</f>
        <v>30</v>
      </c>
      <c r="L1268">
        <f>ROUND(HEX2DEC(_0811_173439[[#This Row],[58F0]])*E$4/E$5+E$6,0)</f>
        <v>71</v>
      </c>
      <c r="M1268">
        <f>ROUND(HEX2DEC(_0811_173439[[#This Row],[5805]])*F$4/F$5+F$6,0)</f>
        <v>44</v>
      </c>
      <c r="N1268">
        <f>ROUND(HEX2DEC(_0811_173439[[#This Row],[58DD]])*G$4/G$5+G$6,2)</f>
        <v>-0.03</v>
      </c>
      <c r="P1268">
        <v>760</v>
      </c>
      <c r="Q1268">
        <v>37</v>
      </c>
      <c r="R1268">
        <v>30</v>
      </c>
      <c r="S1268">
        <v>71</v>
      </c>
      <c r="T1268">
        <v>44</v>
      </c>
      <c r="U1268">
        <v>-0.03</v>
      </c>
      <c r="W1268">
        <f>DataLog_T717420_Aug11_4_59_37pm[[#This Row],[RPM '[1/MIN']]]-Table3[[#This Row],[580C]]</f>
        <v>0</v>
      </c>
      <c r="X1268">
        <f>DataLog_T717420_Aug11_4_59_37pm[[#This Row],[OIL TEMP '[Â°C']]]-Table3[[#This Row],[4402]]</f>
        <v>0</v>
      </c>
      <c r="Y1268">
        <f>DataLog_T717420_Aug11_4_59_37pm[[#This Row],[INTAKE TEMP '[Â°C']]]-Table3[[#This Row],[580F]]</f>
        <v>0</v>
      </c>
      <c r="Z1268">
        <f>DataLog_T717420_Aug11_4_59_37pm[[#This Row],[HPFP PRES. '[BAR']]]-Table3[[#This Row],[58F0]]</f>
        <v>0</v>
      </c>
      <c r="AA1268">
        <f>DataLog_T717420_Aug11_4_59_37pm[[#This Row],[COOLANT TEMP '[Â°C']]]-Table3[[#This Row],[5805]]</f>
        <v>0</v>
      </c>
      <c r="AB1268">
        <f>DataLog_T717420_Aug11_4_59_37pm[[#This Row],[BOOST '[BAR']]]-Table3[[#This Row],[58DD]]</f>
        <v>0</v>
      </c>
    </row>
    <row r="1269" spans="2:28" x14ac:dyDescent="0.25">
      <c r="B1269" s="2" t="s">
        <v>189</v>
      </c>
      <c r="C1269" s="2" t="s">
        <v>262</v>
      </c>
      <c r="D1269" s="2" t="s">
        <v>151</v>
      </c>
      <c r="E1269" s="2" t="s">
        <v>122</v>
      </c>
      <c r="F1269" s="2" t="s">
        <v>263</v>
      </c>
      <c r="G1269" s="2" t="s">
        <v>236</v>
      </c>
      <c r="I1269">
        <f>HEX2DEC(_0811_173439[[#This Row],[580C]])*B$4/B$5+B$6</f>
        <v>760</v>
      </c>
      <c r="J1269">
        <f>HEX2DEC(_0811_173439[[#This Row],[4402]])*C$4/C$5+C$6</f>
        <v>37</v>
      </c>
      <c r="K1269">
        <f>HEX2DEC(_0811_173439[[#This Row],[580F]])*D$4/D$5+D$6</f>
        <v>30</v>
      </c>
      <c r="L1269">
        <f>ROUND(HEX2DEC(_0811_173439[[#This Row],[58F0]])*E$4/E$5+E$6,0)</f>
        <v>71</v>
      </c>
      <c r="M1269">
        <f>ROUND(HEX2DEC(_0811_173439[[#This Row],[5805]])*F$4/F$5+F$6,0)</f>
        <v>44</v>
      </c>
      <c r="N1269">
        <f>ROUND(HEX2DEC(_0811_173439[[#This Row],[58DD]])*G$4/G$5+G$6,2)</f>
        <v>-0.03</v>
      </c>
      <c r="P1269">
        <v>760</v>
      </c>
      <c r="Q1269">
        <v>37</v>
      </c>
      <c r="R1269">
        <v>30</v>
      </c>
      <c r="S1269">
        <v>71</v>
      </c>
      <c r="T1269">
        <v>44</v>
      </c>
      <c r="U1269">
        <v>-0.03</v>
      </c>
      <c r="W1269">
        <f>DataLog_T717420_Aug11_4_59_37pm[[#This Row],[RPM '[1/MIN']]]-Table3[[#This Row],[580C]]</f>
        <v>0</v>
      </c>
      <c r="X1269">
        <f>DataLog_T717420_Aug11_4_59_37pm[[#This Row],[OIL TEMP '[Â°C']]]-Table3[[#This Row],[4402]]</f>
        <v>0</v>
      </c>
      <c r="Y1269">
        <f>DataLog_T717420_Aug11_4_59_37pm[[#This Row],[INTAKE TEMP '[Â°C']]]-Table3[[#This Row],[580F]]</f>
        <v>0</v>
      </c>
      <c r="Z1269">
        <f>DataLog_T717420_Aug11_4_59_37pm[[#This Row],[HPFP PRES. '[BAR']]]-Table3[[#This Row],[58F0]]</f>
        <v>0</v>
      </c>
      <c r="AA1269">
        <f>DataLog_T717420_Aug11_4_59_37pm[[#This Row],[COOLANT TEMP '[Â°C']]]-Table3[[#This Row],[5805]]</f>
        <v>0</v>
      </c>
      <c r="AB1269">
        <f>DataLog_T717420_Aug11_4_59_37pm[[#This Row],[BOOST '[BAR']]]-Table3[[#This Row],[58DD]]</f>
        <v>0</v>
      </c>
    </row>
    <row r="1270" spans="2:28" x14ac:dyDescent="0.25">
      <c r="B1270" s="2" t="s">
        <v>189</v>
      </c>
      <c r="C1270" s="2" t="s">
        <v>262</v>
      </c>
      <c r="D1270" s="2" t="s">
        <v>151</v>
      </c>
      <c r="E1270" s="2" t="s">
        <v>93</v>
      </c>
      <c r="F1270" s="2" t="s">
        <v>263</v>
      </c>
      <c r="G1270" s="2" t="s">
        <v>96</v>
      </c>
      <c r="I1270">
        <f>HEX2DEC(_0811_173439[[#This Row],[580C]])*B$4/B$5+B$6</f>
        <v>760</v>
      </c>
      <c r="J1270">
        <f>HEX2DEC(_0811_173439[[#This Row],[4402]])*C$4/C$5+C$6</f>
        <v>37</v>
      </c>
      <c r="K1270">
        <f>HEX2DEC(_0811_173439[[#This Row],[580F]])*D$4/D$5+D$6</f>
        <v>30</v>
      </c>
      <c r="L1270">
        <f>ROUND(HEX2DEC(_0811_173439[[#This Row],[58F0]])*E$4/E$5+E$6,0)</f>
        <v>70</v>
      </c>
      <c r="M1270">
        <f>ROUND(HEX2DEC(_0811_173439[[#This Row],[5805]])*F$4/F$5+F$6,0)</f>
        <v>44</v>
      </c>
      <c r="N1270">
        <f>ROUND(HEX2DEC(_0811_173439[[#This Row],[58DD]])*G$4/G$5+G$6,2)</f>
        <v>-0.03</v>
      </c>
      <c r="P1270">
        <v>760</v>
      </c>
      <c r="Q1270">
        <v>37</v>
      </c>
      <c r="R1270">
        <v>30</v>
      </c>
      <c r="S1270">
        <v>70</v>
      </c>
      <c r="T1270">
        <v>44</v>
      </c>
      <c r="U1270">
        <v>-0.03</v>
      </c>
      <c r="W1270">
        <f>DataLog_T717420_Aug11_4_59_37pm[[#This Row],[RPM '[1/MIN']]]-Table3[[#This Row],[580C]]</f>
        <v>0</v>
      </c>
      <c r="X1270">
        <f>DataLog_T717420_Aug11_4_59_37pm[[#This Row],[OIL TEMP '[Â°C']]]-Table3[[#This Row],[4402]]</f>
        <v>0</v>
      </c>
      <c r="Y1270">
        <f>DataLog_T717420_Aug11_4_59_37pm[[#This Row],[INTAKE TEMP '[Â°C']]]-Table3[[#This Row],[580F]]</f>
        <v>0</v>
      </c>
      <c r="Z1270">
        <f>DataLog_T717420_Aug11_4_59_37pm[[#This Row],[HPFP PRES. '[BAR']]]-Table3[[#This Row],[58F0]]</f>
        <v>0</v>
      </c>
      <c r="AA1270">
        <f>DataLog_T717420_Aug11_4_59_37pm[[#This Row],[COOLANT TEMP '[Â°C']]]-Table3[[#This Row],[5805]]</f>
        <v>0</v>
      </c>
      <c r="AB1270">
        <f>DataLog_T717420_Aug11_4_59_37pm[[#This Row],[BOOST '[BAR']]]-Table3[[#This Row],[58DD]]</f>
        <v>0</v>
      </c>
    </row>
    <row r="1271" spans="2:28" x14ac:dyDescent="0.25">
      <c r="B1271" s="2" t="s">
        <v>183</v>
      </c>
      <c r="C1271" s="2" t="s">
        <v>262</v>
      </c>
      <c r="D1271" s="2" t="s">
        <v>151</v>
      </c>
      <c r="E1271" s="2" t="s">
        <v>150</v>
      </c>
      <c r="F1271" s="2" t="s">
        <v>263</v>
      </c>
      <c r="G1271" s="2" t="s">
        <v>96</v>
      </c>
      <c r="I1271">
        <f>HEX2DEC(_0811_173439[[#This Row],[580C]])*B$4/B$5+B$6</f>
        <v>800</v>
      </c>
      <c r="J1271">
        <f>HEX2DEC(_0811_173439[[#This Row],[4402]])*C$4/C$5+C$6</f>
        <v>37</v>
      </c>
      <c r="K1271">
        <f>HEX2DEC(_0811_173439[[#This Row],[580F]])*D$4/D$5+D$6</f>
        <v>30</v>
      </c>
      <c r="L1271">
        <f>ROUND(HEX2DEC(_0811_173439[[#This Row],[58F0]])*E$4/E$5+E$6,0)</f>
        <v>70</v>
      </c>
      <c r="M1271">
        <f>ROUND(HEX2DEC(_0811_173439[[#This Row],[5805]])*F$4/F$5+F$6,0)</f>
        <v>44</v>
      </c>
      <c r="N1271">
        <f>ROUND(HEX2DEC(_0811_173439[[#This Row],[58DD]])*G$4/G$5+G$6,2)</f>
        <v>-0.03</v>
      </c>
      <c r="P1271">
        <v>800</v>
      </c>
      <c r="Q1271">
        <v>37</v>
      </c>
      <c r="R1271">
        <v>30</v>
      </c>
      <c r="S1271">
        <v>70</v>
      </c>
      <c r="T1271">
        <v>44</v>
      </c>
      <c r="U1271">
        <v>-0.03</v>
      </c>
      <c r="W1271">
        <f>DataLog_T717420_Aug11_4_59_37pm[[#This Row],[RPM '[1/MIN']]]-Table3[[#This Row],[580C]]</f>
        <v>0</v>
      </c>
      <c r="X1271">
        <f>DataLog_T717420_Aug11_4_59_37pm[[#This Row],[OIL TEMP '[Â°C']]]-Table3[[#This Row],[4402]]</f>
        <v>0</v>
      </c>
      <c r="Y1271">
        <f>DataLog_T717420_Aug11_4_59_37pm[[#This Row],[INTAKE TEMP '[Â°C']]]-Table3[[#This Row],[580F]]</f>
        <v>0</v>
      </c>
      <c r="Z1271">
        <f>DataLog_T717420_Aug11_4_59_37pm[[#This Row],[HPFP PRES. '[BAR']]]-Table3[[#This Row],[58F0]]</f>
        <v>0</v>
      </c>
      <c r="AA1271">
        <f>DataLog_T717420_Aug11_4_59_37pm[[#This Row],[COOLANT TEMP '[Â°C']]]-Table3[[#This Row],[5805]]</f>
        <v>0</v>
      </c>
      <c r="AB1271">
        <f>DataLog_T717420_Aug11_4_59_37pm[[#This Row],[BOOST '[BAR']]]-Table3[[#This Row],[58DD]]</f>
        <v>0</v>
      </c>
    </row>
    <row r="1272" spans="2:28" x14ac:dyDescent="0.25">
      <c r="B1272" s="2" t="s">
        <v>189</v>
      </c>
      <c r="C1272" s="2" t="s">
        <v>262</v>
      </c>
      <c r="D1272" s="2" t="s">
        <v>151</v>
      </c>
      <c r="E1272" s="2" t="s">
        <v>122</v>
      </c>
      <c r="F1272" s="2" t="s">
        <v>263</v>
      </c>
      <c r="G1272" s="2" t="s">
        <v>236</v>
      </c>
      <c r="I1272">
        <f>HEX2DEC(_0811_173439[[#This Row],[580C]])*B$4/B$5+B$6</f>
        <v>760</v>
      </c>
      <c r="J1272">
        <f>HEX2DEC(_0811_173439[[#This Row],[4402]])*C$4/C$5+C$6</f>
        <v>37</v>
      </c>
      <c r="K1272">
        <f>HEX2DEC(_0811_173439[[#This Row],[580F]])*D$4/D$5+D$6</f>
        <v>30</v>
      </c>
      <c r="L1272">
        <f>ROUND(HEX2DEC(_0811_173439[[#This Row],[58F0]])*E$4/E$5+E$6,0)</f>
        <v>71</v>
      </c>
      <c r="M1272">
        <f>ROUND(HEX2DEC(_0811_173439[[#This Row],[5805]])*F$4/F$5+F$6,0)</f>
        <v>44</v>
      </c>
      <c r="N1272">
        <f>ROUND(HEX2DEC(_0811_173439[[#This Row],[58DD]])*G$4/G$5+G$6,2)</f>
        <v>-0.03</v>
      </c>
      <c r="P1272">
        <v>760</v>
      </c>
      <c r="Q1272">
        <v>37</v>
      </c>
      <c r="R1272">
        <v>30</v>
      </c>
      <c r="S1272">
        <v>71</v>
      </c>
      <c r="T1272">
        <v>44</v>
      </c>
      <c r="U1272">
        <v>-0.03</v>
      </c>
      <c r="W1272">
        <f>DataLog_T717420_Aug11_4_59_37pm[[#This Row],[RPM '[1/MIN']]]-Table3[[#This Row],[580C]]</f>
        <v>0</v>
      </c>
      <c r="X1272">
        <f>DataLog_T717420_Aug11_4_59_37pm[[#This Row],[OIL TEMP '[Â°C']]]-Table3[[#This Row],[4402]]</f>
        <v>0</v>
      </c>
      <c r="Y1272">
        <f>DataLog_T717420_Aug11_4_59_37pm[[#This Row],[INTAKE TEMP '[Â°C']]]-Table3[[#This Row],[580F]]</f>
        <v>0</v>
      </c>
      <c r="Z1272">
        <f>DataLog_T717420_Aug11_4_59_37pm[[#This Row],[HPFP PRES. '[BAR']]]-Table3[[#This Row],[58F0]]</f>
        <v>0</v>
      </c>
      <c r="AA1272">
        <f>DataLog_T717420_Aug11_4_59_37pm[[#This Row],[COOLANT TEMP '[Â°C']]]-Table3[[#This Row],[5805]]</f>
        <v>0</v>
      </c>
      <c r="AB1272">
        <f>DataLog_T717420_Aug11_4_59_37pm[[#This Row],[BOOST '[BAR']]]-Table3[[#This Row],[58DD]]</f>
        <v>0</v>
      </c>
    </row>
    <row r="1273" spans="2:28" x14ac:dyDescent="0.25">
      <c r="B1273" s="2" t="s">
        <v>189</v>
      </c>
      <c r="C1273" s="2" t="s">
        <v>262</v>
      </c>
      <c r="D1273" s="2" t="s">
        <v>151</v>
      </c>
      <c r="E1273" s="2" t="s">
        <v>141</v>
      </c>
      <c r="F1273" s="2" t="s">
        <v>263</v>
      </c>
      <c r="G1273" s="2" t="s">
        <v>236</v>
      </c>
      <c r="I1273">
        <f>HEX2DEC(_0811_173439[[#This Row],[580C]])*B$4/B$5+B$6</f>
        <v>760</v>
      </c>
      <c r="J1273">
        <f>HEX2DEC(_0811_173439[[#This Row],[4402]])*C$4/C$5+C$6</f>
        <v>37</v>
      </c>
      <c r="K1273">
        <f>HEX2DEC(_0811_173439[[#This Row],[580F]])*D$4/D$5+D$6</f>
        <v>30</v>
      </c>
      <c r="L1273">
        <f>ROUND(HEX2DEC(_0811_173439[[#This Row],[58F0]])*E$4/E$5+E$6,0)</f>
        <v>70</v>
      </c>
      <c r="M1273">
        <f>ROUND(HEX2DEC(_0811_173439[[#This Row],[5805]])*F$4/F$5+F$6,0)</f>
        <v>44</v>
      </c>
      <c r="N1273">
        <f>ROUND(HEX2DEC(_0811_173439[[#This Row],[58DD]])*G$4/G$5+G$6,2)</f>
        <v>-0.03</v>
      </c>
      <c r="P1273">
        <v>760</v>
      </c>
      <c r="Q1273">
        <v>37</v>
      </c>
      <c r="R1273">
        <v>30</v>
      </c>
      <c r="S1273">
        <v>70</v>
      </c>
      <c r="T1273">
        <v>44</v>
      </c>
      <c r="U1273">
        <v>-0.03</v>
      </c>
      <c r="W1273">
        <f>DataLog_T717420_Aug11_4_59_37pm[[#This Row],[RPM '[1/MIN']]]-Table3[[#This Row],[580C]]</f>
        <v>0</v>
      </c>
      <c r="X1273">
        <f>DataLog_T717420_Aug11_4_59_37pm[[#This Row],[OIL TEMP '[Â°C']]]-Table3[[#This Row],[4402]]</f>
        <v>0</v>
      </c>
      <c r="Y1273">
        <f>DataLog_T717420_Aug11_4_59_37pm[[#This Row],[INTAKE TEMP '[Â°C']]]-Table3[[#This Row],[580F]]</f>
        <v>0</v>
      </c>
      <c r="Z1273">
        <f>DataLog_T717420_Aug11_4_59_37pm[[#This Row],[HPFP PRES. '[BAR']]]-Table3[[#This Row],[58F0]]</f>
        <v>0</v>
      </c>
      <c r="AA1273">
        <f>DataLog_T717420_Aug11_4_59_37pm[[#This Row],[COOLANT TEMP '[Â°C']]]-Table3[[#This Row],[5805]]</f>
        <v>0</v>
      </c>
      <c r="AB1273">
        <f>DataLog_T717420_Aug11_4_59_37pm[[#This Row],[BOOST '[BAR']]]-Table3[[#This Row],[58DD]]</f>
        <v>0</v>
      </c>
    </row>
    <row r="1274" spans="2:28" x14ac:dyDescent="0.25">
      <c r="B1274" s="2" t="s">
        <v>189</v>
      </c>
      <c r="C1274" s="2" t="s">
        <v>262</v>
      </c>
      <c r="D1274" s="2" t="s">
        <v>151</v>
      </c>
      <c r="E1274" s="2" t="s">
        <v>93</v>
      </c>
      <c r="F1274" s="2" t="s">
        <v>263</v>
      </c>
      <c r="G1274" s="2" t="s">
        <v>250</v>
      </c>
      <c r="I1274">
        <f>HEX2DEC(_0811_173439[[#This Row],[580C]])*B$4/B$5+B$6</f>
        <v>760</v>
      </c>
      <c r="J1274">
        <f>HEX2DEC(_0811_173439[[#This Row],[4402]])*C$4/C$5+C$6</f>
        <v>37</v>
      </c>
      <c r="K1274">
        <f>HEX2DEC(_0811_173439[[#This Row],[580F]])*D$4/D$5+D$6</f>
        <v>30</v>
      </c>
      <c r="L1274">
        <f>ROUND(HEX2DEC(_0811_173439[[#This Row],[58F0]])*E$4/E$5+E$6,0)</f>
        <v>70</v>
      </c>
      <c r="M1274">
        <f>ROUND(HEX2DEC(_0811_173439[[#This Row],[5805]])*F$4/F$5+F$6,0)</f>
        <v>44</v>
      </c>
      <c r="N1274">
        <f>ROUND(HEX2DEC(_0811_173439[[#This Row],[58DD]])*G$4/G$5+G$6,2)</f>
        <v>-0.03</v>
      </c>
      <c r="P1274">
        <v>760</v>
      </c>
      <c r="Q1274">
        <v>37</v>
      </c>
      <c r="R1274">
        <v>30</v>
      </c>
      <c r="S1274">
        <v>70</v>
      </c>
      <c r="T1274">
        <v>44</v>
      </c>
      <c r="U1274">
        <v>-0.03</v>
      </c>
      <c r="W1274">
        <f>DataLog_T717420_Aug11_4_59_37pm[[#This Row],[RPM '[1/MIN']]]-Table3[[#This Row],[580C]]</f>
        <v>0</v>
      </c>
      <c r="X1274">
        <f>DataLog_T717420_Aug11_4_59_37pm[[#This Row],[OIL TEMP '[Â°C']]]-Table3[[#This Row],[4402]]</f>
        <v>0</v>
      </c>
      <c r="Y1274">
        <f>DataLog_T717420_Aug11_4_59_37pm[[#This Row],[INTAKE TEMP '[Â°C']]]-Table3[[#This Row],[580F]]</f>
        <v>0</v>
      </c>
      <c r="Z1274">
        <f>DataLog_T717420_Aug11_4_59_37pm[[#This Row],[HPFP PRES. '[BAR']]]-Table3[[#This Row],[58F0]]</f>
        <v>0</v>
      </c>
      <c r="AA1274">
        <f>DataLog_T717420_Aug11_4_59_37pm[[#This Row],[COOLANT TEMP '[Â°C']]]-Table3[[#This Row],[5805]]</f>
        <v>0</v>
      </c>
      <c r="AB1274">
        <f>DataLog_T717420_Aug11_4_59_37pm[[#This Row],[BOOST '[BAR']]]-Table3[[#This Row],[58DD]]</f>
        <v>0</v>
      </c>
    </row>
    <row r="1275" spans="2:28" x14ac:dyDescent="0.25">
      <c r="B1275" s="2" t="s">
        <v>189</v>
      </c>
      <c r="C1275" s="2" t="s">
        <v>262</v>
      </c>
      <c r="D1275" s="2" t="s">
        <v>151</v>
      </c>
      <c r="E1275" s="2" t="s">
        <v>122</v>
      </c>
      <c r="F1275" s="2" t="s">
        <v>263</v>
      </c>
      <c r="G1275" s="2" t="s">
        <v>236</v>
      </c>
      <c r="I1275">
        <f>HEX2DEC(_0811_173439[[#This Row],[580C]])*B$4/B$5+B$6</f>
        <v>760</v>
      </c>
      <c r="J1275">
        <f>HEX2DEC(_0811_173439[[#This Row],[4402]])*C$4/C$5+C$6</f>
        <v>37</v>
      </c>
      <c r="K1275">
        <f>HEX2DEC(_0811_173439[[#This Row],[580F]])*D$4/D$5+D$6</f>
        <v>30</v>
      </c>
      <c r="L1275">
        <f>ROUND(HEX2DEC(_0811_173439[[#This Row],[58F0]])*E$4/E$5+E$6,0)</f>
        <v>71</v>
      </c>
      <c r="M1275">
        <f>ROUND(HEX2DEC(_0811_173439[[#This Row],[5805]])*F$4/F$5+F$6,0)</f>
        <v>44</v>
      </c>
      <c r="N1275">
        <f>ROUND(HEX2DEC(_0811_173439[[#This Row],[58DD]])*G$4/G$5+G$6,2)</f>
        <v>-0.03</v>
      </c>
      <c r="P1275">
        <v>760</v>
      </c>
      <c r="Q1275">
        <v>37</v>
      </c>
      <c r="R1275">
        <v>30</v>
      </c>
      <c r="S1275">
        <v>71</v>
      </c>
      <c r="T1275">
        <v>44</v>
      </c>
      <c r="U1275">
        <v>-0.03</v>
      </c>
      <c r="W1275">
        <f>DataLog_T717420_Aug11_4_59_37pm[[#This Row],[RPM '[1/MIN']]]-Table3[[#This Row],[580C]]</f>
        <v>0</v>
      </c>
      <c r="X1275">
        <f>DataLog_T717420_Aug11_4_59_37pm[[#This Row],[OIL TEMP '[Â°C']]]-Table3[[#This Row],[4402]]</f>
        <v>0</v>
      </c>
      <c r="Y1275">
        <f>DataLog_T717420_Aug11_4_59_37pm[[#This Row],[INTAKE TEMP '[Â°C']]]-Table3[[#This Row],[580F]]</f>
        <v>0</v>
      </c>
      <c r="Z1275">
        <f>DataLog_T717420_Aug11_4_59_37pm[[#This Row],[HPFP PRES. '[BAR']]]-Table3[[#This Row],[58F0]]</f>
        <v>0</v>
      </c>
      <c r="AA1275">
        <f>DataLog_T717420_Aug11_4_59_37pm[[#This Row],[COOLANT TEMP '[Â°C']]]-Table3[[#This Row],[5805]]</f>
        <v>0</v>
      </c>
      <c r="AB1275">
        <f>DataLog_T717420_Aug11_4_59_37pm[[#This Row],[BOOST '[BAR']]]-Table3[[#This Row],[58DD]]</f>
        <v>0</v>
      </c>
    </row>
    <row r="1276" spans="2:28" x14ac:dyDescent="0.25">
      <c r="B1276" s="2" t="s">
        <v>189</v>
      </c>
      <c r="C1276" s="2" t="s">
        <v>262</v>
      </c>
      <c r="D1276" s="2" t="s">
        <v>151</v>
      </c>
      <c r="E1276" s="2" t="s">
        <v>121</v>
      </c>
      <c r="F1276" s="2" t="s">
        <v>263</v>
      </c>
      <c r="G1276" s="2" t="s">
        <v>96</v>
      </c>
      <c r="I1276">
        <f>HEX2DEC(_0811_173439[[#This Row],[580C]])*B$4/B$5+B$6</f>
        <v>760</v>
      </c>
      <c r="J1276">
        <f>HEX2DEC(_0811_173439[[#This Row],[4402]])*C$4/C$5+C$6</f>
        <v>37</v>
      </c>
      <c r="K1276">
        <f>HEX2DEC(_0811_173439[[#This Row],[580F]])*D$4/D$5+D$6</f>
        <v>30</v>
      </c>
      <c r="L1276">
        <f>ROUND(HEX2DEC(_0811_173439[[#This Row],[58F0]])*E$4/E$5+E$6,0)</f>
        <v>71</v>
      </c>
      <c r="M1276">
        <f>ROUND(HEX2DEC(_0811_173439[[#This Row],[5805]])*F$4/F$5+F$6,0)</f>
        <v>44</v>
      </c>
      <c r="N1276">
        <f>ROUND(HEX2DEC(_0811_173439[[#This Row],[58DD]])*G$4/G$5+G$6,2)</f>
        <v>-0.03</v>
      </c>
      <c r="P1276">
        <v>760</v>
      </c>
      <c r="Q1276">
        <v>37</v>
      </c>
      <c r="R1276">
        <v>30</v>
      </c>
      <c r="S1276">
        <v>71</v>
      </c>
      <c r="T1276">
        <v>44</v>
      </c>
      <c r="U1276">
        <v>-0.03</v>
      </c>
      <c r="W1276">
        <f>DataLog_T717420_Aug11_4_59_37pm[[#This Row],[RPM '[1/MIN']]]-Table3[[#This Row],[580C]]</f>
        <v>0</v>
      </c>
      <c r="X1276">
        <f>DataLog_T717420_Aug11_4_59_37pm[[#This Row],[OIL TEMP '[Â°C']]]-Table3[[#This Row],[4402]]</f>
        <v>0</v>
      </c>
      <c r="Y1276">
        <f>DataLog_T717420_Aug11_4_59_37pm[[#This Row],[INTAKE TEMP '[Â°C']]]-Table3[[#This Row],[580F]]</f>
        <v>0</v>
      </c>
      <c r="Z1276">
        <f>DataLog_T717420_Aug11_4_59_37pm[[#This Row],[HPFP PRES. '[BAR']]]-Table3[[#This Row],[58F0]]</f>
        <v>0</v>
      </c>
      <c r="AA1276">
        <f>DataLog_T717420_Aug11_4_59_37pm[[#This Row],[COOLANT TEMP '[Â°C']]]-Table3[[#This Row],[5805]]</f>
        <v>0</v>
      </c>
      <c r="AB1276">
        <f>DataLog_T717420_Aug11_4_59_37pm[[#This Row],[BOOST '[BAR']]]-Table3[[#This Row],[58DD]]</f>
        <v>0</v>
      </c>
    </row>
    <row r="1277" spans="2:28" x14ac:dyDescent="0.25">
      <c r="B1277" s="2" t="s">
        <v>189</v>
      </c>
      <c r="C1277" s="2" t="s">
        <v>262</v>
      </c>
      <c r="D1277" s="2" t="s">
        <v>151</v>
      </c>
      <c r="E1277" s="2" t="s">
        <v>93</v>
      </c>
      <c r="F1277" s="2" t="s">
        <v>263</v>
      </c>
      <c r="G1277" s="2" t="s">
        <v>216</v>
      </c>
      <c r="I1277">
        <f>HEX2DEC(_0811_173439[[#This Row],[580C]])*B$4/B$5+B$6</f>
        <v>760</v>
      </c>
      <c r="J1277">
        <f>HEX2DEC(_0811_173439[[#This Row],[4402]])*C$4/C$5+C$6</f>
        <v>37</v>
      </c>
      <c r="K1277">
        <f>HEX2DEC(_0811_173439[[#This Row],[580F]])*D$4/D$5+D$6</f>
        <v>30</v>
      </c>
      <c r="L1277">
        <f>ROUND(HEX2DEC(_0811_173439[[#This Row],[58F0]])*E$4/E$5+E$6,0)</f>
        <v>70</v>
      </c>
      <c r="M1277">
        <f>ROUND(HEX2DEC(_0811_173439[[#This Row],[5805]])*F$4/F$5+F$6,0)</f>
        <v>44</v>
      </c>
      <c r="N1277">
        <f>ROUND(HEX2DEC(_0811_173439[[#This Row],[58DD]])*G$4/G$5+G$6,2)</f>
        <v>-0.03</v>
      </c>
      <c r="P1277">
        <v>760</v>
      </c>
      <c r="Q1277">
        <v>37</v>
      </c>
      <c r="R1277">
        <v>30</v>
      </c>
      <c r="S1277">
        <v>70</v>
      </c>
      <c r="T1277">
        <v>44</v>
      </c>
      <c r="U1277">
        <v>-0.03</v>
      </c>
      <c r="W1277">
        <f>DataLog_T717420_Aug11_4_59_37pm[[#This Row],[RPM '[1/MIN']]]-Table3[[#This Row],[580C]]</f>
        <v>0</v>
      </c>
      <c r="X1277">
        <f>DataLog_T717420_Aug11_4_59_37pm[[#This Row],[OIL TEMP '[Â°C']]]-Table3[[#This Row],[4402]]</f>
        <v>0</v>
      </c>
      <c r="Y1277">
        <f>DataLog_T717420_Aug11_4_59_37pm[[#This Row],[INTAKE TEMP '[Â°C']]]-Table3[[#This Row],[580F]]</f>
        <v>0</v>
      </c>
      <c r="Z1277">
        <f>DataLog_T717420_Aug11_4_59_37pm[[#This Row],[HPFP PRES. '[BAR']]]-Table3[[#This Row],[58F0]]</f>
        <v>0</v>
      </c>
      <c r="AA1277">
        <f>DataLog_T717420_Aug11_4_59_37pm[[#This Row],[COOLANT TEMP '[Â°C']]]-Table3[[#This Row],[5805]]</f>
        <v>0</v>
      </c>
      <c r="AB1277">
        <f>DataLog_T717420_Aug11_4_59_37pm[[#This Row],[BOOST '[BAR']]]-Table3[[#This Row],[58DD]]</f>
        <v>0</v>
      </c>
    </row>
    <row r="1278" spans="2:28" x14ac:dyDescent="0.25">
      <c r="B1278" s="2" t="s">
        <v>189</v>
      </c>
      <c r="C1278" s="2" t="s">
        <v>262</v>
      </c>
      <c r="D1278" s="2" t="s">
        <v>151</v>
      </c>
      <c r="E1278" s="2" t="s">
        <v>206</v>
      </c>
      <c r="F1278" s="2" t="s">
        <v>263</v>
      </c>
      <c r="G1278" s="2" t="s">
        <v>71</v>
      </c>
      <c r="I1278">
        <f>HEX2DEC(_0811_173439[[#This Row],[580C]])*B$4/B$5+B$6</f>
        <v>760</v>
      </c>
      <c r="J1278">
        <f>HEX2DEC(_0811_173439[[#This Row],[4402]])*C$4/C$5+C$6</f>
        <v>37</v>
      </c>
      <c r="K1278">
        <f>HEX2DEC(_0811_173439[[#This Row],[580F]])*D$4/D$5+D$6</f>
        <v>30</v>
      </c>
      <c r="L1278">
        <f>ROUND(HEX2DEC(_0811_173439[[#This Row],[58F0]])*E$4/E$5+E$6,0)</f>
        <v>71</v>
      </c>
      <c r="M1278">
        <f>ROUND(HEX2DEC(_0811_173439[[#This Row],[5805]])*F$4/F$5+F$6,0)</f>
        <v>44</v>
      </c>
      <c r="N1278">
        <f>ROUND(HEX2DEC(_0811_173439[[#This Row],[58DD]])*G$4/G$5+G$6,2)</f>
        <v>-0.03</v>
      </c>
      <c r="P1278">
        <v>760</v>
      </c>
      <c r="Q1278">
        <v>37</v>
      </c>
      <c r="R1278">
        <v>30</v>
      </c>
      <c r="S1278">
        <v>71</v>
      </c>
      <c r="T1278">
        <v>44</v>
      </c>
      <c r="U1278">
        <v>-0.03</v>
      </c>
      <c r="W1278">
        <f>DataLog_T717420_Aug11_4_59_37pm[[#This Row],[RPM '[1/MIN']]]-Table3[[#This Row],[580C]]</f>
        <v>0</v>
      </c>
      <c r="X1278">
        <f>DataLog_T717420_Aug11_4_59_37pm[[#This Row],[OIL TEMP '[Â°C']]]-Table3[[#This Row],[4402]]</f>
        <v>0</v>
      </c>
      <c r="Y1278">
        <f>DataLog_T717420_Aug11_4_59_37pm[[#This Row],[INTAKE TEMP '[Â°C']]]-Table3[[#This Row],[580F]]</f>
        <v>0</v>
      </c>
      <c r="Z1278">
        <f>DataLog_T717420_Aug11_4_59_37pm[[#This Row],[HPFP PRES. '[BAR']]]-Table3[[#This Row],[58F0]]</f>
        <v>0</v>
      </c>
      <c r="AA1278">
        <f>DataLog_T717420_Aug11_4_59_37pm[[#This Row],[COOLANT TEMP '[Â°C']]]-Table3[[#This Row],[5805]]</f>
        <v>0</v>
      </c>
      <c r="AB1278">
        <f>DataLog_T717420_Aug11_4_59_37pm[[#This Row],[BOOST '[BAR']]]-Table3[[#This Row],[58DD]]</f>
        <v>0</v>
      </c>
    </row>
    <row r="1279" spans="2:28" x14ac:dyDescent="0.25">
      <c r="B1279" s="2" t="s">
        <v>189</v>
      </c>
      <c r="C1279" s="2" t="s">
        <v>262</v>
      </c>
      <c r="D1279" s="2" t="s">
        <v>151</v>
      </c>
      <c r="E1279" s="2" t="s">
        <v>139</v>
      </c>
      <c r="F1279" s="2" t="s">
        <v>263</v>
      </c>
      <c r="G1279" s="2" t="s">
        <v>190</v>
      </c>
      <c r="I1279">
        <f>HEX2DEC(_0811_173439[[#This Row],[580C]])*B$4/B$5+B$6</f>
        <v>760</v>
      </c>
      <c r="J1279">
        <f>HEX2DEC(_0811_173439[[#This Row],[4402]])*C$4/C$5+C$6</f>
        <v>37</v>
      </c>
      <c r="K1279">
        <f>HEX2DEC(_0811_173439[[#This Row],[580F]])*D$4/D$5+D$6</f>
        <v>30</v>
      </c>
      <c r="L1279">
        <f>ROUND(HEX2DEC(_0811_173439[[#This Row],[58F0]])*E$4/E$5+E$6,0)</f>
        <v>71</v>
      </c>
      <c r="M1279">
        <f>ROUND(HEX2DEC(_0811_173439[[#This Row],[5805]])*F$4/F$5+F$6,0)</f>
        <v>44</v>
      </c>
      <c r="N1279">
        <f>ROUND(HEX2DEC(_0811_173439[[#This Row],[58DD]])*G$4/G$5+G$6,2)</f>
        <v>-0.03</v>
      </c>
      <c r="P1279">
        <v>760</v>
      </c>
      <c r="Q1279">
        <v>37</v>
      </c>
      <c r="R1279">
        <v>30</v>
      </c>
      <c r="S1279">
        <v>71</v>
      </c>
      <c r="T1279">
        <v>44</v>
      </c>
      <c r="U1279">
        <v>-0.03</v>
      </c>
      <c r="W1279">
        <f>DataLog_T717420_Aug11_4_59_37pm[[#This Row],[RPM '[1/MIN']]]-Table3[[#This Row],[580C]]</f>
        <v>0</v>
      </c>
      <c r="X1279">
        <f>DataLog_T717420_Aug11_4_59_37pm[[#This Row],[OIL TEMP '[Â°C']]]-Table3[[#This Row],[4402]]</f>
        <v>0</v>
      </c>
      <c r="Y1279">
        <f>DataLog_T717420_Aug11_4_59_37pm[[#This Row],[INTAKE TEMP '[Â°C']]]-Table3[[#This Row],[580F]]</f>
        <v>0</v>
      </c>
      <c r="Z1279">
        <f>DataLog_T717420_Aug11_4_59_37pm[[#This Row],[HPFP PRES. '[BAR']]]-Table3[[#This Row],[58F0]]</f>
        <v>0</v>
      </c>
      <c r="AA1279">
        <f>DataLog_T717420_Aug11_4_59_37pm[[#This Row],[COOLANT TEMP '[Â°C']]]-Table3[[#This Row],[5805]]</f>
        <v>0</v>
      </c>
      <c r="AB1279">
        <f>DataLog_T717420_Aug11_4_59_37pm[[#This Row],[BOOST '[BAR']]]-Table3[[#This Row],[58DD]]</f>
        <v>0</v>
      </c>
    </row>
    <row r="1280" spans="2:28" x14ac:dyDescent="0.25">
      <c r="B1280" s="2" t="s">
        <v>189</v>
      </c>
      <c r="C1280" s="2" t="s">
        <v>262</v>
      </c>
      <c r="D1280" s="2" t="s">
        <v>151</v>
      </c>
      <c r="E1280" s="2" t="s">
        <v>93</v>
      </c>
      <c r="F1280" s="2" t="s">
        <v>263</v>
      </c>
      <c r="G1280" s="2" t="s">
        <v>236</v>
      </c>
      <c r="I1280">
        <f>HEX2DEC(_0811_173439[[#This Row],[580C]])*B$4/B$5+B$6</f>
        <v>760</v>
      </c>
      <c r="J1280">
        <f>HEX2DEC(_0811_173439[[#This Row],[4402]])*C$4/C$5+C$6</f>
        <v>37</v>
      </c>
      <c r="K1280">
        <f>HEX2DEC(_0811_173439[[#This Row],[580F]])*D$4/D$5+D$6</f>
        <v>30</v>
      </c>
      <c r="L1280">
        <f>ROUND(HEX2DEC(_0811_173439[[#This Row],[58F0]])*E$4/E$5+E$6,0)</f>
        <v>70</v>
      </c>
      <c r="M1280">
        <f>ROUND(HEX2DEC(_0811_173439[[#This Row],[5805]])*F$4/F$5+F$6,0)</f>
        <v>44</v>
      </c>
      <c r="N1280">
        <f>ROUND(HEX2DEC(_0811_173439[[#This Row],[58DD]])*G$4/G$5+G$6,2)</f>
        <v>-0.03</v>
      </c>
      <c r="P1280">
        <v>760</v>
      </c>
      <c r="Q1280">
        <v>37</v>
      </c>
      <c r="R1280">
        <v>30</v>
      </c>
      <c r="S1280">
        <v>70</v>
      </c>
      <c r="T1280">
        <v>44</v>
      </c>
      <c r="U1280">
        <v>-0.03</v>
      </c>
      <c r="W1280">
        <f>DataLog_T717420_Aug11_4_59_37pm[[#This Row],[RPM '[1/MIN']]]-Table3[[#This Row],[580C]]</f>
        <v>0</v>
      </c>
      <c r="X1280">
        <f>DataLog_T717420_Aug11_4_59_37pm[[#This Row],[OIL TEMP '[Â°C']]]-Table3[[#This Row],[4402]]</f>
        <v>0</v>
      </c>
      <c r="Y1280">
        <f>DataLog_T717420_Aug11_4_59_37pm[[#This Row],[INTAKE TEMP '[Â°C']]]-Table3[[#This Row],[580F]]</f>
        <v>0</v>
      </c>
      <c r="Z1280">
        <f>DataLog_T717420_Aug11_4_59_37pm[[#This Row],[HPFP PRES. '[BAR']]]-Table3[[#This Row],[58F0]]</f>
        <v>0</v>
      </c>
      <c r="AA1280">
        <f>DataLog_T717420_Aug11_4_59_37pm[[#This Row],[COOLANT TEMP '[Â°C']]]-Table3[[#This Row],[5805]]</f>
        <v>0</v>
      </c>
      <c r="AB1280">
        <f>DataLog_T717420_Aug11_4_59_37pm[[#This Row],[BOOST '[BAR']]]-Table3[[#This Row],[58DD]]</f>
        <v>0</v>
      </c>
    </row>
    <row r="1281" spans="2:28" x14ac:dyDescent="0.25">
      <c r="B1281" s="2" t="s">
        <v>189</v>
      </c>
      <c r="C1281" s="2" t="s">
        <v>262</v>
      </c>
      <c r="D1281" s="2" t="s">
        <v>151</v>
      </c>
      <c r="E1281" s="2" t="s">
        <v>170</v>
      </c>
      <c r="F1281" s="2" t="s">
        <v>263</v>
      </c>
      <c r="G1281" s="2" t="s">
        <v>236</v>
      </c>
      <c r="I1281">
        <f>HEX2DEC(_0811_173439[[#This Row],[580C]])*B$4/B$5+B$6</f>
        <v>760</v>
      </c>
      <c r="J1281">
        <f>HEX2DEC(_0811_173439[[#This Row],[4402]])*C$4/C$5+C$6</f>
        <v>37</v>
      </c>
      <c r="K1281">
        <f>HEX2DEC(_0811_173439[[#This Row],[580F]])*D$4/D$5+D$6</f>
        <v>30</v>
      </c>
      <c r="L1281">
        <f>ROUND(HEX2DEC(_0811_173439[[#This Row],[58F0]])*E$4/E$5+E$6,0)</f>
        <v>71</v>
      </c>
      <c r="M1281">
        <f>ROUND(HEX2DEC(_0811_173439[[#This Row],[5805]])*F$4/F$5+F$6,0)</f>
        <v>44</v>
      </c>
      <c r="N1281">
        <f>ROUND(HEX2DEC(_0811_173439[[#This Row],[58DD]])*G$4/G$5+G$6,2)</f>
        <v>-0.03</v>
      </c>
      <c r="P1281">
        <v>760</v>
      </c>
      <c r="Q1281">
        <v>37</v>
      </c>
      <c r="R1281">
        <v>30</v>
      </c>
      <c r="S1281">
        <v>71</v>
      </c>
      <c r="T1281">
        <v>44</v>
      </c>
      <c r="U1281">
        <v>-0.03</v>
      </c>
      <c r="W1281">
        <f>DataLog_T717420_Aug11_4_59_37pm[[#This Row],[RPM '[1/MIN']]]-Table3[[#This Row],[580C]]</f>
        <v>0</v>
      </c>
      <c r="X1281">
        <f>DataLog_T717420_Aug11_4_59_37pm[[#This Row],[OIL TEMP '[Â°C']]]-Table3[[#This Row],[4402]]</f>
        <v>0</v>
      </c>
      <c r="Y1281">
        <f>DataLog_T717420_Aug11_4_59_37pm[[#This Row],[INTAKE TEMP '[Â°C']]]-Table3[[#This Row],[580F]]</f>
        <v>0</v>
      </c>
      <c r="Z1281">
        <f>DataLog_T717420_Aug11_4_59_37pm[[#This Row],[HPFP PRES. '[BAR']]]-Table3[[#This Row],[58F0]]</f>
        <v>0</v>
      </c>
      <c r="AA1281">
        <f>DataLog_T717420_Aug11_4_59_37pm[[#This Row],[COOLANT TEMP '[Â°C']]]-Table3[[#This Row],[5805]]</f>
        <v>0</v>
      </c>
      <c r="AB1281">
        <f>DataLog_T717420_Aug11_4_59_37pm[[#This Row],[BOOST '[BAR']]]-Table3[[#This Row],[58DD]]</f>
        <v>0</v>
      </c>
    </row>
    <row r="1282" spans="2:28" x14ac:dyDescent="0.25">
      <c r="B1282" s="2" t="s">
        <v>189</v>
      </c>
      <c r="C1282" s="2" t="s">
        <v>262</v>
      </c>
      <c r="D1282" s="2" t="s">
        <v>151</v>
      </c>
      <c r="E1282" s="2" t="s">
        <v>139</v>
      </c>
      <c r="F1282" s="2" t="s">
        <v>263</v>
      </c>
      <c r="G1282" s="2" t="s">
        <v>71</v>
      </c>
      <c r="I1282">
        <f>HEX2DEC(_0811_173439[[#This Row],[580C]])*B$4/B$5+B$6</f>
        <v>760</v>
      </c>
      <c r="J1282">
        <f>HEX2DEC(_0811_173439[[#This Row],[4402]])*C$4/C$5+C$6</f>
        <v>37</v>
      </c>
      <c r="K1282">
        <f>HEX2DEC(_0811_173439[[#This Row],[580F]])*D$4/D$5+D$6</f>
        <v>30</v>
      </c>
      <c r="L1282">
        <f>ROUND(HEX2DEC(_0811_173439[[#This Row],[58F0]])*E$4/E$5+E$6,0)</f>
        <v>71</v>
      </c>
      <c r="M1282">
        <f>ROUND(HEX2DEC(_0811_173439[[#This Row],[5805]])*F$4/F$5+F$6,0)</f>
        <v>44</v>
      </c>
      <c r="N1282">
        <f>ROUND(HEX2DEC(_0811_173439[[#This Row],[58DD]])*G$4/G$5+G$6,2)</f>
        <v>-0.03</v>
      </c>
      <c r="P1282">
        <v>760</v>
      </c>
      <c r="Q1282">
        <v>37</v>
      </c>
      <c r="R1282">
        <v>30</v>
      </c>
      <c r="S1282">
        <v>71</v>
      </c>
      <c r="T1282">
        <v>44</v>
      </c>
      <c r="U1282">
        <v>-0.03</v>
      </c>
      <c r="W1282">
        <f>DataLog_T717420_Aug11_4_59_37pm[[#This Row],[RPM '[1/MIN']]]-Table3[[#This Row],[580C]]</f>
        <v>0</v>
      </c>
      <c r="X1282">
        <f>DataLog_T717420_Aug11_4_59_37pm[[#This Row],[OIL TEMP '[Â°C']]]-Table3[[#This Row],[4402]]</f>
        <v>0</v>
      </c>
      <c r="Y1282">
        <f>DataLog_T717420_Aug11_4_59_37pm[[#This Row],[INTAKE TEMP '[Â°C']]]-Table3[[#This Row],[580F]]</f>
        <v>0</v>
      </c>
      <c r="Z1282">
        <f>DataLog_T717420_Aug11_4_59_37pm[[#This Row],[HPFP PRES. '[BAR']]]-Table3[[#This Row],[58F0]]</f>
        <v>0</v>
      </c>
      <c r="AA1282">
        <f>DataLog_T717420_Aug11_4_59_37pm[[#This Row],[COOLANT TEMP '[Â°C']]]-Table3[[#This Row],[5805]]</f>
        <v>0</v>
      </c>
      <c r="AB1282">
        <f>DataLog_T717420_Aug11_4_59_37pm[[#This Row],[BOOST '[BAR']]]-Table3[[#This Row],[58DD]]</f>
        <v>0</v>
      </c>
    </row>
    <row r="1283" spans="2:28" x14ac:dyDescent="0.25">
      <c r="B1283" s="2" t="s">
        <v>189</v>
      </c>
      <c r="C1283" s="2" t="s">
        <v>262</v>
      </c>
      <c r="D1283" s="2" t="s">
        <v>151</v>
      </c>
      <c r="E1283" s="2" t="s">
        <v>93</v>
      </c>
      <c r="F1283" s="2" t="s">
        <v>263</v>
      </c>
      <c r="G1283" s="2" t="s">
        <v>71</v>
      </c>
      <c r="I1283">
        <f>HEX2DEC(_0811_173439[[#This Row],[580C]])*B$4/B$5+B$6</f>
        <v>760</v>
      </c>
      <c r="J1283">
        <f>HEX2DEC(_0811_173439[[#This Row],[4402]])*C$4/C$5+C$6</f>
        <v>37</v>
      </c>
      <c r="K1283">
        <f>HEX2DEC(_0811_173439[[#This Row],[580F]])*D$4/D$5+D$6</f>
        <v>30</v>
      </c>
      <c r="L1283">
        <f>ROUND(HEX2DEC(_0811_173439[[#This Row],[58F0]])*E$4/E$5+E$6,0)</f>
        <v>70</v>
      </c>
      <c r="M1283">
        <f>ROUND(HEX2DEC(_0811_173439[[#This Row],[5805]])*F$4/F$5+F$6,0)</f>
        <v>44</v>
      </c>
      <c r="N1283">
        <f>ROUND(HEX2DEC(_0811_173439[[#This Row],[58DD]])*G$4/G$5+G$6,2)</f>
        <v>-0.03</v>
      </c>
      <c r="P1283">
        <v>760</v>
      </c>
      <c r="Q1283">
        <v>37</v>
      </c>
      <c r="R1283">
        <v>30</v>
      </c>
      <c r="S1283">
        <v>70</v>
      </c>
      <c r="T1283">
        <v>44</v>
      </c>
      <c r="U1283">
        <v>-0.03</v>
      </c>
      <c r="W1283">
        <f>DataLog_T717420_Aug11_4_59_37pm[[#This Row],[RPM '[1/MIN']]]-Table3[[#This Row],[580C]]</f>
        <v>0</v>
      </c>
      <c r="X1283">
        <f>DataLog_T717420_Aug11_4_59_37pm[[#This Row],[OIL TEMP '[Â°C']]]-Table3[[#This Row],[4402]]</f>
        <v>0</v>
      </c>
      <c r="Y1283">
        <f>DataLog_T717420_Aug11_4_59_37pm[[#This Row],[INTAKE TEMP '[Â°C']]]-Table3[[#This Row],[580F]]</f>
        <v>0</v>
      </c>
      <c r="Z1283">
        <f>DataLog_T717420_Aug11_4_59_37pm[[#This Row],[HPFP PRES. '[BAR']]]-Table3[[#This Row],[58F0]]</f>
        <v>0</v>
      </c>
      <c r="AA1283">
        <f>DataLog_T717420_Aug11_4_59_37pm[[#This Row],[COOLANT TEMP '[Â°C']]]-Table3[[#This Row],[5805]]</f>
        <v>0</v>
      </c>
      <c r="AB1283">
        <f>DataLog_T717420_Aug11_4_59_37pm[[#This Row],[BOOST '[BAR']]]-Table3[[#This Row],[58DD]]</f>
        <v>0</v>
      </c>
    </row>
    <row r="1284" spans="2:28" x14ac:dyDescent="0.25">
      <c r="B1284" s="2" t="s">
        <v>189</v>
      </c>
      <c r="C1284" s="2" t="s">
        <v>262</v>
      </c>
      <c r="D1284" s="2" t="s">
        <v>151</v>
      </c>
      <c r="E1284" s="2" t="s">
        <v>122</v>
      </c>
      <c r="F1284" s="2" t="s">
        <v>263</v>
      </c>
      <c r="G1284" s="2" t="s">
        <v>96</v>
      </c>
      <c r="I1284">
        <f>HEX2DEC(_0811_173439[[#This Row],[580C]])*B$4/B$5+B$6</f>
        <v>760</v>
      </c>
      <c r="J1284">
        <f>HEX2DEC(_0811_173439[[#This Row],[4402]])*C$4/C$5+C$6</f>
        <v>37</v>
      </c>
      <c r="K1284">
        <f>HEX2DEC(_0811_173439[[#This Row],[580F]])*D$4/D$5+D$6</f>
        <v>30</v>
      </c>
      <c r="L1284">
        <f>ROUND(HEX2DEC(_0811_173439[[#This Row],[58F0]])*E$4/E$5+E$6,0)</f>
        <v>71</v>
      </c>
      <c r="M1284">
        <f>ROUND(HEX2DEC(_0811_173439[[#This Row],[5805]])*F$4/F$5+F$6,0)</f>
        <v>44</v>
      </c>
      <c r="N1284">
        <f>ROUND(HEX2DEC(_0811_173439[[#This Row],[58DD]])*G$4/G$5+G$6,2)</f>
        <v>-0.03</v>
      </c>
      <c r="P1284">
        <v>760</v>
      </c>
      <c r="Q1284">
        <v>37</v>
      </c>
      <c r="R1284">
        <v>30</v>
      </c>
      <c r="S1284">
        <v>71</v>
      </c>
      <c r="T1284">
        <v>44</v>
      </c>
      <c r="U1284">
        <v>-0.03</v>
      </c>
      <c r="W1284">
        <f>DataLog_T717420_Aug11_4_59_37pm[[#This Row],[RPM '[1/MIN']]]-Table3[[#This Row],[580C]]</f>
        <v>0</v>
      </c>
      <c r="X1284">
        <f>DataLog_T717420_Aug11_4_59_37pm[[#This Row],[OIL TEMP '[Â°C']]]-Table3[[#This Row],[4402]]</f>
        <v>0</v>
      </c>
      <c r="Y1284">
        <f>DataLog_T717420_Aug11_4_59_37pm[[#This Row],[INTAKE TEMP '[Â°C']]]-Table3[[#This Row],[580F]]</f>
        <v>0</v>
      </c>
      <c r="Z1284">
        <f>DataLog_T717420_Aug11_4_59_37pm[[#This Row],[HPFP PRES. '[BAR']]]-Table3[[#This Row],[58F0]]</f>
        <v>0</v>
      </c>
      <c r="AA1284">
        <f>DataLog_T717420_Aug11_4_59_37pm[[#This Row],[COOLANT TEMP '[Â°C']]]-Table3[[#This Row],[5805]]</f>
        <v>0</v>
      </c>
      <c r="AB1284">
        <f>DataLog_T717420_Aug11_4_59_37pm[[#This Row],[BOOST '[BAR']]]-Table3[[#This Row],[58DD]]</f>
        <v>0</v>
      </c>
    </row>
    <row r="1285" spans="2:28" x14ac:dyDescent="0.25">
      <c r="B1285" s="2" t="s">
        <v>189</v>
      </c>
      <c r="C1285" s="2" t="s">
        <v>262</v>
      </c>
      <c r="D1285" s="2" t="s">
        <v>151</v>
      </c>
      <c r="E1285" s="2" t="s">
        <v>264</v>
      </c>
      <c r="F1285" s="2" t="s">
        <v>263</v>
      </c>
      <c r="G1285" s="2" t="s">
        <v>71</v>
      </c>
      <c r="I1285">
        <f>HEX2DEC(_0811_173439[[#This Row],[580C]])*B$4/B$5+B$6</f>
        <v>760</v>
      </c>
      <c r="J1285">
        <f>HEX2DEC(_0811_173439[[#This Row],[4402]])*C$4/C$5+C$6</f>
        <v>37</v>
      </c>
      <c r="K1285">
        <f>HEX2DEC(_0811_173439[[#This Row],[580F]])*D$4/D$5+D$6</f>
        <v>30</v>
      </c>
      <c r="L1285">
        <f>ROUND(HEX2DEC(_0811_173439[[#This Row],[58F0]])*E$4/E$5+E$6,0)</f>
        <v>71</v>
      </c>
      <c r="M1285">
        <f>ROUND(HEX2DEC(_0811_173439[[#This Row],[5805]])*F$4/F$5+F$6,0)</f>
        <v>44</v>
      </c>
      <c r="N1285">
        <f>ROUND(HEX2DEC(_0811_173439[[#This Row],[58DD]])*G$4/G$5+G$6,2)</f>
        <v>-0.03</v>
      </c>
      <c r="P1285">
        <v>760</v>
      </c>
      <c r="Q1285">
        <v>37</v>
      </c>
      <c r="R1285">
        <v>30</v>
      </c>
      <c r="S1285">
        <v>71</v>
      </c>
      <c r="T1285">
        <v>44</v>
      </c>
      <c r="U1285">
        <v>-0.03</v>
      </c>
      <c r="W1285">
        <f>DataLog_T717420_Aug11_4_59_37pm[[#This Row],[RPM '[1/MIN']]]-Table3[[#This Row],[580C]]</f>
        <v>0</v>
      </c>
      <c r="X1285">
        <f>DataLog_T717420_Aug11_4_59_37pm[[#This Row],[OIL TEMP '[Â°C']]]-Table3[[#This Row],[4402]]</f>
        <v>0</v>
      </c>
      <c r="Y1285">
        <f>DataLog_T717420_Aug11_4_59_37pm[[#This Row],[INTAKE TEMP '[Â°C']]]-Table3[[#This Row],[580F]]</f>
        <v>0</v>
      </c>
      <c r="Z1285">
        <f>DataLog_T717420_Aug11_4_59_37pm[[#This Row],[HPFP PRES. '[BAR']]]-Table3[[#This Row],[58F0]]</f>
        <v>0</v>
      </c>
      <c r="AA1285">
        <f>DataLog_T717420_Aug11_4_59_37pm[[#This Row],[COOLANT TEMP '[Â°C']]]-Table3[[#This Row],[5805]]</f>
        <v>0</v>
      </c>
      <c r="AB1285">
        <f>DataLog_T717420_Aug11_4_59_37pm[[#This Row],[BOOST '[BAR']]]-Table3[[#This Row],[58DD]]</f>
        <v>0</v>
      </c>
    </row>
    <row r="1286" spans="2:28" x14ac:dyDescent="0.25">
      <c r="B1286" s="2" t="s">
        <v>189</v>
      </c>
      <c r="C1286" s="2" t="s">
        <v>262</v>
      </c>
      <c r="D1286" s="2" t="s">
        <v>151</v>
      </c>
      <c r="E1286" s="2" t="s">
        <v>93</v>
      </c>
      <c r="F1286" s="2" t="s">
        <v>263</v>
      </c>
      <c r="G1286" s="2" t="s">
        <v>236</v>
      </c>
      <c r="I1286">
        <f>HEX2DEC(_0811_173439[[#This Row],[580C]])*B$4/B$5+B$6</f>
        <v>760</v>
      </c>
      <c r="J1286">
        <f>HEX2DEC(_0811_173439[[#This Row],[4402]])*C$4/C$5+C$6</f>
        <v>37</v>
      </c>
      <c r="K1286">
        <f>HEX2DEC(_0811_173439[[#This Row],[580F]])*D$4/D$5+D$6</f>
        <v>30</v>
      </c>
      <c r="L1286">
        <f>ROUND(HEX2DEC(_0811_173439[[#This Row],[58F0]])*E$4/E$5+E$6,0)</f>
        <v>70</v>
      </c>
      <c r="M1286">
        <f>ROUND(HEX2DEC(_0811_173439[[#This Row],[5805]])*F$4/F$5+F$6,0)</f>
        <v>44</v>
      </c>
      <c r="N1286">
        <f>ROUND(HEX2DEC(_0811_173439[[#This Row],[58DD]])*G$4/G$5+G$6,2)</f>
        <v>-0.03</v>
      </c>
      <c r="P1286">
        <v>760</v>
      </c>
      <c r="Q1286">
        <v>37</v>
      </c>
      <c r="R1286">
        <v>30</v>
      </c>
      <c r="S1286">
        <v>70</v>
      </c>
      <c r="T1286">
        <v>44</v>
      </c>
      <c r="U1286">
        <v>-0.03</v>
      </c>
      <c r="W1286">
        <f>DataLog_T717420_Aug11_4_59_37pm[[#This Row],[RPM '[1/MIN']]]-Table3[[#This Row],[580C]]</f>
        <v>0</v>
      </c>
      <c r="X1286">
        <f>DataLog_T717420_Aug11_4_59_37pm[[#This Row],[OIL TEMP '[Â°C']]]-Table3[[#This Row],[4402]]</f>
        <v>0</v>
      </c>
      <c r="Y1286">
        <f>DataLog_T717420_Aug11_4_59_37pm[[#This Row],[INTAKE TEMP '[Â°C']]]-Table3[[#This Row],[580F]]</f>
        <v>0</v>
      </c>
      <c r="Z1286">
        <f>DataLog_T717420_Aug11_4_59_37pm[[#This Row],[HPFP PRES. '[BAR']]]-Table3[[#This Row],[58F0]]</f>
        <v>0</v>
      </c>
      <c r="AA1286">
        <f>DataLog_T717420_Aug11_4_59_37pm[[#This Row],[COOLANT TEMP '[Â°C']]]-Table3[[#This Row],[5805]]</f>
        <v>0</v>
      </c>
      <c r="AB1286">
        <f>DataLog_T717420_Aug11_4_59_37pm[[#This Row],[BOOST '[BAR']]]-Table3[[#This Row],[58DD]]</f>
        <v>0</v>
      </c>
    </row>
    <row r="1287" spans="2:28" x14ac:dyDescent="0.25">
      <c r="B1287" s="2" t="s">
        <v>189</v>
      </c>
      <c r="C1287" s="2" t="s">
        <v>262</v>
      </c>
      <c r="D1287" s="2" t="s">
        <v>151</v>
      </c>
      <c r="E1287" s="2" t="s">
        <v>122</v>
      </c>
      <c r="F1287" s="2" t="s">
        <v>263</v>
      </c>
      <c r="G1287" s="2" t="s">
        <v>71</v>
      </c>
      <c r="I1287">
        <f>HEX2DEC(_0811_173439[[#This Row],[580C]])*B$4/B$5+B$6</f>
        <v>760</v>
      </c>
      <c r="J1287">
        <f>HEX2DEC(_0811_173439[[#This Row],[4402]])*C$4/C$5+C$6</f>
        <v>37</v>
      </c>
      <c r="K1287">
        <f>HEX2DEC(_0811_173439[[#This Row],[580F]])*D$4/D$5+D$6</f>
        <v>30</v>
      </c>
      <c r="L1287">
        <f>ROUND(HEX2DEC(_0811_173439[[#This Row],[58F0]])*E$4/E$5+E$6,0)</f>
        <v>71</v>
      </c>
      <c r="M1287">
        <f>ROUND(HEX2DEC(_0811_173439[[#This Row],[5805]])*F$4/F$5+F$6,0)</f>
        <v>44</v>
      </c>
      <c r="N1287">
        <f>ROUND(HEX2DEC(_0811_173439[[#This Row],[58DD]])*G$4/G$5+G$6,2)</f>
        <v>-0.03</v>
      </c>
      <c r="P1287">
        <v>760</v>
      </c>
      <c r="Q1287">
        <v>37</v>
      </c>
      <c r="R1287">
        <v>30</v>
      </c>
      <c r="S1287">
        <v>71</v>
      </c>
      <c r="T1287">
        <v>44</v>
      </c>
      <c r="U1287">
        <v>-0.03</v>
      </c>
      <c r="W1287">
        <f>DataLog_T717420_Aug11_4_59_37pm[[#This Row],[RPM '[1/MIN']]]-Table3[[#This Row],[580C]]</f>
        <v>0</v>
      </c>
      <c r="X1287">
        <f>DataLog_T717420_Aug11_4_59_37pm[[#This Row],[OIL TEMP '[Â°C']]]-Table3[[#This Row],[4402]]</f>
        <v>0</v>
      </c>
      <c r="Y1287">
        <f>DataLog_T717420_Aug11_4_59_37pm[[#This Row],[INTAKE TEMP '[Â°C']]]-Table3[[#This Row],[580F]]</f>
        <v>0</v>
      </c>
      <c r="Z1287">
        <f>DataLog_T717420_Aug11_4_59_37pm[[#This Row],[HPFP PRES. '[BAR']]]-Table3[[#This Row],[58F0]]</f>
        <v>0</v>
      </c>
      <c r="AA1287">
        <f>DataLog_T717420_Aug11_4_59_37pm[[#This Row],[COOLANT TEMP '[Â°C']]]-Table3[[#This Row],[5805]]</f>
        <v>0</v>
      </c>
      <c r="AB1287">
        <f>DataLog_T717420_Aug11_4_59_37pm[[#This Row],[BOOST '[BAR']]]-Table3[[#This Row],[58DD]]</f>
        <v>0</v>
      </c>
    </row>
    <row r="1288" spans="2:28" x14ac:dyDescent="0.25">
      <c r="B1288" s="2" t="s">
        <v>189</v>
      </c>
      <c r="C1288" s="2" t="s">
        <v>262</v>
      </c>
      <c r="D1288" s="2" t="s">
        <v>151</v>
      </c>
      <c r="E1288" s="2" t="s">
        <v>226</v>
      </c>
      <c r="F1288" s="2" t="s">
        <v>263</v>
      </c>
      <c r="G1288" s="2" t="s">
        <v>216</v>
      </c>
      <c r="I1288">
        <f>HEX2DEC(_0811_173439[[#This Row],[580C]])*B$4/B$5+B$6</f>
        <v>760</v>
      </c>
      <c r="J1288">
        <f>HEX2DEC(_0811_173439[[#This Row],[4402]])*C$4/C$5+C$6</f>
        <v>37</v>
      </c>
      <c r="K1288">
        <f>HEX2DEC(_0811_173439[[#This Row],[580F]])*D$4/D$5+D$6</f>
        <v>30</v>
      </c>
      <c r="L1288">
        <f>ROUND(HEX2DEC(_0811_173439[[#This Row],[58F0]])*E$4/E$5+E$6,0)</f>
        <v>71</v>
      </c>
      <c r="M1288">
        <f>ROUND(HEX2DEC(_0811_173439[[#This Row],[5805]])*F$4/F$5+F$6,0)</f>
        <v>44</v>
      </c>
      <c r="N1288">
        <f>ROUND(HEX2DEC(_0811_173439[[#This Row],[58DD]])*G$4/G$5+G$6,2)</f>
        <v>-0.03</v>
      </c>
      <c r="P1288">
        <v>760</v>
      </c>
      <c r="Q1288">
        <v>37</v>
      </c>
      <c r="R1288">
        <v>30</v>
      </c>
      <c r="S1288">
        <v>71</v>
      </c>
      <c r="T1288">
        <v>44</v>
      </c>
      <c r="U1288">
        <v>-0.03</v>
      </c>
      <c r="W1288">
        <f>DataLog_T717420_Aug11_4_59_37pm[[#This Row],[RPM '[1/MIN']]]-Table3[[#This Row],[580C]]</f>
        <v>0</v>
      </c>
      <c r="X1288">
        <f>DataLog_T717420_Aug11_4_59_37pm[[#This Row],[OIL TEMP '[Â°C']]]-Table3[[#This Row],[4402]]</f>
        <v>0</v>
      </c>
      <c r="Y1288">
        <f>DataLog_T717420_Aug11_4_59_37pm[[#This Row],[INTAKE TEMP '[Â°C']]]-Table3[[#This Row],[580F]]</f>
        <v>0</v>
      </c>
      <c r="Z1288">
        <f>DataLog_T717420_Aug11_4_59_37pm[[#This Row],[HPFP PRES. '[BAR']]]-Table3[[#This Row],[58F0]]</f>
        <v>0</v>
      </c>
      <c r="AA1288">
        <f>DataLog_T717420_Aug11_4_59_37pm[[#This Row],[COOLANT TEMP '[Â°C']]]-Table3[[#This Row],[5805]]</f>
        <v>0</v>
      </c>
      <c r="AB1288">
        <f>DataLog_T717420_Aug11_4_59_37pm[[#This Row],[BOOST '[BAR']]]-Table3[[#This Row],[58DD]]</f>
        <v>0</v>
      </c>
    </row>
    <row r="1289" spans="2:28" x14ac:dyDescent="0.25">
      <c r="B1289" s="2" t="s">
        <v>183</v>
      </c>
      <c r="C1289" s="2" t="s">
        <v>262</v>
      </c>
      <c r="D1289" s="2" t="s">
        <v>151</v>
      </c>
      <c r="E1289" s="2" t="s">
        <v>93</v>
      </c>
      <c r="F1289" s="2" t="s">
        <v>263</v>
      </c>
      <c r="G1289" s="2" t="s">
        <v>236</v>
      </c>
      <c r="I1289">
        <f>HEX2DEC(_0811_173439[[#This Row],[580C]])*B$4/B$5+B$6</f>
        <v>800</v>
      </c>
      <c r="J1289">
        <f>HEX2DEC(_0811_173439[[#This Row],[4402]])*C$4/C$5+C$6</f>
        <v>37</v>
      </c>
      <c r="K1289">
        <f>HEX2DEC(_0811_173439[[#This Row],[580F]])*D$4/D$5+D$6</f>
        <v>30</v>
      </c>
      <c r="L1289">
        <f>ROUND(HEX2DEC(_0811_173439[[#This Row],[58F0]])*E$4/E$5+E$6,0)</f>
        <v>70</v>
      </c>
      <c r="M1289">
        <f>ROUND(HEX2DEC(_0811_173439[[#This Row],[5805]])*F$4/F$5+F$6,0)</f>
        <v>44</v>
      </c>
      <c r="N1289">
        <f>ROUND(HEX2DEC(_0811_173439[[#This Row],[58DD]])*G$4/G$5+G$6,2)</f>
        <v>-0.03</v>
      </c>
      <c r="P1289">
        <v>800</v>
      </c>
      <c r="Q1289">
        <v>37</v>
      </c>
      <c r="R1289">
        <v>30</v>
      </c>
      <c r="S1289">
        <v>70</v>
      </c>
      <c r="T1289">
        <v>44</v>
      </c>
      <c r="U1289">
        <v>-0.03</v>
      </c>
      <c r="W1289">
        <f>DataLog_T717420_Aug11_4_59_37pm[[#This Row],[RPM '[1/MIN']]]-Table3[[#This Row],[580C]]</f>
        <v>0</v>
      </c>
      <c r="X1289">
        <f>DataLog_T717420_Aug11_4_59_37pm[[#This Row],[OIL TEMP '[Â°C']]]-Table3[[#This Row],[4402]]</f>
        <v>0</v>
      </c>
      <c r="Y1289">
        <f>DataLog_T717420_Aug11_4_59_37pm[[#This Row],[INTAKE TEMP '[Â°C']]]-Table3[[#This Row],[580F]]</f>
        <v>0</v>
      </c>
      <c r="Z1289">
        <f>DataLog_T717420_Aug11_4_59_37pm[[#This Row],[HPFP PRES. '[BAR']]]-Table3[[#This Row],[58F0]]</f>
        <v>0</v>
      </c>
      <c r="AA1289">
        <f>DataLog_T717420_Aug11_4_59_37pm[[#This Row],[COOLANT TEMP '[Â°C']]]-Table3[[#This Row],[5805]]</f>
        <v>0</v>
      </c>
      <c r="AB1289">
        <f>DataLog_T717420_Aug11_4_59_37pm[[#This Row],[BOOST '[BAR']]]-Table3[[#This Row],[58DD]]</f>
        <v>0</v>
      </c>
    </row>
    <row r="1290" spans="2:28" x14ac:dyDescent="0.25">
      <c r="B1290" s="2" t="s">
        <v>183</v>
      </c>
      <c r="C1290" s="2" t="s">
        <v>262</v>
      </c>
      <c r="D1290" s="2" t="s">
        <v>151</v>
      </c>
      <c r="E1290" s="2" t="s">
        <v>188</v>
      </c>
      <c r="F1290" s="2" t="s">
        <v>263</v>
      </c>
      <c r="G1290" s="2" t="s">
        <v>255</v>
      </c>
      <c r="I1290">
        <f>HEX2DEC(_0811_173439[[#This Row],[580C]])*B$4/B$5+B$6</f>
        <v>800</v>
      </c>
      <c r="J1290">
        <f>HEX2DEC(_0811_173439[[#This Row],[4402]])*C$4/C$5+C$6</f>
        <v>37</v>
      </c>
      <c r="K1290">
        <f>HEX2DEC(_0811_173439[[#This Row],[580F]])*D$4/D$5+D$6</f>
        <v>30</v>
      </c>
      <c r="L1290">
        <f>ROUND(HEX2DEC(_0811_173439[[#This Row],[58F0]])*E$4/E$5+E$6,0)</f>
        <v>71</v>
      </c>
      <c r="M1290">
        <f>ROUND(HEX2DEC(_0811_173439[[#This Row],[5805]])*F$4/F$5+F$6,0)</f>
        <v>44</v>
      </c>
      <c r="N1290">
        <f>ROUND(HEX2DEC(_0811_173439[[#This Row],[58DD]])*G$4/G$5+G$6,2)</f>
        <v>-0.03</v>
      </c>
      <c r="P1290">
        <v>800</v>
      </c>
      <c r="Q1290">
        <v>37</v>
      </c>
      <c r="R1290">
        <v>30</v>
      </c>
      <c r="S1290">
        <v>71</v>
      </c>
      <c r="T1290">
        <v>44</v>
      </c>
      <c r="U1290">
        <v>-0.03</v>
      </c>
      <c r="W1290">
        <f>DataLog_T717420_Aug11_4_59_37pm[[#This Row],[RPM '[1/MIN']]]-Table3[[#This Row],[580C]]</f>
        <v>0</v>
      </c>
      <c r="X1290">
        <f>DataLog_T717420_Aug11_4_59_37pm[[#This Row],[OIL TEMP '[Â°C']]]-Table3[[#This Row],[4402]]</f>
        <v>0</v>
      </c>
      <c r="Y1290">
        <f>DataLog_T717420_Aug11_4_59_37pm[[#This Row],[INTAKE TEMP '[Â°C']]]-Table3[[#This Row],[580F]]</f>
        <v>0</v>
      </c>
      <c r="Z1290">
        <f>DataLog_T717420_Aug11_4_59_37pm[[#This Row],[HPFP PRES. '[BAR']]]-Table3[[#This Row],[58F0]]</f>
        <v>0</v>
      </c>
      <c r="AA1290">
        <f>DataLog_T717420_Aug11_4_59_37pm[[#This Row],[COOLANT TEMP '[Â°C']]]-Table3[[#This Row],[5805]]</f>
        <v>0</v>
      </c>
      <c r="AB1290">
        <f>DataLog_T717420_Aug11_4_59_37pm[[#This Row],[BOOST '[BAR']]]-Table3[[#This Row],[58DD]]</f>
        <v>0</v>
      </c>
    </row>
    <row r="1291" spans="2:28" x14ac:dyDescent="0.25">
      <c r="B1291" s="2" t="s">
        <v>183</v>
      </c>
      <c r="C1291" s="2" t="s">
        <v>262</v>
      </c>
      <c r="D1291" s="2" t="s">
        <v>151</v>
      </c>
      <c r="E1291" s="2" t="s">
        <v>119</v>
      </c>
      <c r="F1291" s="2" t="s">
        <v>263</v>
      </c>
      <c r="G1291" s="2" t="s">
        <v>96</v>
      </c>
      <c r="I1291">
        <f>HEX2DEC(_0811_173439[[#This Row],[580C]])*B$4/B$5+B$6</f>
        <v>800</v>
      </c>
      <c r="J1291">
        <f>HEX2DEC(_0811_173439[[#This Row],[4402]])*C$4/C$5+C$6</f>
        <v>37</v>
      </c>
      <c r="K1291">
        <f>HEX2DEC(_0811_173439[[#This Row],[580F]])*D$4/D$5+D$6</f>
        <v>30</v>
      </c>
      <c r="L1291">
        <f>ROUND(HEX2DEC(_0811_173439[[#This Row],[58F0]])*E$4/E$5+E$6,0)</f>
        <v>71</v>
      </c>
      <c r="M1291">
        <f>ROUND(HEX2DEC(_0811_173439[[#This Row],[5805]])*F$4/F$5+F$6,0)</f>
        <v>44</v>
      </c>
      <c r="N1291">
        <f>ROUND(HEX2DEC(_0811_173439[[#This Row],[58DD]])*G$4/G$5+G$6,2)</f>
        <v>-0.03</v>
      </c>
      <c r="P1291">
        <v>800</v>
      </c>
      <c r="Q1291">
        <v>37</v>
      </c>
      <c r="R1291">
        <v>30</v>
      </c>
      <c r="S1291">
        <v>71</v>
      </c>
      <c r="T1291">
        <v>44</v>
      </c>
      <c r="U1291">
        <v>-0.03</v>
      </c>
      <c r="W1291">
        <f>DataLog_T717420_Aug11_4_59_37pm[[#This Row],[RPM '[1/MIN']]]-Table3[[#This Row],[580C]]</f>
        <v>0</v>
      </c>
      <c r="X1291">
        <f>DataLog_T717420_Aug11_4_59_37pm[[#This Row],[OIL TEMP '[Â°C']]]-Table3[[#This Row],[4402]]</f>
        <v>0</v>
      </c>
      <c r="Y1291">
        <f>DataLog_T717420_Aug11_4_59_37pm[[#This Row],[INTAKE TEMP '[Â°C']]]-Table3[[#This Row],[580F]]</f>
        <v>0</v>
      </c>
      <c r="Z1291">
        <f>DataLog_T717420_Aug11_4_59_37pm[[#This Row],[HPFP PRES. '[BAR']]]-Table3[[#This Row],[58F0]]</f>
        <v>0</v>
      </c>
      <c r="AA1291">
        <f>DataLog_T717420_Aug11_4_59_37pm[[#This Row],[COOLANT TEMP '[Â°C']]]-Table3[[#This Row],[5805]]</f>
        <v>0</v>
      </c>
      <c r="AB1291">
        <f>DataLog_T717420_Aug11_4_59_37pm[[#This Row],[BOOST '[BAR']]]-Table3[[#This Row],[58DD]]</f>
        <v>0</v>
      </c>
    </row>
    <row r="1292" spans="2:28" x14ac:dyDescent="0.25">
      <c r="B1292" s="2" t="s">
        <v>183</v>
      </c>
      <c r="C1292" s="2" t="s">
        <v>262</v>
      </c>
      <c r="D1292" s="2" t="s">
        <v>151</v>
      </c>
      <c r="E1292" s="2" t="s">
        <v>93</v>
      </c>
      <c r="F1292" s="2" t="s">
        <v>263</v>
      </c>
      <c r="G1292" s="2" t="s">
        <v>235</v>
      </c>
      <c r="I1292">
        <f>HEX2DEC(_0811_173439[[#This Row],[580C]])*B$4/B$5+B$6</f>
        <v>800</v>
      </c>
      <c r="J1292">
        <f>HEX2DEC(_0811_173439[[#This Row],[4402]])*C$4/C$5+C$6</f>
        <v>37</v>
      </c>
      <c r="K1292">
        <f>HEX2DEC(_0811_173439[[#This Row],[580F]])*D$4/D$5+D$6</f>
        <v>30</v>
      </c>
      <c r="L1292">
        <f>ROUND(HEX2DEC(_0811_173439[[#This Row],[58F0]])*E$4/E$5+E$6,0)</f>
        <v>70</v>
      </c>
      <c r="M1292">
        <f>ROUND(HEX2DEC(_0811_173439[[#This Row],[5805]])*F$4/F$5+F$6,0)</f>
        <v>44</v>
      </c>
      <c r="N1292">
        <f>ROUND(HEX2DEC(_0811_173439[[#This Row],[58DD]])*G$4/G$5+G$6,2)</f>
        <v>-0.03</v>
      </c>
      <c r="P1292">
        <v>800</v>
      </c>
      <c r="Q1292">
        <v>37</v>
      </c>
      <c r="R1292">
        <v>30</v>
      </c>
      <c r="S1292">
        <v>70</v>
      </c>
      <c r="T1292">
        <v>44</v>
      </c>
      <c r="U1292">
        <v>-0.03</v>
      </c>
      <c r="W1292">
        <f>DataLog_T717420_Aug11_4_59_37pm[[#This Row],[RPM '[1/MIN']]]-Table3[[#This Row],[580C]]</f>
        <v>0</v>
      </c>
      <c r="X1292">
        <f>DataLog_T717420_Aug11_4_59_37pm[[#This Row],[OIL TEMP '[Â°C']]]-Table3[[#This Row],[4402]]</f>
        <v>0</v>
      </c>
      <c r="Y1292">
        <f>DataLog_T717420_Aug11_4_59_37pm[[#This Row],[INTAKE TEMP '[Â°C']]]-Table3[[#This Row],[580F]]</f>
        <v>0</v>
      </c>
      <c r="Z1292">
        <f>DataLog_T717420_Aug11_4_59_37pm[[#This Row],[HPFP PRES. '[BAR']]]-Table3[[#This Row],[58F0]]</f>
        <v>0</v>
      </c>
      <c r="AA1292">
        <f>DataLog_T717420_Aug11_4_59_37pm[[#This Row],[COOLANT TEMP '[Â°C']]]-Table3[[#This Row],[5805]]</f>
        <v>0</v>
      </c>
      <c r="AB1292">
        <f>DataLog_T717420_Aug11_4_59_37pm[[#This Row],[BOOST '[BAR']]]-Table3[[#This Row],[58DD]]</f>
        <v>0</v>
      </c>
    </row>
    <row r="1293" spans="2:28" x14ac:dyDescent="0.25">
      <c r="B1293" s="2" t="s">
        <v>183</v>
      </c>
      <c r="C1293" s="2" t="s">
        <v>262</v>
      </c>
      <c r="D1293" s="2" t="s">
        <v>151</v>
      </c>
      <c r="E1293" s="2" t="s">
        <v>122</v>
      </c>
      <c r="F1293" s="2" t="s">
        <v>263</v>
      </c>
      <c r="G1293" s="2" t="s">
        <v>90</v>
      </c>
      <c r="I1293">
        <f>HEX2DEC(_0811_173439[[#This Row],[580C]])*B$4/B$5+B$6</f>
        <v>800</v>
      </c>
      <c r="J1293">
        <f>HEX2DEC(_0811_173439[[#This Row],[4402]])*C$4/C$5+C$6</f>
        <v>37</v>
      </c>
      <c r="K1293">
        <f>HEX2DEC(_0811_173439[[#This Row],[580F]])*D$4/D$5+D$6</f>
        <v>30</v>
      </c>
      <c r="L1293">
        <f>ROUND(HEX2DEC(_0811_173439[[#This Row],[58F0]])*E$4/E$5+E$6,0)</f>
        <v>71</v>
      </c>
      <c r="M1293">
        <f>ROUND(HEX2DEC(_0811_173439[[#This Row],[5805]])*F$4/F$5+F$6,0)</f>
        <v>44</v>
      </c>
      <c r="N1293">
        <f>ROUND(HEX2DEC(_0811_173439[[#This Row],[58DD]])*G$4/G$5+G$6,2)</f>
        <v>-0.03</v>
      </c>
      <c r="P1293">
        <v>800</v>
      </c>
      <c r="Q1293">
        <v>37</v>
      </c>
      <c r="R1293">
        <v>30</v>
      </c>
      <c r="S1293">
        <v>71</v>
      </c>
      <c r="T1293">
        <v>44</v>
      </c>
      <c r="U1293">
        <v>-0.03</v>
      </c>
      <c r="W1293">
        <f>DataLog_T717420_Aug11_4_59_37pm[[#This Row],[RPM '[1/MIN']]]-Table3[[#This Row],[580C]]</f>
        <v>0</v>
      </c>
      <c r="X1293">
        <f>DataLog_T717420_Aug11_4_59_37pm[[#This Row],[OIL TEMP '[Â°C']]]-Table3[[#This Row],[4402]]</f>
        <v>0</v>
      </c>
      <c r="Y1293">
        <f>DataLog_T717420_Aug11_4_59_37pm[[#This Row],[INTAKE TEMP '[Â°C']]]-Table3[[#This Row],[580F]]</f>
        <v>0</v>
      </c>
      <c r="Z1293">
        <f>DataLog_T717420_Aug11_4_59_37pm[[#This Row],[HPFP PRES. '[BAR']]]-Table3[[#This Row],[58F0]]</f>
        <v>0</v>
      </c>
      <c r="AA1293">
        <f>DataLog_T717420_Aug11_4_59_37pm[[#This Row],[COOLANT TEMP '[Â°C']]]-Table3[[#This Row],[5805]]</f>
        <v>0</v>
      </c>
      <c r="AB1293">
        <f>DataLog_T717420_Aug11_4_59_37pm[[#This Row],[BOOST '[BAR']]]-Table3[[#This Row],[58DD]]</f>
        <v>0</v>
      </c>
    </row>
    <row r="1294" spans="2:28" x14ac:dyDescent="0.25">
      <c r="B1294" s="2" t="s">
        <v>183</v>
      </c>
      <c r="C1294" s="2" t="s">
        <v>262</v>
      </c>
      <c r="D1294" s="2" t="s">
        <v>151</v>
      </c>
      <c r="E1294" s="2" t="s">
        <v>121</v>
      </c>
      <c r="F1294" s="2" t="s">
        <v>263</v>
      </c>
      <c r="G1294" s="2" t="s">
        <v>53</v>
      </c>
      <c r="I1294">
        <f>HEX2DEC(_0811_173439[[#This Row],[580C]])*B$4/B$5+B$6</f>
        <v>800</v>
      </c>
      <c r="J1294">
        <f>HEX2DEC(_0811_173439[[#This Row],[4402]])*C$4/C$5+C$6</f>
        <v>37</v>
      </c>
      <c r="K1294">
        <f>HEX2DEC(_0811_173439[[#This Row],[580F]])*D$4/D$5+D$6</f>
        <v>30</v>
      </c>
      <c r="L1294">
        <f>ROUND(HEX2DEC(_0811_173439[[#This Row],[58F0]])*E$4/E$5+E$6,0)</f>
        <v>71</v>
      </c>
      <c r="M1294">
        <f>ROUND(HEX2DEC(_0811_173439[[#This Row],[5805]])*F$4/F$5+F$6,0)</f>
        <v>44</v>
      </c>
      <c r="N1294">
        <f>ROUND(HEX2DEC(_0811_173439[[#This Row],[58DD]])*G$4/G$5+G$6,2)</f>
        <v>-0.03</v>
      </c>
      <c r="P1294">
        <v>800</v>
      </c>
      <c r="Q1294">
        <v>37</v>
      </c>
      <c r="R1294">
        <v>30</v>
      </c>
      <c r="S1294">
        <v>71</v>
      </c>
      <c r="T1294">
        <v>44</v>
      </c>
      <c r="U1294">
        <v>-0.03</v>
      </c>
      <c r="W1294">
        <f>DataLog_T717420_Aug11_4_59_37pm[[#This Row],[RPM '[1/MIN']]]-Table3[[#This Row],[580C]]</f>
        <v>0</v>
      </c>
      <c r="X1294">
        <f>DataLog_T717420_Aug11_4_59_37pm[[#This Row],[OIL TEMP '[Â°C']]]-Table3[[#This Row],[4402]]</f>
        <v>0</v>
      </c>
      <c r="Y1294">
        <f>DataLog_T717420_Aug11_4_59_37pm[[#This Row],[INTAKE TEMP '[Â°C']]]-Table3[[#This Row],[580F]]</f>
        <v>0</v>
      </c>
      <c r="Z1294">
        <f>DataLog_T717420_Aug11_4_59_37pm[[#This Row],[HPFP PRES. '[BAR']]]-Table3[[#This Row],[58F0]]</f>
        <v>0</v>
      </c>
      <c r="AA1294">
        <f>DataLog_T717420_Aug11_4_59_37pm[[#This Row],[COOLANT TEMP '[Â°C']]]-Table3[[#This Row],[5805]]</f>
        <v>0</v>
      </c>
      <c r="AB1294">
        <f>DataLog_T717420_Aug11_4_59_37pm[[#This Row],[BOOST '[BAR']]]-Table3[[#This Row],[58DD]]</f>
        <v>0</v>
      </c>
    </row>
    <row r="1295" spans="2:28" x14ac:dyDescent="0.25">
      <c r="B1295" s="2" t="s">
        <v>183</v>
      </c>
      <c r="C1295" s="2" t="s">
        <v>262</v>
      </c>
      <c r="D1295" s="2" t="s">
        <v>151</v>
      </c>
      <c r="E1295" s="2" t="s">
        <v>93</v>
      </c>
      <c r="F1295" s="2" t="s">
        <v>263</v>
      </c>
      <c r="G1295" s="2" t="s">
        <v>258</v>
      </c>
      <c r="I1295">
        <f>HEX2DEC(_0811_173439[[#This Row],[580C]])*B$4/B$5+B$6</f>
        <v>800</v>
      </c>
      <c r="J1295">
        <f>HEX2DEC(_0811_173439[[#This Row],[4402]])*C$4/C$5+C$6</f>
        <v>37</v>
      </c>
      <c r="K1295">
        <f>HEX2DEC(_0811_173439[[#This Row],[580F]])*D$4/D$5+D$6</f>
        <v>30</v>
      </c>
      <c r="L1295">
        <f>ROUND(HEX2DEC(_0811_173439[[#This Row],[58F0]])*E$4/E$5+E$6,0)</f>
        <v>70</v>
      </c>
      <c r="M1295">
        <f>ROUND(HEX2DEC(_0811_173439[[#This Row],[5805]])*F$4/F$5+F$6,0)</f>
        <v>44</v>
      </c>
      <c r="N1295">
        <f>ROUND(HEX2DEC(_0811_173439[[#This Row],[58DD]])*G$4/G$5+G$6,2)</f>
        <v>-0.03</v>
      </c>
      <c r="P1295">
        <v>800</v>
      </c>
      <c r="Q1295">
        <v>37</v>
      </c>
      <c r="R1295">
        <v>30</v>
      </c>
      <c r="S1295">
        <v>70</v>
      </c>
      <c r="T1295">
        <v>44</v>
      </c>
      <c r="U1295">
        <v>-0.03</v>
      </c>
      <c r="W1295">
        <f>DataLog_T717420_Aug11_4_59_37pm[[#This Row],[RPM '[1/MIN']]]-Table3[[#This Row],[580C]]</f>
        <v>0</v>
      </c>
      <c r="X1295">
        <f>DataLog_T717420_Aug11_4_59_37pm[[#This Row],[OIL TEMP '[Â°C']]]-Table3[[#This Row],[4402]]</f>
        <v>0</v>
      </c>
      <c r="Y1295">
        <f>DataLog_T717420_Aug11_4_59_37pm[[#This Row],[INTAKE TEMP '[Â°C']]]-Table3[[#This Row],[580F]]</f>
        <v>0</v>
      </c>
      <c r="Z1295">
        <f>DataLog_T717420_Aug11_4_59_37pm[[#This Row],[HPFP PRES. '[BAR']]]-Table3[[#This Row],[58F0]]</f>
        <v>0</v>
      </c>
      <c r="AA1295">
        <f>DataLog_T717420_Aug11_4_59_37pm[[#This Row],[COOLANT TEMP '[Â°C']]]-Table3[[#This Row],[5805]]</f>
        <v>0</v>
      </c>
      <c r="AB1295">
        <f>DataLog_T717420_Aug11_4_59_37pm[[#This Row],[BOOST '[BAR']]]-Table3[[#This Row],[58DD]]</f>
        <v>0</v>
      </c>
    </row>
    <row r="1296" spans="2:28" x14ac:dyDescent="0.25">
      <c r="B1296" s="2" t="s">
        <v>183</v>
      </c>
      <c r="C1296" s="2" t="s">
        <v>262</v>
      </c>
      <c r="D1296" s="2" t="s">
        <v>151</v>
      </c>
      <c r="E1296" s="2" t="s">
        <v>122</v>
      </c>
      <c r="F1296" s="2" t="s">
        <v>263</v>
      </c>
      <c r="G1296" s="2" t="s">
        <v>235</v>
      </c>
      <c r="I1296">
        <f>HEX2DEC(_0811_173439[[#This Row],[580C]])*B$4/B$5+B$6</f>
        <v>800</v>
      </c>
      <c r="J1296">
        <f>HEX2DEC(_0811_173439[[#This Row],[4402]])*C$4/C$5+C$6</f>
        <v>37</v>
      </c>
      <c r="K1296">
        <f>HEX2DEC(_0811_173439[[#This Row],[580F]])*D$4/D$5+D$6</f>
        <v>30</v>
      </c>
      <c r="L1296">
        <f>ROUND(HEX2DEC(_0811_173439[[#This Row],[58F0]])*E$4/E$5+E$6,0)</f>
        <v>71</v>
      </c>
      <c r="M1296">
        <f>ROUND(HEX2DEC(_0811_173439[[#This Row],[5805]])*F$4/F$5+F$6,0)</f>
        <v>44</v>
      </c>
      <c r="N1296">
        <f>ROUND(HEX2DEC(_0811_173439[[#This Row],[58DD]])*G$4/G$5+G$6,2)</f>
        <v>-0.03</v>
      </c>
      <c r="P1296">
        <v>800</v>
      </c>
      <c r="Q1296">
        <v>37</v>
      </c>
      <c r="R1296">
        <v>30</v>
      </c>
      <c r="S1296">
        <v>71</v>
      </c>
      <c r="T1296">
        <v>44</v>
      </c>
      <c r="U1296">
        <v>-0.03</v>
      </c>
      <c r="W1296">
        <f>DataLog_T717420_Aug11_4_59_37pm[[#This Row],[RPM '[1/MIN']]]-Table3[[#This Row],[580C]]</f>
        <v>0</v>
      </c>
      <c r="X1296">
        <f>DataLog_T717420_Aug11_4_59_37pm[[#This Row],[OIL TEMP '[Â°C']]]-Table3[[#This Row],[4402]]</f>
        <v>0</v>
      </c>
      <c r="Y1296">
        <f>DataLog_T717420_Aug11_4_59_37pm[[#This Row],[INTAKE TEMP '[Â°C']]]-Table3[[#This Row],[580F]]</f>
        <v>0</v>
      </c>
      <c r="Z1296">
        <f>DataLog_T717420_Aug11_4_59_37pm[[#This Row],[HPFP PRES. '[BAR']]]-Table3[[#This Row],[58F0]]</f>
        <v>0</v>
      </c>
      <c r="AA1296">
        <f>DataLog_T717420_Aug11_4_59_37pm[[#This Row],[COOLANT TEMP '[Â°C']]]-Table3[[#This Row],[5805]]</f>
        <v>0</v>
      </c>
      <c r="AB1296">
        <f>DataLog_T717420_Aug11_4_59_37pm[[#This Row],[BOOST '[BAR']]]-Table3[[#This Row],[58DD]]</f>
        <v>0</v>
      </c>
    </row>
    <row r="1297" spans="2:28" x14ac:dyDescent="0.25">
      <c r="B1297" s="2" t="s">
        <v>183</v>
      </c>
      <c r="C1297" s="2" t="s">
        <v>262</v>
      </c>
      <c r="D1297" s="2" t="s">
        <v>151</v>
      </c>
      <c r="E1297" s="2" t="s">
        <v>205</v>
      </c>
      <c r="F1297" s="2" t="s">
        <v>263</v>
      </c>
      <c r="G1297" s="2" t="s">
        <v>236</v>
      </c>
      <c r="I1297">
        <f>HEX2DEC(_0811_173439[[#This Row],[580C]])*B$4/B$5+B$6</f>
        <v>800</v>
      </c>
      <c r="J1297">
        <f>HEX2DEC(_0811_173439[[#This Row],[4402]])*C$4/C$5+C$6</f>
        <v>37</v>
      </c>
      <c r="K1297">
        <f>HEX2DEC(_0811_173439[[#This Row],[580F]])*D$4/D$5+D$6</f>
        <v>30</v>
      </c>
      <c r="L1297">
        <f>ROUND(HEX2DEC(_0811_173439[[#This Row],[58F0]])*E$4/E$5+E$6,0)</f>
        <v>71</v>
      </c>
      <c r="M1297">
        <f>ROUND(HEX2DEC(_0811_173439[[#This Row],[5805]])*F$4/F$5+F$6,0)</f>
        <v>44</v>
      </c>
      <c r="N1297">
        <f>ROUND(HEX2DEC(_0811_173439[[#This Row],[58DD]])*G$4/G$5+G$6,2)</f>
        <v>-0.03</v>
      </c>
      <c r="P1297">
        <v>800</v>
      </c>
      <c r="Q1297">
        <v>37</v>
      </c>
      <c r="R1297">
        <v>30</v>
      </c>
      <c r="S1297">
        <v>71</v>
      </c>
      <c r="T1297">
        <v>44</v>
      </c>
      <c r="U1297">
        <v>-0.03</v>
      </c>
      <c r="W1297">
        <f>DataLog_T717420_Aug11_4_59_37pm[[#This Row],[RPM '[1/MIN']]]-Table3[[#This Row],[580C]]</f>
        <v>0</v>
      </c>
      <c r="X1297">
        <f>DataLog_T717420_Aug11_4_59_37pm[[#This Row],[OIL TEMP '[Â°C']]]-Table3[[#This Row],[4402]]</f>
        <v>0</v>
      </c>
      <c r="Y1297">
        <f>DataLog_T717420_Aug11_4_59_37pm[[#This Row],[INTAKE TEMP '[Â°C']]]-Table3[[#This Row],[580F]]</f>
        <v>0</v>
      </c>
      <c r="Z1297">
        <f>DataLog_T717420_Aug11_4_59_37pm[[#This Row],[HPFP PRES. '[BAR']]]-Table3[[#This Row],[58F0]]</f>
        <v>0</v>
      </c>
      <c r="AA1297">
        <f>DataLog_T717420_Aug11_4_59_37pm[[#This Row],[COOLANT TEMP '[Â°C']]]-Table3[[#This Row],[5805]]</f>
        <v>0</v>
      </c>
      <c r="AB1297">
        <f>DataLog_T717420_Aug11_4_59_37pm[[#This Row],[BOOST '[BAR']]]-Table3[[#This Row],[58DD]]</f>
        <v>0</v>
      </c>
    </row>
    <row r="1298" spans="2:28" x14ac:dyDescent="0.25">
      <c r="B1298" s="2" t="s">
        <v>183</v>
      </c>
      <c r="C1298" s="2" t="s">
        <v>262</v>
      </c>
      <c r="D1298" s="2" t="s">
        <v>151</v>
      </c>
      <c r="E1298" s="2" t="s">
        <v>139</v>
      </c>
      <c r="F1298" s="2" t="s">
        <v>263</v>
      </c>
      <c r="G1298" s="2" t="s">
        <v>90</v>
      </c>
      <c r="I1298">
        <f>HEX2DEC(_0811_173439[[#This Row],[580C]])*B$4/B$5+B$6</f>
        <v>800</v>
      </c>
      <c r="J1298">
        <f>HEX2DEC(_0811_173439[[#This Row],[4402]])*C$4/C$5+C$6</f>
        <v>37</v>
      </c>
      <c r="K1298">
        <f>HEX2DEC(_0811_173439[[#This Row],[580F]])*D$4/D$5+D$6</f>
        <v>30</v>
      </c>
      <c r="L1298">
        <f>ROUND(HEX2DEC(_0811_173439[[#This Row],[58F0]])*E$4/E$5+E$6,0)</f>
        <v>71</v>
      </c>
      <c r="M1298">
        <f>ROUND(HEX2DEC(_0811_173439[[#This Row],[5805]])*F$4/F$5+F$6,0)</f>
        <v>44</v>
      </c>
      <c r="N1298">
        <f>ROUND(HEX2DEC(_0811_173439[[#This Row],[58DD]])*G$4/G$5+G$6,2)</f>
        <v>-0.03</v>
      </c>
      <c r="P1298">
        <v>800</v>
      </c>
      <c r="Q1298">
        <v>37</v>
      </c>
      <c r="R1298">
        <v>30</v>
      </c>
      <c r="S1298">
        <v>71</v>
      </c>
      <c r="T1298">
        <v>44</v>
      </c>
      <c r="U1298">
        <v>-0.03</v>
      </c>
      <c r="W1298">
        <f>DataLog_T717420_Aug11_4_59_37pm[[#This Row],[RPM '[1/MIN']]]-Table3[[#This Row],[580C]]</f>
        <v>0</v>
      </c>
      <c r="X1298">
        <f>DataLog_T717420_Aug11_4_59_37pm[[#This Row],[OIL TEMP '[Â°C']]]-Table3[[#This Row],[4402]]</f>
        <v>0</v>
      </c>
      <c r="Y1298">
        <f>DataLog_T717420_Aug11_4_59_37pm[[#This Row],[INTAKE TEMP '[Â°C']]]-Table3[[#This Row],[580F]]</f>
        <v>0</v>
      </c>
      <c r="Z1298">
        <f>DataLog_T717420_Aug11_4_59_37pm[[#This Row],[HPFP PRES. '[BAR']]]-Table3[[#This Row],[58F0]]</f>
        <v>0</v>
      </c>
      <c r="AA1298">
        <f>DataLog_T717420_Aug11_4_59_37pm[[#This Row],[COOLANT TEMP '[Â°C']]]-Table3[[#This Row],[5805]]</f>
        <v>0</v>
      </c>
      <c r="AB1298">
        <f>DataLog_T717420_Aug11_4_59_37pm[[#This Row],[BOOST '[BAR']]]-Table3[[#This Row],[58DD]]</f>
        <v>0</v>
      </c>
    </row>
    <row r="1299" spans="2:28" x14ac:dyDescent="0.25">
      <c r="B1299" s="2" t="s">
        <v>183</v>
      </c>
      <c r="C1299" s="2" t="s">
        <v>262</v>
      </c>
      <c r="D1299" s="2" t="s">
        <v>151</v>
      </c>
      <c r="E1299" s="2" t="s">
        <v>124</v>
      </c>
      <c r="F1299" s="2" t="s">
        <v>263</v>
      </c>
      <c r="G1299" s="2" t="s">
        <v>53</v>
      </c>
      <c r="I1299">
        <f>HEX2DEC(_0811_173439[[#This Row],[580C]])*B$4/B$5+B$6</f>
        <v>800</v>
      </c>
      <c r="J1299">
        <f>HEX2DEC(_0811_173439[[#This Row],[4402]])*C$4/C$5+C$6</f>
        <v>37</v>
      </c>
      <c r="K1299">
        <f>HEX2DEC(_0811_173439[[#This Row],[580F]])*D$4/D$5+D$6</f>
        <v>30</v>
      </c>
      <c r="L1299">
        <f>ROUND(HEX2DEC(_0811_173439[[#This Row],[58F0]])*E$4/E$5+E$6,0)</f>
        <v>71</v>
      </c>
      <c r="M1299">
        <f>ROUND(HEX2DEC(_0811_173439[[#This Row],[5805]])*F$4/F$5+F$6,0)</f>
        <v>44</v>
      </c>
      <c r="N1299">
        <f>ROUND(HEX2DEC(_0811_173439[[#This Row],[58DD]])*G$4/G$5+G$6,2)</f>
        <v>-0.03</v>
      </c>
      <c r="P1299">
        <v>800</v>
      </c>
      <c r="Q1299">
        <v>37</v>
      </c>
      <c r="R1299">
        <v>30</v>
      </c>
      <c r="S1299">
        <v>71</v>
      </c>
      <c r="T1299">
        <v>44</v>
      </c>
      <c r="U1299">
        <v>-0.03</v>
      </c>
      <c r="W1299">
        <f>DataLog_T717420_Aug11_4_59_37pm[[#This Row],[RPM '[1/MIN']]]-Table3[[#This Row],[580C]]</f>
        <v>0</v>
      </c>
      <c r="X1299">
        <f>DataLog_T717420_Aug11_4_59_37pm[[#This Row],[OIL TEMP '[Â°C']]]-Table3[[#This Row],[4402]]</f>
        <v>0</v>
      </c>
      <c r="Y1299">
        <f>DataLog_T717420_Aug11_4_59_37pm[[#This Row],[INTAKE TEMP '[Â°C']]]-Table3[[#This Row],[580F]]</f>
        <v>0</v>
      </c>
      <c r="Z1299">
        <f>DataLog_T717420_Aug11_4_59_37pm[[#This Row],[HPFP PRES. '[BAR']]]-Table3[[#This Row],[58F0]]</f>
        <v>0</v>
      </c>
      <c r="AA1299">
        <f>DataLog_T717420_Aug11_4_59_37pm[[#This Row],[COOLANT TEMP '[Â°C']]]-Table3[[#This Row],[5805]]</f>
        <v>0</v>
      </c>
      <c r="AB1299">
        <f>DataLog_T717420_Aug11_4_59_37pm[[#This Row],[BOOST '[BAR']]]-Table3[[#This Row],[58DD]]</f>
        <v>0</v>
      </c>
    </row>
    <row r="1300" spans="2:28" x14ac:dyDescent="0.25">
      <c r="B1300" s="2" t="s">
        <v>183</v>
      </c>
      <c r="C1300" s="2" t="s">
        <v>262</v>
      </c>
      <c r="D1300" s="2" t="s">
        <v>151</v>
      </c>
      <c r="E1300" s="2" t="s">
        <v>118</v>
      </c>
      <c r="F1300" s="2" t="s">
        <v>263</v>
      </c>
      <c r="G1300" s="2" t="s">
        <v>96</v>
      </c>
      <c r="I1300">
        <f>HEX2DEC(_0811_173439[[#This Row],[580C]])*B$4/B$5+B$6</f>
        <v>800</v>
      </c>
      <c r="J1300">
        <f>HEX2DEC(_0811_173439[[#This Row],[4402]])*C$4/C$5+C$6</f>
        <v>37</v>
      </c>
      <c r="K1300">
        <f>HEX2DEC(_0811_173439[[#This Row],[580F]])*D$4/D$5+D$6</f>
        <v>30</v>
      </c>
      <c r="L1300">
        <f>ROUND(HEX2DEC(_0811_173439[[#This Row],[58F0]])*E$4/E$5+E$6,0)</f>
        <v>70</v>
      </c>
      <c r="M1300">
        <f>ROUND(HEX2DEC(_0811_173439[[#This Row],[5805]])*F$4/F$5+F$6,0)</f>
        <v>44</v>
      </c>
      <c r="N1300">
        <f>ROUND(HEX2DEC(_0811_173439[[#This Row],[58DD]])*G$4/G$5+G$6,2)</f>
        <v>-0.03</v>
      </c>
      <c r="P1300">
        <v>800</v>
      </c>
      <c r="Q1300">
        <v>37</v>
      </c>
      <c r="R1300">
        <v>30</v>
      </c>
      <c r="S1300">
        <v>70</v>
      </c>
      <c r="T1300">
        <v>44</v>
      </c>
      <c r="U1300">
        <v>-0.03</v>
      </c>
      <c r="W1300">
        <f>DataLog_T717420_Aug11_4_59_37pm[[#This Row],[RPM '[1/MIN']]]-Table3[[#This Row],[580C]]</f>
        <v>0</v>
      </c>
      <c r="X1300">
        <f>DataLog_T717420_Aug11_4_59_37pm[[#This Row],[OIL TEMP '[Â°C']]]-Table3[[#This Row],[4402]]</f>
        <v>0</v>
      </c>
      <c r="Y1300">
        <f>DataLog_T717420_Aug11_4_59_37pm[[#This Row],[INTAKE TEMP '[Â°C']]]-Table3[[#This Row],[580F]]</f>
        <v>0</v>
      </c>
      <c r="Z1300">
        <f>DataLog_T717420_Aug11_4_59_37pm[[#This Row],[HPFP PRES. '[BAR']]]-Table3[[#This Row],[58F0]]</f>
        <v>0</v>
      </c>
      <c r="AA1300">
        <f>DataLog_T717420_Aug11_4_59_37pm[[#This Row],[COOLANT TEMP '[Â°C']]]-Table3[[#This Row],[5805]]</f>
        <v>0</v>
      </c>
      <c r="AB1300">
        <f>DataLog_T717420_Aug11_4_59_37pm[[#This Row],[BOOST '[BAR']]]-Table3[[#This Row],[58DD]]</f>
        <v>0</v>
      </c>
    </row>
    <row r="1301" spans="2:28" x14ac:dyDescent="0.25">
      <c r="B1301" s="2" t="s">
        <v>183</v>
      </c>
      <c r="C1301" s="2" t="s">
        <v>262</v>
      </c>
      <c r="D1301" s="2" t="s">
        <v>151</v>
      </c>
      <c r="E1301" s="2" t="s">
        <v>93</v>
      </c>
      <c r="F1301" s="2" t="s">
        <v>263</v>
      </c>
      <c r="G1301" s="2" t="s">
        <v>236</v>
      </c>
      <c r="I1301">
        <f>HEX2DEC(_0811_173439[[#This Row],[580C]])*B$4/B$5+B$6</f>
        <v>800</v>
      </c>
      <c r="J1301">
        <f>HEX2DEC(_0811_173439[[#This Row],[4402]])*C$4/C$5+C$6</f>
        <v>37</v>
      </c>
      <c r="K1301">
        <f>HEX2DEC(_0811_173439[[#This Row],[580F]])*D$4/D$5+D$6</f>
        <v>30</v>
      </c>
      <c r="L1301">
        <f>ROUND(HEX2DEC(_0811_173439[[#This Row],[58F0]])*E$4/E$5+E$6,0)</f>
        <v>70</v>
      </c>
      <c r="M1301">
        <f>ROUND(HEX2DEC(_0811_173439[[#This Row],[5805]])*F$4/F$5+F$6,0)</f>
        <v>44</v>
      </c>
      <c r="N1301">
        <f>ROUND(HEX2DEC(_0811_173439[[#This Row],[58DD]])*G$4/G$5+G$6,2)</f>
        <v>-0.03</v>
      </c>
      <c r="P1301">
        <v>800</v>
      </c>
      <c r="Q1301">
        <v>37</v>
      </c>
      <c r="R1301">
        <v>30</v>
      </c>
      <c r="S1301">
        <v>70</v>
      </c>
      <c r="T1301">
        <v>44</v>
      </c>
      <c r="U1301">
        <v>-0.03</v>
      </c>
      <c r="W1301">
        <f>DataLog_T717420_Aug11_4_59_37pm[[#This Row],[RPM '[1/MIN']]]-Table3[[#This Row],[580C]]</f>
        <v>0</v>
      </c>
      <c r="X1301">
        <f>DataLog_T717420_Aug11_4_59_37pm[[#This Row],[OIL TEMP '[Â°C']]]-Table3[[#This Row],[4402]]</f>
        <v>0</v>
      </c>
      <c r="Y1301">
        <f>DataLog_T717420_Aug11_4_59_37pm[[#This Row],[INTAKE TEMP '[Â°C']]]-Table3[[#This Row],[580F]]</f>
        <v>0</v>
      </c>
      <c r="Z1301">
        <f>DataLog_T717420_Aug11_4_59_37pm[[#This Row],[HPFP PRES. '[BAR']]]-Table3[[#This Row],[58F0]]</f>
        <v>0</v>
      </c>
      <c r="AA1301">
        <f>DataLog_T717420_Aug11_4_59_37pm[[#This Row],[COOLANT TEMP '[Â°C']]]-Table3[[#This Row],[5805]]</f>
        <v>0</v>
      </c>
      <c r="AB1301">
        <f>DataLog_T717420_Aug11_4_59_37pm[[#This Row],[BOOST '[BAR']]]-Table3[[#This Row],[58DD]]</f>
        <v>0</v>
      </c>
    </row>
    <row r="1302" spans="2:28" x14ac:dyDescent="0.25">
      <c r="B1302" s="2" t="s">
        <v>183</v>
      </c>
      <c r="C1302" s="2" t="s">
        <v>262</v>
      </c>
      <c r="D1302" s="2" t="s">
        <v>151</v>
      </c>
      <c r="E1302" s="2" t="s">
        <v>123</v>
      </c>
      <c r="F1302" s="2" t="s">
        <v>263</v>
      </c>
      <c r="G1302" s="2" t="s">
        <v>235</v>
      </c>
      <c r="I1302">
        <f>HEX2DEC(_0811_173439[[#This Row],[580C]])*B$4/B$5+B$6</f>
        <v>800</v>
      </c>
      <c r="J1302">
        <f>HEX2DEC(_0811_173439[[#This Row],[4402]])*C$4/C$5+C$6</f>
        <v>37</v>
      </c>
      <c r="K1302">
        <f>HEX2DEC(_0811_173439[[#This Row],[580F]])*D$4/D$5+D$6</f>
        <v>30</v>
      </c>
      <c r="L1302">
        <f>ROUND(HEX2DEC(_0811_173439[[#This Row],[58F0]])*E$4/E$5+E$6,0)</f>
        <v>71</v>
      </c>
      <c r="M1302">
        <f>ROUND(HEX2DEC(_0811_173439[[#This Row],[5805]])*F$4/F$5+F$6,0)</f>
        <v>44</v>
      </c>
      <c r="N1302">
        <f>ROUND(HEX2DEC(_0811_173439[[#This Row],[58DD]])*G$4/G$5+G$6,2)</f>
        <v>-0.03</v>
      </c>
      <c r="P1302">
        <v>800</v>
      </c>
      <c r="Q1302">
        <v>37</v>
      </c>
      <c r="R1302">
        <v>30</v>
      </c>
      <c r="S1302">
        <v>71</v>
      </c>
      <c r="T1302">
        <v>44</v>
      </c>
      <c r="U1302">
        <v>-0.03</v>
      </c>
      <c r="W1302">
        <f>DataLog_T717420_Aug11_4_59_37pm[[#This Row],[RPM '[1/MIN']]]-Table3[[#This Row],[580C]]</f>
        <v>0</v>
      </c>
      <c r="X1302">
        <f>DataLog_T717420_Aug11_4_59_37pm[[#This Row],[OIL TEMP '[Â°C']]]-Table3[[#This Row],[4402]]</f>
        <v>0</v>
      </c>
      <c r="Y1302">
        <f>DataLog_T717420_Aug11_4_59_37pm[[#This Row],[INTAKE TEMP '[Â°C']]]-Table3[[#This Row],[580F]]</f>
        <v>0</v>
      </c>
      <c r="Z1302">
        <f>DataLog_T717420_Aug11_4_59_37pm[[#This Row],[HPFP PRES. '[BAR']]]-Table3[[#This Row],[58F0]]</f>
        <v>0</v>
      </c>
      <c r="AA1302">
        <f>DataLog_T717420_Aug11_4_59_37pm[[#This Row],[COOLANT TEMP '[Â°C']]]-Table3[[#This Row],[5805]]</f>
        <v>0</v>
      </c>
      <c r="AB1302">
        <f>DataLog_T717420_Aug11_4_59_37pm[[#This Row],[BOOST '[BAR']]]-Table3[[#This Row],[58DD]]</f>
        <v>0</v>
      </c>
    </row>
    <row r="1303" spans="2:28" x14ac:dyDescent="0.25">
      <c r="B1303" s="2" t="s">
        <v>189</v>
      </c>
      <c r="C1303" s="2" t="s">
        <v>262</v>
      </c>
      <c r="D1303" s="2" t="s">
        <v>151</v>
      </c>
      <c r="E1303" s="2" t="s">
        <v>157</v>
      </c>
      <c r="F1303" s="2" t="s">
        <v>263</v>
      </c>
      <c r="G1303" s="2" t="s">
        <v>236</v>
      </c>
      <c r="I1303">
        <f>HEX2DEC(_0811_173439[[#This Row],[580C]])*B$4/B$5+B$6</f>
        <v>760</v>
      </c>
      <c r="J1303">
        <f>HEX2DEC(_0811_173439[[#This Row],[4402]])*C$4/C$5+C$6</f>
        <v>37</v>
      </c>
      <c r="K1303">
        <f>HEX2DEC(_0811_173439[[#This Row],[580F]])*D$4/D$5+D$6</f>
        <v>30</v>
      </c>
      <c r="L1303">
        <f>ROUND(HEX2DEC(_0811_173439[[#This Row],[58F0]])*E$4/E$5+E$6,0)</f>
        <v>70</v>
      </c>
      <c r="M1303">
        <f>ROUND(HEX2DEC(_0811_173439[[#This Row],[5805]])*F$4/F$5+F$6,0)</f>
        <v>44</v>
      </c>
      <c r="N1303">
        <f>ROUND(HEX2DEC(_0811_173439[[#This Row],[58DD]])*G$4/G$5+G$6,2)</f>
        <v>-0.03</v>
      </c>
      <c r="P1303">
        <v>760</v>
      </c>
      <c r="Q1303">
        <v>37</v>
      </c>
      <c r="R1303">
        <v>30</v>
      </c>
      <c r="S1303">
        <v>70</v>
      </c>
      <c r="T1303">
        <v>44</v>
      </c>
      <c r="U1303">
        <v>-0.03</v>
      </c>
      <c r="W1303">
        <f>DataLog_T717420_Aug11_4_59_37pm[[#This Row],[RPM '[1/MIN']]]-Table3[[#This Row],[580C]]</f>
        <v>0</v>
      </c>
      <c r="X1303">
        <f>DataLog_T717420_Aug11_4_59_37pm[[#This Row],[OIL TEMP '[Â°C']]]-Table3[[#This Row],[4402]]</f>
        <v>0</v>
      </c>
      <c r="Y1303">
        <f>DataLog_T717420_Aug11_4_59_37pm[[#This Row],[INTAKE TEMP '[Â°C']]]-Table3[[#This Row],[580F]]</f>
        <v>0</v>
      </c>
      <c r="Z1303">
        <f>DataLog_T717420_Aug11_4_59_37pm[[#This Row],[HPFP PRES. '[BAR']]]-Table3[[#This Row],[58F0]]</f>
        <v>0</v>
      </c>
      <c r="AA1303">
        <f>DataLog_T717420_Aug11_4_59_37pm[[#This Row],[COOLANT TEMP '[Â°C']]]-Table3[[#This Row],[5805]]</f>
        <v>0</v>
      </c>
      <c r="AB1303">
        <f>DataLog_T717420_Aug11_4_59_37pm[[#This Row],[BOOST '[BAR']]]-Table3[[#This Row],[58DD]]</f>
        <v>0</v>
      </c>
    </row>
    <row r="1304" spans="2:28" x14ac:dyDescent="0.25">
      <c r="B1304" s="2" t="s">
        <v>183</v>
      </c>
      <c r="C1304" s="2" t="s">
        <v>262</v>
      </c>
      <c r="D1304" s="2" t="s">
        <v>151</v>
      </c>
      <c r="E1304" s="2" t="s">
        <v>93</v>
      </c>
      <c r="F1304" s="2" t="s">
        <v>263</v>
      </c>
      <c r="G1304" s="2" t="s">
        <v>96</v>
      </c>
      <c r="I1304">
        <f>HEX2DEC(_0811_173439[[#This Row],[580C]])*B$4/B$5+B$6</f>
        <v>800</v>
      </c>
      <c r="J1304">
        <f>HEX2DEC(_0811_173439[[#This Row],[4402]])*C$4/C$5+C$6</f>
        <v>37</v>
      </c>
      <c r="K1304">
        <f>HEX2DEC(_0811_173439[[#This Row],[580F]])*D$4/D$5+D$6</f>
        <v>30</v>
      </c>
      <c r="L1304">
        <f>ROUND(HEX2DEC(_0811_173439[[#This Row],[58F0]])*E$4/E$5+E$6,0)</f>
        <v>70</v>
      </c>
      <c r="M1304">
        <f>ROUND(HEX2DEC(_0811_173439[[#This Row],[5805]])*F$4/F$5+F$6,0)</f>
        <v>44</v>
      </c>
      <c r="N1304">
        <f>ROUND(HEX2DEC(_0811_173439[[#This Row],[58DD]])*G$4/G$5+G$6,2)</f>
        <v>-0.03</v>
      </c>
      <c r="P1304">
        <v>800</v>
      </c>
      <c r="Q1304">
        <v>37</v>
      </c>
      <c r="R1304">
        <v>30</v>
      </c>
      <c r="S1304">
        <v>70</v>
      </c>
      <c r="T1304">
        <v>44</v>
      </c>
      <c r="U1304">
        <v>-0.03</v>
      </c>
      <c r="W1304">
        <f>DataLog_T717420_Aug11_4_59_37pm[[#This Row],[RPM '[1/MIN']]]-Table3[[#This Row],[580C]]</f>
        <v>0</v>
      </c>
      <c r="X1304">
        <f>DataLog_T717420_Aug11_4_59_37pm[[#This Row],[OIL TEMP '[Â°C']]]-Table3[[#This Row],[4402]]</f>
        <v>0</v>
      </c>
      <c r="Y1304">
        <f>DataLog_T717420_Aug11_4_59_37pm[[#This Row],[INTAKE TEMP '[Â°C']]]-Table3[[#This Row],[580F]]</f>
        <v>0</v>
      </c>
      <c r="Z1304">
        <f>DataLog_T717420_Aug11_4_59_37pm[[#This Row],[HPFP PRES. '[BAR']]]-Table3[[#This Row],[58F0]]</f>
        <v>0</v>
      </c>
      <c r="AA1304">
        <f>DataLog_T717420_Aug11_4_59_37pm[[#This Row],[COOLANT TEMP '[Â°C']]]-Table3[[#This Row],[5805]]</f>
        <v>0</v>
      </c>
      <c r="AB1304">
        <f>DataLog_T717420_Aug11_4_59_37pm[[#This Row],[BOOST '[BAR']]]-Table3[[#This Row],[58DD]]</f>
        <v>0</v>
      </c>
    </row>
    <row r="1305" spans="2:28" x14ac:dyDescent="0.25">
      <c r="B1305" s="2" t="s">
        <v>183</v>
      </c>
      <c r="C1305" s="2" t="s">
        <v>262</v>
      </c>
      <c r="D1305" s="2" t="s">
        <v>151</v>
      </c>
      <c r="E1305" s="2" t="s">
        <v>122</v>
      </c>
      <c r="F1305" s="2" t="s">
        <v>263</v>
      </c>
      <c r="G1305" s="2" t="s">
        <v>250</v>
      </c>
      <c r="I1305">
        <f>HEX2DEC(_0811_173439[[#This Row],[580C]])*B$4/B$5+B$6</f>
        <v>800</v>
      </c>
      <c r="J1305">
        <f>HEX2DEC(_0811_173439[[#This Row],[4402]])*C$4/C$5+C$6</f>
        <v>37</v>
      </c>
      <c r="K1305">
        <f>HEX2DEC(_0811_173439[[#This Row],[580F]])*D$4/D$5+D$6</f>
        <v>30</v>
      </c>
      <c r="L1305">
        <f>ROUND(HEX2DEC(_0811_173439[[#This Row],[58F0]])*E$4/E$5+E$6,0)</f>
        <v>71</v>
      </c>
      <c r="M1305">
        <f>ROUND(HEX2DEC(_0811_173439[[#This Row],[5805]])*F$4/F$5+F$6,0)</f>
        <v>44</v>
      </c>
      <c r="N1305">
        <f>ROUND(HEX2DEC(_0811_173439[[#This Row],[58DD]])*G$4/G$5+G$6,2)</f>
        <v>-0.03</v>
      </c>
      <c r="P1305">
        <v>800</v>
      </c>
      <c r="Q1305">
        <v>37</v>
      </c>
      <c r="R1305">
        <v>30</v>
      </c>
      <c r="S1305">
        <v>71</v>
      </c>
      <c r="T1305">
        <v>44</v>
      </c>
      <c r="U1305">
        <v>-0.03</v>
      </c>
      <c r="W1305">
        <f>DataLog_T717420_Aug11_4_59_37pm[[#This Row],[RPM '[1/MIN']]]-Table3[[#This Row],[580C]]</f>
        <v>0</v>
      </c>
      <c r="X1305">
        <f>DataLog_T717420_Aug11_4_59_37pm[[#This Row],[OIL TEMP '[Â°C']]]-Table3[[#This Row],[4402]]</f>
        <v>0</v>
      </c>
      <c r="Y1305">
        <f>DataLog_T717420_Aug11_4_59_37pm[[#This Row],[INTAKE TEMP '[Â°C']]]-Table3[[#This Row],[580F]]</f>
        <v>0</v>
      </c>
      <c r="Z1305">
        <f>DataLog_T717420_Aug11_4_59_37pm[[#This Row],[HPFP PRES. '[BAR']]]-Table3[[#This Row],[58F0]]</f>
        <v>0</v>
      </c>
      <c r="AA1305">
        <f>DataLog_T717420_Aug11_4_59_37pm[[#This Row],[COOLANT TEMP '[Â°C']]]-Table3[[#This Row],[5805]]</f>
        <v>0</v>
      </c>
      <c r="AB1305">
        <f>DataLog_T717420_Aug11_4_59_37pm[[#This Row],[BOOST '[BAR']]]-Table3[[#This Row],[58DD]]</f>
        <v>0</v>
      </c>
    </row>
    <row r="1306" spans="2:28" x14ac:dyDescent="0.25">
      <c r="B1306" s="2" t="s">
        <v>189</v>
      </c>
      <c r="C1306" s="2" t="s">
        <v>262</v>
      </c>
      <c r="D1306" s="2" t="s">
        <v>151</v>
      </c>
      <c r="E1306" s="2" t="s">
        <v>141</v>
      </c>
      <c r="F1306" s="2" t="s">
        <v>263</v>
      </c>
      <c r="G1306" s="2" t="s">
        <v>96</v>
      </c>
      <c r="I1306">
        <f>HEX2DEC(_0811_173439[[#This Row],[580C]])*B$4/B$5+B$6</f>
        <v>760</v>
      </c>
      <c r="J1306">
        <f>HEX2DEC(_0811_173439[[#This Row],[4402]])*C$4/C$5+C$6</f>
        <v>37</v>
      </c>
      <c r="K1306">
        <f>HEX2DEC(_0811_173439[[#This Row],[580F]])*D$4/D$5+D$6</f>
        <v>30</v>
      </c>
      <c r="L1306">
        <f>ROUND(HEX2DEC(_0811_173439[[#This Row],[58F0]])*E$4/E$5+E$6,0)</f>
        <v>70</v>
      </c>
      <c r="M1306">
        <f>ROUND(HEX2DEC(_0811_173439[[#This Row],[5805]])*F$4/F$5+F$6,0)</f>
        <v>44</v>
      </c>
      <c r="N1306">
        <f>ROUND(HEX2DEC(_0811_173439[[#This Row],[58DD]])*G$4/G$5+G$6,2)</f>
        <v>-0.03</v>
      </c>
      <c r="P1306">
        <v>760</v>
      </c>
      <c r="Q1306">
        <v>37</v>
      </c>
      <c r="R1306">
        <v>30</v>
      </c>
      <c r="S1306">
        <v>70</v>
      </c>
      <c r="T1306">
        <v>44</v>
      </c>
      <c r="U1306">
        <v>-0.03</v>
      </c>
      <c r="W1306">
        <f>DataLog_T717420_Aug11_4_59_37pm[[#This Row],[RPM '[1/MIN']]]-Table3[[#This Row],[580C]]</f>
        <v>0</v>
      </c>
      <c r="X1306">
        <f>DataLog_T717420_Aug11_4_59_37pm[[#This Row],[OIL TEMP '[Â°C']]]-Table3[[#This Row],[4402]]</f>
        <v>0</v>
      </c>
      <c r="Y1306">
        <f>DataLog_T717420_Aug11_4_59_37pm[[#This Row],[INTAKE TEMP '[Â°C']]]-Table3[[#This Row],[580F]]</f>
        <v>0</v>
      </c>
      <c r="Z1306">
        <f>DataLog_T717420_Aug11_4_59_37pm[[#This Row],[HPFP PRES. '[BAR']]]-Table3[[#This Row],[58F0]]</f>
        <v>0</v>
      </c>
      <c r="AA1306">
        <f>DataLog_T717420_Aug11_4_59_37pm[[#This Row],[COOLANT TEMP '[Â°C']]]-Table3[[#This Row],[5805]]</f>
        <v>0</v>
      </c>
      <c r="AB1306">
        <f>DataLog_T717420_Aug11_4_59_37pm[[#This Row],[BOOST '[BAR']]]-Table3[[#This Row],[58DD]]</f>
        <v>0</v>
      </c>
    </row>
    <row r="1307" spans="2:28" x14ac:dyDescent="0.25">
      <c r="B1307" s="2" t="s">
        <v>189</v>
      </c>
      <c r="C1307" s="2" t="s">
        <v>262</v>
      </c>
      <c r="D1307" s="2" t="s">
        <v>151</v>
      </c>
      <c r="E1307" s="2" t="s">
        <v>153</v>
      </c>
      <c r="F1307" s="2" t="s">
        <v>263</v>
      </c>
      <c r="G1307" s="2" t="s">
        <v>245</v>
      </c>
      <c r="I1307">
        <f>HEX2DEC(_0811_173439[[#This Row],[580C]])*B$4/B$5+B$6</f>
        <v>760</v>
      </c>
      <c r="J1307">
        <f>HEX2DEC(_0811_173439[[#This Row],[4402]])*C$4/C$5+C$6</f>
        <v>37</v>
      </c>
      <c r="K1307">
        <f>HEX2DEC(_0811_173439[[#This Row],[580F]])*D$4/D$5+D$6</f>
        <v>30</v>
      </c>
      <c r="L1307">
        <f>ROUND(HEX2DEC(_0811_173439[[#This Row],[58F0]])*E$4/E$5+E$6,0)</f>
        <v>70</v>
      </c>
      <c r="M1307">
        <f>ROUND(HEX2DEC(_0811_173439[[#This Row],[5805]])*F$4/F$5+F$6,0)</f>
        <v>44</v>
      </c>
      <c r="N1307">
        <f>ROUND(HEX2DEC(_0811_173439[[#This Row],[58DD]])*G$4/G$5+G$6,2)</f>
        <v>-0.03</v>
      </c>
      <c r="P1307">
        <v>760</v>
      </c>
      <c r="Q1307">
        <v>37</v>
      </c>
      <c r="R1307">
        <v>30</v>
      </c>
      <c r="S1307">
        <v>70</v>
      </c>
      <c r="T1307">
        <v>44</v>
      </c>
      <c r="U1307">
        <v>-0.03</v>
      </c>
      <c r="W1307">
        <f>DataLog_T717420_Aug11_4_59_37pm[[#This Row],[RPM '[1/MIN']]]-Table3[[#This Row],[580C]]</f>
        <v>0</v>
      </c>
      <c r="X1307">
        <f>DataLog_T717420_Aug11_4_59_37pm[[#This Row],[OIL TEMP '[Â°C']]]-Table3[[#This Row],[4402]]</f>
        <v>0</v>
      </c>
      <c r="Y1307">
        <f>DataLog_T717420_Aug11_4_59_37pm[[#This Row],[INTAKE TEMP '[Â°C']]]-Table3[[#This Row],[580F]]</f>
        <v>0</v>
      </c>
      <c r="Z1307">
        <f>DataLog_T717420_Aug11_4_59_37pm[[#This Row],[HPFP PRES. '[BAR']]]-Table3[[#This Row],[58F0]]</f>
        <v>0</v>
      </c>
      <c r="AA1307">
        <f>DataLog_T717420_Aug11_4_59_37pm[[#This Row],[COOLANT TEMP '[Â°C']]]-Table3[[#This Row],[5805]]</f>
        <v>0</v>
      </c>
      <c r="AB1307">
        <f>DataLog_T717420_Aug11_4_59_37pm[[#This Row],[BOOST '[BAR']]]-Table3[[#This Row],[58DD]]</f>
        <v>0</v>
      </c>
    </row>
    <row r="1308" spans="2:28" x14ac:dyDescent="0.25">
      <c r="B1308" s="2" t="s">
        <v>183</v>
      </c>
      <c r="C1308" s="2" t="s">
        <v>262</v>
      </c>
      <c r="D1308" s="2" t="s">
        <v>151</v>
      </c>
      <c r="E1308" s="2" t="s">
        <v>122</v>
      </c>
      <c r="F1308" s="2" t="s">
        <v>263</v>
      </c>
      <c r="G1308" s="2" t="s">
        <v>90</v>
      </c>
      <c r="I1308">
        <f>HEX2DEC(_0811_173439[[#This Row],[580C]])*B$4/B$5+B$6</f>
        <v>800</v>
      </c>
      <c r="J1308">
        <f>HEX2DEC(_0811_173439[[#This Row],[4402]])*C$4/C$5+C$6</f>
        <v>37</v>
      </c>
      <c r="K1308">
        <f>HEX2DEC(_0811_173439[[#This Row],[580F]])*D$4/D$5+D$6</f>
        <v>30</v>
      </c>
      <c r="L1308">
        <f>ROUND(HEX2DEC(_0811_173439[[#This Row],[58F0]])*E$4/E$5+E$6,0)</f>
        <v>71</v>
      </c>
      <c r="M1308">
        <f>ROUND(HEX2DEC(_0811_173439[[#This Row],[5805]])*F$4/F$5+F$6,0)</f>
        <v>44</v>
      </c>
      <c r="N1308">
        <f>ROUND(HEX2DEC(_0811_173439[[#This Row],[58DD]])*G$4/G$5+G$6,2)</f>
        <v>-0.03</v>
      </c>
      <c r="P1308">
        <v>800</v>
      </c>
      <c r="Q1308">
        <v>37</v>
      </c>
      <c r="R1308">
        <v>30</v>
      </c>
      <c r="S1308">
        <v>71</v>
      </c>
      <c r="T1308">
        <v>44</v>
      </c>
      <c r="U1308">
        <v>-0.03</v>
      </c>
      <c r="W1308">
        <f>DataLog_T717420_Aug11_4_59_37pm[[#This Row],[RPM '[1/MIN']]]-Table3[[#This Row],[580C]]</f>
        <v>0</v>
      </c>
      <c r="X1308">
        <f>DataLog_T717420_Aug11_4_59_37pm[[#This Row],[OIL TEMP '[Â°C']]]-Table3[[#This Row],[4402]]</f>
        <v>0</v>
      </c>
      <c r="Y1308">
        <f>DataLog_T717420_Aug11_4_59_37pm[[#This Row],[INTAKE TEMP '[Â°C']]]-Table3[[#This Row],[580F]]</f>
        <v>0</v>
      </c>
      <c r="Z1308">
        <f>DataLog_T717420_Aug11_4_59_37pm[[#This Row],[HPFP PRES. '[BAR']]]-Table3[[#This Row],[58F0]]</f>
        <v>0</v>
      </c>
      <c r="AA1308">
        <f>DataLog_T717420_Aug11_4_59_37pm[[#This Row],[COOLANT TEMP '[Â°C']]]-Table3[[#This Row],[5805]]</f>
        <v>0</v>
      </c>
      <c r="AB1308">
        <f>DataLog_T717420_Aug11_4_59_37pm[[#This Row],[BOOST '[BAR']]]-Table3[[#This Row],[58DD]]</f>
        <v>0</v>
      </c>
    </row>
    <row r="1309" spans="2:28" x14ac:dyDescent="0.25">
      <c r="B1309" s="2" t="s">
        <v>183</v>
      </c>
      <c r="C1309" s="2" t="s">
        <v>262</v>
      </c>
      <c r="D1309" s="2" t="s">
        <v>151</v>
      </c>
      <c r="E1309" s="2" t="s">
        <v>152</v>
      </c>
      <c r="F1309" s="2" t="s">
        <v>263</v>
      </c>
      <c r="G1309" s="2" t="s">
        <v>236</v>
      </c>
      <c r="I1309">
        <f>HEX2DEC(_0811_173439[[#This Row],[580C]])*B$4/B$5+B$6</f>
        <v>800</v>
      </c>
      <c r="J1309">
        <f>HEX2DEC(_0811_173439[[#This Row],[4402]])*C$4/C$5+C$6</f>
        <v>37</v>
      </c>
      <c r="K1309">
        <f>HEX2DEC(_0811_173439[[#This Row],[580F]])*D$4/D$5+D$6</f>
        <v>30</v>
      </c>
      <c r="L1309">
        <f>ROUND(HEX2DEC(_0811_173439[[#This Row],[58F0]])*E$4/E$5+E$6,0)</f>
        <v>70</v>
      </c>
      <c r="M1309">
        <f>ROUND(HEX2DEC(_0811_173439[[#This Row],[5805]])*F$4/F$5+F$6,0)</f>
        <v>44</v>
      </c>
      <c r="N1309">
        <f>ROUND(HEX2DEC(_0811_173439[[#This Row],[58DD]])*G$4/G$5+G$6,2)</f>
        <v>-0.03</v>
      </c>
      <c r="P1309">
        <v>800</v>
      </c>
      <c r="Q1309">
        <v>37</v>
      </c>
      <c r="R1309">
        <v>30</v>
      </c>
      <c r="S1309">
        <v>70</v>
      </c>
      <c r="T1309">
        <v>44</v>
      </c>
      <c r="U1309">
        <v>-0.03</v>
      </c>
      <c r="W1309">
        <f>DataLog_T717420_Aug11_4_59_37pm[[#This Row],[RPM '[1/MIN']]]-Table3[[#This Row],[580C]]</f>
        <v>0</v>
      </c>
      <c r="X1309">
        <f>DataLog_T717420_Aug11_4_59_37pm[[#This Row],[OIL TEMP '[Â°C']]]-Table3[[#This Row],[4402]]</f>
        <v>0</v>
      </c>
      <c r="Y1309">
        <f>DataLog_T717420_Aug11_4_59_37pm[[#This Row],[INTAKE TEMP '[Â°C']]]-Table3[[#This Row],[580F]]</f>
        <v>0</v>
      </c>
      <c r="Z1309">
        <f>DataLog_T717420_Aug11_4_59_37pm[[#This Row],[HPFP PRES. '[BAR']]]-Table3[[#This Row],[58F0]]</f>
        <v>0</v>
      </c>
      <c r="AA1309">
        <f>DataLog_T717420_Aug11_4_59_37pm[[#This Row],[COOLANT TEMP '[Â°C']]]-Table3[[#This Row],[5805]]</f>
        <v>0</v>
      </c>
      <c r="AB1309">
        <f>DataLog_T717420_Aug11_4_59_37pm[[#This Row],[BOOST '[BAR']]]-Table3[[#This Row],[58DD]]</f>
        <v>0</v>
      </c>
    </row>
    <row r="1310" spans="2:28" x14ac:dyDescent="0.25">
      <c r="B1310" s="2" t="s">
        <v>183</v>
      </c>
      <c r="C1310" s="2" t="s">
        <v>262</v>
      </c>
      <c r="D1310" s="2" t="s">
        <v>151</v>
      </c>
      <c r="E1310" s="2" t="s">
        <v>127</v>
      </c>
      <c r="F1310" s="2" t="s">
        <v>263</v>
      </c>
      <c r="G1310" s="2" t="s">
        <v>245</v>
      </c>
      <c r="I1310">
        <f>HEX2DEC(_0811_173439[[#This Row],[580C]])*B$4/B$5+B$6</f>
        <v>800</v>
      </c>
      <c r="J1310">
        <f>HEX2DEC(_0811_173439[[#This Row],[4402]])*C$4/C$5+C$6</f>
        <v>37</v>
      </c>
      <c r="K1310">
        <f>HEX2DEC(_0811_173439[[#This Row],[580F]])*D$4/D$5+D$6</f>
        <v>30</v>
      </c>
      <c r="L1310">
        <f>ROUND(HEX2DEC(_0811_173439[[#This Row],[58F0]])*E$4/E$5+E$6,0)</f>
        <v>70</v>
      </c>
      <c r="M1310">
        <f>ROUND(HEX2DEC(_0811_173439[[#This Row],[5805]])*F$4/F$5+F$6,0)</f>
        <v>44</v>
      </c>
      <c r="N1310">
        <f>ROUND(HEX2DEC(_0811_173439[[#This Row],[58DD]])*G$4/G$5+G$6,2)</f>
        <v>-0.03</v>
      </c>
      <c r="P1310">
        <v>800</v>
      </c>
      <c r="Q1310">
        <v>37</v>
      </c>
      <c r="R1310">
        <v>30</v>
      </c>
      <c r="S1310">
        <v>70</v>
      </c>
      <c r="T1310">
        <v>44</v>
      </c>
      <c r="U1310">
        <v>-0.03</v>
      </c>
      <c r="W1310">
        <f>DataLog_T717420_Aug11_4_59_37pm[[#This Row],[RPM '[1/MIN']]]-Table3[[#This Row],[580C]]</f>
        <v>0</v>
      </c>
      <c r="X1310">
        <f>DataLog_T717420_Aug11_4_59_37pm[[#This Row],[OIL TEMP '[Â°C']]]-Table3[[#This Row],[4402]]</f>
        <v>0</v>
      </c>
      <c r="Y1310">
        <f>DataLog_T717420_Aug11_4_59_37pm[[#This Row],[INTAKE TEMP '[Â°C']]]-Table3[[#This Row],[580F]]</f>
        <v>0</v>
      </c>
      <c r="Z1310">
        <f>DataLog_T717420_Aug11_4_59_37pm[[#This Row],[HPFP PRES. '[BAR']]]-Table3[[#This Row],[58F0]]</f>
        <v>0</v>
      </c>
      <c r="AA1310">
        <f>DataLog_T717420_Aug11_4_59_37pm[[#This Row],[COOLANT TEMP '[Â°C']]]-Table3[[#This Row],[5805]]</f>
        <v>0</v>
      </c>
      <c r="AB1310">
        <f>DataLog_T717420_Aug11_4_59_37pm[[#This Row],[BOOST '[BAR']]]-Table3[[#This Row],[58DD]]</f>
        <v>0</v>
      </c>
    </row>
    <row r="1311" spans="2:28" x14ac:dyDescent="0.25">
      <c r="B1311" s="2" t="s">
        <v>183</v>
      </c>
      <c r="C1311" s="2" t="s">
        <v>262</v>
      </c>
      <c r="D1311" s="2" t="s">
        <v>151</v>
      </c>
      <c r="E1311" s="2" t="s">
        <v>119</v>
      </c>
      <c r="F1311" s="2" t="s">
        <v>263</v>
      </c>
      <c r="G1311" s="2" t="s">
        <v>236</v>
      </c>
      <c r="I1311">
        <f>HEX2DEC(_0811_173439[[#This Row],[580C]])*B$4/B$5+B$6</f>
        <v>800</v>
      </c>
      <c r="J1311">
        <f>HEX2DEC(_0811_173439[[#This Row],[4402]])*C$4/C$5+C$6</f>
        <v>37</v>
      </c>
      <c r="K1311">
        <f>HEX2DEC(_0811_173439[[#This Row],[580F]])*D$4/D$5+D$6</f>
        <v>30</v>
      </c>
      <c r="L1311">
        <f>ROUND(HEX2DEC(_0811_173439[[#This Row],[58F0]])*E$4/E$5+E$6,0)</f>
        <v>71</v>
      </c>
      <c r="M1311">
        <f>ROUND(HEX2DEC(_0811_173439[[#This Row],[5805]])*F$4/F$5+F$6,0)</f>
        <v>44</v>
      </c>
      <c r="N1311">
        <f>ROUND(HEX2DEC(_0811_173439[[#This Row],[58DD]])*G$4/G$5+G$6,2)</f>
        <v>-0.03</v>
      </c>
      <c r="P1311">
        <v>800</v>
      </c>
      <c r="Q1311">
        <v>37</v>
      </c>
      <c r="R1311">
        <v>30</v>
      </c>
      <c r="S1311">
        <v>71</v>
      </c>
      <c r="T1311">
        <v>44</v>
      </c>
      <c r="U1311">
        <v>-0.03</v>
      </c>
      <c r="W1311">
        <f>DataLog_T717420_Aug11_4_59_37pm[[#This Row],[RPM '[1/MIN']]]-Table3[[#This Row],[580C]]</f>
        <v>0</v>
      </c>
      <c r="X1311">
        <f>DataLog_T717420_Aug11_4_59_37pm[[#This Row],[OIL TEMP '[Â°C']]]-Table3[[#This Row],[4402]]</f>
        <v>0</v>
      </c>
      <c r="Y1311">
        <f>DataLog_T717420_Aug11_4_59_37pm[[#This Row],[INTAKE TEMP '[Â°C']]]-Table3[[#This Row],[580F]]</f>
        <v>0</v>
      </c>
      <c r="Z1311">
        <f>DataLog_T717420_Aug11_4_59_37pm[[#This Row],[HPFP PRES. '[BAR']]]-Table3[[#This Row],[58F0]]</f>
        <v>0</v>
      </c>
      <c r="AA1311">
        <f>DataLog_T717420_Aug11_4_59_37pm[[#This Row],[COOLANT TEMP '[Â°C']]]-Table3[[#This Row],[5805]]</f>
        <v>0</v>
      </c>
      <c r="AB1311">
        <f>DataLog_T717420_Aug11_4_59_37pm[[#This Row],[BOOST '[BAR']]]-Table3[[#This Row],[58DD]]</f>
        <v>0</v>
      </c>
    </row>
    <row r="1312" spans="2:28" x14ac:dyDescent="0.25">
      <c r="B1312" s="2" t="s">
        <v>183</v>
      </c>
      <c r="C1312" s="2" t="s">
        <v>262</v>
      </c>
      <c r="D1312" s="2" t="s">
        <v>151</v>
      </c>
      <c r="E1312" s="2" t="s">
        <v>127</v>
      </c>
      <c r="F1312" s="2" t="s">
        <v>263</v>
      </c>
      <c r="G1312" s="2" t="s">
        <v>190</v>
      </c>
      <c r="I1312">
        <f>HEX2DEC(_0811_173439[[#This Row],[580C]])*B$4/B$5+B$6</f>
        <v>800</v>
      </c>
      <c r="J1312">
        <f>HEX2DEC(_0811_173439[[#This Row],[4402]])*C$4/C$5+C$6</f>
        <v>37</v>
      </c>
      <c r="K1312">
        <f>HEX2DEC(_0811_173439[[#This Row],[580F]])*D$4/D$5+D$6</f>
        <v>30</v>
      </c>
      <c r="L1312">
        <f>ROUND(HEX2DEC(_0811_173439[[#This Row],[58F0]])*E$4/E$5+E$6,0)</f>
        <v>70</v>
      </c>
      <c r="M1312">
        <f>ROUND(HEX2DEC(_0811_173439[[#This Row],[5805]])*F$4/F$5+F$6,0)</f>
        <v>44</v>
      </c>
      <c r="N1312">
        <f>ROUND(HEX2DEC(_0811_173439[[#This Row],[58DD]])*G$4/G$5+G$6,2)</f>
        <v>-0.03</v>
      </c>
      <c r="P1312">
        <v>800</v>
      </c>
      <c r="Q1312">
        <v>37</v>
      </c>
      <c r="R1312">
        <v>30</v>
      </c>
      <c r="S1312">
        <v>70</v>
      </c>
      <c r="T1312">
        <v>44</v>
      </c>
      <c r="U1312">
        <v>-0.03</v>
      </c>
      <c r="W1312">
        <f>DataLog_T717420_Aug11_4_59_37pm[[#This Row],[RPM '[1/MIN']]]-Table3[[#This Row],[580C]]</f>
        <v>0</v>
      </c>
      <c r="X1312">
        <f>DataLog_T717420_Aug11_4_59_37pm[[#This Row],[OIL TEMP '[Â°C']]]-Table3[[#This Row],[4402]]</f>
        <v>0</v>
      </c>
      <c r="Y1312">
        <f>DataLog_T717420_Aug11_4_59_37pm[[#This Row],[INTAKE TEMP '[Â°C']]]-Table3[[#This Row],[580F]]</f>
        <v>0</v>
      </c>
      <c r="Z1312">
        <f>DataLog_T717420_Aug11_4_59_37pm[[#This Row],[HPFP PRES. '[BAR']]]-Table3[[#This Row],[58F0]]</f>
        <v>0</v>
      </c>
      <c r="AA1312">
        <f>DataLog_T717420_Aug11_4_59_37pm[[#This Row],[COOLANT TEMP '[Â°C']]]-Table3[[#This Row],[5805]]</f>
        <v>0</v>
      </c>
      <c r="AB1312">
        <f>DataLog_T717420_Aug11_4_59_37pm[[#This Row],[BOOST '[BAR']]]-Table3[[#This Row],[58DD]]</f>
        <v>0</v>
      </c>
    </row>
    <row r="1313" spans="2:28" x14ac:dyDescent="0.25">
      <c r="B1313" s="2" t="s">
        <v>183</v>
      </c>
      <c r="C1313" s="2" t="s">
        <v>262</v>
      </c>
      <c r="D1313" s="2" t="s">
        <v>151</v>
      </c>
      <c r="E1313" s="2" t="s">
        <v>150</v>
      </c>
      <c r="F1313" s="2" t="s">
        <v>263</v>
      </c>
      <c r="G1313" s="2" t="s">
        <v>71</v>
      </c>
      <c r="I1313">
        <f>HEX2DEC(_0811_173439[[#This Row],[580C]])*B$4/B$5+B$6</f>
        <v>800</v>
      </c>
      <c r="J1313">
        <f>HEX2DEC(_0811_173439[[#This Row],[4402]])*C$4/C$5+C$6</f>
        <v>37</v>
      </c>
      <c r="K1313">
        <f>HEX2DEC(_0811_173439[[#This Row],[580F]])*D$4/D$5+D$6</f>
        <v>30</v>
      </c>
      <c r="L1313">
        <f>ROUND(HEX2DEC(_0811_173439[[#This Row],[58F0]])*E$4/E$5+E$6,0)</f>
        <v>70</v>
      </c>
      <c r="M1313">
        <f>ROUND(HEX2DEC(_0811_173439[[#This Row],[5805]])*F$4/F$5+F$6,0)</f>
        <v>44</v>
      </c>
      <c r="N1313">
        <f>ROUND(HEX2DEC(_0811_173439[[#This Row],[58DD]])*G$4/G$5+G$6,2)</f>
        <v>-0.03</v>
      </c>
      <c r="P1313">
        <v>800</v>
      </c>
      <c r="Q1313">
        <v>37</v>
      </c>
      <c r="R1313">
        <v>30</v>
      </c>
      <c r="S1313">
        <v>70</v>
      </c>
      <c r="T1313">
        <v>44</v>
      </c>
      <c r="U1313">
        <v>-0.03</v>
      </c>
      <c r="W1313">
        <f>DataLog_T717420_Aug11_4_59_37pm[[#This Row],[RPM '[1/MIN']]]-Table3[[#This Row],[580C]]</f>
        <v>0</v>
      </c>
      <c r="X1313">
        <f>DataLog_T717420_Aug11_4_59_37pm[[#This Row],[OIL TEMP '[Â°C']]]-Table3[[#This Row],[4402]]</f>
        <v>0</v>
      </c>
      <c r="Y1313">
        <f>DataLog_T717420_Aug11_4_59_37pm[[#This Row],[INTAKE TEMP '[Â°C']]]-Table3[[#This Row],[580F]]</f>
        <v>0</v>
      </c>
      <c r="Z1313">
        <f>DataLog_T717420_Aug11_4_59_37pm[[#This Row],[HPFP PRES. '[BAR']]]-Table3[[#This Row],[58F0]]</f>
        <v>0</v>
      </c>
      <c r="AA1313">
        <f>DataLog_T717420_Aug11_4_59_37pm[[#This Row],[COOLANT TEMP '[Â°C']]]-Table3[[#This Row],[5805]]</f>
        <v>0</v>
      </c>
      <c r="AB1313">
        <f>DataLog_T717420_Aug11_4_59_37pm[[#This Row],[BOOST '[BAR']]]-Table3[[#This Row],[58DD]]</f>
        <v>0</v>
      </c>
    </row>
    <row r="1314" spans="2:28" x14ac:dyDescent="0.25">
      <c r="B1314" s="2" t="s">
        <v>183</v>
      </c>
      <c r="C1314" s="2" t="s">
        <v>262</v>
      </c>
      <c r="D1314" s="2" t="s">
        <v>151</v>
      </c>
      <c r="E1314" s="2" t="s">
        <v>162</v>
      </c>
      <c r="F1314" s="2" t="s">
        <v>263</v>
      </c>
      <c r="G1314" s="2" t="s">
        <v>90</v>
      </c>
      <c r="I1314">
        <f>HEX2DEC(_0811_173439[[#This Row],[580C]])*B$4/B$5+B$6</f>
        <v>800</v>
      </c>
      <c r="J1314">
        <f>HEX2DEC(_0811_173439[[#This Row],[4402]])*C$4/C$5+C$6</f>
        <v>37</v>
      </c>
      <c r="K1314">
        <f>HEX2DEC(_0811_173439[[#This Row],[580F]])*D$4/D$5+D$6</f>
        <v>30</v>
      </c>
      <c r="L1314">
        <f>ROUND(HEX2DEC(_0811_173439[[#This Row],[58F0]])*E$4/E$5+E$6,0)</f>
        <v>71</v>
      </c>
      <c r="M1314">
        <f>ROUND(HEX2DEC(_0811_173439[[#This Row],[5805]])*F$4/F$5+F$6,0)</f>
        <v>44</v>
      </c>
      <c r="N1314">
        <f>ROUND(HEX2DEC(_0811_173439[[#This Row],[58DD]])*G$4/G$5+G$6,2)</f>
        <v>-0.03</v>
      </c>
      <c r="P1314">
        <v>800</v>
      </c>
      <c r="Q1314">
        <v>37</v>
      </c>
      <c r="R1314">
        <v>30</v>
      </c>
      <c r="S1314">
        <v>71</v>
      </c>
      <c r="T1314">
        <v>44</v>
      </c>
      <c r="U1314">
        <v>-0.03</v>
      </c>
      <c r="W1314">
        <f>DataLog_T717420_Aug11_4_59_37pm[[#This Row],[RPM '[1/MIN']]]-Table3[[#This Row],[580C]]</f>
        <v>0</v>
      </c>
      <c r="X1314">
        <f>DataLog_T717420_Aug11_4_59_37pm[[#This Row],[OIL TEMP '[Â°C']]]-Table3[[#This Row],[4402]]</f>
        <v>0</v>
      </c>
      <c r="Y1314">
        <f>DataLog_T717420_Aug11_4_59_37pm[[#This Row],[INTAKE TEMP '[Â°C']]]-Table3[[#This Row],[580F]]</f>
        <v>0</v>
      </c>
      <c r="Z1314">
        <f>DataLog_T717420_Aug11_4_59_37pm[[#This Row],[HPFP PRES. '[BAR']]]-Table3[[#This Row],[58F0]]</f>
        <v>0</v>
      </c>
      <c r="AA1314">
        <f>DataLog_T717420_Aug11_4_59_37pm[[#This Row],[COOLANT TEMP '[Â°C']]]-Table3[[#This Row],[5805]]</f>
        <v>0</v>
      </c>
      <c r="AB1314">
        <f>DataLog_T717420_Aug11_4_59_37pm[[#This Row],[BOOST '[BAR']]]-Table3[[#This Row],[58DD]]</f>
        <v>0</v>
      </c>
    </row>
    <row r="1315" spans="2:28" x14ac:dyDescent="0.25">
      <c r="B1315" s="2" t="s">
        <v>183</v>
      </c>
      <c r="C1315" s="2" t="s">
        <v>262</v>
      </c>
      <c r="D1315" s="2" t="s">
        <v>151</v>
      </c>
      <c r="E1315" s="2" t="s">
        <v>141</v>
      </c>
      <c r="F1315" s="2" t="s">
        <v>263</v>
      </c>
      <c r="G1315" s="2" t="s">
        <v>96</v>
      </c>
      <c r="I1315">
        <f>HEX2DEC(_0811_173439[[#This Row],[580C]])*B$4/B$5+B$6</f>
        <v>800</v>
      </c>
      <c r="J1315">
        <f>HEX2DEC(_0811_173439[[#This Row],[4402]])*C$4/C$5+C$6</f>
        <v>37</v>
      </c>
      <c r="K1315">
        <f>HEX2DEC(_0811_173439[[#This Row],[580F]])*D$4/D$5+D$6</f>
        <v>30</v>
      </c>
      <c r="L1315">
        <f>ROUND(HEX2DEC(_0811_173439[[#This Row],[58F0]])*E$4/E$5+E$6,0)</f>
        <v>70</v>
      </c>
      <c r="M1315">
        <f>ROUND(HEX2DEC(_0811_173439[[#This Row],[5805]])*F$4/F$5+F$6,0)</f>
        <v>44</v>
      </c>
      <c r="N1315">
        <f>ROUND(HEX2DEC(_0811_173439[[#This Row],[58DD]])*G$4/G$5+G$6,2)</f>
        <v>-0.03</v>
      </c>
      <c r="P1315">
        <v>800</v>
      </c>
      <c r="Q1315">
        <v>37</v>
      </c>
      <c r="R1315">
        <v>30</v>
      </c>
      <c r="S1315">
        <v>70</v>
      </c>
      <c r="T1315">
        <v>44</v>
      </c>
      <c r="U1315">
        <v>-0.03</v>
      </c>
      <c r="W1315">
        <f>DataLog_T717420_Aug11_4_59_37pm[[#This Row],[RPM '[1/MIN']]]-Table3[[#This Row],[580C]]</f>
        <v>0</v>
      </c>
      <c r="X1315">
        <f>DataLog_T717420_Aug11_4_59_37pm[[#This Row],[OIL TEMP '[Â°C']]]-Table3[[#This Row],[4402]]</f>
        <v>0</v>
      </c>
      <c r="Y1315">
        <f>DataLog_T717420_Aug11_4_59_37pm[[#This Row],[INTAKE TEMP '[Â°C']]]-Table3[[#This Row],[580F]]</f>
        <v>0</v>
      </c>
      <c r="Z1315">
        <f>DataLog_T717420_Aug11_4_59_37pm[[#This Row],[HPFP PRES. '[BAR']]]-Table3[[#This Row],[58F0]]</f>
        <v>0</v>
      </c>
      <c r="AA1315">
        <f>DataLog_T717420_Aug11_4_59_37pm[[#This Row],[COOLANT TEMP '[Â°C']]]-Table3[[#This Row],[5805]]</f>
        <v>0</v>
      </c>
      <c r="AB1315">
        <f>DataLog_T717420_Aug11_4_59_37pm[[#This Row],[BOOST '[BAR']]]-Table3[[#This Row],[58DD]]</f>
        <v>0</v>
      </c>
    </row>
    <row r="1316" spans="2:28" x14ac:dyDescent="0.25">
      <c r="B1316" s="2" t="s">
        <v>183</v>
      </c>
      <c r="C1316" s="2" t="s">
        <v>262</v>
      </c>
      <c r="D1316" s="2" t="s">
        <v>151</v>
      </c>
      <c r="E1316" s="2" t="s">
        <v>93</v>
      </c>
      <c r="F1316" s="2" t="s">
        <v>263</v>
      </c>
      <c r="G1316" s="2" t="s">
        <v>191</v>
      </c>
      <c r="I1316">
        <f>HEX2DEC(_0811_173439[[#This Row],[580C]])*B$4/B$5+B$6</f>
        <v>800</v>
      </c>
      <c r="J1316">
        <f>HEX2DEC(_0811_173439[[#This Row],[4402]])*C$4/C$5+C$6</f>
        <v>37</v>
      </c>
      <c r="K1316">
        <f>HEX2DEC(_0811_173439[[#This Row],[580F]])*D$4/D$5+D$6</f>
        <v>30</v>
      </c>
      <c r="L1316">
        <f>ROUND(HEX2DEC(_0811_173439[[#This Row],[58F0]])*E$4/E$5+E$6,0)</f>
        <v>70</v>
      </c>
      <c r="M1316">
        <f>ROUND(HEX2DEC(_0811_173439[[#This Row],[5805]])*F$4/F$5+F$6,0)</f>
        <v>44</v>
      </c>
      <c r="N1316">
        <f>ROUND(HEX2DEC(_0811_173439[[#This Row],[58DD]])*G$4/G$5+G$6,2)</f>
        <v>-0.03</v>
      </c>
      <c r="P1316">
        <v>800</v>
      </c>
      <c r="Q1316">
        <v>37</v>
      </c>
      <c r="R1316">
        <v>30</v>
      </c>
      <c r="S1316">
        <v>70</v>
      </c>
      <c r="T1316">
        <v>44</v>
      </c>
      <c r="U1316">
        <v>-0.03</v>
      </c>
      <c r="W1316">
        <f>DataLog_T717420_Aug11_4_59_37pm[[#This Row],[RPM '[1/MIN']]]-Table3[[#This Row],[580C]]</f>
        <v>0</v>
      </c>
      <c r="X1316">
        <f>DataLog_T717420_Aug11_4_59_37pm[[#This Row],[OIL TEMP '[Â°C']]]-Table3[[#This Row],[4402]]</f>
        <v>0</v>
      </c>
      <c r="Y1316">
        <f>DataLog_T717420_Aug11_4_59_37pm[[#This Row],[INTAKE TEMP '[Â°C']]]-Table3[[#This Row],[580F]]</f>
        <v>0</v>
      </c>
      <c r="Z1316">
        <f>DataLog_T717420_Aug11_4_59_37pm[[#This Row],[HPFP PRES. '[BAR']]]-Table3[[#This Row],[58F0]]</f>
        <v>0</v>
      </c>
      <c r="AA1316">
        <f>DataLog_T717420_Aug11_4_59_37pm[[#This Row],[COOLANT TEMP '[Â°C']]]-Table3[[#This Row],[5805]]</f>
        <v>0</v>
      </c>
      <c r="AB1316">
        <f>DataLog_T717420_Aug11_4_59_37pm[[#This Row],[BOOST '[BAR']]]-Table3[[#This Row],[58DD]]</f>
        <v>0</v>
      </c>
    </row>
    <row r="1317" spans="2:28" x14ac:dyDescent="0.25">
      <c r="B1317" s="2" t="s">
        <v>183</v>
      </c>
      <c r="C1317" s="2" t="s">
        <v>262</v>
      </c>
      <c r="D1317" s="2" t="s">
        <v>151</v>
      </c>
      <c r="E1317" s="2" t="s">
        <v>205</v>
      </c>
      <c r="F1317" s="2" t="s">
        <v>263</v>
      </c>
      <c r="G1317" s="2" t="s">
        <v>190</v>
      </c>
      <c r="I1317">
        <f>HEX2DEC(_0811_173439[[#This Row],[580C]])*B$4/B$5+B$6</f>
        <v>800</v>
      </c>
      <c r="J1317">
        <f>HEX2DEC(_0811_173439[[#This Row],[4402]])*C$4/C$5+C$6</f>
        <v>37</v>
      </c>
      <c r="K1317">
        <f>HEX2DEC(_0811_173439[[#This Row],[580F]])*D$4/D$5+D$6</f>
        <v>30</v>
      </c>
      <c r="L1317">
        <f>ROUND(HEX2DEC(_0811_173439[[#This Row],[58F0]])*E$4/E$5+E$6,0)</f>
        <v>71</v>
      </c>
      <c r="M1317">
        <f>ROUND(HEX2DEC(_0811_173439[[#This Row],[5805]])*F$4/F$5+F$6,0)</f>
        <v>44</v>
      </c>
      <c r="N1317">
        <f>ROUND(HEX2DEC(_0811_173439[[#This Row],[58DD]])*G$4/G$5+G$6,2)</f>
        <v>-0.03</v>
      </c>
      <c r="P1317">
        <v>800</v>
      </c>
      <c r="Q1317">
        <v>37</v>
      </c>
      <c r="R1317">
        <v>30</v>
      </c>
      <c r="S1317">
        <v>71</v>
      </c>
      <c r="T1317">
        <v>44</v>
      </c>
      <c r="U1317">
        <v>-0.03</v>
      </c>
      <c r="W1317">
        <f>DataLog_T717420_Aug11_4_59_37pm[[#This Row],[RPM '[1/MIN']]]-Table3[[#This Row],[580C]]</f>
        <v>0</v>
      </c>
      <c r="X1317">
        <f>DataLog_T717420_Aug11_4_59_37pm[[#This Row],[OIL TEMP '[Â°C']]]-Table3[[#This Row],[4402]]</f>
        <v>0</v>
      </c>
      <c r="Y1317">
        <f>DataLog_T717420_Aug11_4_59_37pm[[#This Row],[INTAKE TEMP '[Â°C']]]-Table3[[#This Row],[580F]]</f>
        <v>0</v>
      </c>
      <c r="Z1317">
        <f>DataLog_T717420_Aug11_4_59_37pm[[#This Row],[HPFP PRES. '[BAR']]]-Table3[[#This Row],[58F0]]</f>
        <v>0</v>
      </c>
      <c r="AA1317">
        <f>DataLog_T717420_Aug11_4_59_37pm[[#This Row],[COOLANT TEMP '[Â°C']]]-Table3[[#This Row],[5805]]</f>
        <v>0</v>
      </c>
      <c r="AB1317">
        <f>DataLog_T717420_Aug11_4_59_37pm[[#This Row],[BOOST '[BAR']]]-Table3[[#This Row],[58DD]]</f>
        <v>0</v>
      </c>
    </row>
    <row r="1318" spans="2:28" x14ac:dyDescent="0.25">
      <c r="B1318" s="2" t="s">
        <v>183</v>
      </c>
      <c r="C1318" s="2" t="s">
        <v>262</v>
      </c>
      <c r="D1318" s="2" t="s">
        <v>151</v>
      </c>
      <c r="E1318" s="2" t="s">
        <v>150</v>
      </c>
      <c r="F1318" s="2" t="s">
        <v>263</v>
      </c>
      <c r="G1318" s="2" t="s">
        <v>71</v>
      </c>
      <c r="I1318">
        <f>HEX2DEC(_0811_173439[[#This Row],[580C]])*B$4/B$5+B$6</f>
        <v>800</v>
      </c>
      <c r="J1318">
        <f>HEX2DEC(_0811_173439[[#This Row],[4402]])*C$4/C$5+C$6</f>
        <v>37</v>
      </c>
      <c r="K1318">
        <f>HEX2DEC(_0811_173439[[#This Row],[580F]])*D$4/D$5+D$6</f>
        <v>30</v>
      </c>
      <c r="L1318">
        <f>ROUND(HEX2DEC(_0811_173439[[#This Row],[58F0]])*E$4/E$5+E$6,0)</f>
        <v>70</v>
      </c>
      <c r="M1318">
        <f>ROUND(HEX2DEC(_0811_173439[[#This Row],[5805]])*F$4/F$5+F$6,0)</f>
        <v>44</v>
      </c>
      <c r="N1318">
        <f>ROUND(HEX2DEC(_0811_173439[[#This Row],[58DD]])*G$4/G$5+G$6,2)</f>
        <v>-0.03</v>
      </c>
      <c r="P1318">
        <v>800</v>
      </c>
      <c r="Q1318">
        <v>37</v>
      </c>
      <c r="R1318">
        <v>30</v>
      </c>
      <c r="S1318">
        <v>70</v>
      </c>
      <c r="T1318">
        <v>44</v>
      </c>
      <c r="U1318">
        <v>-0.03</v>
      </c>
      <c r="W1318">
        <f>DataLog_T717420_Aug11_4_59_37pm[[#This Row],[RPM '[1/MIN']]]-Table3[[#This Row],[580C]]</f>
        <v>0</v>
      </c>
      <c r="X1318">
        <f>DataLog_T717420_Aug11_4_59_37pm[[#This Row],[OIL TEMP '[Â°C']]]-Table3[[#This Row],[4402]]</f>
        <v>0</v>
      </c>
      <c r="Y1318">
        <f>DataLog_T717420_Aug11_4_59_37pm[[#This Row],[INTAKE TEMP '[Â°C']]]-Table3[[#This Row],[580F]]</f>
        <v>0</v>
      </c>
      <c r="Z1318">
        <f>DataLog_T717420_Aug11_4_59_37pm[[#This Row],[HPFP PRES. '[BAR']]]-Table3[[#This Row],[58F0]]</f>
        <v>0</v>
      </c>
      <c r="AA1318">
        <f>DataLog_T717420_Aug11_4_59_37pm[[#This Row],[COOLANT TEMP '[Â°C']]]-Table3[[#This Row],[5805]]</f>
        <v>0</v>
      </c>
      <c r="AB1318">
        <f>DataLog_T717420_Aug11_4_59_37pm[[#This Row],[BOOST '[BAR']]]-Table3[[#This Row],[58DD]]</f>
        <v>0</v>
      </c>
    </row>
    <row r="1319" spans="2:28" x14ac:dyDescent="0.25">
      <c r="B1319" s="2" t="s">
        <v>183</v>
      </c>
      <c r="C1319" s="2" t="s">
        <v>262</v>
      </c>
      <c r="D1319" s="2" t="s">
        <v>151</v>
      </c>
      <c r="E1319" s="2" t="s">
        <v>93</v>
      </c>
      <c r="F1319" s="2" t="s">
        <v>263</v>
      </c>
      <c r="G1319" s="2" t="s">
        <v>71</v>
      </c>
      <c r="I1319">
        <f>HEX2DEC(_0811_173439[[#This Row],[580C]])*B$4/B$5+B$6</f>
        <v>800</v>
      </c>
      <c r="J1319">
        <f>HEX2DEC(_0811_173439[[#This Row],[4402]])*C$4/C$5+C$6</f>
        <v>37</v>
      </c>
      <c r="K1319">
        <f>HEX2DEC(_0811_173439[[#This Row],[580F]])*D$4/D$5+D$6</f>
        <v>30</v>
      </c>
      <c r="L1319">
        <f>ROUND(HEX2DEC(_0811_173439[[#This Row],[58F0]])*E$4/E$5+E$6,0)</f>
        <v>70</v>
      </c>
      <c r="M1319">
        <f>ROUND(HEX2DEC(_0811_173439[[#This Row],[5805]])*F$4/F$5+F$6,0)</f>
        <v>44</v>
      </c>
      <c r="N1319">
        <f>ROUND(HEX2DEC(_0811_173439[[#This Row],[58DD]])*G$4/G$5+G$6,2)</f>
        <v>-0.03</v>
      </c>
      <c r="P1319">
        <v>800</v>
      </c>
      <c r="Q1319">
        <v>37</v>
      </c>
      <c r="R1319">
        <v>30</v>
      </c>
      <c r="S1319">
        <v>70</v>
      </c>
      <c r="T1319">
        <v>44</v>
      </c>
      <c r="U1319">
        <v>-0.03</v>
      </c>
      <c r="W1319">
        <f>DataLog_T717420_Aug11_4_59_37pm[[#This Row],[RPM '[1/MIN']]]-Table3[[#This Row],[580C]]</f>
        <v>0</v>
      </c>
      <c r="X1319">
        <f>DataLog_T717420_Aug11_4_59_37pm[[#This Row],[OIL TEMP '[Â°C']]]-Table3[[#This Row],[4402]]</f>
        <v>0</v>
      </c>
      <c r="Y1319">
        <f>DataLog_T717420_Aug11_4_59_37pm[[#This Row],[INTAKE TEMP '[Â°C']]]-Table3[[#This Row],[580F]]</f>
        <v>0</v>
      </c>
      <c r="Z1319">
        <f>DataLog_T717420_Aug11_4_59_37pm[[#This Row],[HPFP PRES. '[BAR']]]-Table3[[#This Row],[58F0]]</f>
        <v>0</v>
      </c>
      <c r="AA1319">
        <f>DataLog_T717420_Aug11_4_59_37pm[[#This Row],[COOLANT TEMP '[Â°C']]]-Table3[[#This Row],[5805]]</f>
        <v>0</v>
      </c>
      <c r="AB1319">
        <f>DataLog_T717420_Aug11_4_59_37pm[[#This Row],[BOOST '[BAR']]]-Table3[[#This Row],[58DD]]</f>
        <v>0</v>
      </c>
    </row>
    <row r="1320" spans="2:28" x14ac:dyDescent="0.25">
      <c r="B1320" s="2" t="s">
        <v>183</v>
      </c>
      <c r="C1320" s="2" t="s">
        <v>262</v>
      </c>
      <c r="D1320" s="2" t="s">
        <v>151</v>
      </c>
      <c r="E1320" s="2" t="s">
        <v>147</v>
      </c>
      <c r="F1320" s="2" t="s">
        <v>263</v>
      </c>
      <c r="G1320" s="2" t="s">
        <v>71</v>
      </c>
      <c r="I1320">
        <f>HEX2DEC(_0811_173439[[#This Row],[580C]])*B$4/B$5+B$6</f>
        <v>800</v>
      </c>
      <c r="J1320">
        <f>HEX2DEC(_0811_173439[[#This Row],[4402]])*C$4/C$5+C$6</f>
        <v>37</v>
      </c>
      <c r="K1320">
        <f>HEX2DEC(_0811_173439[[#This Row],[580F]])*D$4/D$5+D$6</f>
        <v>30</v>
      </c>
      <c r="L1320">
        <f>ROUND(HEX2DEC(_0811_173439[[#This Row],[58F0]])*E$4/E$5+E$6,0)</f>
        <v>71</v>
      </c>
      <c r="M1320">
        <f>ROUND(HEX2DEC(_0811_173439[[#This Row],[5805]])*F$4/F$5+F$6,0)</f>
        <v>44</v>
      </c>
      <c r="N1320">
        <f>ROUND(HEX2DEC(_0811_173439[[#This Row],[58DD]])*G$4/G$5+G$6,2)</f>
        <v>-0.03</v>
      </c>
      <c r="P1320">
        <v>800</v>
      </c>
      <c r="Q1320">
        <v>37</v>
      </c>
      <c r="R1320">
        <v>30</v>
      </c>
      <c r="S1320">
        <v>71</v>
      </c>
      <c r="T1320">
        <v>44</v>
      </c>
      <c r="U1320">
        <v>-0.03</v>
      </c>
      <c r="W1320">
        <f>DataLog_T717420_Aug11_4_59_37pm[[#This Row],[RPM '[1/MIN']]]-Table3[[#This Row],[580C]]</f>
        <v>0</v>
      </c>
      <c r="X1320">
        <f>DataLog_T717420_Aug11_4_59_37pm[[#This Row],[OIL TEMP '[Â°C']]]-Table3[[#This Row],[4402]]</f>
        <v>0</v>
      </c>
      <c r="Y1320">
        <f>DataLog_T717420_Aug11_4_59_37pm[[#This Row],[INTAKE TEMP '[Â°C']]]-Table3[[#This Row],[580F]]</f>
        <v>0</v>
      </c>
      <c r="Z1320">
        <f>DataLog_T717420_Aug11_4_59_37pm[[#This Row],[HPFP PRES. '[BAR']]]-Table3[[#This Row],[58F0]]</f>
        <v>0</v>
      </c>
      <c r="AA1320">
        <f>DataLog_T717420_Aug11_4_59_37pm[[#This Row],[COOLANT TEMP '[Â°C']]]-Table3[[#This Row],[5805]]</f>
        <v>0</v>
      </c>
      <c r="AB1320">
        <f>DataLog_T717420_Aug11_4_59_37pm[[#This Row],[BOOST '[BAR']]]-Table3[[#This Row],[58DD]]</f>
        <v>0</v>
      </c>
    </row>
    <row r="1321" spans="2:28" x14ac:dyDescent="0.25">
      <c r="B1321" s="2" t="s">
        <v>183</v>
      </c>
      <c r="C1321" s="2" t="s">
        <v>262</v>
      </c>
      <c r="D1321" s="2" t="s">
        <v>151</v>
      </c>
      <c r="E1321" s="2" t="s">
        <v>215</v>
      </c>
      <c r="F1321" s="2" t="s">
        <v>263</v>
      </c>
      <c r="G1321" s="2" t="s">
        <v>235</v>
      </c>
      <c r="I1321">
        <f>HEX2DEC(_0811_173439[[#This Row],[580C]])*B$4/B$5+B$6</f>
        <v>800</v>
      </c>
      <c r="J1321">
        <f>HEX2DEC(_0811_173439[[#This Row],[4402]])*C$4/C$5+C$6</f>
        <v>37</v>
      </c>
      <c r="K1321">
        <f>HEX2DEC(_0811_173439[[#This Row],[580F]])*D$4/D$5+D$6</f>
        <v>30</v>
      </c>
      <c r="L1321">
        <f>ROUND(HEX2DEC(_0811_173439[[#This Row],[58F0]])*E$4/E$5+E$6,0)</f>
        <v>70</v>
      </c>
      <c r="M1321">
        <f>ROUND(HEX2DEC(_0811_173439[[#This Row],[5805]])*F$4/F$5+F$6,0)</f>
        <v>44</v>
      </c>
      <c r="N1321">
        <f>ROUND(HEX2DEC(_0811_173439[[#This Row],[58DD]])*G$4/G$5+G$6,2)</f>
        <v>-0.03</v>
      </c>
      <c r="P1321">
        <v>800</v>
      </c>
      <c r="Q1321">
        <v>37</v>
      </c>
      <c r="R1321">
        <v>30</v>
      </c>
      <c r="S1321">
        <v>70</v>
      </c>
      <c r="T1321">
        <v>44</v>
      </c>
      <c r="U1321">
        <v>-0.03</v>
      </c>
      <c r="W1321">
        <f>DataLog_T717420_Aug11_4_59_37pm[[#This Row],[RPM '[1/MIN']]]-Table3[[#This Row],[580C]]</f>
        <v>0</v>
      </c>
      <c r="X1321">
        <f>DataLog_T717420_Aug11_4_59_37pm[[#This Row],[OIL TEMP '[Â°C']]]-Table3[[#This Row],[4402]]</f>
        <v>0</v>
      </c>
      <c r="Y1321">
        <f>DataLog_T717420_Aug11_4_59_37pm[[#This Row],[INTAKE TEMP '[Â°C']]]-Table3[[#This Row],[580F]]</f>
        <v>0</v>
      </c>
      <c r="Z1321">
        <f>DataLog_T717420_Aug11_4_59_37pm[[#This Row],[HPFP PRES. '[BAR']]]-Table3[[#This Row],[58F0]]</f>
        <v>0</v>
      </c>
      <c r="AA1321">
        <f>DataLog_T717420_Aug11_4_59_37pm[[#This Row],[COOLANT TEMP '[Â°C']]]-Table3[[#This Row],[5805]]</f>
        <v>0</v>
      </c>
      <c r="AB1321">
        <f>DataLog_T717420_Aug11_4_59_37pm[[#This Row],[BOOST '[BAR']]]-Table3[[#This Row],[58DD]]</f>
        <v>0</v>
      </c>
    </row>
    <row r="1322" spans="2:28" x14ac:dyDescent="0.25">
      <c r="B1322" s="2" t="s">
        <v>183</v>
      </c>
      <c r="C1322" s="2" t="s">
        <v>262</v>
      </c>
      <c r="D1322" s="2" t="s">
        <v>151</v>
      </c>
      <c r="E1322" s="2" t="s">
        <v>159</v>
      </c>
      <c r="F1322" s="2" t="s">
        <v>263</v>
      </c>
      <c r="G1322" s="2" t="s">
        <v>245</v>
      </c>
      <c r="I1322">
        <f>HEX2DEC(_0811_173439[[#This Row],[580C]])*B$4/B$5+B$6</f>
        <v>800</v>
      </c>
      <c r="J1322">
        <f>HEX2DEC(_0811_173439[[#This Row],[4402]])*C$4/C$5+C$6</f>
        <v>37</v>
      </c>
      <c r="K1322">
        <f>HEX2DEC(_0811_173439[[#This Row],[580F]])*D$4/D$5+D$6</f>
        <v>30</v>
      </c>
      <c r="L1322">
        <f>ROUND(HEX2DEC(_0811_173439[[#This Row],[58F0]])*E$4/E$5+E$6,0)</f>
        <v>70</v>
      </c>
      <c r="M1322">
        <f>ROUND(HEX2DEC(_0811_173439[[#This Row],[5805]])*F$4/F$5+F$6,0)</f>
        <v>44</v>
      </c>
      <c r="N1322">
        <f>ROUND(HEX2DEC(_0811_173439[[#This Row],[58DD]])*G$4/G$5+G$6,2)</f>
        <v>-0.03</v>
      </c>
      <c r="P1322">
        <v>800</v>
      </c>
      <c r="Q1322">
        <v>37</v>
      </c>
      <c r="R1322">
        <v>30</v>
      </c>
      <c r="S1322">
        <v>70</v>
      </c>
      <c r="T1322">
        <v>44</v>
      </c>
      <c r="U1322">
        <v>-0.03</v>
      </c>
      <c r="W1322">
        <f>DataLog_T717420_Aug11_4_59_37pm[[#This Row],[RPM '[1/MIN']]]-Table3[[#This Row],[580C]]</f>
        <v>0</v>
      </c>
      <c r="X1322">
        <f>DataLog_T717420_Aug11_4_59_37pm[[#This Row],[OIL TEMP '[Â°C']]]-Table3[[#This Row],[4402]]</f>
        <v>0</v>
      </c>
      <c r="Y1322">
        <f>DataLog_T717420_Aug11_4_59_37pm[[#This Row],[INTAKE TEMP '[Â°C']]]-Table3[[#This Row],[580F]]</f>
        <v>0</v>
      </c>
      <c r="Z1322">
        <f>DataLog_T717420_Aug11_4_59_37pm[[#This Row],[HPFP PRES. '[BAR']]]-Table3[[#This Row],[58F0]]</f>
        <v>0</v>
      </c>
      <c r="AA1322">
        <f>DataLog_T717420_Aug11_4_59_37pm[[#This Row],[COOLANT TEMP '[Â°C']]]-Table3[[#This Row],[5805]]</f>
        <v>0</v>
      </c>
      <c r="AB1322">
        <f>DataLog_T717420_Aug11_4_59_37pm[[#This Row],[BOOST '[BAR']]]-Table3[[#This Row],[58DD]]</f>
        <v>0</v>
      </c>
    </row>
    <row r="1323" spans="2:28" x14ac:dyDescent="0.25">
      <c r="B1323" s="2" t="s">
        <v>183</v>
      </c>
      <c r="C1323" s="2" t="s">
        <v>262</v>
      </c>
      <c r="D1323" s="2" t="s">
        <v>151</v>
      </c>
      <c r="E1323" s="2" t="s">
        <v>210</v>
      </c>
      <c r="F1323" s="2" t="s">
        <v>263</v>
      </c>
      <c r="G1323" s="2" t="s">
        <v>265</v>
      </c>
      <c r="I1323">
        <f>HEX2DEC(_0811_173439[[#This Row],[580C]])*B$4/B$5+B$6</f>
        <v>800</v>
      </c>
      <c r="J1323">
        <f>HEX2DEC(_0811_173439[[#This Row],[4402]])*C$4/C$5+C$6</f>
        <v>37</v>
      </c>
      <c r="K1323">
        <f>HEX2DEC(_0811_173439[[#This Row],[580F]])*D$4/D$5+D$6</f>
        <v>30</v>
      </c>
      <c r="L1323">
        <f>ROUND(HEX2DEC(_0811_173439[[#This Row],[58F0]])*E$4/E$5+E$6,0)</f>
        <v>69</v>
      </c>
      <c r="M1323">
        <f>ROUND(HEX2DEC(_0811_173439[[#This Row],[5805]])*F$4/F$5+F$6,0)</f>
        <v>44</v>
      </c>
      <c r="N1323">
        <f>ROUND(HEX2DEC(_0811_173439[[#This Row],[58DD]])*G$4/G$5+G$6,2)</f>
        <v>-0.03</v>
      </c>
      <c r="P1323">
        <v>800</v>
      </c>
      <c r="Q1323">
        <v>37</v>
      </c>
      <c r="R1323">
        <v>30</v>
      </c>
      <c r="S1323">
        <v>69</v>
      </c>
      <c r="T1323">
        <v>44</v>
      </c>
      <c r="U1323">
        <v>-0.03</v>
      </c>
      <c r="W1323">
        <f>DataLog_T717420_Aug11_4_59_37pm[[#This Row],[RPM '[1/MIN']]]-Table3[[#This Row],[580C]]</f>
        <v>0</v>
      </c>
      <c r="X1323">
        <f>DataLog_T717420_Aug11_4_59_37pm[[#This Row],[OIL TEMP '[Â°C']]]-Table3[[#This Row],[4402]]</f>
        <v>0</v>
      </c>
      <c r="Y1323">
        <f>DataLog_T717420_Aug11_4_59_37pm[[#This Row],[INTAKE TEMP '[Â°C']]]-Table3[[#This Row],[580F]]</f>
        <v>0</v>
      </c>
      <c r="Z1323">
        <f>DataLog_T717420_Aug11_4_59_37pm[[#This Row],[HPFP PRES. '[BAR']]]-Table3[[#This Row],[58F0]]</f>
        <v>0</v>
      </c>
      <c r="AA1323">
        <f>DataLog_T717420_Aug11_4_59_37pm[[#This Row],[COOLANT TEMP '[Â°C']]]-Table3[[#This Row],[5805]]</f>
        <v>0</v>
      </c>
      <c r="AB1323">
        <f>DataLog_T717420_Aug11_4_59_37pm[[#This Row],[BOOST '[BAR']]]-Table3[[#This Row],[58DD]]</f>
        <v>0</v>
      </c>
    </row>
    <row r="1324" spans="2:28" x14ac:dyDescent="0.25">
      <c r="B1324" s="2" t="s">
        <v>160</v>
      </c>
      <c r="C1324" s="2" t="s">
        <v>262</v>
      </c>
      <c r="D1324" s="2" t="s">
        <v>151</v>
      </c>
      <c r="E1324" s="2" t="s">
        <v>248</v>
      </c>
      <c r="F1324" s="2" t="s">
        <v>263</v>
      </c>
      <c r="G1324" s="2" t="s">
        <v>245</v>
      </c>
      <c r="I1324">
        <f>HEX2DEC(_0811_173439[[#This Row],[580C]])*B$4/B$5+B$6</f>
        <v>880</v>
      </c>
      <c r="J1324">
        <f>HEX2DEC(_0811_173439[[#This Row],[4402]])*C$4/C$5+C$6</f>
        <v>37</v>
      </c>
      <c r="K1324">
        <f>HEX2DEC(_0811_173439[[#This Row],[580F]])*D$4/D$5+D$6</f>
        <v>30</v>
      </c>
      <c r="L1324">
        <f>ROUND(HEX2DEC(_0811_173439[[#This Row],[58F0]])*E$4/E$5+E$6,0)</f>
        <v>70</v>
      </c>
      <c r="M1324">
        <f>ROUND(HEX2DEC(_0811_173439[[#This Row],[5805]])*F$4/F$5+F$6,0)</f>
        <v>44</v>
      </c>
      <c r="N1324">
        <f>ROUND(HEX2DEC(_0811_173439[[#This Row],[58DD]])*G$4/G$5+G$6,2)</f>
        <v>-0.03</v>
      </c>
      <c r="P1324">
        <v>880</v>
      </c>
      <c r="Q1324">
        <v>37</v>
      </c>
      <c r="R1324">
        <v>30</v>
      </c>
      <c r="S1324">
        <v>70</v>
      </c>
      <c r="T1324">
        <v>44</v>
      </c>
      <c r="U1324">
        <v>-0.03</v>
      </c>
      <c r="W1324">
        <f>DataLog_T717420_Aug11_4_59_37pm[[#This Row],[RPM '[1/MIN']]]-Table3[[#This Row],[580C]]</f>
        <v>0</v>
      </c>
      <c r="X1324">
        <f>DataLog_T717420_Aug11_4_59_37pm[[#This Row],[OIL TEMP '[Â°C']]]-Table3[[#This Row],[4402]]</f>
        <v>0</v>
      </c>
      <c r="Y1324">
        <f>DataLog_T717420_Aug11_4_59_37pm[[#This Row],[INTAKE TEMP '[Â°C']]]-Table3[[#This Row],[580F]]</f>
        <v>0</v>
      </c>
      <c r="Z1324">
        <f>DataLog_T717420_Aug11_4_59_37pm[[#This Row],[HPFP PRES. '[BAR']]]-Table3[[#This Row],[58F0]]</f>
        <v>0</v>
      </c>
      <c r="AA1324">
        <f>DataLog_T717420_Aug11_4_59_37pm[[#This Row],[COOLANT TEMP '[Â°C']]]-Table3[[#This Row],[5805]]</f>
        <v>0</v>
      </c>
      <c r="AB1324">
        <f>DataLog_T717420_Aug11_4_59_37pm[[#This Row],[BOOST '[BAR']]]-Table3[[#This Row],[58DD]]</f>
        <v>0</v>
      </c>
    </row>
    <row r="1325" spans="2:28" x14ac:dyDescent="0.25">
      <c r="B1325" s="2" t="s">
        <v>160</v>
      </c>
      <c r="C1325" s="2" t="s">
        <v>262</v>
      </c>
      <c r="D1325" s="2" t="s">
        <v>151</v>
      </c>
      <c r="E1325" s="2" t="s">
        <v>135</v>
      </c>
      <c r="F1325" s="2" t="s">
        <v>263</v>
      </c>
      <c r="G1325" s="2" t="s">
        <v>96</v>
      </c>
      <c r="I1325">
        <f>HEX2DEC(_0811_173439[[#This Row],[580C]])*B$4/B$5+B$6</f>
        <v>880</v>
      </c>
      <c r="J1325">
        <f>HEX2DEC(_0811_173439[[#This Row],[4402]])*C$4/C$5+C$6</f>
        <v>37</v>
      </c>
      <c r="K1325">
        <f>HEX2DEC(_0811_173439[[#This Row],[580F]])*D$4/D$5+D$6</f>
        <v>30</v>
      </c>
      <c r="L1325">
        <f>ROUND(HEX2DEC(_0811_173439[[#This Row],[58F0]])*E$4/E$5+E$6,0)</f>
        <v>71</v>
      </c>
      <c r="M1325">
        <f>ROUND(HEX2DEC(_0811_173439[[#This Row],[5805]])*F$4/F$5+F$6,0)</f>
        <v>44</v>
      </c>
      <c r="N1325">
        <f>ROUND(HEX2DEC(_0811_173439[[#This Row],[58DD]])*G$4/G$5+G$6,2)</f>
        <v>-0.03</v>
      </c>
      <c r="P1325">
        <v>880</v>
      </c>
      <c r="Q1325">
        <v>37</v>
      </c>
      <c r="R1325">
        <v>30</v>
      </c>
      <c r="S1325">
        <v>71</v>
      </c>
      <c r="T1325">
        <v>44</v>
      </c>
      <c r="U1325">
        <v>-0.03</v>
      </c>
      <c r="W1325">
        <f>DataLog_T717420_Aug11_4_59_37pm[[#This Row],[RPM '[1/MIN']]]-Table3[[#This Row],[580C]]</f>
        <v>0</v>
      </c>
      <c r="X1325">
        <f>DataLog_T717420_Aug11_4_59_37pm[[#This Row],[OIL TEMP '[Â°C']]]-Table3[[#This Row],[4402]]</f>
        <v>0</v>
      </c>
      <c r="Y1325">
        <f>DataLog_T717420_Aug11_4_59_37pm[[#This Row],[INTAKE TEMP '[Â°C']]]-Table3[[#This Row],[580F]]</f>
        <v>0</v>
      </c>
      <c r="Z1325">
        <f>DataLog_T717420_Aug11_4_59_37pm[[#This Row],[HPFP PRES. '[BAR']]]-Table3[[#This Row],[58F0]]</f>
        <v>0</v>
      </c>
      <c r="AA1325">
        <f>DataLog_T717420_Aug11_4_59_37pm[[#This Row],[COOLANT TEMP '[Â°C']]]-Table3[[#This Row],[5805]]</f>
        <v>0</v>
      </c>
      <c r="AB1325">
        <f>DataLog_T717420_Aug11_4_59_37pm[[#This Row],[BOOST '[BAR']]]-Table3[[#This Row],[58DD]]</f>
        <v>0</v>
      </c>
    </row>
    <row r="1326" spans="2:28" x14ac:dyDescent="0.25">
      <c r="B1326" s="2" t="s">
        <v>160</v>
      </c>
      <c r="C1326" s="2" t="s">
        <v>262</v>
      </c>
      <c r="D1326" s="2" t="s">
        <v>151</v>
      </c>
      <c r="E1326" s="2" t="s">
        <v>131</v>
      </c>
      <c r="F1326" s="2" t="s">
        <v>263</v>
      </c>
      <c r="G1326" s="2" t="s">
        <v>235</v>
      </c>
      <c r="I1326">
        <f>HEX2DEC(_0811_173439[[#This Row],[580C]])*B$4/B$5+B$6</f>
        <v>880</v>
      </c>
      <c r="J1326">
        <f>HEX2DEC(_0811_173439[[#This Row],[4402]])*C$4/C$5+C$6</f>
        <v>37</v>
      </c>
      <c r="K1326">
        <f>HEX2DEC(_0811_173439[[#This Row],[580F]])*D$4/D$5+D$6</f>
        <v>30</v>
      </c>
      <c r="L1326">
        <f>ROUND(HEX2DEC(_0811_173439[[#This Row],[58F0]])*E$4/E$5+E$6,0)</f>
        <v>72</v>
      </c>
      <c r="M1326">
        <f>ROUND(HEX2DEC(_0811_173439[[#This Row],[5805]])*F$4/F$5+F$6,0)</f>
        <v>44</v>
      </c>
      <c r="N1326">
        <f>ROUND(HEX2DEC(_0811_173439[[#This Row],[58DD]])*G$4/G$5+G$6,2)</f>
        <v>-0.03</v>
      </c>
      <c r="P1326">
        <v>880</v>
      </c>
      <c r="Q1326">
        <v>37</v>
      </c>
      <c r="R1326">
        <v>30</v>
      </c>
      <c r="S1326">
        <v>72</v>
      </c>
      <c r="T1326">
        <v>44</v>
      </c>
      <c r="U1326">
        <v>-0.03</v>
      </c>
      <c r="W1326">
        <f>DataLog_T717420_Aug11_4_59_37pm[[#This Row],[RPM '[1/MIN']]]-Table3[[#This Row],[580C]]</f>
        <v>0</v>
      </c>
      <c r="X1326">
        <f>DataLog_T717420_Aug11_4_59_37pm[[#This Row],[OIL TEMP '[Â°C']]]-Table3[[#This Row],[4402]]</f>
        <v>0</v>
      </c>
      <c r="Y1326">
        <f>DataLog_T717420_Aug11_4_59_37pm[[#This Row],[INTAKE TEMP '[Â°C']]]-Table3[[#This Row],[580F]]</f>
        <v>0</v>
      </c>
      <c r="Z1326">
        <f>DataLog_T717420_Aug11_4_59_37pm[[#This Row],[HPFP PRES. '[BAR']]]-Table3[[#This Row],[58F0]]</f>
        <v>0</v>
      </c>
      <c r="AA1326">
        <f>DataLog_T717420_Aug11_4_59_37pm[[#This Row],[COOLANT TEMP '[Â°C']]]-Table3[[#This Row],[5805]]</f>
        <v>0</v>
      </c>
      <c r="AB1326">
        <f>DataLog_T717420_Aug11_4_59_37pm[[#This Row],[BOOST '[BAR']]]-Table3[[#This Row],[58DD]]</f>
        <v>0</v>
      </c>
    </row>
    <row r="1327" spans="2:28" x14ac:dyDescent="0.25">
      <c r="B1327" s="2" t="s">
        <v>160</v>
      </c>
      <c r="C1327" s="2" t="s">
        <v>262</v>
      </c>
      <c r="D1327" s="2" t="s">
        <v>151</v>
      </c>
      <c r="E1327" s="2" t="s">
        <v>266</v>
      </c>
      <c r="F1327" s="2" t="s">
        <v>263</v>
      </c>
      <c r="G1327" s="2" t="s">
        <v>191</v>
      </c>
      <c r="I1327">
        <f>HEX2DEC(_0811_173439[[#This Row],[580C]])*B$4/B$5+B$6</f>
        <v>880</v>
      </c>
      <c r="J1327">
        <f>HEX2DEC(_0811_173439[[#This Row],[4402]])*C$4/C$5+C$6</f>
        <v>37</v>
      </c>
      <c r="K1327">
        <f>HEX2DEC(_0811_173439[[#This Row],[580F]])*D$4/D$5+D$6</f>
        <v>30</v>
      </c>
      <c r="L1327">
        <f>ROUND(HEX2DEC(_0811_173439[[#This Row],[58F0]])*E$4/E$5+E$6,0)</f>
        <v>73</v>
      </c>
      <c r="M1327">
        <f>ROUND(HEX2DEC(_0811_173439[[#This Row],[5805]])*F$4/F$5+F$6,0)</f>
        <v>44</v>
      </c>
      <c r="N1327">
        <f>ROUND(HEX2DEC(_0811_173439[[#This Row],[58DD]])*G$4/G$5+G$6,2)</f>
        <v>-0.03</v>
      </c>
      <c r="P1327">
        <v>880</v>
      </c>
      <c r="Q1327">
        <v>37</v>
      </c>
      <c r="R1327">
        <v>30</v>
      </c>
      <c r="S1327">
        <v>73</v>
      </c>
      <c r="T1327">
        <v>44</v>
      </c>
      <c r="U1327">
        <v>-0.03</v>
      </c>
      <c r="W1327">
        <f>DataLog_T717420_Aug11_4_59_37pm[[#This Row],[RPM '[1/MIN']]]-Table3[[#This Row],[580C]]</f>
        <v>0</v>
      </c>
      <c r="X1327">
        <f>DataLog_T717420_Aug11_4_59_37pm[[#This Row],[OIL TEMP '[Â°C']]]-Table3[[#This Row],[4402]]</f>
        <v>0</v>
      </c>
      <c r="Y1327">
        <f>DataLog_T717420_Aug11_4_59_37pm[[#This Row],[INTAKE TEMP '[Â°C']]]-Table3[[#This Row],[580F]]</f>
        <v>0</v>
      </c>
      <c r="Z1327">
        <f>DataLog_T717420_Aug11_4_59_37pm[[#This Row],[HPFP PRES. '[BAR']]]-Table3[[#This Row],[58F0]]</f>
        <v>0</v>
      </c>
      <c r="AA1327">
        <f>DataLog_T717420_Aug11_4_59_37pm[[#This Row],[COOLANT TEMP '[Â°C']]]-Table3[[#This Row],[5805]]</f>
        <v>0</v>
      </c>
      <c r="AB1327">
        <f>DataLog_T717420_Aug11_4_59_37pm[[#This Row],[BOOST '[BAR']]]-Table3[[#This Row],[58DD]]</f>
        <v>0</v>
      </c>
    </row>
    <row r="1328" spans="2:28" x14ac:dyDescent="0.25">
      <c r="B1328" s="2" t="s">
        <v>160</v>
      </c>
      <c r="C1328" s="2" t="s">
        <v>262</v>
      </c>
      <c r="D1328" s="2" t="s">
        <v>151</v>
      </c>
      <c r="E1328" s="2" t="s">
        <v>267</v>
      </c>
      <c r="F1328" s="2" t="s">
        <v>263</v>
      </c>
      <c r="G1328" s="2" t="s">
        <v>255</v>
      </c>
      <c r="I1328">
        <f>HEX2DEC(_0811_173439[[#This Row],[580C]])*B$4/B$5+B$6</f>
        <v>880</v>
      </c>
      <c r="J1328">
        <f>HEX2DEC(_0811_173439[[#This Row],[4402]])*C$4/C$5+C$6</f>
        <v>37</v>
      </c>
      <c r="K1328">
        <f>HEX2DEC(_0811_173439[[#This Row],[580F]])*D$4/D$5+D$6</f>
        <v>30</v>
      </c>
      <c r="L1328">
        <f>ROUND(HEX2DEC(_0811_173439[[#This Row],[58F0]])*E$4/E$5+E$6,0)</f>
        <v>73</v>
      </c>
      <c r="M1328">
        <f>ROUND(HEX2DEC(_0811_173439[[#This Row],[5805]])*F$4/F$5+F$6,0)</f>
        <v>44</v>
      </c>
      <c r="N1328">
        <f>ROUND(HEX2DEC(_0811_173439[[#This Row],[58DD]])*G$4/G$5+G$6,2)</f>
        <v>-0.03</v>
      </c>
      <c r="P1328">
        <v>880</v>
      </c>
      <c r="Q1328">
        <v>37</v>
      </c>
      <c r="R1328">
        <v>30</v>
      </c>
      <c r="S1328">
        <v>73</v>
      </c>
      <c r="T1328">
        <v>44</v>
      </c>
      <c r="U1328">
        <v>-0.03</v>
      </c>
      <c r="W1328">
        <f>DataLog_T717420_Aug11_4_59_37pm[[#This Row],[RPM '[1/MIN']]]-Table3[[#This Row],[580C]]</f>
        <v>0</v>
      </c>
      <c r="X1328">
        <f>DataLog_T717420_Aug11_4_59_37pm[[#This Row],[OIL TEMP '[Â°C']]]-Table3[[#This Row],[4402]]</f>
        <v>0</v>
      </c>
      <c r="Y1328">
        <f>DataLog_T717420_Aug11_4_59_37pm[[#This Row],[INTAKE TEMP '[Â°C']]]-Table3[[#This Row],[580F]]</f>
        <v>0</v>
      </c>
      <c r="Z1328">
        <f>DataLog_T717420_Aug11_4_59_37pm[[#This Row],[HPFP PRES. '[BAR']]]-Table3[[#This Row],[58F0]]</f>
        <v>0</v>
      </c>
      <c r="AA1328">
        <f>DataLog_T717420_Aug11_4_59_37pm[[#This Row],[COOLANT TEMP '[Â°C']]]-Table3[[#This Row],[5805]]</f>
        <v>0</v>
      </c>
      <c r="AB1328">
        <f>DataLog_T717420_Aug11_4_59_37pm[[#This Row],[BOOST '[BAR']]]-Table3[[#This Row],[58DD]]</f>
        <v>0</v>
      </c>
    </row>
    <row r="1329" spans="2:28" x14ac:dyDescent="0.25">
      <c r="B1329" s="2" t="s">
        <v>160</v>
      </c>
      <c r="C1329" s="2" t="s">
        <v>262</v>
      </c>
      <c r="D1329" s="2" t="s">
        <v>151</v>
      </c>
      <c r="E1329" s="2" t="s">
        <v>268</v>
      </c>
      <c r="F1329" s="2" t="s">
        <v>263</v>
      </c>
      <c r="G1329" s="2" t="s">
        <v>71</v>
      </c>
      <c r="I1329">
        <f>HEX2DEC(_0811_173439[[#This Row],[580C]])*B$4/B$5+B$6</f>
        <v>880</v>
      </c>
      <c r="J1329">
        <f>HEX2DEC(_0811_173439[[#This Row],[4402]])*C$4/C$5+C$6</f>
        <v>37</v>
      </c>
      <c r="K1329">
        <f>HEX2DEC(_0811_173439[[#This Row],[580F]])*D$4/D$5+D$6</f>
        <v>30</v>
      </c>
      <c r="L1329">
        <f>ROUND(HEX2DEC(_0811_173439[[#This Row],[58F0]])*E$4/E$5+E$6,0)</f>
        <v>73</v>
      </c>
      <c r="M1329">
        <f>ROUND(HEX2DEC(_0811_173439[[#This Row],[5805]])*F$4/F$5+F$6,0)</f>
        <v>44</v>
      </c>
      <c r="N1329">
        <f>ROUND(HEX2DEC(_0811_173439[[#This Row],[58DD]])*G$4/G$5+G$6,2)</f>
        <v>-0.03</v>
      </c>
      <c r="P1329">
        <v>880</v>
      </c>
      <c r="Q1329">
        <v>37</v>
      </c>
      <c r="R1329">
        <v>30</v>
      </c>
      <c r="S1329">
        <v>73</v>
      </c>
      <c r="T1329">
        <v>44</v>
      </c>
      <c r="U1329">
        <v>-0.03</v>
      </c>
      <c r="W1329">
        <f>DataLog_T717420_Aug11_4_59_37pm[[#This Row],[RPM '[1/MIN']]]-Table3[[#This Row],[580C]]</f>
        <v>0</v>
      </c>
      <c r="X1329">
        <f>DataLog_T717420_Aug11_4_59_37pm[[#This Row],[OIL TEMP '[Â°C']]]-Table3[[#This Row],[4402]]</f>
        <v>0</v>
      </c>
      <c r="Y1329">
        <f>DataLog_T717420_Aug11_4_59_37pm[[#This Row],[INTAKE TEMP '[Â°C']]]-Table3[[#This Row],[580F]]</f>
        <v>0</v>
      </c>
      <c r="Z1329">
        <f>DataLog_T717420_Aug11_4_59_37pm[[#This Row],[HPFP PRES. '[BAR']]]-Table3[[#This Row],[58F0]]</f>
        <v>0</v>
      </c>
      <c r="AA1329">
        <f>DataLog_T717420_Aug11_4_59_37pm[[#This Row],[COOLANT TEMP '[Â°C']]]-Table3[[#This Row],[5805]]</f>
        <v>0</v>
      </c>
      <c r="AB1329">
        <f>DataLog_T717420_Aug11_4_59_37pm[[#This Row],[BOOST '[BAR']]]-Table3[[#This Row],[58DD]]</f>
        <v>0</v>
      </c>
    </row>
    <row r="1330" spans="2:28" x14ac:dyDescent="0.25">
      <c r="B1330" s="2" t="s">
        <v>174</v>
      </c>
      <c r="C1330" s="2" t="s">
        <v>262</v>
      </c>
      <c r="D1330" s="2" t="s">
        <v>151</v>
      </c>
      <c r="E1330" s="2" t="s">
        <v>269</v>
      </c>
      <c r="F1330" s="2" t="s">
        <v>263</v>
      </c>
      <c r="G1330" s="2" t="s">
        <v>71</v>
      </c>
      <c r="I1330">
        <f>HEX2DEC(_0811_173439[[#This Row],[580C]])*B$4/B$5+B$6</f>
        <v>840</v>
      </c>
      <c r="J1330">
        <f>HEX2DEC(_0811_173439[[#This Row],[4402]])*C$4/C$5+C$6</f>
        <v>37</v>
      </c>
      <c r="K1330">
        <f>HEX2DEC(_0811_173439[[#This Row],[580F]])*D$4/D$5+D$6</f>
        <v>30</v>
      </c>
      <c r="L1330">
        <f>ROUND(HEX2DEC(_0811_173439[[#This Row],[58F0]])*E$4/E$5+E$6,0)</f>
        <v>73</v>
      </c>
      <c r="M1330">
        <f>ROUND(HEX2DEC(_0811_173439[[#This Row],[5805]])*F$4/F$5+F$6,0)</f>
        <v>44</v>
      </c>
      <c r="N1330">
        <f>ROUND(HEX2DEC(_0811_173439[[#This Row],[58DD]])*G$4/G$5+G$6,2)</f>
        <v>-0.03</v>
      </c>
      <c r="P1330">
        <v>840</v>
      </c>
      <c r="Q1330">
        <v>37</v>
      </c>
      <c r="R1330">
        <v>30</v>
      </c>
      <c r="S1330">
        <v>73</v>
      </c>
      <c r="T1330">
        <v>44</v>
      </c>
      <c r="U1330">
        <v>-0.03</v>
      </c>
      <c r="W1330">
        <f>DataLog_T717420_Aug11_4_59_37pm[[#This Row],[RPM '[1/MIN']]]-Table3[[#This Row],[580C]]</f>
        <v>0</v>
      </c>
      <c r="X1330">
        <f>DataLog_T717420_Aug11_4_59_37pm[[#This Row],[OIL TEMP '[Â°C']]]-Table3[[#This Row],[4402]]</f>
        <v>0</v>
      </c>
      <c r="Y1330">
        <f>DataLog_T717420_Aug11_4_59_37pm[[#This Row],[INTAKE TEMP '[Â°C']]]-Table3[[#This Row],[580F]]</f>
        <v>0</v>
      </c>
      <c r="Z1330">
        <f>DataLog_T717420_Aug11_4_59_37pm[[#This Row],[HPFP PRES. '[BAR']]]-Table3[[#This Row],[58F0]]</f>
        <v>0</v>
      </c>
      <c r="AA1330">
        <f>DataLog_T717420_Aug11_4_59_37pm[[#This Row],[COOLANT TEMP '[Â°C']]]-Table3[[#This Row],[5805]]</f>
        <v>0</v>
      </c>
      <c r="AB1330">
        <f>DataLog_T717420_Aug11_4_59_37pm[[#This Row],[BOOST '[BAR']]]-Table3[[#This Row],[58DD]]</f>
        <v>0</v>
      </c>
    </row>
    <row r="1331" spans="2:28" x14ac:dyDescent="0.25">
      <c r="B1331" s="2" t="s">
        <v>174</v>
      </c>
      <c r="C1331" s="2" t="s">
        <v>262</v>
      </c>
      <c r="D1331" s="2" t="s">
        <v>151</v>
      </c>
      <c r="E1331" s="2" t="s">
        <v>270</v>
      </c>
      <c r="F1331" s="2" t="s">
        <v>263</v>
      </c>
      <c r="G1331" s="2" t="s">
        <v>53</v>
      </c>
      <c r="I1331">
        <f>HEX2DEC(_0811_173439[[#This Row],[580C]])*B$4/B$5+B$6</f>
        <v>840</v>
      </c>
      <c r="J1331">
        <f>HEX2DEC(_0811_173439[[#This Row],[4402]])*C$4/C$5+C$6</f>
        <v>37</v>
      </c>
      <c r="K1331">
        <f>HEX2DEC(_0811_173439[[#This Row],[580F]])*D$4/D$5+D$6</f>
        <v>30</v>
      </c>
      <c r="L1331">
        <f>ROUND(HEX2DEC(_0811_173439[[#This Row],[58F0]])*E$4/E$5+E$6,0)</f>
        <v>73</v>
      </c>
      <c r="M1331">
        <f>ROUND(HEX2DEC(_0811_173439[[#This Row],[5805]])*F$4/F$5+F$6,0)</f>
        <v>44</v>
      </c>
      <c r="N1331">
        <f>ROUND(HEX2DEC(_0811_173439[[#This Row],[58DD]])*G$4/G$5+G$6,2)</f>
        <v>-0.03</v>
      </c>
      <c r="P1331">
        <v>840</v>
      </c>
      <c r="Q1331">
        <v>37</v>
      </c>
      <c r="R1331">
        <v>30</v>
      </c>
      <c r="S1331">
        <v>73</v>
      </c>
      <c r="T1331">
        <v>44</v>
      </c>
      <c r="U1331">
        <v>-0.03</v>
      </c>
      <c r="W1331">
        <f>DataLog_T717420_Aug11_4_59_37pm[[#This Row],[RPM '[1/MIN']]]-Table3[[#This Row],[580C]]</f>
        <v>0</v>
      </c>
      <c r="X1331">
        <f>DataLog_T717420_Aug11_4_59_37pm[[#This Row],[OIL TEMP '[Â°C']]]-Table3[[#This Row],[4402]]</f>
        <v>0</v>
      </c>
      <c r="Y1331">
        <f>DataLog_T717420_Aug11_4_59_37pm[[#This Row],[INTAKE TEMP '[Â°C']]]-Table3[[#This Row],[580F]]</f>
        <v>0</v>
      </c>
      <c r="Z1331">
        <f>DataLog_T717420_Aug11_4_59_37pm[[#This Row],[HPFP PRES. '[BAR']]]-Table3[[#This Row],[58F0]]</f>
        <v>0</v>
      </c>
      <c r="AA1331">
        <f>DataLog_T717420_Aug11_4_59_37pm[[#This Row],[COOLANT TEMP '[Â°C']]]-Table3[[#This Row],[5805]]</f>
        <v>0</v>
      </c>
      <c r="AB1331">
        <f>DataLog_T717420_Aug11_4_59_37pm[[#This Row],[BOOST '[BAR']]]-Table3[[#This Row],[58DD]]</f>
        <v>0</v>
      </c>
    </row>
    <row r="1332" spans="2:28" x14ac:dyDescent="0.25">
      <c r="B1332" s="2" t="s">
        <v>174</v>
      </c>
      <c r="C1332" s="2" t="s">
        <v>262</v>
      </c>
      <c r="D1332" s="2" t="s">
        <v>151</v>
      </c>
      <c r="E1332" s="2" t="s">
        <v>91</v>
      </c>
      <c r="F1332" s="2" t="s">
        <v>263</v>
      </c>
      <c r="G1332" s="2" t="s">
        <v>236</v>
      </c>
      <c r="I1332">
        <f>HEX2DEC(_0811_173439[[#This Row],[580C]])*B$4/B$5+B$6</f>
        <v>840</v>
      </c>
      <c r="J1332">
        <f>HEX2DEC(_0811_173439[[#This Row],[4402]])*C$4/C$5+C$6</f>
        <v>37</v>
      </c>
      <c r="K1332">
        <f>HEX2DEC(_0811_173439[[#This Row],[580F]])*D$4/D$5+D$6</f>
        <v>30</v>
      </c>
      <c r="L1332">
        <f>ROUND(HEX2DEC(_0811_173439[[#This Row],[58F0]])*E$4/E$5+E$6,0)</f>
        <v>71</v>
      </c>
      <c r="M1332">
        <f>ROUND(HEX2DEC(_0811_173439[[#This Row],[5805]])*F$4/F$5+F$6,0)</f>
        <v>44</v>
      </c>
      <c r="N1332">
        <f>ROUND(HEX2DEC(_0811_173439[[#This Row],[58DD]])*G$4/G$5+G$6,2)</f>
        <v>-0.03</v>
      </c>
      <c r="P1332">
        <v>840</v>
      </c>
      <c r="Q1332">
        <v>37</v>
      </c>
      <c r="R1332">
        <v>30</v>
      </c>
      <c r="S1332">
        <v>71</v>
      </c>
      <c r="T1332">
        <v>44</v>
      </c>
      <c r="U1332">
        <v>-0.03</v>
      </c>
      <c r="W1332">
        <f>DataLog_T717420_Aug11_4_59_37pm[[#This Row],[RPM '[1/MIN']]]-Table3[[#This Row],[580C]]</f>
        <v>0</v>
      </c>
      <c r="X1332">
        <f>DataLog_T717420_Aug11_4_59_37pm[[#This Row],[OIL TEMP '[Â°C']]]-Table3[[#This Row],[4402]]</f>
        <v>0</v>
      </c>
      <c r="Y1332">
        <f>DataLog_T717420_Aug11_4_59_37pm[[#This Row],[INTAKE TEMP '[Â°C']]]-Table3[[#This Row],[580F]]</f>
        <v>0</v>
      </c>
      <c r="Z1332">
        <f>DataLog_T717420_Aug11_4_59_37pm[[#This Row],[HPFP PRES. '[BAR']]]-Table3[[#This Row],[58F0]]</f>
        <v>0</v>
      </c>
      <c r="AA1332">
        <f>DataLog_T717420_Aug11_4_59_37pm[[#This Row],[COOLANT TEMP '[Â°C']]]-Table3[[#This Row],[5805]]</f>
        <v>0</v>
      </c>
      <c r="AB1332">
        <f>DataLog_T717420_Aug11_4_59_37pm[[#This Row],[BOOST '[BAR']]]-Table3[[#This Row],[58DD]]</f>
        <v>0</v>
      </c>
    </row>
    <row r="1333" spans="2:28" x14ac:dyDescent="0.25">
      <c r="B1333" s="2" t="s">
        <v>174</v>
      </c>
      <c r="C1333" s="2" t="s">
        <v>262</v>
      </c>
      <c r="D1333" s="2" t="s">
        <v>151</v>
      </c>
      <c r="E1333" s="2" t="s">
        <v>131</v>
      </c>
      <c r="F1333" s="2" t="s">
        <v>263</v>
      </c>
      <c r="G1333" s="2" t="s">
        <v>190</v>
      </c>
      <c r="I1333">
        <f>HEX2DEC(_0811_173439[[#This Row],[580C]])*B$4/B$5+B$6</f>
        <v>840</v>
      </c>
      <c r="J1333">
        <f>HEX2DEC(_0811_173439[[#This Row],[4402]])*C$4/C$5+C$6</f>
        <v>37</v>
      </c>
      <c r="K1333">
        <f>HEX2DEC(_0811_173439[[#This Row],[580F]])*D$4/D$5+D$6</f>
        <v>30</v>
      </c>
      <c r="L1333">
        <f>ROUND(HEX2DEC(_0811_173439[[#This Row],[58F0]])*E$4/E$5+E$6,0)</f>
        <v>72</v>
      </c>
      <c r="M1333">
        <f>ROUND(HEX2DEC(_0811_173439[[#This Row],[5805]])*F$4/F$5+F$6,0)</f>
        <v>44</v>
      </c>
      <c r="N1333">
        <f>ROUND(HEX2DEC(_0811_173439[[#This Row],[58DD]])*G$4/G$5+G$6,2)</f>
        <v>-0.03</v>
      </c>
      <c r="P1333">
        <v>840</v>
      </c>
      <c r="Q1333">
        <v>37</v>
      </c>
      <c r="R1333">
        <v>30</v>
      </c>
      <c r="S1333">
        <v>72</v>
      </c>
      <c r="T1333">
        <v>44</v>
      </c>
      <c r="U1333">
        <v>-0.03</v>
      </c>
      <c r="W1333">
        <f>DataLog_T717420_Aug11_4_59_37pm[[#This Row],[RPM '[1/MIN']]]-Table3[[#This Row],[580C]]</f>
        <v>0</v>
      </c>
      <c r="X1333">
        <f>DataLog_T717420_Aug11_4_59_37pm[[#This Row],[OIL TEMP '[Â°C']]]-Table3[[#This Row],[4402]]</f>
        <v>0</v>
      </c>
      <c r="Y1333">
        <f>DataLog_T717420_Aug11_4_59_37pm[[#This Row],[INTAKE TEMP '[Â°C']]]-Table3[[#This Row],[580F]]</f>
        <v>0</v>
      </c>
      <c r="Z1333">
        <f>DataLog_T717420_Aug11_4_59_37pm[[#This Row],[HPFP PRES. '[BAR']]]-Table3[[#This Row],[58F0]]</f>
        <v>0</v>
      </c>
      <c r="AA1333">
        <f>DataLog_T717420_Aug11_4_59_37pm[[#This Row],[COOLANT TEMP '[Â°C']]]-Table3[[#This Row],[5805]]</f>
        <v>0</v>
      </c>
      <c r="AB1333">
        <f>DataLog_T717420_Aug11_4_59_37pm[[#This Row],[BOOST '[BAR']]]-Table3[[#This Row],[58DD]]</f>
        <v>0</v>
      </c>
    </row>
    <row r="1334" spans="2:28" x14ac:dyDescent="0.25">
      <c r="B1334" s="2" t="s">
        <v>174</v>
      </c>
      <c r="C1334" s="2" t="s">
        <v>262</v>
      </c>
      <c r="D1334" s="2" t="s">
        <v>151</v>
      </c>
      <c r="E1334" s="2" t="s">
        <v>122</v>
      </c>
      <c r="F1334" s="2" t="s">
        <v>263</v>
      </c>
      <c r="G1334" s="2" t="s">
        <v>190</v>
      </c>
      <c r="I1334">
        <f>HEX2DEC(_0811_173439[[#This Row],[580C]])*B$4/B$5+B$6</f>
        <v>840</v>
      </c>
      <c r="J1334">
        <f>HEX2DEC(_0811_173439[[#This Row],[4402]])*C$4/C$5+C$6</f>
        <v>37</v>
      </c>
      <c r="K1334">
        <f>HEX2DEC(_0811_173439[[#This Row],[580F]])*D$4/D$5+D$6</f>
        <v>30</v>
      </c>
      <c r="L1334">
        <f>ROUND(HEX2DEC(_0811_173439[[#This Row],[58F0]])*E$4/E$5+E$6,0)</f>
        <v>71</v>
      </c>
      <c r="M1334">
        <f>ROUND(HEX2DEC(_0811_173439[[#This Row],[5805]])*F$4/F$5+F$6,0)</f>
        <v>44</v>
      </c>
      <c r="N1334">
        <f>ROUND(HEX2DEC(_0811_173439[[#This Row],[58DD]])*G$4/G$5+G$6,2)</f>
        <v>-0.03</v>
      </c>
      <c r="P1334">
        <v>840</v>
      </c>
      <c r="Q1334">
        <v>37</v>
      </c>
      <c r="R1334">
        <v>30</v>
      </c>
      <c r="S1334">
        <v>71</v>
      </c>
      <c r="T1334">
        <v>44</v>
      </c>
      <c r="U1334">
        <v>-0.03</v>
      </c>
      <c r="W1334">
        <f>DataLog_T717420_Aug11_4_59_37pm[[#This Row],[RPM '[1/MIN']]]-Table3[[#This Row],[580C]]</f>
        <v>0</v>
      </c>
      <c r="X1334">
        <f>DataLog_T717420_Aug11_4_59_37pm[[#This Row],[OIL TEMP '[Â°C']]]-Table3[[#This Row],[4402]]</f>
        <v>0</v>
      </c>
      <c r="Y1334">
        <f>DataLog_T717420_Aug11_4_59_37pm[[#This Row],[INTAKE TEMP '[Â°C']]]-Table3[[#This Row],[580F]]</f>
        <v>0</v>
      </c>
      <c r="Z1334">
        <f>DataLog_T717420_Aug11_4_59_37pm[[#This Row],[HPFP PRES. '[BAR']]]-Table3[[#This Row],[58F0]]</f>
        <v>0</v>
      </c>
      <c r="AA1334">
        <f>DataLog_T717420_Aug11_4_59_37pm[[#This Row],[COOLANT TEMP '[Â°C']]]-Table3[[#This Row],[5805]]</f>
        <v>0</v>
      </c>
      <c r="AB1334">
        <f>DataLog_T717420_Aug11_4_59_37pm[[#This Row],[BOOST '[BAR']]]-Table3[[#This Row],[58DD]]</f>
        <v>0</v>
      </c>
    </row>
    <row r="1335" spans="2:28" x14ac:dyDescent="0.25">
      <c r="B1335" s="2" t="s">
        <v>183</v>
      </c>
      <c r="C1335" s="2" t="s">
        <v>262</v>
      </c>
      <c r="D1335" s="2" t="s">
        <v>151</v>
      </c>
      <c r="E1335" s="2" t="s">
        <v>93</v>
      </c>
      <c r="F1335" s="2" t="s">
        <v>263</v>
      </c>
      <c r="G1335" s="2" t="s">
        <v>71</v>
      </c>
      <c r="I1335">
        <f>HEX2DEC(_0811_173439[[#This Row],[580C]])*B$4/B$5+B$6</f>
        <v>800</v>
      </c>
      <c r="J1335">
        <f>HEX2DEC(_0811_173439[[#This Row],[4402]])*C$4/C$5+C$6</f>
        <v>37</v>
      </c>
      <c r="K1335">
        <f>HEX2DEC(_0811_173439[[#This Row],[580F]])*D$4/D$5+D$6</f>
        <v>30</v>
      </c>
      <c r="L1335">
        <f>ROUND(HEX2DEC(_0811_173439[[#This Row],[58F0]])*E$4/E$5+E$6,0)</f>
        <v>70</v>
      </c>
      <c r="M1335">
        <f>ROUND(HEX2DEC(_0811_173439[[#This Row],[5805]])*F$4/F$5+F$6,0)</f>
        <v>44</v>
      </c>
      <c r="N1335">
        <f>ROUND(HEX2DEC(_0811_173439[[#This Row],[58DD]])*G$4/G$5+G$6,2)</f>
        <v>-0.03</v>
      </c>
      <c r="P1335">
        <v>800</v>
      </c>
      <c r="Q1335">
        <v>37</v>
      </c>
      <c r="R1335">
        <v>30</v>
      </c>
      <c r="S1335">
        <v>70</v>
      </c>
      <c r="T1335">
        <v>44</v>
      </c>
      <c r="U1335">
        <v>-0.03</v>
      </c>
      <c r="W1335">
        <f>DataLog_T717420_Aug11_4_59_37pm[[#This Row],[RPM '[1/MIN']]]-Table3[[#This Row],[580C]]</f>
        <v>0</v>
      </c>
      <c r="X1335">
        <f>DataLog_T717420_Aug11_4_59_37pm[[#This Row],[OIL TEMP '[Â°C']]]-Table3[[#This Row],[4402]]</f>
        <v>0</v>
      </c>
      <c r="Y1335">
        <f>DataLog_T717420_Aug11_4_59_37pm[[#This Row],[INTAKE TEMP '[Â°C']]]-Table3[[#This Row],[580F]]</f>
        <v>0</v>
      </c>
      <c r="Z1335">
        <f>DataLog_T717420_Aug11_4_59_37pm[[#This Row],[HPFP PRES. '[BAR']]]-Table3[[#This Row],[58F0]]</f>
        <v>0</v>
      </c>
      <c r="AA1335">
        <f>DataLog_T717420_Aug11_4_59_37pm[[#This Row],[COOLANT TEMP '[Â°C']]]-Table3[[#This Row],[5805]]</f>
        <v>0</v>
      </c>
      <c r="AB1335">
        <f>DataLog_T717420_Aug11_4_59_37pm[[#This Row],[BOOST '[BAR']]]-Table3[[#This Row],[58DD]]</f>
        <v>0</v>
      </c>
    </row>
    <row r="1336" spans="2:28" x14ac:dyDescent="0.25">
      <c r="B1336" s="2" t="s">
        <v>183</v>
      </c>
      <c r="C1336" s="2" t="s">
        <v>262</v>
      </c>
      <c r="D1336" s="2" t="s">
        <v>151</v>
      </c>
      <c r="E1336" s="2" t="s">
        <v>122</v>
      </c>
      <c r="F1336" s="2" t="s">
        <v>263</v>
      </c>
      <c r="G1336" s="2" t="s">
        <v>96</v>
      </c>
      <c r="I1336">
        <f>HEX2DEC(_0811_173439[[#This Row],[580C]])*B$4/B$5+B$6</f>
        <v>800</v>
      </c>
      <c r="J1336">
        <f>HEX2DEC(_0811_173439[[#This Row],[4402]])*C$4/C$5+C$6</f>
        <v>37</v>
      </c>
      <c r="K1336">
        <f>HEX2DEC(_0811_173439[[#This Row],[580F]])*D$4/D$5+D$6</f>
        <v>30</v>
      </c>
      <c r="L1336">
        <f>ROUND(HEX2DEC(_0811_173439[[#This Row],[58F0]])*E$4/E$5+E$6,0)</f>
        <v>71</v>
      </c>
      <c r="M1336">
        <f>ROUND(HEX2DEC(_0811_173439[[#This Row],[5805]])*F$4/F$5+F$6,0)</f>
        <v>44</v>
      </c>
      <c r="N1336">
        <f>ROUND(HEX2DEC(_0811_173439[[#This Row],[58DD]])*G$4/G$5+G$6,2)</f>
        <v>-0.03</v>
      </c>
      <c r="P1336">
        <v>800</v>
      </c>
      <c r="Q1336">
        <v>37</v>
      </c>
      <c r="R1336">
        <v>30</v>
      </c>
      <c r="S1336">
        <v>71</v>
      </c>
      <c r="T1336">
        <v>44</v>
      </c>
      <c r="U1336">
        <v>-0.03</v>
      </c>
      <c r="W1336">
        <f>DataLog_T717420_Aug11_4_59_37pm[[#This Row],[RPM '[1/MIN']]]-Table3[[#This Row],[580C]]</f>
        <v>0</v>
      </c>
      <c r="X1336">
        <f>DataLog_T717420_Aug11_4_59_37pm[[#This Row],[OIL TEMP '[Â°C']]]-Table3[[#This Row],[4402]]</f>
        <v>0</v>
      </c>
      <c r="Y1336">
        <f>DataLog_T717420_Aug11_4_59_37pm[[#This Row],[INTAKE TEMP '[Â°C']]]-Table3[[#This Row],[580F]]</f>
        <v>0</v>
      </c>
      <c r="Z1336">
        <f>DataLog_T717420_Aug11_4_59_37pm[[#This Row],[HPFP PRES. '[BAR']]]-Table3[[#This Row],[58F0]]</f>
        <v>0</v>
      </c>
      <c r="AA1336">
        <f>DataLog_T717420_Aug11_4_59_37pm[[#This Row],[COOLANT TEMP '[Â°C']]]-Table3[[#This Row],[5805]]</f>
        <v>0</v>
      </c>
      <c r="AB1336">
        <f>DataLog_T717420_Aug11_4_59_37pm[[#This Row],[BOOST '[BAR']]]-Table3[[#This Row],[58DD]]</f>
        <v>0</v>
      </c>
    </row>
    <row r="1337" spans="2:28" x14ac:dyDescent="0.25">
      <c r="B1337" s="2" t="s">
        <v>189</v>
      </c>
      <c r="C1337" s="2" t="s">
        <v>262</v>
      </c>
      <c r="D1337" s="2" t="s">
        <v>151</v>
      </c>
      <c r="E1337" s="2" t="s">
        <v>118</v>
      </c>
      <c r="F1337" s="2" t="s">
        <v>263</v>
      </c>
      <c r="G1337" s="2" t="s">
        <v>190</v>
      </c>
      <c r="I1337">
        <f>HEX2DEC(_0811_173439[[#This Row],[580C]])*B$4/B$5+B$6</f>
        <v>760</v>
      </c>
      <c r="J1337">
        <f>HEX2DEC(_0811_173439[[#This Row],[4402]])*C$4/C$5+C$6</f>
        <v>37</v>
      </c>
      <c r="K1337">
        <f>HEX2DEC(_0811_173439[[#This Row],[580F]])*D$4/D$5+D$6</f>
        <v>30</v>
      </c>
      <c r="L1337">
        <f>ROUND(HEX2DEC(_0811_173439[[#This Row],[58F0]])*E$4/E$5+E$6,0)</f>
        <v>70</v>
      </c>
      <c r="M1337">
        <f>ROUND(HEX2DEC(_0811_173439[[#This Row],[5805]])*F$4/F$5+F$6,0)</f>
        <v>44</v>
      </c>
      <c r="N1337">
        <f>ROUND(HEX2DEC(_0811_173439[[#This Row],[58DD]])*G$4/G$5+G$6,2)</f>
        <v>-0.03</v>
      </c>
      <c r="P1337">
        <v>760</v>
      </c>
      <c r="Q1337">
        <v>37</v>
      </c>
      <c r="R1337">
        <v>30</v>
      </c>
      <c r="S1337">
        <v>70</v>
      </c>
      <c r="T1337">
        <v>44</v>
      </c>
      <c r="U1337">
        <v>-0.03</v>
      </c>
      <c r="W1337">
        <f>DataLog_T717420_Aug11_4_59_37pm[[#This Row],[RPM '[1/MIN']]]-Table3[[#This Row],[580C]]</f>
        <v>0</v>
      </c>
      <c r="X1337">
        <f>DataLog_T717420_Aug11_4_59_37pm[[#This Row],[OIL TEMP '[Â°C']]]-Table3[[#This Row],[4402]]</f>
        <v>0</v>
      </c>
      <c r="Y1337">
        <f>DataLog_T717420_Aug11_4_59_37pm[[#This Row],[INTAKE TEMP '[Â°C']]]-Table3[[#This Row],[580F]]</f>
        <v>0</v>
      </c>
      <c r="Z1337">
        <f>DataLog_T717420_Aug11_4_59_37pm[[#This Row],[HPFP PRES. '[BAR']]]-Table3[[#This Row],[58F0]]</f>
        <v>0</v>
      </c>
      <c r="AA1337">
        <f>DataLog_T717420_Aug11_4_59_37pm[[#This Row],[COOLANT TEMP '[Â°C']]]-Table3[[#This Row],[5805]]</f>
        <v>0</v>
      </c>
      <c r="AB1337">
        <f>DataLog_T717420_Aug11_4_59_37pm[[#This Row],[BOOST '[BAR']]]-Table3[[#This Row],[58DD]]</f>
        <v>0</v>
      </c>
    </row>
    <row r="1338" spans="2:28" x14ac:dyDescent="0.25">
      <c r="B1338" s="2" t="s">
        <v>189</v>
      </c>
      <c r="C1338" s="2" t="s">
        <v>262</v>
      </c>
      <c r="D1338" s="2" t="s">
        <v>151</v>
      </c>
      <c r="E1338" s="2" t="s">
        <v>158</v>
      </c>
      <c r="F1338" s="2" t="s">
        <v>263</v>
      </c>
      <c r="G1338" s="2" t="s">
        <v>71</v>
      </c>
      <c r="I1338">
        <f>HEX2DEC(_0811_173439[[#This Row],[580C]])*B$4/B$5+B$6</f>
        <v>760</v>
      </c>
      <c r="J1338">
        <f>HEX2DEC(_0811_173439[[#This Row],[4402]])*C$4/C$5+C$6</f>
        <v>37</v>
      </c>
      <c r="K1338">
        <f>HEX2DEC(_0811_173439[[#This Row],[580F]])*D$4/D$5+D$6</f>
        <v>30</v>
      </c>
      <c r="L1338">
        <f>ROUND(HEX2DEC(_0811_173439[[#This Row],[58F0]])*E$4/E$5+E$6,0)</f>
        <v>70</v>
      </c>
      <c r="M1338">
        <f>ROUND(HEX2DEC(_0811_173439[[#This Row],[5805]])*F$4/F$5+F$6,0)</f>
        <v>44</v>
      </c>
      <c r="N1338">
        <f>ROUND(HEX2DEC(_0811_173439[[#This Row],[58DD]])*G$4/G$5+G$6,2)</f>
        <v>-0.03</v>
      </c>
      <c r="P1338">
        <v>760</v>
      </c>
      <c r="Q1338">
        <v>37</v>
      </c>
      <c r="R1338">
        <v>30</v>
      </c>
      <c r="S1338">
        <v>70</v>
      </c>
      <c r="T1338">
        <v>44</v>
      </c>
      <c r="U1338">
        <v>-0.03</v>
      </c>
      <c r="W1338">
        <f>DataLog_T717420_Aug11_4_59_37pm[[#This Row],[RPM '[1/MIN']]]-Table3[[#This Row],[580C]]</f>
        <v>0</v>
      </c>
      <c r="X1338">
        <f>DataLog_T717420_Aug11_4_59_37pm[[#This Row],[OIL TEMP '[Â°C']]]-Table3[[#This Row],[4402]]</f>
        <v>0</v>
      </c>
      <c r="Y1338">
        <f>DataLog_T717420_Aug11_4_59_37pm[[#This Row],[INTAKE TEMP '[Â°C']]]-Table3[[#This Row],[580F]]</f>
        <v>0</v>
      </c>
      <c r="Z1338">
        <f>DataLog_T717420_Aug11_4_59_37pm[[#This Row],[HPFP PRES. '[BAR']]]-Table3[[#This Row],[58F0]]</f>
        <v>0</v>
      </c>
      <c r="AA1338">
        <f>DataLog_T717420_Aug11_4_59_37pm[[#This Row],[COOLANT TEMP '[Â°C']]]-Table3[[#This Row],[5805]]</f>
        <v>0</v>
      </c>
      <c r="AB1338">
        <f>DataLog_T717420_Aug11_4_59_37pm[[#This Row],[BOOST '[BAR']]]-Table3[[#This Row],[58DD]]</f>
        <v>0</v>
      </c>
    </row>
    <row r="1339" spans="2:28" x14ac:dyDescent="0.25">
      <c r="B1339" s="2" t="s">
        <v>189</v>
      </c>
      <c r="C1339" s="2" t="s">
        <v>262</v>
      </c>
      <c r="D1339" s="2" t="s">
        <v>151</v>
      </c>
      <c r="E1339" s="2" t="s">
        <v>127</v>
      </c>
      <c r="F1339" s="2" t="s">
        <v>263</v>
      </c>
      <c r="G1339" s="2" t="s">
        <v>191</v>
      </c>
      <c r="I1339">
        <f>HEX2DEC(_0811_173439[[#This Row],[580C]])*B$4/B$5+B$6</f>
        <v>760</v>
      </c>
      <c r="J1339">
        <f>HEX2DEC(_0811_173439[[#This Row],[4402]])*C$4/C$5+C$6</f>
        <v>37</v>
      </c>
      <c r="K1339">
        <f>HEX2DEC(_0811_173439[[#This Row],[580F]])*D$4/D$5+D$6</f>
        <v>30</v>
      </c>
      <c r="L1339">
        <f>ROUND(HEX2DEC(_0811_173439[[#This Row],[58F0]])*E$4/E$5+E$6,0)</f>
        <v>70</v>
      </c>
      <c r="M1339">
        <f>ROUND(HEX2DEC(_0811_173439[[#This Row],[5805]])*F$4/F$5+F$6,0)</f>
        <v>44</v>
      </c>
      <c r="N1339">
        <f>ROUND(HEX2DEC(_0811_173439[[#This Row],[58DD]])*G$4/G$5+G$6,2)</f>
        <v>-0.03</v>
      </c>
      <c r="P1339">
        <v>760</v>
      </c>
      <c r="Q1339">
        <v>37</v>
      </c>
      <c r="R1339">
        <v>30</v>
      </c>
      <c r="S1339">
        <v>70</v>
      </c>
      <c r="T1339">
        <v>44</v>
      </c>
      <c r="U1339">
        <v>-0.03</v>
      </c>
      <c r="W1339">
        <f>DataLog_T717420_Aug11_4_59_37pm[[#This Row],[RPM '[1/MIN']]]-Table3[[#This Row],[580C]]</f>
        <v>0</v>
      </c>
      <c r="X1339">
        <f>DataLog_T717420_Aug11_4_59_37pm[[#This Row],[OIL TEMP '[Â°C']]]-Table3[[#This Row],[4402]]</f>
        <v>0</v>
      </c>
      <c r="Y1339">
        <f>DataLog_T717420_Aug11_4_59_37pm[[#This Row],[INTAKE TEMP '[Â°C']]]-Table3[[#This Row],[580F]]</f>
        <v>0</v>
      </c>
      <c r="Z1339">
        <f>DataLog_T717420_Aug11_4_59_37pm[[#This Row],[HPFP PRES. '[BAR']]]-Table3[[#This Row],[58F0]]</f>
        <v>0</v>
      </c>
      <c r="AA1339">
        <f>DataLog_T717420_Aug11_4_59_37pm[[#This Row],[COOLANT TEMP '[Â°C']]]-Table3[[#This Row],[5805]]</f>
        <v>0</v>
      </c>
      <c r="AB1339">
        <f>DataLog_T717420_Aug11_4_59_37pm[[#This Row],[BOOST '[BAR']]]-Table3[[#This Row],[58DD]]</f>
        <v>0</v>
      </c>
    </row>
    <row r="1340" spans="2:28" x14ac:dyDescent="0.25">
      <c r="B1340" s="2" t="s">
        <v>189</v>
      </c>
      <c r="C1340" s="2" t="s">
        <v>262</v>
      </c>
      <c r="D1340" s="2" t="s">
        <v>151</v>
      </c>
      <c r="E1340" s="2" t="s">
        <v>163</v>
      </c>
      <c r="F1340" s="2" t="s">
        <v>263</v>
      </c>
      <c r="G1340" s="2" t="s">
        <v>191</v>
      </c>
      <c r="I1340">
        <f>HEX2DEC(_0811_173439[[#This Row],[580C]])*B$4/B$5+B$6</f>
        <v>760</v>
      </c>
      <c r="J1340">
        <f>HEX2DEC(_0811_173439[[#This Row],[4402]])*C$4/C$5+C$6</f>
        <v>37</v>
      </c>
      <c r="K1340">
        <f>HEX2DEC(_0811_173439[[#This Row],[580F]])*D$4/D$5+D$6</f>
        <v>30</v>
      </c>
      <c r="L1340">
        <f>ROUND(HEX2DEC(_0811_173439[[#This Row],[58F0]])*E$4/E$5+E$6,0)</f>
        <v>70</v>
      </c>
      <c r="M1340">
        <f>ROUND(HEX2DEC(_0811_173439[[#This Row],[5805]])*F$4/F$5+F$6,0)</f>
        <v>44</v>
      </c>
      <c r="N1340">
        <f>ROUND(HEX2DEC(_0811_173439[[#This Row],[58DD]])*G$4/G$5+G$6,2)</f>
        <v>-0.03</v>
      </c>
      <c r="P1340">
        <v>760</v>
      </c>
      <c r="Q1340">
        <v>37</v>
      </c>
      <c r="R1340">
        <v>30</v>
      </c>
      <c r="S1340">
        <v>70</v>
      </c>
      <c r="T1340">
        <v>44</v>
      </c>
      <c r="U1340">
        <v>-0.03</v>
      </c>
      <c r="W1340">
        <f>DataLog_T717420_Aug11_4_59_37pm[[#This Row],[RPM '[1/MIN']]]-Table3[[#This Row],[580C]]</f>
        <v>0</v>
      </c>
      <c r="X1340">
        <f>DataLog_T717420_Aug11_4_59_37pm[[#This Row],[OIL TEMP '[Â°C']]]-Table3[[#This Row],[4402]]</f>
        <v>0</v>
      </c>
      <c r="Y1340">
        <f>DataLog_T717420_Aug11_4_59_37pm[[#This Row],[INTAKE TEMP '[Â°C']]]-Table3[[#This Row],[580F]]</f>
        <v>0</v>
      </c>
      <c r="Z1340">
        <f>DataLog_T717420_Aug11_4_59_37pm[[#This Row],[HPFP PRES. '[BAR']]]-Table3[[#This Row],[58F0]]</f>
        <v>0</v>
      </c>
      <c r="AA1340">
        <f>DataLog_T717420_Aug11_4_59_37pm[[#This Row],[COOLANT TEMP '[Â°C']]]-Table3[[#This Row],[5805]]</f>
        <v>0</v>
      </c>
      <c r="AB1340">
        <f>DataLog_T717420_Aug11_4_59_37pm[[#This Row],[BOOST '[BAR']]]-Table3[[#This Row],[58DD]]</f>
        <v>0</v>
      </c>
    </row>
    <row r="1341" spans="2:28" x14ac:dyDescent="0.25">
      <c r="B1341" s="2" t="s">
        <v>189</v>
      </c>
      <c r="C1341" s="2" t="s">
        <v>262</v>
      </c>
      <c r="D1341" s="2" t="s">
        <v>151</v>
      </c>
      <c r="E1341" s="2" t="s">
        <v>223</v>
      </c>
      <c r="F1341" s="2" t="s">
        <v>263</v>
      </c>
      <c r="G1341" s="2" t="s">
        <v>53</v>
      </c>
      <c r="I1341">
        <f>HEX2DEC(_0811_173439[[#This Row],[580C]])*B$4/B$5+B$6</f>
        <v>760</v>
      </c>
      <c r="J1341">
        <f>HEX2DEC(_0811_173439[[#This Row],[4402]])*C$4/C$5+C$6</f>
        <v>37</v>
      </c>
      <c r="K1341">
        <f>HEX2DEC(_0811_173439[[#This Row],[580F]])*D$4/D$5+D$6</f>
        <v>30</v>
      </c>
      <c r="L1341">
        <f>ROUND(HEX2DEC(_0811_173439[[#This Row],[58F0]])*E$4/E$5+E$6,0)</f>
        <v>69</v>
      </c>
      <c r="M1341">
        <f>ROUND(HEX2DEC(_0811_173439[[#This Row],[5805]])*F$4/F$5+F$6,0)</f>
        <v>44</v>
      </c>
      <c r="N1341">
        <f>ROUND(HEX2DEC(_0811_173439[[#This Row],[58DD]])*G$4/G$5+G$6,2)</f>
        <v>-0.03</v>
      </c>
      <c r="P1341">
        <v>760</v>
      </c>
      <c r="Q1341">
        <v>37</v>
      </c>
      <c r="R1341">
        <v>30</v>
      </c>
      <c r="S1341">
        <v>69</v>
      </c>
      <c r="T1341">
        <v>44</v>
      </c>
      <c r="U1341">
        <v>-0.03</v>
      </c>
      <c r="W1341">
        <f>DataLog_T717420_Aug11_4_59_37pm[[#This Row],[RPM '[1/MIN']]]-Table3[[#This Row],[580C]]</f>
        <v>0</v>
      </c>
      <c r="X1341">
        <f>DataLog_T717420_Aug11_4_59_37pm[[#This Row],[OIL TEMP '[Â°C']]]-Table3[[#This Row],[4402]]</f>
        <v>0</v>
      </c>
      <c r="Y1341">
        <f>DataLog_T717420_Aug11_4_59_37pm[[#This Row],[INTAKE TEMP '[Â°C']]]-Table3[[#This Row],[580F]]</f>
        <v>0</v>
      </c>
      <c r="Z1341">
        <f>DataLog_T717420_Aug11_4_59_37pm[[#This Row],[HPFP PRES. '[BAR']]]-Table3[[#This Row],[58F0]]</f>
        <v>0</v>
      </c>
      <c r="AA1341">
        <f>DataLog_T717420_Aug11_4_59_37pm[[#This Row],[COOLANT TEMP '[Â°C']]]-Table3[[#This Row],[5805]]</f>
        <v>0</v>
      </c>
      <c r="AB1341">
        <f>DataLog_T717420_Aug11_4_59_37pm[[#This Row],[BOOST '[BAR']]]-Table3[[#This Row],[58DD]]</f>
        <v>0</v>
      </c>
    </row>
    <row r="1342" spans="2:28" x14ac:dyDescent="0.25">
      <c r="B1342" s="2" t="s">
        <v>189</v>
      </c>
      <c r="C1342" s="2" t="s">
        <v>262</v>
      </c>
      <c r="D1342" s="2" t="s">
        <v>151</v>
      </c>
      <c r="E1342" s="2" t="s">
        <v>238</v>
      </c>
      <c r="F1342" s="2" t="s">
        <v>263</v>
      </c>
      <c r="G1342" s="2" t="s">
        <v>236</v>
      </c>
      <c r="I1342">
        <f>HEX2DEC(_0811_173439[[#This Row],[580C]])*B$4/B$5+B$6</f>
        <v>760</v>
      </c>
      <c r="J1342">
        <f>HEX2DEC(_0811_173439[[#This Row],[4402]])*C$4/C$5+C$6</f>
        <v>37</v>
      </c>
      <c r="K1342">
        <f>HEX2DEC(_0811_173439[[#This Row],[580F]])*D$4/D$5+D$6</f>
        <v>30</v>
      </c>
      <c r="L1342">
        <f>ROUND(HEX2DEC(_0811_173439[[#This Row],[58F0]])*E$4/E$5+E$6,0)</f>
        <v>69</v>
      </c>
      <c r="M1342">
        <f>ROUND(HEX2DEC(_0811_173439[[#This Row],[5805]])*F$4/F$5+F$6,0)</f>
        <v>44</v>
      </c>
      <c r="N1342">
        <f>ROUND(HEX2DEC(_0811_173439[[#This Row],[58DD]])*G$4/G$5+G$6,2)</f>
        <v>-0.03</v>
      </c>
      <c r="P1342">
        <v>760</v>
      </c>
      <c r="Q1342">
        <v>37</v>
      </c>
      <c r="R1342">
        <v>30</v>
      </c>
      <c r="S1342">
        <v>69</v>
      </c>
      <c r="T1342">
        <v>44</v>
      </c>
      <c r="U1342">
        <v>-0.03</v>
      </c>
      <c r="W1342">
        <f>DataLog_T717420_Aug11_4_59_37pm[[#This Row],[RPM '[1/MIN']]]-Table3[[#This Row],[580C]]</f>
        <v>0</v>
      </c>
      <c r="X1342">
        <f>DataLog_T717420_Aug11_4_59_37pm[[#This Row],[OIL TEMP '[Â°C']]]-Table3[[#This Row],[4402]]</f>
        <v>0</v>
      </c>
      <c r="Y1342">
        <f>DataLog_T717420_Aug11_4_59_37pm[[#This Row],[INTAKE TEMP '[Â°C']]]-Table3[[#This Row],[580F]]</f>
        <v>0</v>
      </c>
      <c r="Z1342">
        <f>DataLog_T717420_Aug11_4_59_37pm[[#This Row],[HPFP PRES. '[BAR']]]-Table3[[#This Row],[58F0]]</f>
        <v>0</v>
      </c>
      <c r="AA1342">
        <f>DataLog_T717420_Aug11_4_59_37pm[[#This Row],[COOLANT TEMP '[Â°C']]]-Table3[[#This Row],[5805]]</f>
        <v>0</v>
      </c>
      <c r="AB1342">
        <f>DataLog_T717420_Aug11_4_59_37pm[[#This Row],[BOOST '[BAR']]]-Table3[[#This Row],[58DD]]</f>
        <v>0</v>
      </c>
    </row>
    <row r="1343" spans="2:28" x14ac:dyDescent="0.25">
      <c r="B1343" s="2" t="s">
        <v>189</v>
      </c>
      <c r="C1343" s="2" t="s">
        <v>262</v>
      </c>
      <c r="D1343" s="2" t="s">
        <v>151</v>
      </c>
      <c r="E1343" s="2" t="s">
        <v>271</v>
      </c>
      <c r="F1343" s="2" t="s">
        <v>263</v>
      </c>
      <c r="G1343" s="2" t="s">
        <v>272</v>
      </c>
      <c r="I1343">
        <f>HEX2DEC(_0811_173439[[#This Row],[580C]])*B$4/B$5+B$6</f>
        <v>760</v>
      </c>
      <c r="J1343">
        <f>HEX2DEC(_0811_173439[[#This Row],[4402]])*C$4/C$5+C$6</f>
        <v>37</v>
      </c>
      <c r="K1343">
        <f>HEX2DEC(_0811_173439[[#This Row],[580F]])*D$4/D$5+D$6</f>
        <v>30</v>
      </c>
      <c r="L1343">
        <f>ROUND(HEX2DEC(_0811_173439[[#This Row],[58F0]])*E$4/E$5+E$6,0)</f>
        <v>68</v>
      </c>
      <c r="M1343">
        <f>ROUND(HEX2DEC(_0811_173439[[#This Row],[5805]])*F$4/F$5+F$6,0)</f>
        <v>44</v>
      </c>
      <c r="N1343">
        <f>ROUND(HEX2DEC(_0811_173439[[#This Row],[58DD]])*G$4/G$5+G$6,2)</f>
        <v>-0.03</v>
      </c>
      <c r="P1343">
        <v>760</v>
      </c>
      <c r="Q1343">
        <v>37</v>
      </c>
      <c r="R1343">
        <v>30</v>
      </c>
      <c r="S1343">
        <v>68</v>
      </c>
      <c r="T1343">
        <v>44</v>
      </c>
      <c r="U1343">
        <v>-0.03</v>
      </c>
      <c r="W1343">
        <f>DataLog_T717420_Aug11_4_59_37pm[[#This Row],[RPM '[1/MIN']]]-Table3[[#This Row],[580C]]</f>
        <v>0</v>
      </c>
      <c r="X1343">
        <f>DataLog_T717420_Aug11_4_59_37pm[[#This Row],[OIL TEMP '[Â°C']]]-Table3[[#This Row],[4402]]</f>
        <v>0</v>
      </c>
      <c r="Y1343">
        <f>DataLog_T717420_Aug11_4_59_37pm[[#This Row],[INTAKE TEMP '[Â°C']]]-Table3[[#This Row],[580F]]</f>
        <v>0</v>
      </c>
      <c r="Z1343">
        <f>DataLog_T717420_Aug11_4_59_37pm[[#This Row],[HPFP PRES. '[BAR']]]-Table3[[#This Row],[58F0]]</f>
        <v>0</v>
      </c>
      <c r="AA1343">
        <f>DataLog_T717420_Aug11_4_59_37pm[[#This Row],[COOLANT TEMP '[Â°C']]]-Table3[[#This Row],[5805]]</f>
        <v>0</v>
      </c>
      <c r="AB1343">
        <f>DataLog_T717420_Aug11_4_59_37pm[[#This Row],[BOOST '[BAR']]]-Table3[[#This Row],[58DD]]</f>
        <v>0</v>
      </c>
    </row>
    <row r="1344" spans="2:28" x14ac:dyDescent="0.25">
      <c r="B1344" s="2" t="s">
        <v>183</v>
      </c>
      <c r="C1344" s="2" t="s">
        <v>262</v>
      </c>
      <c r="D1344" s="2" t="s">
        <v>151</v>
      </c>
      <c r="E1344" s="2" t="s">
        <v>273</v>
      </c>
      <c r="F1344" s="2" t="s">
        <v>263</v>
      </c>
      <c r="G1344" s="2" t="s">
        <v>274</v>
      </c>
      <c r="I1344">
        <f>HEX2DEC(_0811_173439[[#This Row],[580C]])*B$4/B$5+B$6</f>
        <v>800</v>
      </c>
      <c r="J1344">
        <f>HEX2DEC(_0811_173439[[#This Row],[4402]])*C$4/C$5+C$6</f>
        <v>37</v>
      </c>
      <c r="K1344">
        <f>HEX2DEC(_0811_173439[[#This Row],[580F]])*D$4/D$5+D$6</f>
        <v>30</v>
      </c>
      <c r="L1344">
        <f>ROUND(HEX2DEC(_0811_173439[[#This Row],[58F0]])*E$4/E$5+E$6,0)</f>
        <v>66</v>
      </c>
      <c r="M1344">
        <f>ROUND(HEX2DEC(_0811_173439[[#This Row],[5805]])*F$4/F$5+F$6,0)</f>
        <v>44</v>
      </c>
      <c r="N1344">
        <f>ROUND(HEX2DEC(_0811_173439[[#This Row],[58DD]])*G$4/G$5+G$6,2)</f>
        <v>-0.03</v>
      </c>
      <c r="P1344">
        <v>800</v>
      </c>
      <c r="Q1344">
        <v>37</v>
      </c>
      <c r="R1344">
        <v>30</v>
      </c>
      <c r="S1344">
        <v>66</v>
      </c>
      <c r="T1344">
        <v>44</v>
      </c>
      <c r="U1344">
        <v>-0.03</v>
      </c>
      <c r="W1344">
        <f>DataLog_T717420_Aug11_4_59_37pm[[#This Row],[RPM '[1/MIN']]]-Table3[[#This Row],[580C]]</f>
        <v>0</v>
      </c>
      <c r="X1344">
        <f>DataLog_T717420_Aug11_4_59_37pm[[#This Row],[OIL TEMP '[Â°C']]]-Table3[[#This Row],[4402]]</f>
        <v>0</v>
      </c>
      <c r="Y1344">
        <f>DataLog_T717420_Aug11_4_59_37pm[[#This Row],[INTAKE TEMP '[Â°C']]]-Table3[[#This Row],[580F]]</f>
        <v>0</v>
      </c>
      <c r="Z1344">
        <f>DataLog_T717420_Aug11_4_59_37pm[[#This Row],[HPFP PRES. '[BAR']]]-Table3[[#This Row],[58F0]]</f>
        <v>0</v>
      </c>
      <c r="AA1344">
        <f>DataLog_T717420_Aug11_4_59_37pm[[#This Row],[COOLANT TEMP '[Â°C']]]-Table3[[#This Row],[5805]]</f>
        <v>0</v>
      </c>
      <c r="AB1344">
        <f>DataLog_T717420_Aug11_4_59_37pm[[#This Row],[BOOST '[BAR']]]-Table3[[#This Row],[58DD]]</f>
        <v>0</v>
      </c>
    </row>
    <row r="1345" spans="2:28" x14ac:dyDescent="0.25">
      <c r="B1345" s="2" t="s">
        <v>174</v>
      </c>
      <c r="C1345" s="2" t="s">
        <v>262</v>
      </c>
      <c r="D1345" s="2" t="s">
        <v>151</v>
      </c>
      <c r="E1345" s="2" t="s">
        <v>275</v>
      </c>
      <c r="F1345" s="2" t="s">
        <v>263</v>
      </c>
      <c r="G1345" s="2" t="s">
        <v>247</v>
      </c>
      <c r="I1345">
        <f>HEX2DEC(_0811_173439[[#This Row],[580C]])*B$4/B$5+B$6</f>
        <v>840</v>
      </c>
      <c r="J1345">
        <f>HEX2DEC(_0811_173439[[#This Row],[4402]])*C$4/C$5+C$6</f>
        <v>37</v>
      </c>
      <c r="K1345">
        <f>HEX2DEC(_0811_173439[[#This Row],[580F]])*D$4/D$5+D$6</f>
        <v>30</v>
      </c>
      <c r="L1345">
        <f>ROUND(HEX2DEC(_0811_173439[[#This Row],[58F0]])*E$4/E$5+E$6,0)</f>
        <v>68</v>
      </c>
      <c r="M1345">
        <f>ROUND(HEX2DEC(_0811_173439[[#This Row],[5805]])*F$4/F$5+F$6,0)</f>
        <v>44</v>
      </c>
      <c r="N1345">
        <f>ROUND(HEX2DEC(_0811_173439[[#This Row],[58DD]])*G$4/G$5+G$6,2)</f>
        <v>-0.03</v>
      </c>
      <c r="P1345">
        <v>840</v>
      </c>
      <c r="Q1345">
        <v>37</v>
      </c>
      <c r="R1345">
        <v>30</v>
      </c>
      <c r="S1345">
        <v>68</v>
      </c>
      <c r="T1345">
        <v>44</v>
      </c>
      <c r="U1345">
        <v>-0.03</v>
      </c>
      <c r="W1345">
        <f>DataLog_T717420_Aug11_4_59_37pm[[#This Row],[RPM '[1/MIN']]]-Table3[[#This Row],[580C]]</f>
        <v>0</v>
      </c>
      <c r="X1345">
        <f>DataLog_T717420_Aug11_4_59_37pm[[#This Row],[OIL TEMP '[Â°C']]]-Table3[[#This Row],[4402]]</f>
        <v>0</v>
      </c>
      <c r="Y1345">
        <f>DataLog_T717420_Aug11_4_59_37pm[[#This Row],[INTAKE TEMP '[Â°C']]]-Table3[[#This Row],[580F]]</f>
        <v>0</v>
      </c>
      <c r="Z1345">
        <f>DataLog_T717420_Aug11_4_59_37pm[[#This Row],[HPFP PRES. '[BAR']]]-Table3[[#This Row],[58F0]]</f>
        <v>0</v>
      </c>
      <c r="AA1345">
        <f>DataLog_T717420_Aug11_4_59_37pm[[#This Row],[COOLANT TEMP '[Â°C']]]-Table3[[#This Row],[5805]]</f>
        <v>0</v>
      </c>
      <c r="AB1345">
        <f>DataLog_T717420_Aug11_4_59_37pm[[#This Row],[BOOST '[BAR']]]-Table3[[#This Row],[58DD]]</f>
        <v>0</v>
      </c>
    </row>
    <row r="1346" spans="2:28" x14ac:dyDescent="0.25">
      <c r="B1346" s="2" t="s">
        <v>69</v>
      </c>
      <c r="C1346" s="2" t="s">
        <v>262</v>
      </c>
      <c r="D1346" s="2" t="s">
        <v>151</v>
      </c>
      <c r="E1346" s="2" t="s">
        <v>276</v>
      </c>
      <c r="F1346" s="2" t="s">
        <v>263</v>
      </c>
      <c r="G1346" s="2" t="s">
        <v>272</v>
      </c>
      <c r="I1346">
        <f>HEX2DEC(_0811_173439[[#This Row],[580C]])*B$4/B$5+B$6</f>
        <v>920</v>
      </c>
      <c r="J1346">
        <f>HEX2DEC(_0811_173439[[#This Row],[4402]])*C$4/C$5+C$6</f>
        <v>37</v>
      </c>
      <c r="K1346">
        <f>HEX2DEC(_0811_173439[[#This Row],[580F]])*D$4/D$5+D$6</f>
        <v>30</v>
      </c>
      <c r="L1346">
        <f>ROUND(HEX2DEC(_0811_173439[[#This Row],[58F0]])*E$4/E$5+E$6,0)</f>
        <v>68</v>
      </c>
      <c r="M1346">
        <f>ROUND(HEX2DEC(_0811_173439[[#This Row],[5805]])*F$4/F$5+F$6,0)</f>
        <v>44</v>
      </c>
      <c r="N1346">
        <f>ROUND(HEX2DEC(_0811_173439[[#This Row],[58DD]])*G$4/G$5+G$6,2)</f>
        <v>-0.03</v>
      </c>
      <c r="P1346">
        <v>920</v>
      </c>
      <c r="Q1346">
        <v>37</v>
      </c>
      <c r="R1346">
        <v>30</v>
      </c>
      <c r="S1346">
        <v>68</v>
      </c>
      <c r="T1346">
        <v>44</v>
      </c>
      <c r="U1346">
        <v>-0.03</v>
      </c>
      <c r="W1346">
        <f>DataLog_T717420_Aug11_4_59_37pm[[#This Row],[RPM '[1/MIN']]]-Table3[[#This Row],[580C]]</f>
        <v>0</v>
      </c>
      <c r="X1346">
        <f>DataLog_T717420_Aug11_4_59_37pm[[#This Row],[OIL TEMP '[Â°C']]]-Table3[[#This Row],[4402]]</f>
        <v>0</v>
      </c>
      <c r="Y1346">
        <f>DataLog_T717420_Aug11_4_59_37pm[[#This Row],[INTAKE TEMP '[Â°C']]]-Table3[[#This Row],[580F]]</f>
        <v>0</v>
      </c>
      <c r="Z1346">
        <f>DataLog_T717420_Aug11_4_59_37pm[[#This Row],[HPFP PRES. '[BAR']]]-Table3[[#This Row],[58F0]]</f>
        <v>0</v>
      </c>
      <c r="AA1346">
        <f>DataLog_T717420_Aug11_4_59_37pm[[#This Row],[COOLANT TEMP '[Â°C']]]-Table3[[#This Row],[5805]]</f>
        <v>0</v>
      </c>
      <c r="AB1346">
        <f>DataLog_T717420_Aug11_4_59_37pm[[#This Row],[BOOST '[BAR']]]-Table3[[#This Row],[58DD]]</f>
        <v>0</v>
      </c>
    </row>
    <row r="1347" spans="2:28" x14ac:dyDescent="0.25">
      <c r="B1347" s="2" t="s">
        <v>146</v>
      </c>
      <c r="C1347" s="2" t="s">
        <v>262</v>
      </c>
      <c r="D1347" s="2" t="s">
        <v>151</v>
      </c>
      <c r="E1347" s="2" t="s">
        <v>220</v>
      </c>
      <c r="F1347" s="2" t="s">
        <v>263</v>
      </c>
      <c r="G1347" s="2" t="s">
        <v>258</v>
      </c>
      <c r="I1347">
        <f>HEX2DEC(_0811_173439[[#This Row],[580C]])*B$4/B$5+B$6</f>
        <v>960</v>
      </c>
      <c r="J1347">
        <f>HEX2DEC(_0811_173439[[#This Row],[4402]])*C$4/C$5+C$6</f>
        <v>37</v>
      </c>
      <c r="K1347">
        <f>HEX2DEC(_0811_173439[[#This Row],[580F]])*D$4/D$5+D$6</f>
        <v>30</v>
      </c>
      <c r="L1347">
        <f>ROUND(HEX2DEC(_0811_173439[[#This Row],[58F0]])*E$4/E$5+E$6,0)</f>
        <v>71</v>
      </c>
      <c r="M1347">
        <f>ROUND(HEX2DEC(_0811_173439[[#This Row],[5805]])*F$4/F$5+F$6,0)</f>
        <v>44</v>
      </c>
      <c r="N1347">
        <f>ROUND(HEX2DEC(_0811_173439[[#This Row],[58DD]])*G$4/G$5+G$6,2)</f>
        <v>-0.03</v>
      </c>
      <c r="P1347">
        <v>960</v>
      </c>
      <c r="Q1347">
        <v>37</v>
      </c>
      <c r="R1347">
        <v>30</v>
      </c>
      <c r="S1347">
        <v>71</v>
      </c>
      <c r="T1347">
        <v>44</v>
      </c>
      <c r="U1347">
        <v>-0.03</v>
      </c>
      <c r="W1347">
        <f>DataLog_T717420_Aug11_4_59_37pm[[#This Row],[RPM '[1/MIN']]]-Table3[[#This Row],[580C]]</f>
        <v>0</v>
      </c>
      <c r="X1347">
        <f>DataLog_T717420_Aug11_4_59_37pm[[#This Row],[OIL TEMP '[Â°C']]]-Table3[[#This Row],[4402]]</f>
        <v>0</v>
      </c>
      <c r="Y1347">
        <f>DataLog_T717420_Aug11_4_59_37pm[[#This Row],[INTAKE TEMP '[Â°C']]]-Table3[[#This Row],[580F]]</f>
        <v>0</v>
      </c>
      <c r="Z1347">
        <f>DataLog_T717420_Aug11_4_59_37pm[[#This Row],[HPFP PRES. '[BAR']]]-Table3[[#This Row],[58F0]]</f>
        <v>0</v>
      </c>
      <c r="AA1347">
        <f>DataLog_T717420_Aug11_4_59_37pm[[#This Row],[COOLANT TEMP '[Â°C']]]-Table3[[#This Row],[5805]]</f>
        <v>0</v>
      </c>
      <c r="AB1347">
        <f>DataLog_T717420_Aug11_4_59_37pm[[#This Row],[BOOST '[BAR']]]-Table3[[#This Row],[58DD]]</f>
        <v>0</v>
      </c>
    </row>
    <row r="1348" spans="2:28" x14ac:dyDescent="0.25">
      <c r="B1348" s="2" t="s">
        <v>136</v>
      </c>
      <c r="C1348" s="2" t="s">
        <v>262</v>
      </c>
      <c r="D1348" s="2" t="s">
        <v>151</v>
      </c>
      <c r="E1348" s="2" t="s">
        <v>277</v>
      </c>
      <c r="F1348" s="2" t="s">
        <v>263</v>
      </c>
      <c r="G1348" s="2" t="s">
        <v>272</v>
      </c>
      <c r="I1348">
        <f>HEX2DEC(_0811_173439[[#This Row],[580C]])*B$4/B$5+B$6</f>
        <v>1000</v>
      </c>
      <c r="J1348">
        <f>HEX2DEC(_0811_173439[[#This Row],[4402]])*C$4/C$5+C$6</f>
        <v>37</v>
      </c>
      <c r="K1348">
        <f>HEX2DEC(_0811_173439[[#This Row],[580F]])*D$4/D$5+D$6</f>
        <v>30</v>
      </c>
      <c r="L1348">
        <f>ROUND(HEX2DEC(_0811_173439[[#This Row],[58F0]])*E$4/E$5+E$6,0)</f>
        <v>72</v>
      </c>
      <c r="M1348">
        <f>ROUND(HEX2DEC(_0811_173439[[#This Row],[5805]])*F$4/F$5+F$6,0)</f>
        <v>44</v>
      </c>
      <c r="N1348">
        <f>ROUND(HEX2DEC(_0811_173439[[#This Row],[58DD]])*G$4/G$5+G$6,2)</f>
        <v>-0.03</v>
      </c>
      <c r="P1348">
        <v>1000</v>
      </c>
      <c r="Q1348">
        <v>37</v>
      </c>
      <c r="R1348">
        <v>30</v>
      </c>
      <c r="S1348">
        <v>72</v>
      </c>
      <c r="T1348">
        <v>44</v>
      </c>
      <c r="U1348">
        <v>-0.03</v>
      </c>
      <c r="W1348">
        <f>DataLog_T717420_Aug11_4_59_37pm[[#This Row],[RPM '[1/MIN']]]-Table3[[#This Row],[580C]]</f>
        <v>0</v>
      </c>
      <c r="X1348">
        <f>DataLog_T717420_Aug11_4_59_37pm[[#This Row],[OIL TEMP '[Â°C']]]-Table3[[#This Row],[4402]]</f>
        <v>0</v>
      </c>
      <c r="Y1348">
        <f>DataLog_T717420_Aug11_4_59_37pm[[#This Row],[INTAKE TEMP '[Â°C']]]-Table3[[#This Row],[580F]]</f>
        <v>0</v>
      </c>
      <c r="Z1348">
        <f>DataLog_T717420_Aug11_4_59_37pm[[#This Row],[HPFP PRES. '[BAR']]]-Table3[[#This Row],[58F0]]</f>
        <v>0</v>
      </c>
      <c r="AA1348">
        <f>DataLog_T717420_Aug11_4_59_37pm[[#This Row],[COOLANT TEMP '[Â°C']]]-Table3[[#This Row],[5805]]</f>
        <v>0</v>
      </c>
      <c r="AB1348">
        <f>DataLog_T717420_Aug11_4_59_37pm[[#This Row],[BOOST '[BAR']]]-Table3[[#This Row],[58DD]]</f>
        <v>0</v>
      </c>
    </row>
    <row r="1349" spans="2:28" x14ac:dyDescent="0.25">
      <c r="B1349" s="2" t="s">
        <v>133</v>
      </c>
      <c r="C1349" s="2" t="s">
        <v>262</v>
      </c>
      <c r="D1349" s="2" t="s">
        <v>151</v>
      </c>
      <c r="E1349" s="2" t="s">
        <v>278</v>
      </c>
      <c r="F1349" s="2" t="s">
        <v>263</v>
      </c>
      <c r="G1349" s="2" t="s">
        <v>247</v>
      </c>
      <c r="I1349">
        <f>HEX2DEC(_0811_173439[[#This Row],[580C]])*B$4/B$5+B$6</f>
        <v>1040</v>
      </c>
      <c r="J1349">
        <f>HEX2DEC(_0811_173439[[#This Row],[4402]])*C$4/C$5+C$6</f>
        <v>37</v>
      </c>
      <c r="K1349">
        <f>HEX2DEC(_0811_173439[[#This Row],[580F]])*D$4/D$5+D$6</f>
        <v>30</v>
      </c>
      <c r="L1349">
        <f>ROUND(HEX2DEC(_0811_173439[[#This Row],[58F0]])*E$4/E$5+E$6,0)</f>
        <v>73</v>
      </c>
      <c r="M1349">
        <f>ROUND(HEX2DEC(_0811_173439[[#This Row],[5805]])*F$4/F$5+F$6,0)</f>
        <v>44</v>
      </c>
      <c r="N1349">
        <f>ROUND(HEX2DEC(_0811_173439[[#This Row],[58DD]])*G$4/G$5+G$6,2)</f>
        <v>-0.03</v>
      </c>
      <c r="P1349">
        <v>1040</v>
      </c>
      <c r="Q1349">
        <v>37</v>
      </c>
      <c r="R1349">
        <v>30</v>
      </c>
      <c r="S1349">
        <v>73</v>
      </c>
      <c r="T1349">
        <v>44</v>
      </c>
      <c r="U1349">
        <v>-0.03</v>
      </c>
      <c r="W1349">
        <f>DataLog_T717420_Aug11_4_59_37pm[[#This Row],[RPM '[1/MIN']]]-Table3[[#This Row],[580C]]</f>
        <v>0</v>
      </c>
      <c r="X1349">
        <f>DataLog_T717420_Aug11_4_59_37pm[[#This Row],[OIL TEMP '[Â°C']]]-Table3[[#This Row],[4402]]</f>
        <v>0</v>
      </c>
      <c r="Y1349">
        <f>DataLog_T717420_Aug11_4_59_37pm[[#This Row],[INTAKE TEMP '[Â°C']]]-Table3[[#This Row],[580F]]</f>
        <v>0</v>
      </c>
      <c r="Z1349">
        <f>DataLog_T717420_Aug11_4_59_37pm[[#This Row],[HPFP PRES. '[BAR']]]-Table3[[#This Row],[58F0]]</f>
        <v>0</v>
      </c>
      <c r="AA1349">
        <f>DataLog_T717420_Aug11_4_59_37pm[[#This Row],[COOLANT TEMP '[Â°C']]]-Table3[[#This Row],[5805]]</f>
        <v>0</v>
      </c>
      <c r="AB1349">
        <f>DataLog_T717420_Aug11_4_59_37pm[[#This Row],[BOOST '[BAR']]]-Table3[[#This Row],[58DD]]</f>
        <v>0</v>
      </c>
    </row>
    <row r="1350" spans="2:28" x14ac:dyDescent="0.25">
      <c r="B1350" s="2" t="s">
        <v>128</v>
      </c>
      <c r="C1350" s="2" t="s">
        <v>262</v>
      </c>
      <c r="D1350" s="2" t="s">
        <v>151</v>
      </c>
      <c r="E1350" s="2" t="s">
        <v>279</v>
      </c>
      <c r="F1350" s="2" t="s">
        <v>263</v>
      </c>
      <c r="G1350" s="2" t="s">
        <v>250</v>
      </c>
      <c r="I1350">
        <f>HEX2DEC(_0811_173439[[#This Row],[580C]])*B$4/B$5+B$6</f>
        <v>1080</v>
      </c>
      <c r="J1350">
        <f>HEX2DEC(_0811_173439[[#This Row],[4402]])*C$4/C$5+C$6</f>
        <v>37</v>
      </c>
      <c r="K1350">
        <f>HEX2DEC(_0811_173439[[#This Row],[580F]])*D$4/D$5+D$6</f>
        <v>30</v>
      </c>
      <c r="L1350">
        <f>ROUND(HEX2DEC(_0811_173439[[#This Row],[58F0]])*E$4/E$5+E$6,0)</f>
        <v>74</v>
      </c>
      <c r="M1350">
        <f>ROUND(HEX2DEC(_0811_173439[[#This Row],[5805]])*F$4/F$5+F$6,0)</f>
        <v>44</v>
      </c>
      <c r="N1350">
        <f>ROUND(HEX2DEC(_0811_173439[[#This Row],[58DD]])*G$4/G$5+G$6,2)</f>
        <v>-0.03</v>
      </c>
      <c r="P1350">
        <v>1080</v>
      </c>
      <c r="Q1350">
        <v>37</v>
      </c>
      <c r="R1350">
        <v>30</v>
      </c>
      <c r="S1350">
        <v>74</v>
      </c>
      <c r="T1350">
        <v>44</v>
      </c>
      <c r="U1350">
        <v>-0.03</v>
      </c>
      <c r="W1350">
        <f>DataLog_T717420_Aug11_4_59_37pm[[#This Row],[RPM '[1/MIN']]]-Table3[[#This Row],[580C]]</f>
        <v>0</v>
      </c>
      <c r="X1350">
        <f>DataLog_T717420_Aug11_4_59_37pm[[#This Row],[OIL TEMP '[Â°C']]]-Table3[[#This Row],[4402]]</f>
        <v>0</v>
      </c>
      <c r="Y1350">
        <f>DataLog_T717420_Aug11_4_59_37pm[[#This Row],[INTAKE TEMP '[Â°C']]]-Table3[[#This Row],[580F]]</f>
        <v>0</v>
      </c>
      <c r="Z1350">
        <f>DataLog_T717420_Aug11_4_59_37pm[[#This Row],[HPFP PRES. '[BAR']]]-Table3[[#This Row],[58F0]]</f>
        <v>0</v>
      </c>
      <c r="AA1350">
        <f>DataLog_T717420_Aug11_4_59_37pm[[#This Row],[COOLANT TEMP '[Â°C']]]-Table3[[#This Row],[5805]]</f>
        <v>0</v>
      </c>
      <c r="AB1350">
        <f>DataLog_T717420_Aug11_4_59_37pm[[#This Row],[BOOST '[BAR']]]-Table3[[#This Row],[58DD]]</f>
        <v>0</v>
      </c>
    </row>
    <row r="1351" spans="2:28" x14ac:dyDescent="0.25">
      <c r="B1351" s="2" t="s">
        <v>72</v>
      </c>
      <c r="C1351" s="2" t="s">
        <v>262</v>
      </c>
      <c r="D1351" s="2" t="s">
        <v>151</v>
      </c>
      <c r="E1351" s="2" t="s">
        <v>280</v>
      </c>
      <c r="F1351" s="2" t="s">
        <v>263</v>
      </c>
      <c r="G1351" s="2" t="s">
        <v>58</v>
      </c>
      <c r="I1351">
        <f>HEX2DEC(_0811_173439[[#This Row],[580C]])*B$4/B$5+B$6</f>
        <v>1120</v>
      </c>
      <c r="J1351">
        <f>HEX2DEC(_0811_173439[[#This Row],[4402]])*C$4/C$5+C$6</f>
        <v>37</v>
      </c>
      <c r="K1351">
        <f>HEX2DEC(_0811_173439[[#This Row],[580F]])*D$4/D$5+D$6</f>
        <v>30</v>
      </c>
      <c r="L1351">
        <f>ROUND(HEX2DEC(_0811_173439[[#This Row],[58F0]])*E$4/E$5+E$6,0)</f>
        <v>74</v>
      </c>
      <c r="M1351">
        <f>ROUND(HEX2DEC(_0811_173439[[#This Row],[5805]])*F$4/F$5+F$6,0)</f>
        <v>44</v>
      </c>
      <c r="N1351">
        <f>ROUND(HEX2DEC(_0811_173439[[#This Row],[58DD]])*G$4/G$5+G$6,2)</f>
        <v>-0.03</v>
      </c>
      <c r="P1351">
        <v>1120</v>
      </c>
      <c r="Q1351">
        <v>37</v>
      </c>
      <c r="R1351">
        <v>30</v>
      </c>
      <c r="S1351">
        <v>74</v>
      </c>
      <c r="T1351">
        <v>44</v>
      </c>
      <c r="U1351">
        <v>-0.03</v>
      </c>
      <c r="W1351">
        <f>DataLog_T717420_Aug11_4_59_37pm[[#This Row],[RPM '[1/MIN']]]-Table3[[#This Row],[580C]]</f>
        <v>0</v>
      </c>
      <c r="X1351">
        <f>DataLog_T717420_Aug11_4_59_37pm[[#This Row],[OIL TEMP '[Â°C']]]-Table3[[#This Row],[4402]]</f>
        <v>0</v>
      </c>
      <c r="Y1351">
        <f>DataLog_T717420_Aug11_4_59_37pm[[#This Row],[INTAKE TEMP '[Â°C']]]-Table3[[#This Row],[580F]]</f>
        <v>0</v>
      </c>
      <c r="Z1351">
        <f>DataLog_T717420_Aug11_4_59_37pm[[#This Row],[HPFP PRES. '[BAR']]]-Table3[[#This Row],[58F0]]</f>
        <v>0</v>
      </c>
      <c r="AA1351">
        <f>DataLog_T717420_Aug11_4_59_37pm[[#This Row],[COOLANT TEMP '[Â°C']]]-Table3[[#This Row],[5805]]</f>
        <v>0</v>
      </c>
      <c r="AB1351">
        <f>DataLog_T717420_Aug11_4_59_37pm[[#This Row],[BOOST '[BAR']]]-Table3[[#This Row],[58DD]]</f>
        <v>0</v>
      </c>
    </row>
    <row r="1352" spans="2:28" x14ac:dyDescent="0.25">
      <c r="B1352" s="2" t="s">
        <v>120</v>
      </c>
      <c r="C1352" s="2" t="s">
        <v>262</v>
      </c>
      <c r="D1352" s="2" t="s">
        <v>151</v>
      </c>
      <c r="E1352" s="2" t="s">
        <v>268</v>
      </c>
      <c r="F1352" s="2" t="s">
        <v>263</v>
      </c>
      <c r="G1352" s="2" t="s">
        <v>58</v>
      </c>
      <c r="I1352">
        <f>HEX2DEC(_0811_173439[[#This Row],[580C]])*B$4/B$5+B$6</f>
        <v>1160</v>
      </c>
      <c r="J1352">
        <f>HEX2DEC(_0811_173439[[#This Row],[4402]])*C$4/C$5+C$6</f>
        <v>37</v>
      </c>
      <c r="K1352">
        <f>HEX2DEC(_0811_173439[[#This Row],[580F]])*D$4/D$5+D$6</f>
        <v>30</v>
      </c>
      <c r="L1352">
        <f>ROUND(HEX2DEC(_0811_173439[[#This Row],[58F0]])*E$4/E$5+E$6,0)</f>
        <v>73</v>
      </c>
      <c r="M1352">
        <f>ROUND(HEX2DEC(_0811_173439[[#This Row],[5805]])*F$4/F$5+F$6,0)</f>
        <v>44</v>
      </c>
      <c r="N1352">
        <f>ROUND(HEX2DEC(_0811_173439[[#This Row],[58DD]])*G$4/G$5+G$6,2)</f>
        <v>-0.03</v>
      </c>
      <c r="P1352">
        <v>1160</v>
      </c>
      <c r="Q1352">
        <v>37</v>
      </c>
      <c r="R1352">
        <v>30</v>
      </c>
      <c r="S1352">
        <v>73</v>
      </c>
      <c r="T1352">
        <v>44</v>
      </c>
      <c r="U1352">
        <v>-0.03</v>
      </c>
      <c r="W1352">
        <f>DataLog_T717420_Aug11_4_59_37pm[[#This Row],[RPM '[1/MIN']]]-Table3[[#This Row],[580C]]</f>
        <v>0</v>
      </c>
      <c r="X1352">
        <f>DataLog_T717420_Aug11_4_59_37pm[[#This Row],[OIL TEMP '[Â°C']]]-Table3[[#This Row],[4402]]</f>
        <v>0</v>
      </c>
      <c r="Y1352">
        <f>DataLog_T717420_Aug11_4_59_37pm[[#This Row],[INTAKE TEMP '[Â°C']]]-Table3[[#This Row],[580F]]</f>
        <v>0</v>
      </c>
      <c r="Z1352">
        <f>DataLog_T717420_Aug11_4_59_37pm[[#This Row],[HPFP PRES. '[BAR']]]-Table3[[#This Row],[58F0]]</f>
        <v>0</v>
      </c>
      <c r="AA1352">
        <f>DataLog_T717420_Aug11_4_59_37pm[[#This Row],[COOLANT TEMP '[Â°C']]]-Table3[[#This Row],[5805]]</f>
        <v>0</v>
      </c>
      <c r="AB1352">
        <f>DataLog_T717420_Aug11_4_59_37pm[[#This Row],[BOOST '[BAR']]]-Table3[[#This Row],[58DD]]</f>
        <v>0</v>
      </c>
    </row>
    <row r="1353" spans="2:28" x14ac:dyDescent="0.25">
      <c r="B1353" s="2" t="s">
        <v>117</v>
      </c>
      <c r="C1353" s="2" t="s">
        <v>262</v>
      </c>
      <c r="D1353" s="2" t="s">
        <v>151</v>
      </c>
      <c r="E1353" s="2" t="s">
        <v>281</v>
      </c>
      <c r="F1353" s="2" t="s">
        <v>263</v>
      </c>
      <c r="G1353" s="2" t="s">
        <v>258</v>
      </c>
      <c r="I1353">
        <f>HEX2DEC(_0811_173439[[#This Row],[580C]])*B$4/B$5+B$6</f>
        <v>1200</v>
      </c>
      <c r="J1353">
        <f>HEX2DEC(_0811_173439[[#This Row],[4402]])*C$4/C$5+C$6</f>
        <v>37</v>
      </c>
      <c r="K1353">
        <f>HEX2DEC(_0811_173439[[#This Row],[580F]])*D$4/D$5+D$6</f>
        <v>30</v>
      </c>
      <c r="L1353">
        <f>ROUND(HEX2DEC(_0811_173439[[#This Row],[58F0]])*E$4/E$5+E$6,0)</f>
        <v>75</v>
      </c>
      <c r="M1353">
        <f>ROUND(HEX2DEC(_0811_173439[[#This Row],[5805]])*F$4/F$5+F$6,0)</f>
        <v>44</v>
      </c>
      <c r="N1353">
        <f>ROUND(HEX2DEC(_0811_173439[[#This Row],[58DD]])*G$4/G$5+G$6,2)</f>
        <v>-0.03</v>
      </c>
      <c r="P1353">
        <v>1200</v>
      </c>
      <c r="Q1353">
        <v>37</v>
      </c>
      <c r="R1353">
        <v>30</v>
      </c>
      <c r="S1353">
        <v>75</v>
      </c>
      <c r="T1353">
        <v>44</v>
      </c>
      <c r="U1353">
        <v>-0.03</v>
      </c>
      <c r="W1353">
        <f>DataLog_T717420_Aug11_4_59_37pm[[#This Row],[RPM '[1/MIN']]]-Table3[[#This Row],[580C]]</f>
        <v>0</v>
      </c>
      <c r="X1353">
        <f>DataLog_T717420_Aug11_4_59_37pm[[#This Row],[OIL TEMP '[Â°C']]]-Table3[[#This Row],[4402]]</f>
        <v>0</v>
      </c>
      <c r="Y1353">
        <f>DataLog_T717420_Aug11_4_59_37pm[[#This Row],[INTAKE TEMP '[Â°C']]]-Table3[[#This Row],[580F]]</f>
        <v>0</v>
      </c>
      <c r="Z1353">
        <f>DataLog_T717420_Aug11_4_59_37pm[[#This Row],[HPFP PRES. '[BAR']]]-Table3[[#This Row],[58F0]]</f>
        <v>0</v>
      </c>
      <c r="AA1353">
        <f>DataLog_T717420_Aug11_4_59_37pm[[#This Row],[COOLANT TEMP '[Â°C']]]-Table3[[#This Row],[5805]]</f>
        <v>0</v>
      </c>
      <c r="AB1353">
        <f>DataLog_T717420_Aug11_4_59_37pm[[#This Row],[BOOST '[BAR']]]-Table3[[#This Row],[58DD]]</f>
        <v>0</v>
      </c>
    </row>
    <row r="1354" spans="2:28" x14ac:dyDescent="0.25">
      <c r="B1354" s="2" t="s">
        <v>114</v>
      </c>
      <c r="C1354" s="2" t="s">
        <v>262</v>
      </c>
      <c r="D1354" s="2" t="s">
        <v>151</v>
      </c>
      <c r="E1354" s="2" t="s">
        <v>282</v>
      </c>
      <c r="F1354" s="2" t="s">
        <v>263</v>
      </c>
      <c r="G1354" s="2" t="s">
        <v>71</v>
      </c>
      <c r="I1354">
        <f>HEX2DEC(_0811_173439[[#This Row],[580C]])*B$4/B$5+B$6</f>
        <v>1240</v>
      </c>
      <c r="J1354">
        <f>HEX2DEC(_0811_173439[[#This Row],[4402]])*C$4/C$5+C$6</f>
        <v>37</v>
      </c>
      <c r="K1354">
        <f>HEX2DEC(_0811_173439[[#This Row],[580F]])*D$4/D$5+D$6</f>
        <v>30</v>
      </c>
      <c r="L1354">
        <f>ROUND(HEX2DEC(_0811_173439[[#This Row],[58F0]])*E$4/E$5+E$6,0)</f>
        <v>74</v>
      </c>
      <c r="M1354">
        <f>ROUND(HEX2DEC(_0811_173439[[#This Row],[5805]])*F$4/F$5+F$6,0)</f>
        <v>44</v>
      </c>
      <c r="N1354">
        <f>ROUND(HEX2DEC(_0811_173439[[#This Row],[58DD]])*G$4/G$5+G$6,2)</f>
        <v>-0.03</v>
      </c>
      <c r="P1354">
        <v>1240</v>
      </c>
      <c r="Q1354">
        <v>37</v>
      </c>
      <c r="R1354">
        <v>30</v>
      </c>
      <c r="S1354">
        <v>74</v>
      </c>
      <c r="T1354">
        <v>44</v>
      </c>
      <c r="U1354">
        <v>-0.03</v>
      </c>
      <c r="W1354">
        <f>DataLog_T717420_Aug11_4_59_37pm[[#This Row],[RPM '[1/MIN']]]-Table3[[#This Row],[580C]]</f>
        <v>0</v>
      </c>
      <c r="X1354">
        <f>DataLog_T717420_Aug11_4_59_37pm[[#This Row],[OIL TEMP '[Â°C']]]-Table3[[#This Row],[4402]]</f>
        <v>0</v>
      </c>
      <c r="Y1354">
        <f>DataLog_T717420_Aug11_4_59_37pm[[#This Row],[INTAKE TEMP '[Â°C']]]-Table3[[#This Row],[580F]]</f>
        <v>0</v>
      </c>
      <c r="Z1354">
        <f>DataLog_T717420_Aug11_4_59_37pm[[#This Row],[HPFP PRES. '[BAR']]]-Table3[[#This Row],[58F0]]</f>
        <v>0</v>
      </c>
      <c r="AA1354">
        <f>DataLog_T717420_Aug11_4_59_37pm[[#This Row],[COOLANT TEMP '[Â°C']]]-Table3[[#This Row],[5805]]</f>
        <v>0</v>
      </c>
      <c r="AB1354">
        <f>DataLog_T717420_Aug11_4_59_37pm[[#This Row],[BOOST '[BAR']]]-Table3[[#This Row],[58DD]]</f>
        <v>0</v>
      </c>
    </row>
    <row r="1355" spans="2:28" x14ac:dyDescent="0.25">
      <c r="B1355" s="2" t="s">
        <v>114</v>
      </c>
      <c r="C1355" s="2" t="s">
        <v>262</v>
      </c>
      <c r="D1355" s="2" t="s">
        <v>151</v>
      </c>
      <c r="E1355" s="2" t="s">
        <v>283</v>
      </c>
      <c r="F1355" s="2" t="s">
        <v>263</v>
      </c>
      <c r="G1355" s="2" t="s">
        <v>191</v>
      </c>
      <c r="I1355">
        <f>HEX2DEC(_0811_173439[[#This Row],[580C]])*B$4/B$5+B$6</f>
        <v>1240</v>
      </c>
      <c r="J1355">
        <f>HEX2DEC(_0811_173439[[#This Row],[4402]])*C$4/C$5+C$6</f>
        <v>37</v>
      </c>
      <c r="K1355">
        <f>HEX2DEC(_0811_173439[[#This Row],[580F]])*D$4/D$5+D$6</f>
        <v>30</v>
      </c>
      <c r="L1355">
        <f>ROUND(HEX2DEC(_0811_173439[[#This Row],[58F0]])*E$4/E$5+E$6,0)</f>
        <v>76</v>
      </c>
      <c r="M1355">
        <f>ROUND(HEX2DEC(_0811_173439[[#This Row],[5805]])*F$4/F$5+F$6,0)</f>
        <v>44</v>
      </c>
      <c r="N1355">
        <f>ROUND(HEX2DEC(_0811_173439[[#This Row],[58DD]])*G$4/G$5+G$6,2)</f>
        <v>-0.03</v>
      </c>
      <c r="P1355">
        <v>1240</v>
      </c>
      <c r="Q1355">
        <v>37</v>
      </c>
      <c r="R1355">
        <v>30</v>
      </c>
      <c r="S1355">
        <v>76</v>
      </c>
      <c r="T1355">
        <v>44</v>
      </c>
      <c r="U1355">
        <v>-0.03</v>
      </c>
      <c r="W1355">
        <f>DataLog_T717420_Aug11_4_59_37pm[[#This Row],[RPM '[1/MIN']]]-Table3[[#This Row],[580C]]</f>
        <v>0</v>
      </c>
      <c r="X1355">
        <f>DataLog_T717420_Aug11_4_59_37pm[[#This Row],[OIL TEMP '[Â°C']]]-Table3[[#This Row],[4402]]</f>
        <v>0</v>
      </c>
      <c r="Y1355">
        <f>DataLog_T717420_Aug11_4_59_37pm[[#This Row],[INTAKE TEMP '[Â°C']]]-Table3[[#This Row],[580F]]</f>
        <v>0</v>
      </c>
      <c r="Z1355">
        <f>DataLog_T717420_Aug11_4_59_37pm[[#This Row],[HPFP PRES. '[BAR']]]-Table3[[#This Row],[58F0]]</f>
        <v>0</v>
      </c>
      <c r="AA1355">
        <f>DataLog_T717420_Aug11_4_59_37pm[[#This Row],[COOLANT TEMP '[Â°C']]]-Table3[[#This Row],[5805]]</f>
        <v>0</v>
      </c>
      <c r="AB1355">
        <f>DataLog_T717420_Aug11_4_59_37pm[[#This Row],[BOOST '[BAR']]]-Table3[[#This Row],[58DD]]</f>
        <v>0</v>
      </c>
    </row>
    <row r="1356" spans="2:28" x14ac:dyDescent="0.25">
      <c r="B1356" s="2" t="s">
        <v>117</v>
      </c>
      <c r="C1356" s="2" t="s">
        <v>262</v>
      </c>
      <c r="D1356" s="2" t="s">
        <v>151</v>
      </c>
      <c r="E1356" s="2" t="s">
        <v>284</v>
      </c>
      <c r="F1356" s="2" t="s">
        <v>263</v>
      </c>
      <c r="G1356" s="2" t="s">
        <v>180</v>
      </c>
      <c r="I1356">
        <f>HEX2DEC(_0811_173439[[#This Row],[580C]])*B$4/B$5+B$6</f>
        <v>1200</v>
      </c>
      <c r="J1356">
        <f>HEX2DEC(_0811_173439[[#This Row],[4402]])*C$4/C$5+C$6</f>
        <v>37</v>
      </c>
      <c r="K1356">
        <f>HEX2DEC(_0811_173439[[#This Row],[580F]])*D$4/D$5+D$6</f>
        <v>30</v>
      </c>
      <c r="L1356">
        <f>ROUND(HEX2DEC(_0811_173439[[#This Row],[58F0]])*E$4/E$5+E$6,0)</f>
        <v>75</v>
      </c>
      <c r="M1356">
        <f>ROUND(HEX2DEC(_0811_173439[[#This Row],[5805]])*F$4/F$5+F$6,0)</f>
        <v>44</v>
      </c>
      <c r="N1356">
        <f>ROUND(HEX2DEC(_0811_173439[[#This Row],[58DD]])*G$4/G$5+G$6,2)</f>
        <v>-0.03</v>
      </c>
      <c r="P1356">
        <v>1200</v>
      </c>
      <c r="Q1356">
        <v>37</v>
      </c>
      <c r="R1356">
        <v>30</v>
      </c>
      <c r="S1356">
        <v>75</v>
      </c>
      <c r="T1356">
        <v>44</v>
      </c>
      <c r="U1356">
        <v>-0.03</v>
      </c>
      <c r="W1356">
        <f>DataLog_T717420_Aug11_4_59_37pm[[#This Row],[RPM '[1/MIN']]]-Table3[[#This Row],[580C]]</f>
        <v>0</v>
      </c>
      <c r="X1356">
        <f>DataLog_T717420_Aug11_4_59_37pm[[#This Row],[OIL TEMP '[Â°C']]]-Table3[[#This Row],[4402]]</f>
        <v>0</v>
      </c>
      <c r="Y1356">
        <f>DataLog_T717420_Aug11_4_59_37pm[[#This Row],[INTAKE TEMP '[Â°C']]]-Table3[[#This Row],[580F]]</f>
        <v>0</v>
      </c>
      <c r="Z1356">
        <f>DataLog_T717420_Aug11_4_59_37pm[[#This Row],[HPFP PRES. '[BAR']]]-Table3[[#This Row],[58F0]]</f>
        <v>0</v>
      </c>
      <c r="AA1356">
        <f>DataLog_T717420_Aug11_4_59_37pm[[#This Row],[COOLANT TEMP '[Â°C']]]-Table3[[#This Row],[5805]]</f>
        <v>0</v>
      </c>
      <c r="AB1356">
        <f>DataLog_T717420_Aug11_4_59_37pm[[#This Row],[BOOST '[BAR']]]-Table3[[#This Row],[58DD]]</f>
        <v>0</v>
      </c>
    </row>
    <row r="1357" spans="2:28" x14ac:dyDescent="0.25">
      <c r="B1357" s="2" t="s">
        <v>120</v>
      </c>
      <c r="C1357" s="2" t="s">
        <v>262</v>
      </c>
      <c r="D1357" s="2" t="s">
        <v>151</v>
      </c>
      <c r="E1357" s="2" t="s">
        <v>285</v>
      </c>
      <c r="F1357" s="2" t="s">
        <v>263</v>
      </c>
      <c r="G1357" s="2" t="s">
        <v>175</v>
      </c>
      <c r="I1357">
        <f>HEX2DEC(_0811_173439[[#This Row],[580C]])*B$4/B$5+B$6</f>
        <v>1160</v>
      </c>
      <c r="J1357">
        <f>HEX2DEC(_0811_173439[[#This Row],[4402]])*C$4/C$5+C$6</f>
        <v>37</v>
      </c>
      <c r="K1357">
        <f>HEX2DEC(_0811_173439[[#This Row],[580F]])*D$4/D$5+D$6</f>
        <v>30</v>
      </c>
      <c r="L1357">
        <f>ROUND(HEX2DEC(_0811_173439[[#This Row],[58F0]])*E$4/E$5+E$6,0)</f>
        <v>76</v>
      </c>
      <c r="M1357">
        <f>ROUND(HEX2DEC(_0811_173439[[#This Row],[5805]])*F$4/F$5+F$6,0)</f>
        <v>44</v>
      </c>
      <c r="N1357">
        <f>ROUND(HEX2DEC(_0811_173439[[#This Row],[58DD]])*G$4/G$5+G$6,2)</f>
        <v>-0.03</v>
      </c>
      <c r="P1357">
        <v>1160</v>
      </c>
      <c r="Q1357">
        <v>37</v>
      </c>
      <c r="R1357">
        <v>30</v>
      </c>
      <c r="S1357">
        <v>76</v>
      </c>
      <c r="T1357">
        <v>44</v>
      </c>
      <c r="U1357">
        <v>-0.03</v>
      </c>
      <c r="W1357">
        <f>DataLog_T717420_Aug11_4_59_37pm[[#This Row],[RPM '[1/MIN']]]-Table3[[#This Row],[580C]]</f>
        <v>0</v>
      </c>
      <c r="X1357">
        <f>DataLog_T717420_Aug11_4_59_37pm[[#This Row],[OIL TEMP '[Â°C']]]-Table3[[#This Row],[4402]]</f>
        <v>0</v>
      </c>
      <c r="Y1357">
        <f>DataLog_T717420_Aug11_4_59_37pm[[#This Row],[INTAKE TEMP '[Â°C']]]-Table3[[#This Row],[580F]]</f>
        <v>0</v>
      </c>
      <c r="Z1357">
        <f>DataLog_T717420_Aug11_4_59_37pm[[#This Row],[HPFP PRES. '[BAR']]]-Table3[[#This Row],[58F0]]</f>
        <v>0</v>
      </c>
      <c r="AA1357">
        <f>DataLog_T717420_Aug11_4_59_37pm[[#This Row],[COOLANT TEMP '[Â°C']]]-Table3[[#This Row],[5805]]</f>
        <v>0</v>
      </c>
      <c r="AB1357">
        <f>DataLog_T717420_Aug11_4_59_37pm[[#This Row],[BOOST '[BAR']]]-Table3[[#This Row],[58DD]]</f>
        <v>0</v>
      </c>
    </row>
    <row r="1358" spans="2:28" x14ac:dyDescent="0.25">
      <c r="B1358" s="2" t="s">
        <v>72</v>
      </c>
      <c r="C1358" s="2" t="s">
        <v>262</v>
      </c>
      <c r="D1358" s="2" t="s">
        <v>151</v>
      </c>
      <c r="E1358" s="2" t="s">
        <v>286</v>
      </c>
      <c r="F1358" s="2" t="s">
        <v>263</v>
      </c>
      <c r="G1358" s="2" t="s">
        <v>173</v>
      </c>
      <c r="I1358">
        <f>HEX2DEC(_0811_173439[[#This Row],[580C]])*B$4/B$5+B$6</f>
        <v>1120</v>
      </c>
      <c r="J1358">
        <f>HEX2DEC(_0811_173439[[#This Row],[4402]])*C$4/C$5+C$6</f>
        <v>37</v>
      </c>
      <c r="K1358">
        <f>HEX2DEC(_0811_173439[[#This Row],[580F]])*D$4/D$5+D$6</f>
        <v>30</v>
      </c>
      <c r="L1358">
        <f>ROUND(HEX2DEC(_0811_173439[[#This Row],[58F0]])*E$4/E$5+E$6,0)</f>
        <v>75</v>
      </c>
      <c r="M1358">
        <f>ROUND(HEX2DEC(_0811_173439[[#This Row],[5805]])*F$4/F$5+F$6,0)</f>
        <v>44</v>
      </c>
      <c r="N1358">
        <f>ROUND(HEX2DEC(_0811_173439[[#This Row],[58DD]])*G$4/G$5+G$6,2)</f>
        <v>-0.02</v>
      </c>
      <c r="P1358">
        <v>1120</v>
      </c>
      <c r="Q1358">
        <v>37</v>
      </c>
      <c r="R1358">
        <v>30</v>
      </c>
      <c r="S1358">
        <v>75</v>
      </c>
      <c r="T1358">
        <v>44</v>
      </c>
      <c r="U1358">
        <v>-0.03</v>
      </c>
      <c r="W1358">
        <f>DataLog_T717420_Aug11_4_59_37pm[[#This Row],[RPM '[1/MIN']]]-Table3[[#This Row],[580C]]</f>
        <v>0</v>
      </c>
      <c r="X1358">
        <f>DataLog_T717420_Aug11_4_59_37pm[[#This Row],[OIL TEMP '[Â°C']]]-Table3[[#This Row],[4402]]</f>
        <v>0</v>
      </c>
      <c r="Y1358">
        <f>DataLog_T717420_Aug11_4_59_37pm[[#This Row],[INTAKE TEMP '[Â°C']]]-Table3[[#This Row],[580F]]</f>
        <v>0</v>
      </c>
      <c r="Z1358">
        <f>DataLog_T717420_Aug11_4_59_37pm[[#This Row],[HPFP PRES. '[BAR']]]-Table3[[#This Row],[58F0]]</f>
        <v>0</v>
      </c>
      <c r="AA1358">
        <f>DataLog_T717420_Aug11_4_59_37pm[[#This Row],[COOLANT TEMP '[Â°C']]]-Table3[[#This Row],[5805]]</f>
        <v>0</v>
      </c>
      <c r="AB1358">
        <f>DataLog_T717420_Aug11_4_59_37pm[[#This Row],[BOOST '[BAR']]]-Table3[[#This Row],[58DD]]</f>
        <v>-9.9999999999999985E-3</v>
      </c>
    </row>
    <row r="1359" spans="2:28" x14ac:dyDescent="0.25">
      <c r="B1359" s="2" t="s">
        <v>128</v>
      </c>
      <c r="C1359" s="2" t="s">
        <v>262</v>
      </c>
      <c r="D1359" s="2" t="s">
        <v>151</v>
      </c>
      <c r="E1359" s="2" t="s">
        <v>287</v>
      </c>
      <c r="F1359" s="2" t="s">
        <v>263</v>
      </c>
      <c r="G1359" s="2" t="s">
        <v>203</v>
      </c>
      <c r="I1359">
        <f>HEX2DEC(_0811_173439[[#This Row],[580C]])*B$4/B$5+B$6</f>
        <v>1080</v>
      </c>
      <c r="J1359">
        <f>HEX2DEC(_0811_173439[[#This Row],[4402]])*C$4/C$5+C$6</f>
        <v>37</v>
      </c>
      <c r="K1359">
        <f>HEX2DEC(_0811_173439[[#This Row],[580F]])*D$4/D$5+D$6</f>
        <v>30</v>
      </c>
      <c r="L1359">
        <f>ROUND(HEX2DEC(_0811_173439[[#This Row],[58F0]])*E$4/E$5+E$6,0)</f>
        <v>75</v>
      </c>
      <c r="M1359">
        <f>ROUND(HEX2DEC(_0811_173439[[#This Row],[5805]])*F$4/F$5+F$6,0)</f>
        <v>44</v>
      </c>
      <c r="N1359">
        <f>ROUND(HEX2DEC(_0811_173439[[#This Row],[58DD]])*G$4/G$5+G$6,2)</f>
        <v>-0.03</v>
      </c>
      <c r="P1359">
        <v>1080</v>
      </c>
      <c r="Q1359">
        <v>37</v>
      </c>
      <c r="R1359">
        <v>30</v>
      </c>
      <c r="S1359">
        <v>75</v>
      </c>
      <c r="T1359">
        <v>44</v>
      </c>
      <c r="U1359">
        <v>-0.03</v>
      </c>
      <c r="W1359">
        <f>DataLog_T717420_Aug11_4_59_37pm[[#This Row],[RPM '[1/MIN']]]-Table3[[#This Row],[580C]]</f>
        <v>0</v>
      </c>
      <c r="X1359">
        <f>DataLog_T717420_Aug11_4_59_37pm[[#This Row],[OIL TEMP '[Â°C']]]-Table3[[#This Row],[4402]]</f>
        <v>0</v>
      </c>
      <c r="Y1359">
        <f>DataLog_T717420_Aug11_4_59_37pm[[#This Row],[INTAKE TEMP '[Â°C']]]-Table3[[#This Row],[580F]]</f>
        <v>0</v>
      </c>
      <c r="Z1359">
        <f>DataLog_T717420_Aug11_4_59_37pm[[#This Row],[HPFP PRES. '[BAR']]]-Table3[[#This Row],[58F0]]</f>
        <v>0</v>
      </c>
      <c r="AA1359">
        <f>DataLog_T717420_Aug11_4_59_37pm[[#This Row],[COOLANT TEMP '[Â°C']]]-Table3[[#This Row],[5805]]</f>
        <v>0</v>
      </c>
      <c r="AB1359">
        <f>DataLog_T717420_Aug11_4_59_37pm[[#This Row],[BOOST '[BAR']]]-Table3[[#This Row],[58DD]]</f>
        <v>0</v>
      </c>
    </row>
    <row r="1360" spans="2:28" x14ac:dyDescent="0.25">
      <c r="B1360" s="2" t="s">
        <v>133</v>
      </c>
      <c r="C1360" s="2" t="s">
        <v>262</v>
      </c>
      <c r="D1360" s="2" t="s">
        <v>151</v>
      </c>
      <c r="E1360" s="2" t="s">
        <v>288</v>
      </c>
      <c r="F1360" s="2" t="s">
        <v>263</v>
      </c>
      <c r="G1360" s="2" t="s">
        <v>28</v>
      </c>
      <c r="I1360">
        <f>HEX2DEC(_0811_173439[[#This Row],[580C]])*B$4/B$5+B$6</f>
        <v>1040</v>
      </c>
      <c r="J1360">
        <f>HEX2DEC(_0811_173439[[#This Row],[4402]])*C$4/C$5+C$6</f>
        <v>37</v>
      </c>
      <c r="K1360">
        <f>HEX2DEC(_0811_173439[[#This Row],[580F]])*D$4/D$5+D$6</f>
        <v>30</v>
      </c>
      <c r="L1360">
        <f>ROUND(HEX2DEC(_0811_173439[[#This Row],[58F0]])*E$4/E$5+E$6,0)</f>
        <v>74</v>
      </c>
      <c r="M1360">
        <f>ROUND(HEX2DEC(_0811_173439[[#This Row],[5805]])*F$4/F$5+F$6,0)</f>
        <v>44</v>
      </c>
      <c r="N1360">
        <f>ROUND(HEX2DEC(_0811_173439[[#This Row],[58DD]])*G$4/G$5+G$6,2)</f>
        <v>-0.02</v>
      </c>
      <c r="P1360">
        <v>1040</v>
      </c>
      <c r="Q1360">
        <v>37</v>
      </c>
      <c r="R1360">
        <v>30</v>
      </c>
      <c r="S1360">
        <v>74</v>
      </c>
      <c r="T1360">
        <v>44</v>
      </c>
      <c r="U1360">
        <v>-0.02</v>
      </c>
      <c r="W1360">
        <f>DataLog_T717420_Aug11_4_59_37pm[[#This Row],[RPM '[1/MIN']]]-Table3[[#This Row],[580C]]</f>
        <v>0</v>
      </c>
      <c r="X1360">
        <f>DataLog_T717420_Aug11_4_59_37pm[[#This Row],[OIL TEMP '[Â°C']]]-Table3[[#This Row],[4402]]</f>
        <v>0</v>
      </c>
      <c r="Y1360">
        <f>DataLog_T717420_Aug11_4_59_37pm[[#This Row],[INTAKE TEMP '[Â°C']]]-Table3[[#This Row],[580F]]</f>
        <v>0</v>
      </c>
      <c r="Z1360">
        <f>DataLog_T717420_Aug11_4_59_37pm[[#This Row],[HPFP PRES. '[BAR']]]-Table3[[#This Row],[58F0]]</f>
        <v>0</v>
      </c>
      <c r="AA1360">
        <f>DataLog_T717420_Aug11_4_59_37pm[[#This Row],[COOLANT TEMP '[Â°C']]]-Table3[[#This Row],[5805]]</f>
        <v>0</v>
      </c>
      <c r="AB1360">
        <f>DataLog_T717420_Aug11_4_59_37pm[[#This Row],[BOOST '[BAR']]]-Table3[[#This Row],[58DD]]</f>
        <v>0</v>
      </c>
    </row>
    <row r="1361" spans="2:28" x14ac:dyDescent="0.25">
      <c r="B1361" s="2" t="s">
        <v>133</v>
      </c>
      <c r="C1361" s="2" t="s">
        <v>262</v>
      </c>
      <c r="D1361" s="2" t="s">
        <v>151</v>
      </c>
      <c r="E1361" s="2" t="s">
        <v>289</v>
      </c>
      <c r="F1361" s="2" t="s">
        <v>263</v>
      </c>
      <c r="G1361" s="2" t="s">
        <v>28</v>
      </c>
      <c r="I1361">
        <f>HEX2DEC(_0811_173439[[#This Row],[580C]])*B$4/B$5+B$6</f>
        <v>1040</v>
      </c>
      <c r="J1361">
        <f>HEX2DEC(_0811_173439[[#This Row],[4402]])*C$4/C$5+C$6</f>
        <v>37</v>
      </c>
      <c r="K1361">
        <f>HEX2DEC(_0811_173439[[#This Row],[580F]])*D$4/D$5+D$6</f>
        <v>30</v>
      </c>
      <c r="L1361">
        <f>ROUND(HEX2DEC(_0811_173439[[#This Row],[58F0]])*E$4/E$5+E$6,0)</f>
        <v>74</v>
      </c>
      <c r="M1361">
        <f>ROUND(HEX2DEC(_0811_173439[[#This Row],[5805]])*F$4/F$5+F$6,0)</f>
        <v>44</v>
      </c>
      <c r="N1361">
        <f>ROUND(HEX2DEC(_0811_173439[[#This Row],[58DD]])*G$4/G$5+G$6,2)</f>
        <v>-0.02</v>
      </c>
      <c r="P1361">
        <v>1040</v>
      </c>
      <c r="Q1361">
        <v>37</v>
      </c>
      <c r="R1361">
        <v>30</v>
      </c>
      <c r="S1361">
        <v>74</v>
      </c>
      <c r="T1361">
        <v>44</v>
      </c>
      <c r="U1361">
        <v>-0.02</v>
      </c>
      <c r="W1361">
        <f>DataLog_T717420_Aug11_4_59_37pm[[#This Row],[RPM '[1/MIN']]]-Table3[[#This Row],[580C]]</f>
        <v>0</v>
      </c>
      <c r="X1361">
        <f>DataLog_T717420_Aug11_4_59_37pm[[#This Row],[OIL TEMP '[Â°C']]]-Table3[[#This Row],[4402]]</f>
        <v>0</v>
      </c>
      <c r="Y1361">
        <f>DataLog_T717420_Aug11_4_59_37pm[[#This Row],[INTAKE TEMP '[Â°C']]]-Table3[[#This Row],[580F]]</f>
        <v>0</v>
      </c>
      <c r="Z1361">
        <f>DataLog_T717420_Aug11_4_59_37pm[[#This Row],[HPFP PRES. '[BAR']]]-Table3[[#This Row],[58F0]]</f>
        <v>0</v>
      </c>
      <c r="AA1361">
        <f>DataLog_T717420_Aug11_4_59_37pm[[#This Row],[COOLANT TEMP '[Â°C']]]-Table3[[#This Row],[5805]]</f>
        <v>0</v>
      </c>
      <c r="AB1361">
        <f>DataLog_T717420_Aug11_4_59_37pm[[#This Row],[BOOST '[BAR']]]-Table3[[#This Row],[58DD]]</f>
        <v>0</v>
      </c>
    </row>
    <row r="1362" spans="2:28" x14ac:dyDescent="0.25">
      <c r="B1362" s="2" t="s">
        <v>136</v>
      </c>
      <c r="C1362" s="2" t="s">
        <v>262</v>
      </c>
      <c r="D1362" s="2" t="s">
        <v>151</v>
      </c>
      <c r="E1362" s="2" t="s">
        <v>290</v>
      </c>
      <c r="F1362" s="2" t="s">
        <v>263</v>
      </c>
      <c r="G1362" s="2" t="s">
        <v>28</v>
      </c>
      <c r="I1362">
        <f>HEX2DEC(_0811_173439[[#This Row],[580C]])*B$4/B$5+B$6</f>
        <v>1000</v>
      </c>
      <c r="J1362">
        <f>HEX2DEC(_0811_173439[[#This Row],[4402]])*C$4/C$5+C$6</f>
        <v>37</v>
      </c>
      <c r="K1362">
        <f>HEX2DEC(_0811_173439[[#This Row],[580F]])*D$4/D$5+D$6</f>
        <v>30</v>
      </c>
      <c r="L1362">
        <f>ROUND(HEX2DEC(_0811_173439[[#This Row],[58F0]])*E$4/E$5+E$6,0)</f>
        <v>74</v>
      </c>
      <c r="M1362">
        <f>ROUND(HEX2DEC(_0811_173439[[#This Row],[5805]])*F$4/F$5+F$6,0)</f>
        <v>44</v>
      </c>
      <c r="N1362">
        <f>ROUND(HEX2DEC(_0811_173439[[#This Row],[58DD]])*G$4/G$5+G$6,2)</f>
        <v>-0.02</v>
      </c>
      <c r="P1362">
        <v>1000</v>
      </c>
      <c r="Q1362">
        <v>37</v>
      </c>
      <c r="R1362">
        <v>30</v>
      </c>
      <c r="S1362">
        <v>74</v>
      </c>
      <c r="T1362">
        <v>44</v>
      </c>
      <c r="U1362">
        <v>-0.02</v>
      </c>
      <c r="W1362">
        <f>DataLog_T717420_Aug11_4_59_37pm[[#This Row],[RPM '[1/MIN']]]-Table3[[#This Row],[580C]]</f>
        <v>0</v>
      </c>
      <c r="X1362">
        <f>DataLog_T717420_Aug11_4_59_37pm[[#This Row],[OIL TEMP '[Â°C']]]-Table3[[#This Row],[4402]]</f>
        <v>0</v>
      </c>
      <c r="Y1362">
        <f>DataLog_T717420_Aug11_4_59_37pm[[#This Row],[INTAKE TEMP '[Â°C']]]-Table3[[#This Row],[580F]]</f>
        <v>0</v>
      </c>
      <c r="Z1362">
        <f>DataLog_T717420_Aug11_4_59_37pm[[#This Row],[HPFP PRES. '[BAR']]]-Table3[[#This Row],[58F0]]</f>
        <v>0</v>
      </c>
      <c r="AA1362">
        <f>DataLog_T717420_Aug11_4_59_37pm[[#This Row],[COOLANT TEMP '[Â°C']]]-Table3[[#This Row],[5805]]</f>
        <v>0</v>
      </c>
      <c r="AB1362">
        <f>DataLog_T717420_Aug11_4_59_37pm[[#This Row],[BOOST '[BAR']]]-Table3[[#This Row],[58DD]]</f>
        <v>0</v>
      </c>
    </row>
    <row r="1363" spans="2:28" x14ac:dyDescent="0.25">
      <c r="B1363" s="2" t="s">
        <v>136</v>
      </c>
      <c r="C1363" s="2" t="s">
        <v>262</v>
      </c>
      <c r="D1363" s="2" t="s">
        <v>151</v>
      </c>
      <c r="E1363" s="2" t="s">
        <v>270</v>
      </c>
      <c r="F1363" s="2" t="s">
        <v>263</v>
      </c>
      <c r="G1363" s="2" t="s">
        <v>28</v>
      </c>
      <c r="I1363">
        <f>HEX2DEC(_0811_173439[[#This Row],[580C]])*B$4/B$5+B$6</f>
        <v>1000</v>
      </c>
      <c r="J1363">
        <f>HEX2DEC(_0811_173439[[#This Row],[4402]])*C$4/C$5+C$6</f>
        <v>37</v>
      </c>
      <c r="K1363">
        <f>HEX2DEC(_0811_173439[[#This Row],[580F]])*D$4/D$5+D$6</f>
        <v>30</v>
      </c>
      <c r="L1363">
        <f>ROUND(HEX2DEC(_0811_173439[[#This Row],[58F0]])*E$4/E$5+E$6,0)</f>
        <v>73</v>
      </c>
      <c r="M1363">
        <f>ROUND(HEX2DEC(_0811_173439[[#This Row],[5805]])*F$4/F$5+F$6,0)</f>
        <v>44</v>
      </c>
      <c r="N1363">
        <f>ROUND(HEX2DEC(_0811_173439[[#This Row],[58DD]])*G$4/G$5+G$6,2)</f>
        <v>-0.02</v>
      </c>
      <c r="P1363">
        <v>1000</v>
      </c>
      <c r="Q1363">
        <v>37</v>
      </c>
      <c r="R1363">
        <v>30</v>
      </c>
      <c r="S1363">
        <v>73</v>
      </c>
      <c r="T1363">
        <v>44</v>
      </c>
      <c r="U1363">
        <v>-0.02</v>
      </c>
      <c r="W1363">
        <f>DataLog_T717420_Aug11_4_59_37pm[[#This Row],[RPM '[1/MIN']]]-Table3[[#This Row],[580C]]</f>
        <v>0</v>
      </c>
      <c r="X1363">
        <f>DataLog_T717420_Aug11_4_59_37pm[[#This Row],[OIL TEMP '[Â°C']]]-Table3[[#This Row],[4402]]</f>
        <v>0</v>
      </c>
      <c r="Y1363">
        <f>DataLog_T717420_Aug11_4_59_37pm[[#This Row],[INTAKE TEMP '[Â°C']]]-Table3[[#This Row],[580F]]</f>
        <v>0</v>
      </c>
      <c r="Z1363">
        <f>DataLog_T717420_Aug11_4_59_37pm[[#This Row],[HPFP PRES. '[BAR']]]-Table3[[#This Row],[58F0]]</f>
        <v>0</v>
      </c>
      <c r="AA1363">
        <f>DataLog_T717420_Aug11_4_59_37pm[[#This Row],[COOLANT TEMP '[Â°C']]]-Table3[[#This Row],[5805]]</f>
        <v>0</v>
      </c>
      <c r="AB1363">
        <f>DataLog_T717420_Aug11_4_59_37pm[[#This Row],[BOOST '[BAR']]]-Table3[[#This Row],[58DD]]</f>
        <v>0</v>
      </c>
    </row>
    <row r="1364" spans="2:28" x14ac:dyDescent="0.25">
      <c r="B1364" s="2" t="s">
        <v>146</v>
      </c>
      <c r="C1364" s="2" t="s">
        <v>262</v>
      </c>
      <c r="D1364" s="2" t="s">
        <v>151</v>
      </c>
      <c r="E1364" s="2" t="s">
        <v>161</v>
      </c>
      <c r="F1364" s="2" t="s">
        <v>263</v>
      </c>
      <c r="G1364" s="2" t="s">
        <v>105</v>
      </c>
      <c r="I1364">
        <f>HEX2DEC(_0811_173439[[#This Row],[580C]])*B$4/B$5+B$6</f>
        <v>960</v>
      </c>
      <c r="J1364">
        <f>HEX2DEC(_0811_173439[[#This Row],[4402]])*C$4/C$5+C$6</f>
        <v>37</v>
      </c>
      <c r="K1364">
        <f>HEX2DEC(_0811_173439[[#This Row],[580F]])*D$4/D$5+D$6</f>
        <v>30</v>
      </c>
      <c r="L1364">
        <f>ROUND(HEX2DEC(_0811_173439[[#This Row],[58F0]])*E$4/E$5+E$6,0)</f>
        <v>71</v>
      </c>
      <c r="M1364">
        <f>ROUND(HEX2DEC(_0811_173439[[#This Row],[5805]])*F$4/F$5+F$6,0)</f>
        <v>44</v>
      </c>
      <c r="N1364">
        <f>ROUND(HEX2DEC(_0811_173439[[#This Row],[58DD]])*G$4/G$5+G$6,2)</f>
        <v>-0.02</v>
      </c>
      <c r="P1364">
        <v>960</v>
      </c>
      <c r="Q1364">
        <v>37</v>
      </c>
      <c r="R1364">
        <v>30</v>
      </c>
      <c r="S1364">
        <v>71</v>
      </c>
      <c r="T1364">
        <v>44</v>
      </c>
      <c r="U1364">
        <v>-0.02</v>
      </c>
      <c r="W1364">
        <f>DataLog_T717420_Aug11_4_59_37pm[[#This Row],[RPM '[1/MIN']]]-Table3[[#This Row],[580C]]</f>
        <v>0</v>
      </c>
      <c r="X1364">
        <f>DataLog_T717420_Aug11_4_59_37pm[[#This Row],[OIL TEMP '[Â°C']]]-Table3[[#This Row],[4402]]</f>
        <v>0</v>
      </c>
      <c r="Y1364">
        <f>DataLog_T717420_Aug11_4_59_37pm[[#This Row],[INTAKE TEMP '[Â°C']]]-Table3[[#This Row],[580F]]</f>
        <v>0</v>
      </c>
      <c r="Z1364">
        <f>DataLog_T717420_Aug11_4_59_37pm[[#This Row],[HPFP PRES. '[BAR']]]-Table3[[#This Row],[58F0]]</f>
        <v>0</v>
      </c>
      <c r="AA1364">
        <f>DataLog_T717420_Aug11_4_59_37pm[[#This Row],[COOLANT TEMP '[Â°C']]]-Table3[[#This Row],[5805]]</f>
        <v>0</v>
      </c>
      <c r="AB1364">
        <f>DataLog_T717420_Aug11_4_59_37pm[[#This Row],[BOOST '[BAR']]]-Table3[[#This Row],[58DD]]</f>
        <v>0</v>
      </c>
    </row>
    <row r="1365" spans="2:28" x14ac:dyDescent="0.25">
      <c r="B1365" s="2" t="s">
        <v>69</v>
      </c>
      <c r="C1365" s="2" t="s">
        <v>262</v>
      </c>
      <c r="D1365" s="2" t="s">
        <v>151</v>
      </c>
      <c r="E1365" s="2" t="s">
        <v>230</v>
      </c>
      <c r="F1365" s="2" t="s">
        <v>263</v>
      </c>
      <c r="G1365" s="2" t="s">
        <v>28</v>
      </c>
      <c r="I1365">
        <f>HEX2DEC(_0811_173439[[#This Row],[580C]])*B$4/B$5+B$6</f>
        <v>920</v>
      </c>
      <c r="J1365">
        <f>HEX2DEC(_0811_173439[[#This Row],[4402]])*C$4/C$5+C$6</f>
        <v>37</v>
      </c>
      <c r="K1365">
        <f>HEX2DEC(_0811_173439[[#This Row],[580F]])*D$4/D$5+D$6</f>
        <v>30</v>
      </c>
      <c r="L1365">
        <f>ROUND(HEX2DEC(_0811_173439[[#This Row],[58F0]])*E$4/E$5+E$6,0)</f>
        <v>71</v>
      </c>
      <c r="M1365">
        <f>ROUND(HEX2DEC(_0811_173439[[#This Row],[5805]])*F$4/F$5+F$6,0)</f>
        <v>44</v>
      </c>
      <c r="N1365">
        <f>ROUND(HEX2DEC(_0811_173439[[#This Row],[58DD]])*G$4/G$5+G$6,2)</f>
        <v>-0.02</v>
      </c>
      <c r="P1365">
        <v>920</v>
      </c>
      <c r="Q1365">
        <v>37</v>
      </c>
      <c r="R1365">
        <v>30</v>
      </c>
      <c r="S1365">
        <v>71</v>
      </c>
      <c r="T1365">
        <v>44</v>
      </c>
      <c r="U1365">
        <v>-0.02</v>
      </c>
      <c r="W1365">
        <f>DataLog_T717420_Aug11_4_59_37pm[[#This Row],[RPM '[1/MIN']]]-Table3[[#This Row],[580C]]</f>
        <v>0</v>
      </c>
      <c r="X1365">
        <f>DataLog_T717420_Aug11_4_59_37pm[[#This Row],[OIL TEMP '[Â°C']]]-Table3[[#This Row],[4402]]</f>
        <v>0</v>
      </c>
      <c r="Y1365">
        <f>DataLog_T717420_Aug11_4_59_37pm[[#This Row],[INTAKE TEMP '[Â°C']]]-Table3[[#This Row],[580F]]</f>
        <v>0</v>
      </c>
      <c r="Z1365">
        <f>DataLog_T717420_Aug11_4_59_37pm[[#This Row],[HPFP PRES. '[BAR']]]-Table3[[#This Row],[58F0]]</f>
        <v>0</v>
      </c>
      <c r="AA1365">
        <f>DataLog_T717420_Aug11_4_59_37pm[[#This Row],[COOLANT TEMP '[Â°C']]]-Table3[[#This Row],[5805]]</f>
        <v>0</v>
      </c>
      <c r="AB1365">
        <f>DataLog_T717420_Aug11_4_59_37pm[[#This Row],[BOOST '[BAR']]]-Table3[[#This Row],[58DD]]</f>
        <v>0</v>
      </c>
    </row>
    <row r="1366" spans="2:28" x14ac:dyDescent="0.25">
      <c r="B1366" s="2" t="s">
        <v>69</v>
      </c>
      <c r="C1366" s="2" t="s">
        <v>262</v>
      </c>
      <c r="D1366" s="2" t="s">
        <v>151</v>
      </c>
      <c r="E1366" s="2" t="s">
        <v>147</v>
      </c>
      <c r="F1366" s="2" t="s">
        <v>263</v>
      </c>
      <c r="G1366" s="2" t="s">
        <v>28</v>
      </c>
      <c r="I1366">
        <f>HEX2DEC(_0811_173439[[#This Row],[580C]])*B$4/B$5+B$6</f>
        <v>920</v>
      </c>
      <c r="J1366">
        <f>HEX2DEC(_0811_173439[[#This Row],[4402]])*C$4/C$5+C$6</f>
        <v>37</v>
      </c>
      <c r="K1366">
        <f>HEX2DEC(_0811_173439[[#This Row],[580F]])*D$4/D$5+D$6</f>
        <v>30</v>
      </c>
      <c r="L1366">
        <f>ROUND(HEX2DEC(_0811_173439[[#This Row],[58F0]])*E$4/E$5+E$6,0)</f>
        <v>71</v>
      </c>
      <c r="M1366">
        <f>ROUND(HEX2DEC(_0811_173439[[#This Row],[5805]])*F$4/F$5+F$6,0)</f>
        <v>44</v>
      </c>
      <c r="N1366">
        <f>ROUND(HEX2DEC(_0811_173439[[#This Row],[58DD]])*G$4/G$5+G$6,2)</f>
        <v>-0.02</v>
      </c>
      <c r="P1366">
        <v>920</v>
      </c>
      <c r="Q1366">
        <v>37</v>
      </c>
      <c r="R1366">
        <v>30</v>
      </c>
      <c r="S1366">
        <v>71</v>
      </c>
      <c r="T1366">
        <v>44</v>
      </c>
      <c r="U1366">
        <v>-0.02</v>
      </c>
      <c r="W1366">
        <f>DataLog_T717420_Aug11_4_59_37pm[[#This Row],[RPM '[1/MIN']]]-Table3[[#This Row],[580C]]</f>
        <v>0</v>
      </c>
      <c r="X1366">
        <f>DataLog_T717420_Aug11_4_59_37pm[[#This Row],[OIL TEMP '[Â°C']]]-Table3[[#This Row],[4402]]</f>
        <v>0</v>
      </c>
      <c r="Y1366">
        <f>DataLog_T717420_Aug11_4_59_37pm[[#This Row],[INTAKE TEMP '[Â°C']]]-Table3[[#This Row],[580F]]</f>
        <v>0</v>
      </c>
      <c r="Z1366">
        <f>DataLog_T717420_Aug11_4_59_37pm[[#This Row],[HPFP PRES. '[BAR']]]-Table3[[#This Row],[58F0]]</f>
        <v>0</v>
      </c>
      <c r="AA1366">
        <f>DataLog_T717420_Aug11_4_59_37pm[[#This Row],[COOLANT TEMP '[Â°C']]]-Table3[[#This Row],[5805]]</f>
        <v>0</v>
      </c>
      <c r="AB1366">
        <f>DataLog_T717420_Aug11_4_59_37pm[[#This Row],[BOOST '[BAR']]]-Table3[[#This Row],[58DD]]</f>
        <v>0</v>
      </c>
    </row>
    <row r="1367" spans="2:28" x14ac:dyDescent="0.25">
      <c r="B1367" s="2" t="s">
        <v>69</v>
      </c>
      <c r="C1367" s="2" t="s">
        <v>262</v>
      </c>
      <c r="D1367" s="2" t="s">
        <v>151</v>
      </c>
      <c r="E1367" s="2" t="s">
        <v>242</v>
      </c>
      <c r="F1367" s="2" t="s">
        <v>263</v>
      </c>
      <c r="G1367" s="2" t="s">
        <v>28</v>
      </c>
      <c r="I1367">
        <f>HEX2DEC(_0811_173439[[#This Row],[580C]])*B$4/B$5+B$6</f>
        <v>920</v>
      </c>
      <c r="J1367">
        <f>HEX2DEC(_0811_173439[[#This Row],[4402]])*C$4/C$5+C$6</f>
        <v>37</v>
      </c>
      <c r="K1367">
        <f>HEX2DEC(_0811_173439[[#This Row],[580F]])*D$4/D$5+D$6</f>
        <v>30</v>
      </c>
      <c r="L1367">
        <f>ROUND(HEX2DEC(_0811_173439[[#This Row],[58F0]])*E$4/E$5+E$6,0)</f>
        <v>71</v>
      </c>
      <c r="M1367">
        <f>ROUND(HEX2DEC(_0811_173439[[#This Row],[5805]])*F$4/F$5+F$6,0)</f>
        <v>44</v>
      </c>
      <c r="N1367">
        <f>ROUND(HEX2DEC(_0811_173439[[#This Row],[58DD]])*G$4/G$5+G$6,2)</f>
        <v>-0.02</v>
      </c>
      <c r="P1367">
        <v>920</v>
      </c>
      <c r="Q1367">
        <v>37</v>
      </c>
      <c r="R1367">
        <v>30</v>
      </c>
      <c r="S1367">
        <v>71</v>
      </c>
      <c r="T1367">
        <v>44</v>
      </c>
      <c r="U1367">
        <v>-0.02</v>
      </c>
      <c r="W1367">
        <f>DataLog_T717420_Aug11_4_59_37pm[[#This Row],[RPM '[1/MIN']]]-Table3[[#This Row],[580C]]</f>
        <v>0</v>
      </c>
      <c r="X1367">
        <f>DataLog_T717420_Aug11_4_59_37pm[[#This Row],[OIL TEMP '[Â°C']]]-Table3[[#This Row],[4402]]</f>
        <v>0</v>
      </c>
      <c r="Y1367">
        <f>DataLog_T717420_Aug11_4_59_37pm[[#This Row],[INTAKE TEMP '[Â°C']]]-Table3[[#This Row],[580F]]</f>
        <v>0</v>
      </c>
      <c r="Z1367">
        <f>DataLog_T717420_Aug11_4_59_37pm[[#This Row],[HPFP PRES. '[BAR']]]-Table3[[#This Row],[58F0]]</f>
        <v>0</v>
      </c>
      <c r="AA1367">
        <f>DataLog_T717420_Aug11_4_59_37pm[[#This Row],[COOLANT TEMP '[Â°C']]]-Table3[[#This Row],[5805]]</f>
        <v>0</v>
      </c>
      <c r="AB1367">
        <f>DataLog_T717420_Aug11_4_59_37pm[[#This Row],[BOOST '[BAR']]]-Table3[[#This Row],[58DD]]</f>
        <v>0</v>
      </c>
    </row>
    <row r="1368" spans="2:28" x14ac:dyDescent="0.25">
      <c r="B1368" s="2" t="s">
        <v>69</v>
      </c>
      <c r="C1368" s="2" t="s">
        <v>262</v>
      </c>
      <c r="D1368" s="2" t="s">
        <v>151</v>
      </c>
      <c r="E1368" s="2" t="s">
        <v>157</v>
      </c>
      <c r="F1368" s="2" t="s">
        <v>263</v>
      </c>
      <c r="G1368" s="2" t="s">
        <v>168</v>
      </c>
      <c r="I1368">
        <f>HEX2DEC(_0811_173439[[#This Row],[580C]])*B$4/B$5+B$6</f>
        <v>920</v>
      </c>
      <c r="J1368">
        <f>HEX2DEC(_0811_173439[[#This Row],[4402]])*C$4/C$5+C$6</f>
        <v>37</v>
      </c>
      <c r="K1368">
        <f>HEX2DEC(_0811_173439[[#This Row],[580F]])*D$4/D$5+D$6</f>
        <v>30</v>
      </c>
      <c r="L1368">
        <f>ROUND(HEX2DEC(_0811_173439[[#This Row],[58F0]])*E$4/E$5+E$6,0)</f>
        <v>70</v>
      </c>
      <c r="M1368">
        <f>ROUND(HEX2DEC(_0811_173439[[#This Row],[5805]])*F$4/F$5+F$6,0)</f>
        <v>44</v>
      </c>
      <c r="N1368">
        <f>ROUND(HEX2DEC(_0811_173439[[#This Row],[58DD]])*G$4/G$5+G$6,2)</f>
        <v>-0.02</v>
      </c>
      <c r="P1368">
        <v>920</v>
      </c>
      <c r="Q1368">
        <v>37</v>
      </c>
      <c r="R1368">
        <v>30</v>
      </c>
      <c r="S1368">
        <v>70</v>
      </c>
      <c r="T1368">
        <v>44</v>
      </c>
      <c r="U1368">
        <v>-0.03</v>
      </c>
      <c r="W1368">
        <f>DataLog_T717420_Aug11_4_59_37pm[[#This Row],[RPM '[1/MIN']]]-Table3[[#This Row],[580C]]</f>
        <v>0</v>
      </c>
      <c r="X1368">
        <f>DataLog_T717420_Aug11_4_59_37pm[[#This Row],[OIL TEMP '[Â°C']]]-Table3[[#This Row],[4402]]</f>
        <v>0</v>
      </c>
      <c r="Y1368">
        <f>DataLog_T717420_Aug11_4_59_37pm[[#This Row],[INTAKE TEMP '[Â°C']]]-Table3[[#This Row],[580F]]</f>
        <v>0</v>
      </c>
      <c r="Z1368">
        <f>DataLog_T717420_Aug11_4_59_37pm[[#This Row],[HPFP PRES. '[BAR']]]-Table3[[#This Row],[58F0]]</f>
        <v>0</v>
      </c>
      <c r="AA1368">
        <f>DataLog_T717420_Aug11_4_59_37pm[[#This Row],[COOLANT TEMP '[Â°C']]]-Table3[[#This Row],[5805]]</f>
        <v>0</v>
      </c>
      <c r="AB1368">
        <f>DataLog_T717420_Aug11_4_59_37pm[[#This Row],[BOOST '[BAR']]]-Table3[[#This Row],[58DD]]</f>
        <v>-9.9999999999999985E-3</v>
      </c>
    </row>
    <row r="1369" spans="2:28" x14ac:dyDescent="0.25">
      <c r="B1369" s="2" t="s">
        <v>160</v>
      </c>
      <c r="C1369" s="2" t="s">
        <v>262</v>
      </c>
      <c r="D1369" s="2" t="s">
        <v>151</v>
      </c>
      <c r="E1369" s="2" t="s">
        <v>127</v>
      </c>
      <c r="F1369" s="2" t="s">
        <v>263</v>
      </c>
      <c r="G1369" s="2" t="s">
        <v>164</v>
      </c>
      <c r="I1369">
        <f>HEX2DEC(_0811_173439[[#This Row],[580C]])*B$4/B$5+B$6</f>
        <v>880</v>
      </c>
      <c r="J1369">
        <f>HEX2DEC(_0811_173439[[#This Row],[4402]])*C$4/C$5+C$6</f>
        <v>37</v>
      </c>
      <c r="K1369">
        <f>HEX2DEC(_0811_173439[[#This Row],[580F]])*D$4/D$5+D$6</f>
        <v>30</v>
      </c>
      <c r="L1369">
        <f>ROUND(HEX2DEC(_0811_173439[[#This Row],[58F0]])*E$4/E$5+E$6,0)</f>
        <v>70</v>
      </c>
      <c r="M1369">
        <f>ROUND(HEX2DEC(_0811_173439[[#This Row],[5805]])*F$4/F$5+F$6,0)</f>
        <v>44</v>
      </c>
      <c r="N1369">
        <f>ROUND(HEX2DEC(_0811_173439[[#This Row],[58DD]])*G$4/G$5+G$6,2)</f>
        <v>-0.02</v>
      </c>
      <c r="P1369">
        <v>880</v>
      </c>
      <c r="Q1369">
        <v>37</v>
      </c>
      <c r="R1369">
        <v>30</v>
      </c>
      <c r="S1369">
        <v>70</v>
      </c>
      <c r="T1369">
        <v>44</v>
      </c>
      <c r="U1369">
        <v>-0.02</v>
      </c>
      <c r="W1369">
        <f>DataLog_T717420_Aug11_4_59_37pm[[#This Row],[RPM '[1/MIN']]]-Table3[[#This Row],[580C]]</f>
        <v>0</v>
      </c>
      <c r="X1369">
        <f>DataLog_T717420_Aug11_4_59_37pm[[#This Row],[OIL TEMP '[Â°C']]]-Table3[[#This Row],[4402]]</f>
        <v>0</v>
      </c>
      <c r="Y1369">
        <f>DataLog_T717420_Aug11_4_59_37pm[[#This Row],[INTAKE TEMP '[Â°C']]]-Table3[[#This Row],[580F]]</f>
        <v>0</v>
      </c>
      <c r="Z1369">
        <f>DataLog_T717420_Aug11_4_59_37pm[[#This Row],[HPFP PRES. '[BAR']]]-Table3[[#This Row],[58F0]]</f>
        <v>0</v>
      </c>
      <c r="AA1369">
        <f>DataLog_T717420_Aug11_4_59_37pm[[#This Row],[COOLANT TEMP '[Â°C']]]-Table3[[#This Row],[5805]]</f>
        <v>0</v>
      </c>
      <c r="AB1369">
        <f>DataLog_T717420_Aug11_4_59_37pm[[#This Row],[BOOST '[BAR']]]-Table3[[#This Row],[58DD]]</f>
        <v>0</v>
      </c>
    </row>
    <row r="1370" spans="2:28" x14ac:dyDescent="0.25">
      <c r="B1370" s="2" t="s">
        <v>160</v>
      </c>
      <c r="C1370" s="2" t="s">
        <v>262</v>
      </c>
      <c r="D1370" s="2" t="s">
        <v>151</v>
      </c>
      <c r="E1370" s="2" t="s">
        <v>194</v>
      </c>
      <c r="F1370" s="2" t="s">
        <v>263</v>
      </c>
      <c r="G1370" s="2" t="s">
        <v>28</v>
      </c>
      <c r="I1370">
        <f>HEX2DEC(_0811_173439[[#This Row],[580C]])*B$4/B$5+B$6</f>
        <v>880</v>
      </c>
      <c r="J1370">
        <f>HEX2DEC(_0811_173439[[#This Row],[4402]])*C$4/C$5+C$6</f>
        <v>37</v>
      </c>
      <c r="K1370">
        <f>HEX2DEC(_0811_173439[[#This Row],[580F]])*D$4/D$5+D$6</f>
        <v>30</v>
      </c>
      <c r="L1370">
        <f>ROUND(HEX2DEC(_0811_173439[[#This Row],[58F0]])*E$4/E$5+E$6,0)</f>
        <v>70</v>
      </c>
      <c r="M1370">
        <f>ROUND(HEX2DEC(_0811_173439[[#This Row],[5805]])*F$4/F$5+F$6,0)</f>
        <v>44</v>
      </c>
      <c r="N1370">
        <f>ROUND(HEX2DEC(_0811_173439[[#This Row],[58DD]])*G$4/G$5+G$6,2)</f>
        <v>-0.02</v>
      </c>
      <c r="P1370">
        <v>880</v>
      </c>
      <c r="Q1370">
        <v>37</v>
      </c>
      <c r="R1370">
        <v>30</v>
      </c>
      <c r="S1370">
        <v>70</v>
      </c>
      <c r="T1370">
        <v>44</v>
      </c>
      <c r="U1370">
        <v>-0.02</v>
      </c>
      <c r="W1370">
        <f>DataLog_T717420_Aug11_4_59_37pm[[#This Row],[RPM '[1/MIN']]]-Table3[[#This Row],[580C]]</f>
        <v>0</v>
      </c>
      <c r="X1370">
        <f>DataLog_T717420_Aug11_4_59_37pm[[#This Row],[OIL TEMP '[Â°C']]]-Table3[[#This Row],[4402]]</f>
        <v>0</v>
      </c>
      <c r="Y1370">
        <f>DataLog_T717420_Aug11_4_59_37pm[[#This Row],[INTAKE TEMP '[Â°C']]]-Table3[[#This Row],[580F]]</f>
        <v>0</v>
      </c>
      <c r="Z1370">
        <f>DataLog_T717420_Aug11_4_59_37pm[[#This Row],[HPFP PRES. '[BAR']]]-Table3[[#This Row],[58F0]]</f>
        <v>0</v>
      </c>
      <c r="AA1370">
        <f>DataLog_T717420_Aug11_4_59_37pm[[#This Row],[COOLANT TEMP '[Â°C']]]-Table3[[#This Row],[5805]]</f>
        <v>0</v>
      </c>
      <c r="AB1370">
        <f>DataLog_T717420_Aug11_4_59_37pm[[#This Row],[BOOST '[BAR']]]-Table3[[#This Row],[58DD]]</f>
        <v>0</v>
      </c>
    </row>
    <row r="1371" spans="2:28" x14ac:dyDescent="0.25">
      <c r="B1371" s="2" t="s">
        <v>160</v>
      </c>
      <c r="C1371" s="2" t="s">
        <v>262</v>
      </c>
      <c r="D1371" s="2" t="s">
        <v>151</v>
      </c>
      <c r="E1371" s="2" t="s">
        <v>201</v>
      </c>
      <c r="F1371" s="2" t="s">
        <v>263</v>
      </c>
      <c r="G1371" s="2" t="s">
        <v>28</v>
      </c>
      <c r="I1371">
        <f>HEX2DEC(_0811_173439[[#This Row],[580C]])*B$4/B$5+B$6</f>
        <v>880</v>
      </c>
      <c r="J1371">
        <f>HEX2DEC(_0811_173439[[#This Row],[4402]])*C$4/C$5+C$6</f>
        <v>37</v>
      </c>
      <c r="K1371">
        <f>HEX2DEC(_0811_173439[[#This Row],[580F]])*D$4/D$5+D$6</f>
        <v>30</v>
      </c>
      <c r="L1371">
        <f>ROUND(HEX2DEC(_0811_173439[[#This Row],[58F0]])*E$4/E$5+E$6,0)</f>
        <v>69</v>
      </c>
      <c r="M1371">
        <f>ROUND(HEX2DEC(_0811_173439[[#This Row],[5805]])*F$4/F$5+F$6,0)</f>
        <v>44</v>
      </c>
      <c r="N1371">
        <f>ROUND(HEX2DEC(_0811_173439[[#This Row],[58DD]])*G$4/G$5+G$6,2)</f>
        <v>-0.02</v>
      </c>
      <c r="P1371">
        <v>880</v>
      </c>
      <c r="Q1371">
        <v>37</v>
      </c>
      <c r="R1371">
        <v>30</v>
      </c>
      <c r="S1371">
        <v>69</v>
      </c>
      <c r="T1371">
        <v>44</v>
      </c>
      <c r="U1371">
        <v>-0.02</v>
      </c>
      <c r="W1371">
        <f>DataLog_T717420_Aug11_4_59_37pm[[#This Row],[RPM '[1/MIN']]]-Table3[[#This Row],[580C]]</f>
        <v>0</v>
      </c>
      <c r="X1371">
        <f>DataLog_T717420_Aug11_4_59_37pm[[#This Row],[OIL TEMP '[Â°C']]]-Table3[[#This Row],[4402]]</f>
        <v>0</v>
      </c>
      <c r="Y1371">
        <f>DataLog_T717420_Aug11_4_59_37pm[[#This Row],[INTAKE TEMP '[Â°C']]]-Table3[[#This Row],[580F]]</f>
        <v>0</v>
      </c>
      <c r="Z1371">
        <f>DataLog_T717420_Aug11_4_59_37pm[[#This Row],[HPFP PRES. '[BAR']]]-Table3[[#This Row],[58F0]]</f>
        <v>0</v>
      </c>
      <c r="AA1371">
        <f>DataLog_T717420_Aug11_4_59_37pm[[#This Row],[COOLANT TEMP '[Â°C']]]-Table3[[#This Row],[5805]]</f>
        <v>0</v>
      </c>
      <c r="AB1371">
        <f>DataLog_T717420_Aug11_4_59_37pm[[#This Row],[BOOST '[BAR']]]-Table3[[#This Row],[58DD]]</f>
        <v>0</v>
      </c>
    </row>
    <row r="1372" spans="2:28" x14ac:dyDescent="0.25">
      <c r="B1372" s="2" t="s">
        <v>174</v>
      </c>
      <c r="C1372" s="2" t="s">
        <v>262</v>
      </c>
      <c r="D1372" s="2" t="s">
        <v>151</v>
      </c>
      <c r="E1372" s="2" t="s">
        <v>238</v>
      </c>
      <c r="F1372" s="2" t="s">
        <v>263</v>
      </c>
      <c r="G1372" s="2" t="s">
        <v>28</v>
      </c>
      <c r="I1372">
        <f>HEX2DEC(_0811_173439[[#This Row],[580C]])*B$4/B$5+B$6</f>
        <v>840</v>
      </c>
      <c r="J1372">
        <f>HEX2DEC(_0811_173439[[#This Row],[4402]])*C$4/C$5+C$6</f>
        <v>37</v>
      </c>
      <c r="K1372">
        <f>HEX2DEC(_0811_173439[[#This Row],[580F]])*D$4/D$5+D$6</f>
        <v>30</v>
      </c>
      <c r="L1372">
        <f>ROUND(HEX2DEC(_0811_173439[[#This Row],[58F0]])*E$4/E$5+E$6,0)</f>
        <v>69</v>
      </c>
      <c r="M1372">
        <f>ROUND(HEX2DEC(_0811_173439[[#This Row],[5805]])*F$4/F$5+F$6,0)</f>
        <v>44</v>
      </c>
      <c r="N1372">
        <f>ROUND(HEX2DEC(_0811_173439[[#This Row],[58DD]])*G$4/G$5+G$6,2)</f>
        <v>-0.02</v>
      </c>
      <c r="P1372">
        <v>840</v>
      </c>
      <c r="Q1372">
        <v>37</v>
      </c>
      <c r="R1372">
        <v>30</v>
      </c>
      <c r="S1372">
        <v>69</v>
      </c>
      <c r="T1372">
        <v>44</v>
      </c>
      <c r="U1372">
        <v>-0.02</v>
      </c>
      <c r="W1372">
        <f>DataLog_T717420_Aug11_4_59_37pm[[#This Row],[RPM '[1/MIN']]]-Table3[[#This Row],[580C]]</f>
        <v>0</v>
      </c>
      <c r="X1372">
        <f>DataLog_T717420_Aug11_4_59_37pm[[#This Row],[OIL TEMP '[Â°C']]]-Table3[[#This Row],[4402]]</f>
        <v>0</v>
      </c>
      <c r="Y1372">
        <f>DataLog_T717420_Aug11_4_59_37pm[[#This Row],[INTAKE TEMP '[Â°C']]]-Table3[[#This Row],[580F]]</f>
        <v>0</v>
      </c>
      <c r="Z1372">
        <f>DataLog_T717420_Aug11_4_59_37pm[[#This Row],[HPFP PRES. '[BAR']]]-Table3[[#This Row],[58F0]]</f>
        <v>0</v>
      </c>
      <c r="AA1372">
        <f>DataLog_T717420_Aug11_4_59_37pm[[#This Row],[COOLANT TEMP '[Â°C']]]-Table3[[#This Row],[5805]]</f>
        <v>0</v>
      </c>
      <c r="AB1372">
        <f>DataLog_T717420_Aug11_4_59_37pm[[#This Row],[BOOST '[BAR']]]-Table3[[#This Row],[58DD]]</f>
        <v>0</v>
      </c>
    </row>
    <row r="1373" spans="2:28" x14ac:dyDescent="0.25">
      <c r="B1373" s="2" t="s">
        <v>174</v>
      </c>
      <c r="C1373" s="2" t="s">
        <v>262</v>
      </c>
      <c r="D1373" s="2" t="s">
        <v>151</v>
      </c>
      <c r="E1373" s="2" t="s">
        <v>209</v>
      </c>
      <c r="F1373" s="2" t="s">
        <v>263</v>
      </c>
      <c r="G1373" s="2" t="s">
        <v>168</v>
      </c>
      <c r="I1373">
        <f>HEX2DEC(_0811_173439[[#This Row],[580C]])*B$4/B$5+B$6</f>
        <v>840</v>
      </c>
      <c r="J1373">
        <f>HEX2DEC(_0811_173439[[#This Row],[4402]])*C$4/C$5+C$6</f>
        <v>37</v>
      </c>
      <c r="K1373">
        <f>HEX2DEC(_0811_173439[[#This Row],[580F]])*D$4/D$5+D$6</f>
        <v>30</v>
      </c>
      <c r="L1373">
        <f>ROUND(HEX2DEC(_0811_173439[[#This Row],[58F0]])*E$4/E$5+E$6,0)</f>
        <v>70</v>
      </c>
      <c r="M1373">
        <f>ROUND(HEX2DEC(_0811_173439[[#This Row],[5805]])*F$4/F$5+F$6,0)</f>
        <v>44</v>
      </c>
      <c r="N1373">
        <f>ROUND(HEX2DEC(_0811_173439[[#This Row],[58DD]])*G$4/G$5+G$6,2)</f>
        <v>-0.02</v>
      </c>
      <c r="P1373">
        <v>840</v>
      </c>
      <c r="Q1373">
        <v>37</v>
      </c>
      <c r="R1373">
        <v>30</v>
      </c>
      <c r="S1373">
        <v>70</v>
      </c>
      <c r="T1373">
        <v>44</v>
      </c>
      <c r="U1373">
        <v>-0.03</v>
      </c>
      <c r="W1373">
        <f>DataLog_T717420_Aug11_4_59_37pm[[#This Row],[RPM '[1/MIN']]]-Table3[[#This Row],[580C]]</f>
        <v>0</v>
      </c>
      <c r="X1373">
        <f>DataLog_T717420_Aug11_4_59_37pm[[#This Row],[OIL TEMP '[Â°C']]]-Table3[[#This Row],[4402]]</f>
        <v>0</v>
      </c>
      <c r="Y1373">
        <f>DataLog_T717420_Aug11_4_59_37pm[[#This Row],[INTAKE TEMP '[Â°C']]]-Table3[[#This Row],[580F]]</f>
        <v>0</v>
      </c>
      <c r="Z1373">
        <f>DataLog_T717420_Aug11_4_59_37pm[[#This Row],[HPFP PRES. '[BAR']]]-Table3[[#This Row],[58F0]]</f>
        <v>0</v>
      </c>
      <c r="AA1373">
        <f>DataLog_T717420_Aug11_4_59_37pm[[#This Row],[COOLANT TEMP '[Â°C']]]-Table3[[#This Row],[5805]]</f>
        <v>0</v>
      </c>
      <c r="AB1373">
        <f>DataLog_T717420_Aug11_4_59_37pm[[#This Row],[BOOST '[BAR']]]-Table3[[#This Row],[58DD]]</f>
        <v>-9.9999999999999985E-3</v>
      </c>
    </row>
    <row r="1374" spans="2:28" x14ac:dyDescent="0.25">
      <c r="B1374" s="2" t="s">
        <v>174</v>
      </c>
      <c r="C1374" s="2" t="s">
        <v>262</v>
      </c>
      <c r="D1374" s="2" t="s">
        <v>151</v>
      </c>
      <c r="E1374" s="2" t="s">
        <v>291</v>
      </c>
      <c r="F1374" s="2" t="s">
        <v>263</v>
      </c>
      <c r="G1374" s="2" t="s">
        <v>105</v>
      </c>
      <c r="I1374">
        <f>HEX2DEC(_0811_173439[[#This Row],[580C]])*B$4/B$5+B$6</f>
        <v>840</v>
      </c>
      <c r="J1374">
        <f>HEX2DEC(_0811_173439[[#This Row],[4402]])*C$4/C$5+C$6</f>
        <v>37</v>
      </c>
      <c r="K1374">
        <f>HEX2DEC(_0811_173439[[#This Row],[580F]])*D$4/D$5+D$6</f>
        <v>30</v>
      </c>
      <c r="L1374">
        <f>ROUND(HEX2DEC(_0811_173439[[#This Row],[58F0]])*E$4/E$5+E$6,0)</f>
        <v>69</v>
      </c>
      <c r="M1374">
        <f>ROUND(HEX2DEC(_0811_173439[[#This Row],[5805]])*F$4/F$5+F$6,0)</f>
        <v>44</v>
      </c>
      <c r="N1374">
        <f>ROUND(HEX2DEC(_0811_173439[[#This Row],[58DD]])*G$4/G$5+G$6,2)</f>
        <v>-0.02</v>
      </c>
      <c r="P1374">
        <v>840</v>
      </c>
      <c r="Q1374">
        <v>37</v>
      </c>
      <c r="R1374">
        <v>30</v>
      </c>
      <c r="S1374">
        <v>69</v>
      </c>
      <c r="T1374">
        <v>44</v>
      </c>
      <c r="U1374">
        <v>-0.02</v>
      </c>
      <c r="W1374">
        <f>DataLog_T717420_Aug11_4_59_37pm[[#This Row],[RPM '[1/MIN']]]-Table3[[#This Row],[580C]]</f>
        <v>0</v>
      </c>
      <c r="X1374">
        <f>DataLog_T717420_Aug11_4_59_37pm[[#This Row],[OIL TEMP '[Â°C']]]-Table3[[#This Row],[4402]]</f>
        <v>0</v>
      </c>
      <c r="Y1374">
        <f>DataLog_T717420_Aug11_4_59_37pm[[#This Row],[INTAKE TEMP '[Â°C']]]-Table3[[#This Row],[580F]]</f>
        <v>0</v>
      </c>
      <c r="Z1374">
        <f>DataLog_T717420_Aug11_4_59_37pm[[#This Row],[HPFP PRES. '[BAR']]]-Table3[[#This Row],[58F0]]</f>
        <v>0</v>
      </c>
      <c r="AA1374">
        <f>DataLog_T717420_Aug11_4_59_37pm[[#This Row],[COOLANT TEMP '[Â°C']]]-Table3[[#This Row],[5805]]</f>
        <v>0</v>
      </c>
      <c r="AB1374">
        <f>DataLog_T717420_Aug11_4_59_37pm[[#This Row],[BOOST '[BAR']]]-Table3[[#This Row],[58DD]]</f>
        <v>0</v>
      </c>
    </row>
    <row r="1375" spans="2:28" x14ac:dyDescent="0.25">
      <c r="B1375" s="2" t="s">
        <v>174</v>
      </c>
      <c r="C1375" s="2" t="s">
        <v>262</v>
      </c>
      <c r="D1375" s="2" t="s">
        <v>151</v>
      </c>
      <c r="E1375" s="2" t="s">
        <v>249</v>
      </c>
      <c r="F1375" s="2" t="s">
        <v>263</v>
      </c>
      <c r="G1375" s="2" t="s">
        <v>28</v>
      </c>
      <c r="I1375">
        <f>HEX2DEC(_0811_173439[[#This Row],[580C]])*B$4/B$5+B$6</f>
        <v>840</v>
      </c>
      <c r="J1375">
        <f>HEX2DEC(_0811_173439[[#This Row],[4402]])*C$4/C$5+C$6</f>
        <v>37</v>
      </c>
      <c r="K1375">
        <f>HEX2DEC(_0811_173439[[#This Row],[580F]])*D$4/D$5+D$6</f>
        <v>30</v>
      </c>
      <c r="L1375">
        <f>ROUND(HEX2DEC(_0811_173439[[#This Row],[58F0]])*E$4/E$5+E$6,0)</f>
        <v>70</v>
      </c>
      <c r="M1375">
        <f>ROUND(HEX2DEC(_0811_173439[[#This Row],[5805]])*F$4/F$5+F$6,0)</f>
        <v>44</v>
      </c>
      <c r="N1375">
        <f>ROUND(HEX2DEC(_0811_173439[[#This Row],[58DD]])*G$4/G$5+G$6,2)</f>
        <v>-0.02</v>
      </c>
      <c r="P1375">
        <v>840</v>
      </c>
      <c r="Q1375">
        <v>37</v>
      </c>
      <c r="R1375">
        <v>30</v>
      </c>
      <c r="S1375">
        <v>70</v>
      </c>
      <c r="T1375">
        <v>44</v>
      </c>
      <c r="U1375">
        <v>-0.02</v>
      </c>
      <c r="W1375">
        <f>DataLog_T717420_Aug11_4_59_37pm[[#This Row],[RPM '[1/MIN']]]-Table3[[#This Row],[580C]]</f>
        <v>0</v>
      </c>
      <c r="X1375">
        <f>DataLog_T717420_Aug11_4_59_37pm[[#This Row],[OIL TEMP '[Â°C']]]-Table3[[#This Row],[4402]]</f>
        <v>0</v>
      </c>
      <c r="Y1375">
        <f>DataLog_T717420_Aug11_4_59_37pm[[#This Row],[INTAKE TEMP '[Â°C']]]-Table3[[#This Row],[580F]]</f>
        <v>0</v>
      </c>
      <c r="Z1375">
        <f>DataLog_T717420_Aug11_4_59_37pm[[#This Row],[HPFP PRES. '[BAR']]]-Table3[[#This Row],[58F0]]</f>
        <v>0</v>
      </c>
      <c r="AA1375">
        <f>DataLog_T717420_Aug11_4_59_37pm[[#This Row],[COOLANT TEMP '[Â°C']]]-Table3[[#This Row],[5805]]</f>
        <v>0</v>
      </c>
      <c r="AB1375">
        <f>DataLog_T717420_Aug11_4_59_37pm[[#This Row],[BOOST '[BAR']]]-Table3[[#This Row],[58DD]]</f>
        <v>0</v>
      </c>
    </row>
    <row r="1376" spans="2:28" x14ac:dyDescent="0.25">
      <c r="B1376" s="2" t="s">
        <v>174</v>
      </c>
      <c r="C1376" s="2" t="s">
        <v>262</v>
      </c>
      <c r="D1376" s="2" t="s">
        <v>151</v>
      </c>
      <c r="E1376" s="2" t="s">
        <v>198</v>
      </c>
      <c r="F1376" s="2" t="s">
        <v>263</v>
      </c>
      <c r="G1376" s="2" t="s">
        <v>28</v>
      </c>
      <c r="I1376">
        <f>HEX2DEC(_0811_173439[[#This Row],[580C]])*B$4/B$5+B$6</f>
        <v>840</v>
      </c>
      <c r="J1376">
        <f>HEX2DEC(_0811_173439[[#This Row],[4402]])*C$4/C$5+C$6</f>
        <v>37</v>
      </c>
      <c r="K1376">
        <f>HEX2DEC(_0811_173439[[#This Row],[580F]])*D$4/D$5+D$6</f>
        <v>30</v>
      </c>
      <c r="L1376">
        <f>ROUND(HEX2DEC(_0811_173439[[#This Row],[58F0]])*E$4/E$5+E$6,0)</f>
        <v>70</v>
      </c>
      <c r="M1376">
        <f>ROUND(HEX2DEC(_0811_173439[[#This Row],[5805]])*F$4/F$5+F$6,0)</f>
        <v>44</v>
      </c>
      <c r="N1376">
        <f>ROUND(HEX2DEC(_0811_173439[[#This Row],[58DD]])*G$4/G$5+G$6,2)</f>
        <v>-0.02</v>
      </c>
      <c r="P1376">
        <v>840</v>
      </c>
      <c r="Q1376">
        <v>37</v>
      </c>
      <c r="R1376">
        <v>30</v>
      </c>
      <c r="S1376">
        <v>70</v>
      </c>
      <c r="T1376">
        <v>44</v>
      </c>
      <c r="U1376">
        <v>-0.02</v>
      </c>
      <c r="W1376">
        <f>DataLog_T717420_Aug11_4_59_37pm[[#This Row],[RPM '[1/MIN']]]-Table3[[#This Row],[580C]]</f>
        <v>0</v>
      </c>
      <c r="X1376">
        <f>DataLog_T717420_Aug11_4_59_37pm[[#This Row],[OIL TEMP '[Â°C']]]-Table3[[#This Row],[4402]]</f>
        <v>0</v>
      </c>
      <c r="Y1376">
        <f>DataLog_T717420_Aug11_4_59_37pm[[#This Row],[INTAKE TEMP '[Â°C']]]-Table3[[#This Row],[580F]]</f>
        <v>0</v>
      </c>
      <c r="Z1376">
        <f>DataLog_T717420_Aug11_4_59_37pm[[#This Row],[HPFP PRES. '[BAR']]]-Table3[[#This Row],[58F0]]</f>
        <v>0</v>
      </c>
      <c r="AA1376">
        <f>DataLog_T717420_Aug11_4_59_37pm[[#This Row],[COOLANT TEMP '[Â°C']]]-Table3[[#This Row],[5805]]</f>
        <v>0</v>
      </c>
      <c r="AB1376">
        <f>DataLog_T717420_Aug11_4_59_37pm[[#This Row],[BOOST '[BAR']]]-Table3[[#This Row],[58DD]]</f>
        <v>0</v>
      </c>
    </row>
    <row r="1377" spans="2:28" x14ac:dyDescent="0.25">
      <c r="B1377" s="2" t="s">
        <v>183</v>
      </c>
      <c r="C1377" s="2" t="s">
        <v>262</v>
      </c>
      <c r="D1377" s="2" t="s">
        <v>151</v>
      </c>
      <c r="E1377" s="2" t="s">
        <v>127</v>
      </c>
      <c r="F1377" s="2" t="s">
        <v>263</v>
      </c>
      <c r="G1377" s="2" t="s">
        <v>196</v>
      </c>
      <c r="I1377">
        <f>HEX2DEC(_0811_173439[[#This Row],[580C]])*B$4/B$5+B$6</f>
        <v>800</v>
      </c>
      <c r="J1377">
        <f>HEX2DEC(_0811_173439[[#This Row],[4402]])*C$4/C$5+C$6</f>
        <v>37</v>
      </c>
      <c r="K1377">
        <f>HEX2DEC(_0811_173439[[#This Row],[580F]])*D$4/D$5+D$6</f>
        <v>30</v>
      </c>
      <c r="L1377">
        <f>ROUND(HEX2DEC(_0811_173439[[#This Row],[58F0]])*E$4/E$5+E$6,0)</f>
        <v>70</v>
      </c>
      <c r="M1377">
        <f>ROUND(HEX2DEC(_0811_173439[[#This Row],[5805]])*F$4/F$5+F$6,0)</f>
        <v>44</v>
      </c>
      <c r="N1377">
        <f>ROUND(HEX2DEC(_0811_173439[[#This Row],[58DD]])*G$4/G$5+G$6,2)</f>
        <v>-0.02</v>
      </c>
      <c r="P1377">
        <v>800</v>
      </c>
      <c r="Q1377">
        <v>37</v>
      </c>
      <c r="R1377">
        <v>30</v>
      </c>
      <c r="S1377">
        <v>70</v>
      </c>
      <c r="T1377">
        <v>44</v>
      </c>
      <c r="U1377">
        <v>-0.03</v>
      </c>
      <c r="W1377">
        <f>DataLog_T717420_Aug11_4_59_37pm[[#This Row],[RPM '[1/MIN']]]-Table3[[#This Row],[580C]]</f>
        <v>0</v>
      </c>
      <c r="X1377">
        <f>DataLog_T717420_Aug11_4_59_37pm[[#This Row],[OIL TEMP '[Â°C']]]-Table3[[#This Row],[4402]]</f>
        <v>0</v>
      </c>
      <c r="Y1377">
        <f>DataLog_T717420_Aug11_4_59_37pm[[#This Row],[INTAKE TEMP '[Â°C']]]-Table3[[#This Row],[580F]]</f>
        <v>0</v>
      </c>
      <c r="Z1377">
        <f>DataLog_T717420_Aug11_4_59_37pm[[#This Row],[HPFP PRES. '[BAR']]]-Table3[[#This Row],[58F0]]</f>
        <v>0</v>
      </c>
      <c r="AA1377">
        <f>DataLog_T717420_Aug11_4_59_37pm[[#This Row],[COOLANT TEMP '[Â°C']]]-Table3[[#This Row],[5805]]</f>
        <v>0</v>
      </c>
      <c r="AB1377">
        <f>DataLog_T717420_Aug11_4_59_37pm[[#This Row],[BOOST '[BAR']]]-Table3[[#This Row],[58DD]]</f>
        <v>-9.9999999999999985E-3</v>
      </c>
    </row>
    <row r="1378" spans="2:28" x14ac:dyDescent="0.25">
      <c r="B1378" s="2" t="s">
        <v>183</v>
      </c>
      <c r="C1378" s="2" t="s">
        <v>262</v>
      </c>
      <c r="D1378" s="2" t="s">
        <v>151</v>
      </c>
      <c r="E1378" s="2" t="s">
        <v>193</v>
      </c>
      <c r="F1378" s="2" t="s">
        <v>263</v>
      </c>
      <c r="G1378" s="2" t="s">
        <v>168</v>
      </c>
      <c r="I1378">
        <f>HEX2DEC(_0811_173439[[#This Row],[580C]])*B$4/B$5+B$6</f>
        <v>800</v>
      </c>
      <c r="J1378">
        <f>HEX2DEC(_0811_173439[[#This Row],[4402]])*C$4/C$5+C$6</f>
        <v>37</v>
      </c>
      <c r="K1378">
        <f>HEX2DEC(_0811_173439[[#This Row],[580F]])*D$4/D$5+D$6</f>
        <v>30</v>
      </c>
      <c r="L1378">
        <f>ROUND(HEX2DEC(_0811_173439[[#This Row],[58F0]])*E$4/E$5+E$6,0)</f>
        <v>71</v>
      </c>
      <c r="M1378">
        <f>ROUND(HEX2DEC(_0811_173439[[#This Row],[5805]])*F$4/F$5+F$6,0)</f>
        <v>44</v>
      </c>
      <c r="N1378">
        <f>ROUND(HEX2DEC(_0811_173439[[#This Row],[58DD]])*G$4/G$5+G$6,2)</f>
        <v>-0.02</v>
      </c>
      <c r="P1378">
        <v>800</v>
      </c>
      <c r="Q1378">
        <v>37</v>
      </c>
      <c r="R1378">
        <v>30</v>
      </c>
      <c r="S1378">
        <v>71</v>
      </c>
      <c r="T1378">
        <v>44</v>
      </c>
      <c r="U1378">
        <v>-0.03</v>
      </c>
      <c r="W1378">
        <f>DataLog_T717420_Aug11_4_59_37pm[[#This Row],[RPM '[1/MIN']]]-Table3[[#This Row],[580C]]</f>
        <v>0</v>
      </c>
      <c r="X1378">
        <f>DataLog_T717420_Aug11_4_59_37pm[[#This Row],[OIL TEMP '[Â°C']]]-Table3[[#This Row],[4402]]</f>
        <v>0</v>
      </c>
      <c r="Y1378">
        <f>DataLog_T717420_Aug11_4_59_37pm[[#This Row],[INTAKE TEMP '[Â°C']]]-Table3[[#This Row],[580F]]</f>
        <v>0</v>
      </c>
      <c r="Z1378">
        <f>DataLog_T717420_Aug11_4_59_37pm[[#This Row],[HPFP PRES. '[BAR']]]-Table3[[#This Row],[58F0]]</f>
        <v>0</v>
      </c>
      <c r="AA1378">
        <f>DataLog_T717420_Aug11_4_59_37pm[[#This Row],[COOLANT TEMP '[Â°C']]]-Table3[[#This Row],[5805]]</f>
        <v>0</v>
      </c>
      <c r="AB1378">
        <f>DataLog_T717420_Aug11_4_59_37pm[[#This Row],[BOOST '[BAR']]]-Table3[[#This Row],[58DD]]</f>
        <v>-9.9999999999999985E-3</v>
      </c>
    </row>
    <row r="1379" spans="2:28" x14ac:dyDescent="0.25">
      <c r="B1379" s="2" t="s">
        <v>183</v>
      </c>
      <c r="C1379" s="2" t="s">
        <v>262</v>
      </c>
      <c r="D1379" s="2" t="s">
        <v>151</v>
      </c>
      <c r="E1379" s="2" t="s">
        <v>195</v>
      </c>
      <c r="F1379" s="2" t="s">
        <v>263</v>
      </c>
      <c r="G1379" s="2" t="s">
        <v>169</v>
      </c>
      <c r="I1379">
        <f>HEX2DEC(_0811_173439[[#This Row],[580C]])*B$4/B$5+B$6</f>
        <v>800</v>
      </c>
      <c r="J1379">
        <f>HEX2DEC(_0811_173439[[#This Row],[4402]])*C$4/C$5+C$6</f>
        <v>37</v>
      </c>
      <c r="K1379">
        <f>HEX2DEC(_0811_173439[[#This Row],[580F]])*D$4/D$5+D$6</f>
        <v>30</v>
      </c>
      <c r="L1379">
        <f>ROUND(HEX2DEC(_0811_173439[[#This Row],[58F0]])*E$4/E$5+E$6,0)</f>
        <v>70</v>
      </c>
      <c r="M1379">
        <f>ROUND(HEX2DEC(_0811_173439[[#This Row],[5805]])*F$4/F$5+F$6,0)</f>
        <v>44</v>
      </c>
      <c r="N1379">
        <f>ROUND(HEX2DEC(_0811_173439[[#This Row],[58DD]])*G$4/G$5+G$6,2)</f>
        <v>-0.02</v>
      </c>
      <c r="P1379">
        <v>800</v>
      </c>
      <c r="Q1379">
        <v>37</v>
      </c>
      <c r="R1379">
        <v>30</v>
      </c>
      <c r="S1379">
        <v>70</v>
      </c>
      <c r="T1379">
        <v>44</v>
      </c>
      <c r="U1379">
        <v>-0.02</v>
      </c>
      <c r="W1379">
        <f>DataLog_T717420_Aug11_4_59_37pm[[#This Row],[RPM '[1/MIN']]]-Table3[[#This Row],[580C]]</f>
        <v>0</v>
      </c>
      <c r="X1379">
        <f>DataLog_T717420_Aug11_4_59_37pm[[#This Row],[OIL TEMP '[Â°C']]]-Table3[[#This Row],[4402]]</f>
        <v>0</v>
      </c>
      <c r="Y1379">
        <f>DataLog_T717420_Aug11_4_59_37pm[[#This Row],[INTAKE TEMP '[Â°C']]]-Table3[[#This Row],[580F]]</f>
        <v>0</v>
      </c>
      <c r="Z1379">
        <f>DataLog_T717420_Aug11_4_59_37pm[[#This Row],[HPFP PRES. '[BAR']]]-Table3[[#This Row],[58F0]]</f>
        <v>0</v>
      </c>
      <c r="AA1379">
        <f>DataLog_T717420_Aug11_4_59_37pm[[#This Row],[COOLANT TEMP '[Â°C']]]-Table3[[#This Row],[5805]]</f>
        <v>0</v>
      </c>
      <c r="AB1379">
        <f>DataLog_T717420_Aug11_4_59_37pm[[#This Row],[BOOST '[BAR']]]-Table3[[#This Row],[58DD]]</f>
        <v>0</v>
      </c>
    </row>
    <row r="1380" spans="2:28" x14ac:dyDescent="0.25">
      <c r="B1380" s="2" t="s">
        <v>183</v>
      </c>
      <c r="C1380" s="2" t="s">
        <v>262</v>
      </c>
      <c r="D1380" s="2" t="s">
        <v>151</v>
      </c>
      <c r="E1380" s="2" t="s">
        <v>127</v>
      </c>
      <c r="F1380" s="2" t="s">
        <v>263</v>
      </c>
      <c r="G1380" s="2" t="s">
        <v>179</v>
      </c>
      <c r="I1380">
        <f>HEX2DEC(_0811_173439[[#This Row],[580C]])*B$4/B$5+B$6</f>
        <v>800</v>
      </c>
      <c r="J1380">
        <f>HEX2DEC(_0811_173439[[#This Row],[4402]])*C$4/C$5+C$6</f>
        <v>37</v>
      </c>
      <c r="K1380">
        <f>HEX2DEC(_0811_173439[[#This Row],[580F]])*D$4/D$5+D$6</f>
        <v>30</v>
      </c>
      <c r="L1380">
        <f>ROUND(HEX2DEC(_0811_173439[[#This Row],[58F0]])*E$4/E$5+E$6,0)</f>
        <v>70</v>
      </c>
      <c r="M1380">
        <f>ROUND(HEX2DEC(_0811_173439[[#This Row],[5805]])*F$4/F$5+F$6,0)</f>
        <v>44</v>
      </c>
      <c r="N1380">
        <f>ROUND(HEX2DEC(_0811_173439[[#This Row],[58DD]])*G$4/G$5+G$6,2)</f>
        <v>-0.03</v>
      </c>
      <c r="P1380">
        <v>800</v>
      </c>
      <c r="Q1380">
        <v>37</v>
      </c>
      <c r="R1380">
        <v>30</v>
      </c>
      <c r="S1380">
        <v>70</v>
      </c>
      <c r="T1380">
        <v>44</v>
      </c>
      <c r="U1380">
        <v>-0.03</v>
      </c>
      <c r="W1380">
        <f>DataLog_T717420_Aug11_4_59_37pm[[#This Row],[RPM '[1/MIN']]]-Table3[[#This Row],[580C]]</f>
        <v>0</v>
      </c>
      <c r="X1380">
        <f>DataLog_T717420_Aug11_4_59_37pm[[#This Row],[OIL TEMP '[Â°C']]]-Table3[[#This Row],[4402]]</f>
        <v>0</v>
      </c>
      <c r="Y1380">
        <f>DataLog_T717420_Aug11_4_59_37pm[[#This Row],[INTAKE TEMP '[Â°C']]]-Table3[[#This Row],[580F]]</f>
        <v>0</v>
      </c>
      <c r="Z1380">
        <f>DataLog_T717420_Aug11_4_59_37pm[[#This Row],[HPFP PRES. '[BAR']]]-Table3[[#This Row],[58F0]]</f>
        <v>0</v>
      </c>
      <c r="AA1380">
        <f>DataLog_T717420_Aug11_4_59_37pm[[#This Row],[COOLANT TEMP '[Â°C']]]-Table3[[#This Row],[5805]]</f>
        <v>0</v>
      </c>
      <c r="AB1380">
        <f>DataLog_T717420_Aug11_4_59_37pm[[#This Row],[BOOST '[BAR']]]-Table3[[#This Row],[58DD]]</f>
        <v>0</v>
      </c>
    </row>
    <row r="1381" spans="2:28" x14ac:dyDescent="0.25">
      <c r="B1381" s="2" t="s">
        <v>183</v>
      </c>
      <c r="C1381" s="2" t="s">
        <v>262</v>
      </c>
      <c r="D1381" s="2" t="s">
        <v>151</v>
      </c>
      <c r="E1381" s="2" t="s">
        <v>122</v>
      </c>
      <c r="F1381" s="2" t="s">
        <v>263</v>
      </c>
      <c r="G1381" s="2" t="s">
        <v>180</v>
      </c>
      <c r="I1381">
        <f>HEX2DEC(_0811_173439[[#This Row],[580C]])*B$4/B$5+B$6</f>
        <v>800</v>
      </c>
      <c r="J1381">
        <f>HEX2DEC(_0811_173439[[#This Row],[4402]])*C$4/C$5+C$6</f>
        <v>37</v>
      </c>
      <c r="K1381">
        <f>HEX2DEC(_0811_173439[[#This Row],[580F]])*D$4/D$5+D$6</f>
        <v>30</v>
      </c>
      <c r="L1381">
        <f>ROUND(HEX2DEC(_0811_173439[[#This Row],[58F0]])*E$4/E$5+E$6,0)</f>
        <v>71</v>
      </c>
      <c r="M1381">
        <f>ROUND(HEX2DEC(_0811_173439[[#This Row],[5805]])*F$4/F$5+F$6,0)</f>
        <v>44</v>
      </c>
      <c r="N1381">
        <f>ROUND(HEX2DEC(_0811_173439[[#This Row],[58DD]])*G$4/G$5+G$6,2)</f>
        <v>-0.03</v>
      </c>
      <c r="P1381">
        <v>800</v>
      </c>
      <c r="Q1381">
        <v>37</v>
      </c>
      <c r="R1381">
        <v>30</v>
      </c>
      <c r="S1381">
        <v>71</v>
      </c>
      <c r="T1381">
        <v>44</v>
      </c>
      <c r="U1381">
        <v>-0.03</v>
      </c>
      <c r="W1381">
        <f>DataLog_T717420_Aug11_4_59_37pm[[#This Row],[RPM '[1/MIN']]]-Table3[[#This Row],[580C]]</f>
        <v>0</v>
      </c>
      <c r="X1381">
        <f>DataLog_T717420_Aug11_4_59_37pm[[#This Row],[OIL TEMP '[Â°C']]]-Table3[[#This Row],[4402]]</f>
        <v>0</v>
      </c>
      <c r="Y1381">
        <f>DataLog_T717420_Aug11_4_59_37pm[[#This Row],[INTAKE TEMP '[Â°C']]]-Table3[[#This Row],[580F]]</f>
        <v>0</v>
      </c>
      <c r="Z1381">
        <f>DataLog_T717420_Aug11_4_59_37pm[[#This Row],[HPFP PRES. '[BAR']]]-Table3[[#This Row],[58F0]]</f>
        <v>0</v>
      </c>
      <c r="AA1381">
        <f>DataLog_T717420_Aug11_4_59_37pm[[#This Row],[COOLANT TEMP '[Â°C']]]-Table3[[#This Row],[5805]]</f>
        <v>0</v>
      </c>
      <c r="AB1381">
        <f>DataLog_T717420_Aug11_4_59_37pm[[#This Row],[BOOST '[BAR']]]-Table3[[#This Row],[58DD]]</f>
        <v>0</v>
      </c>
    </row>
    <row r="1382" spans="2:28" x14ac:dyDescent="0.25">
      <c r="B1382" s="2" t="s">
        <v>189</v>
      </c>
      <c r="C1382" s="2" t="s">
        <v>262</v>
      </c>
      <c r="D1382" s="2" t="s">
        <v>151</v>
      </c>
      <c r="E1382" s="2" t="s">
        <v>122</v>
      </c>
      <c r="F1382" s="2" t="s">
        <v>263</v>
      </c>
      <c r="G1382" s="2" t="s">
        <v>180</v>
      </c>
      <c r="I1382">
        <f>HEX2DEC(_0811_173439[[#This Row],[580C]])*B$4/B$5+B$6</f>
        <v>760</v>
      </c>
      <c r="J1382">
        <f>HEX2DEC(_0811_173439[[#This Row],[4402]])*C$4/C$5+C$6</f>
        <v>37</v>
      </c>
      <c r="K1382">
        <f>HEX2DEC(_0811_173439[[#This Row],[580F]])*D$4/D$5+D$6</f>
        <v>30</v>
      </c>
      <c r="L1382">
        <f>ROUND(HEX2DEC(_0811_173439[[#This Row],[58F0]])*E$4/E$5+E$6,0)</f>
        <v>71</v>
      </c>
      <c r="M1382">
        <f>ROUND(HEX2DEC(_0811_173439[[#This Row],[5805]])*F$4/F$5+F$6,0)</f>
        <v>44</v>
      </c>
      <c r="N1382">
        <f>ROUND(HEX2DEC(_0811_173439[[#This Row],[58DD]])*G$4/G$5+G$6,2)</f>
        <v>-0.03</v>
      </c>
      <c r="P1382">
        <v>760</v>
      </c>
      <c r="Q1382">
        <v>37</v>
      </c>
      <c r="R1382">
        <v>30</v>
      </c>
      <c r="S1382">
        <v>71</v>
      </c>
      <c r="T1382">
        <v>44</v>
      </c>
      <c r="U1382">
        <v>-0.03</v>
      </c>
      <c r="W1382">
        <f>DataLog_T717420_Aug11_4_59_37pm[[#This Row],[RPM '[1/MIN']]]-Table3[[#This Row],[580C]]</f>
        <v>0</v>
      </c>
      <c r="X1382">
        <f>DataLog_T717420_Aug11_4_59_37pm[[#This Row],[OIL TEMP '[Â°C']]]-Table3[[#This Row],[4402]]</f>
        <v>0</v>
      </c>
      <c r="Y1382">
        <f>DataLog_T717420_Aug11_4_59_37pm[[#This Row],[INTAKE TEMP '[Â°C']]]-Table3[[#This Row],[580F]]</f>
        <v>0</v>
      </c>
      <c r="Z1382">
        <f>DataLog_T717420_Aug11_4_59_37pm[[#This Row],[HPFP PRES. '[BAR']]]-Table3[[#This Row],[58F0]]</f>
        <v>0</v>
      </c>
      <c r="AA1382">
        <f>DataLog_T717420_Aug11_4_59_37pm[[#This Row],[COOLANT TEMP '[Â°C']]]-Table3[[#This Row],[5805]]</f>
        <v>0</v>
      </c>
      <c r="AB1382">
        <f>DataLog_T717420_Aug11_4_59_37pm[[#This Row],[BOOST '[BAR']]]-Table3[[#This Row],[58DD]]</f>
        <v>0</v>
      </c>
    </row>
    <row r="1383" spans="2:28" x14ac:dyDescent="0.25">
      <c r="B1383" s="2" t="s">
        <v>189</v>
      </c>
      <c r="C1383" s="2" t="s">
        <v>262</v>
      </c>
      <c r="D1383" s="2" t="s">
        <v>151</v>
      </c>
      <c r="E1383" s="2" t="s">
        <v>93</v>
      </c>
      <c r="F1383" s="2" t="s">
        <v>263</v>
      </c>
      <c r="G1383" s="2" t="s">
        <v>179</v>
      </c>
      <c r="I1383">
        <f>HEX2DEC(_0811_173439[[#This Row],[580C]])*B$4/B$5+B$6</f>
        <v>760</v>
      </c>
      <c r="J1383">
        <f>HEX2DEC(_0811_173439[[#This Row],[4402]])*C$4/C$5+C$6</f>
        <v>37</v>
      </c>
      <c r="K1383">
        <f>HEX2DEC(_0811_173439[[#This Row],[580F]])*D$4/D$5+D$6</f>
        <v>30</v>
      </c>
      <c r="L1383">
        <f>ROUND(HEX2DEC(_0811_173439[[#This Row],[58F0]])*E$4/E$5+E$6,0)</f>
        <v>70</v>
      </c>
      <c r="M1383">
        <f>ROUND(HEX2DEC(_0811_173439[[#This Row],[5805]])*F$4/F$5+F$6,0)</f>
        <v>44</v>
      </c>
      <c r="N1383">
        <f>ROUND(HEX2DEC(_0811_173439[[#This Row],[58DD]])*G$4/G$5+G$6,2)</f>
        <v>-0.03</v>
      </c>
      <c r="P1383">
        <v>760</v>
      </c>
      <c r="Q1383">
        <v>37</v>
      </c>
      <c r="R1383">
        <v>30</v>
      </c>
      <c r="S1383">
        <v>70</v>
      </c>
      <c r="T1383">
        <v>44</v>
      </c>
      <c r="U1383">
        <v>-0.03</v>
      </c>
      <c r="W1383">
        <f>DataLog_T717420_Aug11_4_59_37pm[[#This Row],[RPM '[1/MIN']]]-Table3[[#This Row],[580C]]</f>
        <v>0</v>
      </c>
      <c r="X1383">
        <f>DataLog_T717420_Aug11_4_59_37pm[[#This Row],[OIL TEMP '[Â°C']]]-Table3[[#This Row],[4402]]</f>
        <v>0</v>
      </c>
      <c r="Y1383">
        <f>DataLog_T717420_Aug11_4_59_37pm[[#This Row],[INTAKE TEMP '[Â°C']]]-Table3[[#This Row],[580F]]</f>
        <v>0</v>
      </c>
      <c r="Z1383">
        <f>DataLog_T717420_Aug11_4_59_37pm[[#This Row],[HPFP PRES. '[BAR']]]-Table3[[#This Row],[58F0]]</f>
        <v>0</v>
      </c>
      <c r="AA1383">
        <f>DataLog_T717420_Aug11_4_59_37pm[[#This Row],[COOLANT TEMP '[Â°C']]]-Table3[[#This Row],[5805]]</f>
        <v>0</v>
      </c>
      <c r="AB1383">
        <f>DataLog_T717420_Aug11_4_59_37pm[[#This Row],[BOOST '[BAR']]]-Table3[[#This Row],[58DD]]</f>
        <v>0</v>
      </c>
    </row>
    <row r="1384" spans="2:28" x14ac:dyDescent="0.25">
      <c r="B1384" s="2" t="s">
        <v>189</v>
      </c>
      <c r="C1384" s="2" t="s">
        <v>262</v>
      </c>
      <c r="D1384" s="2" t="s">
        <v>151</v>
      </c>
      <c r="E1384" s="2" t="s">
        <v>122</v>
      </c>
      <c r="F1384" s="2" t="s">
        <v>263</v>
      </c>
      <c r="G1384" s="2" t="s">
        <v>180</v>
      </c>
      <c r="I1384">
        <f>HEX2DEC(_0811_173439[[#This Row],[580C]])*B$4/B$5+B$6</f>
        <v>760</v>
      </c>
      <c r="J1384">
        <f>HEX2DEC(_0811_173439[[#This Row],[4402]])*C$4/C$5+C$6</f>
        <v>37</v>
      </c>
      <c r="K1384">
        <f>HEX2DEC(_0811_173439[[#This Row],[580F]])*D$4/D$5+D$6</f>
        <v>30</v>
      </c>
      <c r="L1384">
        <f>ROUND(HEX2DEC(_0811_173439[[#This Row],[58F0]])*E$4/E$5+E$6,0)</f>
        <v>71</v>
      </c>
      <c r="M1384">
        <f>ROUND(HEX2DEC(_0811_173439[[#This Row],[5805]])*F$4/F$5+F$6,0)</f>
        <v>44</v>
      </c>
      <c r="N1384">
        <f>ROUND(HEX2DEC(_0811_173439[[#This Row],[58DD]])*G$4/G$5+G$6,2)</f>
        <v>-0.03</v>
      </c>
      <c r="P1384">
        <v>760</v>
      </c>
      <c r="Q1384">
        <v>37</v>
      </c>
      <c r="R1384">
        <v>30</v>
      </c>
      <c r="S1384">
        <v>71</v>
      </c>
      <c r="T1384">
        <v>44</v>
      </c>
      <c r="U1384">
        <v>-0.03</v>
      </c>
      <c r="W1384">
        <f>DataLog_T717420_Aug11_4_59_37pm[[#This Row],[RPM '[1/MIN']]]-Table3[[#This Row],[580C]]</f>
        <v>0</v>
      </c>
      <c r="X1384">
        <f>DataLog_T717420_Aug11_4_59_37pm[[#This Row],[OIL TEMP '[Â°C']]]-Table3[[#This Row],[4402]]</f>
        <v>0</v>
      </c>
      <c r="Y1384">
        <f>DataLog_T717420_Aug11_4_59_37pm[[#This Row],[INTAKE TEMP '[Â°C']]]-Table3[[#This Row],[580F]]</f>
        <v>0</v>
      </c>
      <c r="Z1384">
        <f>DataLog_T717420_Aug11_4_59_37pm[[#This Row],[HPFP PRES. '[BAR']]]-Table3[[#This Row],[58F0]]</f>
        <v>0</v>
      </c>
      <c r="AA1384">
        <f>DataLog_T717420_Aug11_4_59_37pm[[#This Row],[COOLANT TEMP '[Â°C']]]-Table3[[#This Row],[5805]]</f>
        <v>0</v>
      </c>
      <c r="AB1384">
        <f>DataLog_T717420_Aug11_4_59_37pm[[#This Row],[BOOST '[BAR']]]-Table3[[#This Row],[58DD]]</f>
        <v>0</v>
      </c>
    </row>
    <row r="1385" spans="2:28" x14ac:dyDescent="0.25">
      <c r="B1385" s="2" t="s">
        <v>189</v>
      </c>
      <c r="C1385" s="2" t="s">
        <v>262</v>
      </c>
      <c r="D1385" s="2" t="s">
        <v>151</v>
      </c>
      <c r="E1385" s="2" t="s">
        <v>218</v>
      </c>
      <c r="F1385" s="2" t="s">
        <v>263</v>
      </c>
      <c r="G1385" s="2" t="s">
        <v>185</v>
      </c>
      <c r="I1385">
        <f>HEX2DEC(_0811_173439[[#This Row],[580C]])*B$4/B$5+B$6</f>
        <v>760</v>
      </c>
      <c r="J1385">
        <f>HEX2DEC(_0811_173439[[#This Row],[4402]])*C$4/C$5+C$6</f>
        <v>37</v>
      </c>
      <c r="K1385">
        <f>HEX2DEC(_0811_173439[[#This Row],[580F]])*D$4/D$5+D$6</f>
        <v>30</v>
      </c>
      <c r="L1385">
        <f>ROUND(HEX2DEC(_0811_173439[[#This Row],[58F0]])*E$4/E$5+E$6,0)</f>
        <v>71</v>
      </c>
      <c r="M1385">
        <f>ROUND(HEX2DEC(_0811_173439[[#This Row],[5805]])*F$4/F$5+F$6,0)</f>
        <v>44</v>
      </c>
      <c r="N1385">
        <f>ROUND(HEX2DEC(_0811_173439[[#This Row],[58DD]])*G$4/G$5+G$6,2)</f>
        <v>-0.03</v>
      </c>
      <c r="P1385">
        <v>760</v>
      </c>
      <c r="Q1385">
        <v>37</v>
      </c>
      <c r="R1385">
        <v>30</v>
      </c>
      <c r="S1385">
        <v>71</v>
      </c>
      <c r="T1385">
        <v>44</v>
      </c>
      <c r="U1385">
        <v>-0.03</v>
      </c>
      <c r="W1385">
        <f>DataLog_T717420_Aug11_4_59_37pm[[#This Row],[RPM '[1/MIN']]]-Table3[[#This Row],[580C]]</f>
        <v>0</v>
      </c>
      <c r="X1385">
        <f>DataLog_T717420_Aug11_4_59_37pm[[#This Row],[OIL TEMP '[Â°C']]]-Table3[[#This Row],[4402]]</f>
        <v>0</v>
      </c>
      <c r="Y1385">
        <f>DataLog_T717420_Aug11_4_59_37pm[[#This Row],[INTAKE TEMP '[Â°C']]]-Table3[[#This Row],[580F]]</f>
        <v>0</v>
      </c>
      <c r="Z1385">
        <f>DataLog_T717420_Aug11_4_59_37pm[[#This Row],[HPFP PRES. '[BAR']]]-Table3[[#This Row],[58F0]]</f>
        <v>0</v>
      </c>
      <c r="AA1385">
        <f>DataLog_T717420_Aug11_4_59_37pm[[#This Row],[COOLANT TEMP '[Â°C']]]-Table3[[#This Row],[5805]]</f>
        <v>0</v>
      </c>
      <c r="AB1385">
        <f>DataLog_T717420_Aug11_4_59_37pm[[#This Row],[BOOST '[BAR']]]-Table3[[#This Row],[58DD]]</f>
        <v>0</v>
      </c>
    </row>
    <row r="1386" spans="2:28" x14ac:dyDescent="0.25">
      <c r="B1386" s="2" t="s">
        <v>189</v>
      </c>
      <c r="C1386" s="2" t="s">
        <v>262</v>
      </c>
      <c r="D1386" s="2" t="s">
        <v>151</v>
      </c>
      <c r="E1386" s="2" t="s">
        <v>93</v>
      </c>
      <c r="F1386" s="2" t="s">
        <v>263</v>
      </c>
      <c r="G1386" s="2" t="s">
        <v>186</v>
      </c>
      <c r="I1386">
        <f>HEX2DEC(_0811_173439[[#This Row],[580C]])*B$4/B$5+B$6</f>
        <v>760</v>
      </c>
      <c r="J1386">
        <f>HEX2DEC(_0811_173439[[#This Row],[4402]])*C$4/C$5+C$6</f>
        <v>37</v>
      </c>
      <c r="K1386">
        <f>HEX2DEC(_0811_173439[[#This Row],[580F]])*D$4/D$5+D$6</f>
        <v>30</v>
      </c>
      <c r="L1386">
        <f>ROUND(HEX2DEC(_0811_173439[[#This Row],[58F0]])*E$4/E$5+E$6,0)</f>
        <v>70</v>
      </c>
      <c r="M1386">
        <f>ROUND(HEX2DEC(_0811_173439[[#This Row],[5805]])*F$4/F$5+F$6,0)</f>
        <v>44</v>
      </c>
      <c r="N1386">
        <f>ROUND(HEX2DEC(_0811_173439[[#This Row],[58DD]])*G$4/G$5+G$6,2)</f>
        <v>-0.03</v>
      </c>
      <c r="P1386">
        <v>760</v>
      </c>
      <c r="Q1386">
        <v>37</v>
      </c>
      <c r="R1386">
        <v>30</v>
      </c>
      <c r="S1386">
        <v>70</v>
      </c>
      <c r="T1386">
        <v>44</v>
      </c>
      <c r="U1386">
        <v>-0.03</v>
      </c>
      <c r="W1386">
        <f>DataLog_T717420_Aug11_4_59_37pm[[#This Row],[RPM '[1/MIN']]]-Table3[[#This Row],[580C]]</f>
        <v>0</v>
      </c>
      <c r="X1386">
        <f>DataLog_T717420_Aug11_4_59_37pm[[#This Row],[OIL TEMP '[Â°C']]]-Table3[[#This Row],[4402]]</f>
        <v>0</v>
      </c>
      <c r="Y1386">
        <f>DataLog_T717420_Aug11_4_59_37pm[[#This Row],[INTAKE TEMP '[Â°C']]]-Table3[[#This Row],[580F]]</f>
        <v>0</v>
      </c>
      <c r="Z1386">
        <f>DataLog_T717420_Aug11_4_59_37pm[[#This Row],[HPFP PRES. '[BAR']]]-Table3[[#This Row],[58F0]]</f>
        <v>0</v>
      </c>
      <c r="AA1386">
        <f>DataLog_T717420_Aug11_4_59_37pm[[#This Row],[COOLANT TEMP '[Â°C']]]-Table3[[#This Row],[5805]]</f>
        <v>0</v>
      </c>
      <c r="AB1386">
        <f>DataLog_T717420_Aug11_4_59_37pm[[#This Row],[BOOST '[BAR']]]-Table3[[#This Row],[58DD]]</f>
        <v>0</v>
      </c>
    </row>
    <row r="1387" spans="2:28" x14ac:dyDescent="0.25">
      <c r="B1387" s="2" t="s">
        <v>189</v>
      </c>
      <c r="C1387" s="2" t="s">
        <v>262</v>
      </c>
      <c r="D1387" s="2" t="s">
        <v>151</v>
      </c>
      <c r="E1387" s="2" t="s">
        <v>122</v>
      </c>
      <c r="F1387" s="2" t="s">
        <v>263</v>
      </c>
      <c r="G1387" s="2" t="s">
        <v>185</v>
      </c>
      <c r="I1387">
        <f>HEX2DEC(_0811_173439[[#This Row],[580C]])*B$4/B$5+B$6</f>
        <v>760</v>
      </c>
      <c r="J1387">
        <f>HEX2DEC(_0811_173439[[#This Row],[4402]])*C$4/C$5+C$6</f>
        <v>37</v>
      </c>
      <c r="K1387">
        <f>HEX2DEC(_0811_173439[[#This Row],[580F]])*D$4/D$5+D$6</f>
        <v>30</v>
      </c>
      <c r="L1387">
        <f>ROUND(HEX2DEC(_0811_173439[[#This Row],[58F0]])*E$4/E$5+E$6,0)</f>
        <v>71</v>
      </c>
      <c r="M1387">
        <f>ROUND(HEX2DEC(_0811_173439[[#This Row],[5805]])*F$4/F$5+F$6,0)</f>
        <v>44</v>
      </c>
      <c r="N1387">
        <f>ROUND(HEX2DEC(_0811_173439[[#This Row],[58DD]])*G$4/G$5+G$6,2)</f>
        <v>-0.03</v>
      </c>
      <c r="P1387">
        <v>760</v>
      </c>
      <c r="Q1387">
        <v>37</v>
      </c>
      <c r="R1387">
        <v>30</v>
      </c>
      <c r="S1387">
        <v>71</v>
      </c>
      <c r="T1387">
        <v>44</v>
      </c>
      <c r="U1387">
        <v>-0.03</v>
      </c>
      <c r="W1387">
        <f>DataLog_T717420_Aug11_4_59_37pm[[#This Row],[RPM '[1/MIN']]]-Table3[[#This Row],[580C]]</f>
        <v>0</v>
      </c>
      <c r="X1387">
        <f>DataLog_T717420_Aug11_4_59_37pm[[#This Row],[OIL TEMP '[Â°C']]]-Table3[[#This Row],[4402]]</f>
        <v>0</v>
      </c>
      <c r="Y1387">
        <f>DataLog_T717420_Aug11_4_59_37pm[[#This Row],[INTAKE TEMP '[Â°C']]]-Table3[[#This Row],[580F]]</f>
        <v>0</v>
      </c>
      <c r="Z1387">
        <f>DataLog_T717420_Aug11_4_59_37pm[[#This Row],[HPFP PRES. '[BAR']]]-Table3[[#This Row],[58F0]]</f>
        <v>0</v>
      </c>
      <c r="AA1387">
        <f>DataLog_T717420_Aug11_4_59_37pm[[#This Row],[COOLANT TEMP '[Â°C']]]-Table3[[#This Row],[5805]]</f>
        <v>0</v>
      </c>
      <c r="AB1387">
        <f>DataLog_T717420_Aug11_4_59_37pm[[#This Row],[BOOST '[BAR']]]-Table3[[#This Row],[58DD]]</f>
        <v>0</v>
      </c>
    </row>
    <row r="1388" spans="2:28" x14ac:dyDescent="0.25">
      <c r="B1388" s="2" t="s">
        <v>189</v>
      </c>
      <c r="C1388" s="2" t="s">
        <v>262</v>
      </c>
      <c r="D1388" s="2" t="s">
        <v>151</v>
      </c>
      <c r="E1388" s="2" t="s">
        <v>184</v>
      </c>
      <c r="F1388" s="2" t="s">
        <v>263</v>
      </c>
      <c r="G1388" s="2" t="s">
        <v>102</v>
      </c>
      <c r="I1388">
        <f>HEX2DEC(_0811_173439[[#This Row],[580C]])*B$4/B$5+B$6</f>
        <v>760</v>
      </c>
      <c r="J1388">
        <f>HEX2DEC(_0811_173439[[#This Row],[4402]])*C$4/C$5+C$6</f>
        <v>37</v>
      </c>
      <c r="K1388">
        <f>HEX2DEC(_0811_173439[[#This Row],[580F]])*D$4/D$5+D$6</f>
        <v>30</v>
      </c>
      <c r="L1388">
        <f>ROUND(HEX2DEC(_0811_173439[[#This Row],[58F0]])*E$4/E$5+E$6,0)</f>
        <v>71</v>
      </c>
      <c r="M1388">
        <f>ROUND(HEX2DEC(_0811_173439[[#This Row],[5805]])*F$4/F$5+F$6,0)</f>
        <v>44</v>
      </c>
      <c r="N1388">
        <f>ROUND(HEX2DEC(_0811_173439[[#This Row],[58DD]])*G$4/G$5+G$6,2)</f>
        <v>-0.03</v>
      </c>
      <c r="P1388">
        <v>760</v>
      </c>
      <c r="Q1388">
        <v>37</v>
      </c>
      <c r="R1388">
        <v>30</v>
      </c>
      <c r="S1388">
        <v>71</v>
      </c>
      <c r="T1388">
        <v>44</v>
      </c>
      <c r="U1388">
        <v>-0.03</v>
      </c>
      <c r="W1388">
        <f>DataLog_T717420_Aug11_4_59_37pm[[#This Row],[RPM '[1/MIN']]]-Table3[[#This Row],[580C]]</f>
        <v>0</v>
      </c>
      <c r="X1388">
        <f>DataLog_T717420_Aug11_4_59_37pm[[#This Row],[OIL TEMP '[Â°C']]]-Table3[[#This Row],[4402]]</f>
        <v>0</v>
      </c>
      <c r="Y1388">
        <f>DataLog_T717420_Aug11_4_59_37pm[[#This Row],[INTAKE TEMP '[Â°C']]]-Table3[[#This Row],[580F]]</f>
        <v>0</v>
      </c>
      <c r="Z1388">
        <f>DataLog_T717420_Aug11_4_59_37pm[[#This Row],[HPFP PRES. '[BAR']]]-Table3[[#This Row],[58F0]]</f>
        <v>0</v>
      </c>
      <c r="AA1388">
        <f>DataLog_T717420_Aug11_4_59_37pm[[#This Row],[COOLANT TEMP '[Â°C']]]-Table3[[#This Row],[5805]]</f>
        <v>0</v>
      </c>
      <c r="AB1388">
        <f>DataLog_T717420_Aug11_4_59_37pm[[#This Row],[BOOST '[BAR']]]-Table3[[#This Row],[58DD]]</f>
        <v>0</v>
      </c>
    </row>
    <row r="1389" spans="2:28" x14ac:dyDescent="0.25">
      <c r="B1389" s="2" t="s">
        <v>189</v>
      </c>
      <c r="C1389" s="2" t="s">
        <v>262</v>
      </c>
      <c r="D1389" s="2" t="s">
        <v>151</v>
      </c>
      <c r="E1389" s="2" t="s">
        <v>93</v>
      </c>
      <c r="F1389" s="2" t="s">
        <v>263</v>
      </c>
      <c r="G1389" s="2" t="s">
        <v>203</v>
      </c>
      <c r="I1389">
        <f>HEX2DEC(_0811_173439[[#This Row],[580C]])*B$4/B$5+B$6</f>
        <v>760</v>
      </c>
      <c r="J1389">
        <f>HEX2DEC(_0811_173439[[#This Row],[4402]])*C$4/C$5+C$6</f>
        <v>37</v>
      </c>
      <c r="K1389">
        <f>HEX2DEC(_0811_173439[[#This Row],[580F]])*D$4/D$5+D$6</f>
        <v>30</v>
      </c>
      <c r="L1389">
        <f>ROUND(HEX2DEC(_0811_173439[[#This Row],[58F0]])*E$4/E$5+E$6,0)</f>
        <v>70</v>
      </c>
      <c r="M1389">
        <f>ROUND(HEX2DEC(_0811_173439[[#This Row],[5805]])*F$4/F$5+F$6,0)</f>
        <v>44</v>
      </c>
      <c r="N1389">
        <f>ROUND(HEX2DEC(_0811_173439[[#This Row],[58DD]])*G$4/G$5+G$6,2)</f>
        <v>-0.03</v>
      </c>
      <c r="P1389">
        <v>760</v>
      </c>
      <c r="Q1389">
        <v>37</v>
      </c>
      <c r="R1389">
        <v>30</v>
      </c>
      <c r="S1389">
        <v>70</v>
      </c>
      <c r="T1389">
        <v>44</v>
      </c>
      <c r="U1389">
        <v>-0.03</v>
      </c>
      <c r="W1389">
        <f>DataLog_T717420_Aug11_4_59_37pm[[#This Row],[RPM '[1/MIN']]]-Table3[[#This Row],[580C]]</f>
        <v>0</v>
      </c>
      <c r="X1389">
        <f>DataLog_T717420_Aug11_4_59_37pm[[#This Row],[OIL TEMP '[Â°C']]]-Table3[[#This Row],[4402]]</f>
        <v>0</v>
      </c>
      <c r="Y1389">
        <f>DataLog_T717420_Aug11_4_59_37pm[[#This Row],[INTAKE TEMP '[Â°C']]]-Table3[[#This Row],[580F]]</f>
        <v>0</v>
      </c>
      <c r="Z1389">
        <f>DataLog_T717420_Aug11_4_59_37pm[[#This Row],[HPFP PRES. '[BAR']]]-Table3[[#This Row],[58F0]]</f>
        <v>0</v>
      </c>
      <c r="AA1389">
        <f>DataLog_T717420_Aug11_4_59_37pm[[#This Row],[COOLANT TEMP '[Â°C']]]-Table3[[#This Row],[5805]]</f>
        <v>0</v>
      </c>
      <c r="AB1389">
        <f>DataLog_T717420_Aug11_4_59_37pm[[#This Row],[BOOST '[BAR']]]-Table3[[#This Row],[58DD]]</f>
        <v>0</v>
      </c>
    </row>
    <row r="1390" spans="2:28" x14ac:dyDescent="0.25">
      <c r="B1390" s="2" t="s">
        <v>189</v>
      </c>
      <c r="C1390" s="2" t="s">
        <v>262</v>
      </c>
      <c r="D1390" s="2" t="s">
        <v>151</v>
      </c>
      <c r="E1390" s="2" t="s">
        <v>122</v>
      </c>
      <c r="F1390" s="2" t="s">
        <v>263</v>
      </c>
      <c r="G1390" s="2" t="s">
        <v>98</v>
      </c>
      <c r="I1390">
        <f>HEX2DEC(_0811_173439[[#This Row],[580C]])*B$4/B$5+B$6</f>
        <v>760</v>
      </c>
      <c r="J1390">
        <f>HEX2DEC(_0811_173439[[#This Row],[4402]])*C$4/C$5+C$6</f>
        <v>37</v>
      </c>
      <c r="K1390">
        <f>HEX2DEC(_0811_173439[[#This Row],[580F]])*D$4/D$5+D$6</f>
        <v>30</v>
      </c>
      <c r="L1390">
        <f>ROUND(HEX2DEC(_0811_173439[[#This Row],[58F0]])*E$4/E$5+E$6,0)</f>
        <v>71</v>
      </c>
      <c r="M1390">
        <f>ROUND(HEX2DEC(_0811_173439[[#This Row],[5805]])*F$4/F$5+F$6,0)</f>
        <v>44</v>
      </c>
      <c r="N1390">
        <f>ROUND(HEX2DEC(_0811_173439[[#This Row],[58DD]])*G$4/G$5+G$6,2)</f>
        <v>-0.03</v>
      </c>
      <c r="P1390">
        <v>760</v>
      </c>
      <c r="Q1390">
        <v>37</v>
      </c>
      <c r="R1390">
        <v>30</v>
      </c>
      <c r="S1390">
        <v>71</v>
      </c>
      <c r="T1390">
        <v>44</v>
      </c>
      <c r="U1390">
        <v>-0.03</v>
      </c>
      <c r="W1390">
        <f>DataLog_T717420_Aug11_4_59_37pm[[#This Row],[RPM '[1/MIN']]]-Table3[[#This Row],[580C]]</f>
        <v>0</v>
      </c>
      <c r="X1390">
        <f>DataLog_T717420_Aug11_4_59_37pm[[#This Row],[OIL TEMP '[Â°C']]]-Table3[[#This Row],[4402]]</f>
        <v>0</v>
      </c>
      <c r="Y1390">
        <f>DataLog_T717420_Aug11_4_59_37pm[[#This Row],[INTAKE TEMP '[Â°C']]]-Table3[[#This Row],[580F]]</f>
        <v>0</v>
      </c>
      <c r="Z1390">
        <f>DataLog_T717420_Aug11_4_59_37pm[[#This Row],[HPFP PRES. '[BAR']]]-Table3[[#This Row],[58F0]]</f>
        <v>0</v>
      </c>
      <c r="AA1390">
        <f>DataLog_T717420_Aug11_4_59_37pm[[#This Row],[COOLANT TEMP '[Â°C']]]-Table3[[#This Row],[5805]]</f>
        <v>0</v>
      </c>
      <c r="AB1390">
        <f>DataLog_T717420_Aug11_4_59_37pm[[#This Row],[BOOST '[BAR']]]-Table3[[#This Row],[58DD]]</f>
        <v>0</v>
      </c>
    </row>
    <row r="1391" spans="2:28" x14ac:dyDescent="0.25">
      <c r="B1391" s="2" t="s">
        <v>189</v>
      </c>
      <c r="C1391" s="2" t="s">
        <v>262</v>
      </c>
      <c r="D1391" s="2" t="s">
        <v>151</v>
      </c>
      <c r="E1391" s="2" t="s">
        <v>202</v>
      </c>
      <c r="F1391" s="2" t="s">
        <v>263</v>
      </c>
      <c r="G1391" s="2" t="s">
        <v>203</v>
      </c>
      <c r="I1391">
        <f>HEX2DEC(_0811_173439[[#This Row],[580C]])*B$4/B$5+B$6</f>
        <v>760</v>
      </c>
      <c r="J1391">
        <f>HEX2DEC(_0811_173439[[#This Row],[4402]])*C$4/C$5+C$6</f>
        <v>37</v>
      </c>
      <c r="K1391">
        <f>HEX2DEC(_0811_173439[[#This Row],[580F]])*D$4/D$5+D$6</f>
        <v>30</v>
      </c>
      <c r="L1391">
        <f>ROUND(HEX2DEC(_0811_173439[[#This Row],[58F0]])*E$4/E$5+E$6,0)</f>
        <v>71</v>
      </c>
      <c r="M1391">
        <f>ROUND(HEX2DEC(_0811_173439[[#This Row],[5805]])*F$4/F$5+F$6,0)</f>
        <v>44</v>
      </c>
      <c r="N1391">
        <f>ROUND(HEX2DEC(_0811_173439[[#This Row],[58DD]])*G$4/G$5+G$6,2)</f>
        <v>-0.03</v>
      </c>
      <c r="P1391">
        <v>760</v>
      </c>
      <c r="Q1391">
        <v>37</v>
      </c>
      <c r="R1391">
        <v>30</v>
      </c>
      <c r="S1391">
        <v>71</v>
      </c>
      <c r="T1391">
        <v>44</v>
      </c>
      <c r="U1391">
        <v>-0.03</v>
      </c>
      <c r="W1391">
        <f>DataLog_T717420_Aug11_4_59_37pm[[#This Row],[RPM '[1/MIN']]]-Table3[[#This Row],[580C]]</f>
        <v>0</v>
      </c>
      <c r="X1391">
        <f>DataLog_T717420_Aug11_4_59_37pm[[#This Row],[OIL TEMP '[Â°C']]]-Table3[[#This Row],[4402]]</f>
        <v>0</v>
      </c>
      <c r="Y1391">
        <f>DataLog_T717420_Aug11_4_59_37pm[[#This Row],[INTAKE TEMP '[Â°C']]]-Table3[[#This Row],[580F]]</f>
        <v>0</v>
      </c>
      <c r="Z1391">
        <f>DataLog_T717420_Aug11_4_59_37pm[[#This Row],[HPFP PRES. '[BAR']]]-Table3[[#This Row],[58F0]]</f>
        <v>0</v>
      </c>
      <c r="AA1391">
        <f>DataLog_T717420_Aug11_4_59_37pm[[#This Row],[COOLANT TEMP '[Â°C']]]-Table3[[#This Row],[5805]]</f>
        <v>0</v>
      </c>
      <c r="AB1391">
        <f>DataLog_T717420_Aug11_4_59_37pm[[#This Row],[BOOST '[BAR']]]-Table3[[#This Row],[58DD]]</f>
        <v>0</v>
      </c>
    </row>
    <row r="1392" spans="2:28" x14ac:dyDescent="0.25">
      <c r="B1392" s="2" t="s">
        <v>189</v>
      </c>
      <c r="C1392" s="2" t="s">
        <v>262</v>
      </c>
      <c r="D1392" s="2" t="s">
        <v>151</v>
      </c>
      <c r="E1392" s="2" t="s">
        <v>132</v>
      </c>
      <c r="F1392" s="2" t="s">
        <v>263</v>
      </c>
      <c r="G1392" s="2" t="s">
        <v>186</v>
      </c>
      <c r="I1392">
        <f>HEX2DEC(_0811_173439[[#This Row],[580C]])*B$4/B$5+B$6</f>
        <v>760</v>
      </c>
      <c r="J1392">
        <f>HEX2DEC(_0811_173439[[#This Row],[4402]])*C$4/C$5+C$6</f>
        <v>37</v>
      </c>
      <c r="K1392">
        <f>HEX2DEC(_0811_173439[[#This Row],[580F]])*D$4/D$5+D$6</f>
        <v>30</v>
      </c>
      <c r="L1392">
        <f>ROUND(HEX2DEC(_0811_173439[[#This Row],[58F0]])*E$4/E$5+E$6,0)</f>
        <v>70</v>
      </c>
      <c r="M1392">
        <f>ROUND(HEX2DEC(_0811_173439[[#This Row],[5805]])*F$4/F$5+F$6,0)</f>
        <v>44</v>
      </c>
      <c r="N1392">
        <f>ROUND(HEX2DEC(_0811_173439[[#This Row],[58DD]])*G$4/G$5+G$6,2)</f>
        <v>-0.03</v>
      </c>
      <c r="P1392">
        <v>760</v>
      </c>
      <c r="Q1392">
        <v>37</v>
      </c>
      <c r="R1392">
        <v>30</v>
      </c>
      <c r="S1392">
        <v>70</v>
      </c>
      <c r="T1392">
        <v>44</v>
      </c>
      <c r="U1392">
        <v>-0.03</v>
      </c>
      <c r="W1392">
        <f>DataLog_T717420_Aug11_4_59_37pm[[#This Row],[RPM '[1/MIN']]]-Table3[[#This Row],[580C]]</f>
        <v>0</v>
      </c>
      <c r="X1392">
        <f>DataLog_T717420_Aug11_4_59_37pm[[#This Row],[OIL TEMP '[Â°C']]]-Table3[[#This Row],[4402]]</f>
        <v>0</v>
      </c>
      <c r="Y1392">
        <f>DataLog_T717420_Aug11_4_59_37pm[[#This Row],[INTAKE TEMP '[Â°C']]]-Table3[[#This Row],[580F]]</f>
        <v>0</v>
      </c>
      <c r="Z1392">
        <f>DataLog_T717420_Aug11_4_59_37pm[[#This Row],[HPFP PRES. '[BAR']]]-Table3[[#This Row],[58F0]]</f>
        <v>0</v>
      </c>
      <c r="AA1392">
        <f>DataLog_T717420_Aug11_4_59_37pm[[#This Row],[COOLANT TEMP '[Â°C']]]-Table3[[#This Row],[5805]]</f>
        <v>0</v>
      </c>
      <c r="AB1392">
        <f>DataLog_T717420_Aug11_4_59_37pm[[#This Row],[BOOST '[BAR']]]-Table3[[#This Row],[58DD]]</f>
        <v>0</v>
      </c>
    </row>
    <row r="1393" spans="2:28" x14ac:dyDescent="0.25">
      <c r="B1393" s="2" t="s">
        <v>189</v>
      </c>
      <c r="C1393" s="2" t="s">
        <v>262</v>
      </c>
      <c r="D1393" s="2" t="s">
        <v>151</v>
      </c>
      <c r="E1393" s="2" t="s">
        <v>135</v>
      </c>
      <c r="F1393" s="2" t="s">
        <v>263</v>
      </c>
      <c r="G1393" s="2" t="s">
        <v>98</v>
      </c>
      <c r="I1393">
        <f>HEX2DEC(_0811_173439[[#This Row],[580C]])*B$4/B$5+B$6</f>
        <v>760</v>
      </c>
      <c r="J1393">
        <f>HEX2DEC(_0811_173439[[#This Row],[4402]])*C$4/C$5+C$6</f>
        <v>37</v>
      </c>
      <c r="K1393">
        <f>HEX2DEC(_0811_173439[[#This Row],[580F]])*D$4/D$5+D$6</f>
        <v>30</v>
      </c>
      <c r="L1393">
        <f>ROUND(HEX2DEC(_0811_173439[[#This Row],[58F0]])*E$4/E$5+E$6,0)</f>
        <v>71</v>
      </c>
      <c r="M1393">
        <f>ROUND(HEX2DEC(_0811_173439[[#This Row],[5805]])*F$4/F$5+F$6,0)</f>
        <v>44</v>
      </c>
      <c r="N1393">
        <f>ROUND(HEX2DEC(_0811_173439[[#This Row],[58DD]])*G$4/G$5+G$6,2)</f>
        <v>-0.03</v>
      </c>
      <c r="P1393">
        <v>760</v>
      </c>
      <c r="Q1393">
        <v>37</v>
      </c>
      <c r="R1393">
        <v>30</v>
      </c>
      <c r="S1393">
        <v>71</v>
      </c>
      <c r="T1393">
        <v>44</v>
      </c>
      <c r="U1393">
        <v>-0.03</v>
      </c>
      <c r="W1393">
        <f>DataLog_T717420_Aug11_4_59_37pm[[#This Row],[RPM '[1/MIN']]]-Table3[[#This Row],[580C]]</f>
        <v>0</v>
      </c>
      <c r="X1393">
        <f>DataLog_T717420_Aug11_4_59_37pm[[#This Row],[OIL TEMP '[Â°C']]]-Table3[[#This Row],[4402]]</f>
        <v>0</v>
      </c>
      <c r="Y1393">
        <f>DataLog_T717420_Aug11_4_59_37pm[[#This Row],[INTAKE TEMP '[Â°C']]]-Table3[[#This Row],[580F]]</f>
        <v>0</v>
      </c>
      <c r="Z1393">
        <f>DataLog_T717420_Aug11_4_59_37pm[[#This Row],[HPFP PRES. '[BAR']]]-Table3[[#This Row],[58F0]]</f>
        <v>0</v>
      </c>
      <c r="AA1393">
        <f>DataLog_T717420_Aug11_4_59_37pm[[#This Row],[COOLANT TEMP '[Â°C']]]-Table3[[#This Row],[5805]]</f>
        <v>0</v>
      </c>
      <c r="AB1393">
        <f>DataLog_T717420_Aug11_4_59_37pm[[#This Row],[BOOST '[BAR']]]-Table3[[#This Row],[58DD]]</f>
        <v>0</v>
      </c>
    </row>
    <row r="1394" spans="2:28" x14ac:dyDescent="0.25">
      <c r="B1394" s="2" t="s">
        <v>189</v>
      </c>
      <c r="C1394" s="2" t="s">
        <v>262</v>
      </c>
      <c r="D1394" s="2" t="s">
        <v>151</v>
      </c>
      <c r="E1394" s="2" t="s">
        <v>143</v>
      </c>
      <c r="F1394" s="2" t="s">
        <v>263</v>
      </c>
      <c r="G1394" s="2" t="s">
        <v>186</v>
      </c>
      <c r="I1394">
        <f>HEX2DEC(_0811_173439[[#This Row],[580C]])*B$4/B$5+B$6</f>
        <v>760</v>
      </c>
      <c r="J1394">
        <f>HEX2DEC(_0811_173439[[#This Row],[4402]])*C$4/C$5+C$6</f>
        <v>37</v>
      </c>
      <c r="K1394">
        <f>HEX2DEC(_0811_173439[[#This Row],[580F]])*D$4/D$5+D$6</f>
        <v>30</v>
      </c>
      <c r="L1394">
        <f>ROUND(HEX2DEC(_0811_173439[[#This Row],[58F0]])*E$4/E$5+E$6,0)</f>
        <v>71</v>
      </c>
      <c r="M1394">
        <f>ROUND(HEX2DEC(_0811_173439[[#This Row],[5805]])*F$4/F$5+F$6,0)</f>
        <v>44</v>
      </c>
      <c r="N1394">
        <f>ROUND(HEX2DEC(_0811_173439[[#This Row],[58DD]])*G$4/G$5+G$6,2)</f>
        <v>-0.03</v>
      </c>
      <c r="P1394">
        <v>760</v>
      </c>
      <c r="Q1394">
        <v>37</v>
      </c>
      <c r="R1394">
        <v>30</v>
      </c>
      <c r="S1394">
        <v>71</v>
      </c>
      <c r="T1394">
        <v>44</v>
      </c>
      <c r="U1394">
        <v>-0.03</v>
      </c>
      <c r="W1394">
        <f>DataLog_T717420_Aug11_4_59_37pm[[#This Row],[RPM '[1/MIN']]]-Table3[[#This Row],[580C]]</f>
        <v>0</v>
      </c>
      <c r="X1394">
        <f>DataLog_T717420_Aug11_4_59_37pm[[#This Row],[OIL TEMP '[Â°C']]]-Table3[[#This Row],[4402]]</f>
        <v>0</v>
      </c>
      <c r="Y1394">
        <f>DataLog_T717420_Aug11_4_59_37pm[[#This Row],[INTAKE TEMP '[Â°C']]]-Table3[[#This Row],[580F]]</f>
        <v>0</v>
      </c>
      <c r="Z1394">
        <f>DataLog_T717420_Aug11_4_59_37pm[[#This Row],[HPFP PRES. '[BAR']]]-Table3[[#This Row],[58F0]]</f>
        <v>0</v>
      </c>
      <c r="AA1394">
        <f>DataLog_T717420_Aug11_4_59_37pm[[#This Row],[COOLANT TEMP '[Â°C']]]-Table3[[#This Row],[5805]]</f>
        <v>0</v>
      </c>
      <c r="AB1394">
        <f>DataLog_T717420_Aug11_4_59_37pm[[#This Row],[BOOST '[BAR']]]-Table3[[#This Row],[58DD]]</f>
        <v>0</v>
      </c>
    </row>
    <row r="1395" spans="2:28" x14ac:dyDescent="0.25">
      <c r="B1395" s="2" t="s">
        <v>189</v>
      </c>
      <c r="C1395" s="2" t="s">
        <v>262</v>
      </c>
      <c r="D1395" s="2" t="s">
        <v>151</v>
      </c>
      <c r="E1395" s="2" t="s">
        <v>163</v>
      </c>
      <c r="F1395" s="2" t="s">
        <v>263</v>
      </c>
      <c r="G1395" s="2" t="s">
        <v>186</v>
      </c>
      <c r="I1395">
        <f>HEX2DEC(_0811_173439[[#This Row],[580C]])*B$4/B$5+B$6</f>
        <v>760</v>
      </c>
      <c r="J1395">
        <f>HEX2DEC(_0811_173439[[#This Row],[4402]])*C$4/C$5+C$6</f>
        <v>37</v>
      </c>
      <c r="K1395">
        <f>HEX2DEC(_0811_173439[[#This Row],[580F]])*D$4/D$5+D$6</f>
        <v>30</v>
      </c>
      <c r="L1395">
        <f>ROUND(HEX2DEC(_0811_173439[[#This Row],[58F0]])*E$4/E$5+E$6,0)</f>
        <v>70</v>
      </c>
      <c r="M1395">
        <f>ROUND(HEX2DEC(_0811_173439[[#This Row],[5805]])*F$4/F$5+F$6,0)</f>
        <v>44</v>
      </c>
      <c r="N1395">
        <f>ROUND(HEX2DEC(_0811_173439[[#This Row],[58DD]])*G$4/G$5+G$6,2)</f>
        <v>-0.03</v>
      </c>
      <c r="P1395">
        <v>760</v>
      </c>
      <c r="Q1395">
        <v>37</v>
      </c>
      <c r="R1395">
        <v>30</v>
      </c>
      <c r="S1395">
        <v>70</v>
      </c>
      <c r="T1395">
        <v>44</v>
      </c>
      <c r="U1395">
        <v>-0.03</v>
      </c>
      <c r="W1395">
        <f>DataLog_T717420_Aug11_4_59_37pm[[#This Row],[RPM '[1/MIN']]]-Table3[[#This Row],[580C]]</f>
        <v>0</v>
      </c>
      <c r="X1395">
        <f>DataLog_T717420_Aug11_4_59_37pm[[#This Row],[OIL TEMP '[Â°C']]]-Table3[[#This Row],[4402]]</f>
        <v>0</v>
      </c>
      <c r="Y1395">
        <f>DataLog_T717420_Aug11_4_59_37pm[[#This Row],[INTAKE TEMP '[Â°C']]]-Table3[[#This Row],[580F]]</f>
        <v>0</v>
      </c>
      <c r="Z1395">
        <f>DataLog_T717420_Aug11_4_59_37pm[[#This Row],[HPFP PRES. '[BAR']]]-Table3[[#This Row],[58F0]]</f>
        <v>0</v>
      </c>
      <c r="AA1395">
        <f>DataLog_T717420_Aug11_4_59_37pm[[#This Row],[COOLANT TEMP '[Â°C']]]-Table3[[#This Row],[5805]]</f>
        <v>0</v>
      </c>
      <c r="AB1395">
        <f>DataLog_T717420_Aug11_4_59_37pm[[#This Row],[BOOST '[BAR']]]-Table3[[#This Row],[58DD]]</f>
        <v>0</v>
      </c>
    </row>
    <row r="1396" spans="2:28" x14ac:dyDescent="0.25">
      <c r="B1396" s="2" t="s">
        <v>189</v>
      </c>
      <c r="C1396" s="2" t="s">
        <v>262</v>
      </c>
      <c r="D1396" s="2" t="s">
        <v>151</v>
      </c>
      <c r="E1396" s="2" t="s">
        <v>153</v>
      </c>
      <c r="F1396" s="2" t="s">
        <v>263</v>
      </c>
      <c r="G1396" s="2" t="s">
        <v>213</v>
      </c>
      <c r="I1396">
        <f>HEX2DEC(_0811_173439[[#This Row],[580C]])*B$4/B$5+B$6</f>
        <v>760</v>
      </c>
      <c r="J1396">
        <f>HEX2DEC(_0811_173439[[#This Row],[4402]])*C$4/C$5+C$6</f>
        <v>37</v>
      </c>
      <c r="K1396">
        <f>HEX2DEC(_0811_173439[[#This Row],[580F]])*D$4/D$5+D$6</f>
        <v>30</v>
      </c>
      <c r="L1396">
        <f>ROUND(HEX2DEC(_0811_173439[[#This Row],[58F0]])*E$4/E$5+E$6,0)</f>
        <v>70</v>
      </c>
      <c r="M1396">
        <f>ROUND(HEX2DEC(_0811_173439[[#This Row],[5805]])*F$4/F$5+F$6,0)</f>
        <v>44</v>
      </c>
      <c r="N1396">
        <f>ROUND(HEX2DEC(_0811_173439[[#This Row],[58DD]])*G$4/G$5+G$6,2)</f>
        <v>-0.03</v>
      </c>
      <c r="P1396">
        <v>760</v>
      </c>
      <c r="Q1396">
        <v>37</v>
      </c>
      <c r="R1396">
        <v>30</v>
      </c>
      <c r="S1396">
        <v>70</v>
      </c>
      <c r="T1396">
        <v>44</v>
      </c>
      <c r="U1396">
        <v>-0.03</v>
      </c>
      <c r="W1396">
        <f>DataLog_T717420_Aug11_4_59_37pm[[#This Row],[RPM '[1/MIN']]]-Table3[[#This Row],[580C]]</f>
        <v>0</v>
      </c>
      <c r="X1396">
        <f>DataLog_T717420_Aug11_4_59_37pm[[#This Row],[OIL TEMP '[Â°C']]]-Table3[[#This Row],[4402]]</f>
        <v>0</v>
      </c>
      <c r="Y1396">
        <f>DataLog_T717420_Aug11_4_59_37pm[[#This Row],[INTAKE TEMP '[Â°C']]]-Table3[[#This Row],[580F]]</f>
        <v>0</v>
      </c>
      <c r="Z1396">
        <f>DataLog_T717420_Aug11_4_59_37pm[[#This Row],[HPFP PRES. '[BAR']]]-Table3[[#This Row],[58F0]]</f>
        <v>0</v>
      </c>
      <c r="AA1396">
        <f>DataLog_T717420_Aug11_4_59_37pm[[#This Row],[COOLANT TEMP '[Â°C']]]-Table3[[#This Row],[5805]]</f>
        <v>0</v>
      </c>
      <c r="AB1396">
        <f>DataLog_T717420_Aug11_4_59_37pm[[#This Row],[BOOST '[BAR']]]-Table3[[#This Row],[58DD]]</f>
        <v>0</v>
      </c>
    </row>
    <row r="1397" spans="2:28" x14ac:dyDescent="0.25">
      <c r="B1397" s="2" t="s">
        <v>189</v>
      </c>
      <c r="C1397" s="2" t="s">
        <v>262</v>
      </c>
      <c r="D1397" s="2" t="s">
        <v>151</v>
      </c>
      <c r="E1397" s="2" t="s">
        <v>119</v>
      </c>
      <c r="F1397" s="2" t="s">
        <v>263</v>
      </c>
      <c r="G1397" s="2" t="s">
        <v>213</v>
      </c>
      <c r="I1397">
        <f>HEX2DEC(_0811_173439[[#This Row],[580C]])*B$4/B$5+B$6</f>
        <v>760</v>
      </c>
      <c r="J1397">
        <f>HEX2DEC(_0811_173439[[#This Row],[4402]])*C$4/C$5+C$6</f>
        <v>37</v>
      </c>
      <c r="K1397">
        <f>HEX2DEC(_0811_173439[[#This Row],[580F]])*D$4/D$5+D$6</f>
        <v>30</v>
      </c>
      <c r="L1397">
        <f>ROUND(HEX2DEC(_0811_173439[[#This Row],[58F0]])*E$4/E$5+E$6,0)</f>
        <v>71</v>
      </c>
      <c r="M1397">
        <f>ROUND(HEX2DEC(_0811_173439[[#This Row],[5805]])*F$4/F$5+F$6,0)</f>
        <v>44</v>
      </c>
      <c r="N1397">
        <f>ROUND(HEX2DEC(_0811_173439[[#This Row],[58DD]])*G$4/G$5+G$6,2)</f>
        <v>-0.03</v>
      </c>
      <c r="P1397">
        <v>760</v>
      </c>
      <c r="Q1397">
        <v>37</v>
      </c>
      <c r="R1397">
        <v>30</v>
      </c>
      <c r="S1397">
        <v>71</v>
      </c>
      <c r="T1397">
        <v>44</v>
      </c>
      <c r="U1397">
        <v>-0.03</v>
      </c>
      <c r="W1397">
        <f>DataLog_T717420_Aug11_4_59_37pm[[#This Row],[RPM '[1/MIN']]]-Table3[[#This Row],[580C]]</f>
        <v>0</v>
      </c>
      <c r="X1397">
        <f>DataLog_T717420_Aug11_4_59_37pm[[#This Row],[OIL TEMP '[Â°C']]]-Table3[[#This Row],[4402]]</f>
        <v>0</v>
      </c>
      <c r="Y1397">
        <f>DataLog_T717420_Aug11_4_59_37pm[[#This Row],[INTAKE TEMP '[Â°C']]]-Table3[[#This Row],[580F]]</f>
        <v>0</v>
      </c>
      <c r="Z1397">
        <f>DataLog_T717420_Aug11_4_59_37pm[[#This Row],[HPFP PRES. '[BAR']]]-Table3[[#This Row],[58F0]]</f>
        <v>0</v>
      </c>
      <c r="AA1397">
        <f>DataLog_T717420_Aug11_4_59_37pm[[#This Row],[COOLANT TEMP '[Â°C']]]-Table3[[#This Row],[5805]]</f>
        <v>0</v>
      </c>
      <c r="AB1397">
        <f>DataLog_T717420_Aug11_4_59_37pm[[#This Row],[BOOST '[BAR']]]-Table3[[#This Row],[58DD]]</f>
        <v>0</v>
      </c>
    </row>
    <row r="1398" spans="2:28" x14ac:dyDescent="0.25">
      <c r="B1398" s="2" t="s">
        <v>189</v>
      </c>
      <c r="C1398" s="2" t="s">
        <v>262</v>
      </c>
      <c r="D1398" s="2" t="s">
        <v>151</v>
      </c>
      <c r="E1398" s="2" t="s">
        <v>118</v>
      </c>
      <c r="F1398" s="2" t="s">
        <v>292</v>
      </c>
      <c r="G1398" s="2" t="s">
        <v>216</v>
      </c>
      <c r="I1398">
        <f>HEX2DEC(_0811_173439[[#This Row],[580C]])*B$4/B$5+B$6</f>
        <v>760</v>
      </c>
      <c r="J1398">
        <f>HEX2DEC(_0811_173439[[#This Row],[4402]])*C$4/C$5+C$6</f>
        <v>37</v>
      </c>
      <c r="K1398">
        <f>HEX2DEC(_0811_173439[[#This Row],[580F]])*D$4/D$5+D$6</f>
        <v>30</v>
      </c>
      <c r="L1398">
        <f>ROUND(HEX2DEC(_0811_173439[[#This Row],[58F0]])*E$4/E$5+E$6,0)</f>
        <v>70</v>
      </c>
      <c r="M1398">
        <f>ROUND(HEX2DEC(_0811_173439[[#This Row],[5805]])*F$4/F$5+F$6,0)</f>
        <v>45</v>
      </c>
      <c r="N1398">
        <f>ROUND(HEX2DEC(_0811_173439[[#This Row],[58DD]])*G$4/G$5+G$6,2)</f>
        <v>-0.03</v>
      </c>
      <c r="P1398">
        <v>760</v>
      </c>
      <c r="Q1398">
        <v>37</v>
      </c>
      <c r="R1398">
        <v>30</v>
      </c>
      <c r="S1398">
        <v>70</v>
      </c>
      <c r="T1398">
        <v>45</v>
      </c>
      <c r="U1398">
        <v>-0.03</v>
      </c>
      <c r="W1398">
        <f>DataLog_T717420_Aug11_4_59_37pm[[#This Row],[RPM '[1/MIN']]]-Table3[[#This Row],[580C]]</f>
        <v>0</v>
      </c>
      <c r="X1398">
        <f>DataLog_T717420_Aug11_4_59_37pm[[#This Row],[OIL TEMP '[Â°C']]]-Table3[[#This Row],[4402]]</f>
        <v>0</v>
      </c>
      <c r="Y1398">
        <f>DataLog_T717420_Aug11_4_59_37pm[[#This Row],[INTAKE TEMP '[Â°C']]]-Table3[[#This Row],[580F]]</f>
        <v>0</v>
      </c>
      <c r="Z1398">
        <f>DataLog_T717420_Aug11_4_59_37pm[[#This Row],[HPFP PRES. '[BAR']]]-Table3[[#This Row],[58F0]]</f>
        <v>0</v>
      </c>
      <c r="AA1398">
        <f>DataLog_T717420_Aug11_4_59_37pm[[#This Row],[COOLANT TEMP '[Â°C']]]-Table3[[#This Row],[5805]]</f>
        <v>0</v>
      </c>
      <c r="AB1398">
        <f>DataLog_T717420_Aug11_4_59_37pm[[#This Row],[BOOST '[BAR']]]-Table3[[#This Row],[58DD]]</f>
        <v>0</v>
      </c>
    </row>
    <row r="1399" spans="2:28" x14ac:dyDescent="0.25">
      <c r="B1399" s="2" t="s">
        <v>189</v>
      </c>
      <c r="C1399" s="2" t="s">
        <v>262</v>
      </c>
      <c r="D1399" s="2" t="s">
        <v>151</v>
      </c>
      <c r="E1399" s="2" t="s">
        <v>153</v>
      </c>
      <c r="F1399" s="2" t="s">
        <v>292</v>
      </c>
      <c r="G1399" s="2" t="s">
        <v>186</v>
      </c>
      <c r="I1399">
        <f>HEX2DEC(_0811_173439[[#This Row],[580C]])*B$4/B$5+B$6</f>
        <v>760</v>
      </c>
      <c r="J1399">
        <f>HEX2DEC(_0811_173439[[#This Row],[4402]])*C$4/C$5+C$6</f>
        <v>37</v>
      </c>
      <c r="K1399">
        <f>HEX2DEC(_0811_173439[[#This Row],[580F]])*D$4/D$5+D$6</f>
        <v>30</v>
      </c>
      <c r="L1399">
        <f>ROUND(HEX2DEC(_0811_173439[[#This Row],[58F0]])*E$4/E$5+E$6,0)</f>
        <v>70</v>
      </c>
      <c r="M1399">
        <f>ROUND(HEX2DEC(_0811_173439[[#This Row],[5805]])*F$4/F$5+F$6,0)</f>
        <v>45</v>
      </c>
      <c r="N1399">
        <f>ROUND(HEX2DEC(_0811_173439[[#This Row],[58DD]])*G$4/G$5+G$6,2)</f>
        <v>-0.03</v>
      </c>
      <c r="P1399">
        <v>760</v>
      </c>
      <c r="Q1399">
        <v>37</v>
      </c>
      <c r="R1399">
        <v>30</v>
      </c>
      <c r="S1399">
        <v>70</v>
      </c>
      <c r="T1399">
        <v>45</v>
      </c>
      <c r="U1399">
        <v>-0.03</v>
      </c>
      <c r="W1399">
        <f>DataLog_T717420_Aug11_4_59_37pm[[#This Row],[RPM '[1/MIN']]]-Table3[[#This Row],[580C]]</f>
        <v>0</v>
      </c>
      <c r="X1399">
        <f>DataLog_T717420_Aug11_4_59_37pm[[#This Row],[OIL TEMP '[Â°C']]]-Table3[[#This Row],[4402]]</f>
        <v>0</v>
      </c>
      <c r="Y1399">
        <f>DataLog_T717420_Aug11_4_59_37pm[[#This Row],[INTAKE TEMP '[Â°C']]]-Table3[[#This Row],[580F]]</f>
        <v>0</v>
      </c>
      <c r="Z1399">
        <f>DataLog_T717420_Aug11_4_59_37pm[[#This Row],[HPFP PRES. '[BAR']]]-Table3[[#This Row],[58F0]]</f>
        <v>0</v>
      </c>
      <c r="AA1399">
        <f>DataLog_T717420_Aug11_4_59_37pm[[#This Row],[COOLANT TEMP '[Â°C']]]-Table3[[#This Row],[5805]]</f>
        <v>0</v>
      </c>
      <c r="AB1399">
        <f>DataLog_T717420_Aug11_4_59_37pm[[#This Row],[BOOST '[BAR']]]-Table3[[#This Row],[58DD]]</f>
        <v>0</v>
      </c>
    </row>
    <row r="1400" spans="2:28" x14ac:dyDescent="0.25">
      <c r="B1400" s="2" t="s">
        <v>189</v>
      </c>
      <c r="C1400" s="2" t="s">
        <v>262</v>
      </c>
      <c r="D1400" s="2" t="s">
        <v>151</v>
      </c>
      <c r="E1400" s="2" t="s">
        <v>293</v>
      </c>
      <c r="F1400" s="2" t="s">
        <v>292</v>
      </c>
      <c r="G1400" s="2" t="s">
        <v>90</v>
      </c>
      <c r="I1400">
        <f>HEX2DEC(_0811_173439[[#This Row],[580C]])*B$4/B$5+B$6</f>
        <v>760</v>
      </c>
      <c r="J1400">
        <f>HEX2DEC(_0811_173439[[#This Row],[4402]])*C$4/C$5+C$6</f>
        <v>37</v>
      </c>
      <c r="K1400">
        <f>HEX2DEC(_0811_173439[[#This Row],[580F]])*D$4/D$5+D$6</f>
        <v>30</v>
      </c>
      <c r="L1400">
        <f>ROUND(HEX2DEC(_0811_173439[[#This Row],[58F0]])*E$4/E$5+E$6,0)</f>
        <v>71</v>
      </c>
      <c r="M1400">
        <f>ROUND(HEX2DEC(_0811_173439[[#This Row],[5805]])*F$4/F$5+F$6,0)</f>
        <v>45</v>
      </c>
      <c r="N1400">
        <f>ROUND(HEX2DEC(_0811_173439[[#This Row],[58DD]])*G$4/G$5+G$6,2)</f>
        <v>-0.03</v>
      </c>
      <c r="P1400">
        <v>760</v>
      </c>
      <c r="Q1400">
        <v>37</v>
      </c>
      <c r="R1400">
        <v>30</v>
      </c>
      <c r="S1400">
        <v>71</v>
      </c>
      <c r="T1400">
        <v>45</v>
      </c>
      <c r="U1400">
        <v>-0.03</v>
      </c>
      <c r="W1400">
        <f>DataLog_T717420_Aug11_4_59_37pm[[#This Row],[RPM '[1/MIN']]]-Table3[[#This Row],[580C]]</f>
        <v>0</v>
      </c>
      <c r="X1400">
        <f>DataLog_T717420_Aug11_4_59_37pm[[#This Row],[OIL TEMP '[Â°C']]]-Table3[[#This Row],[4402]]</f>
        <v>0</v>
      </c>
      <c r="Y1400">
        <f>DataLog_T717420_Aug11_4_59_37pm[[#This Row],[INTAKE TEMP '[Â°C']]]-Table3[[#This Row],[580F]]</f>
        <v>0</v>
      </c>
      <c r="Z1400">
        <f>DataLog_T717420_Aug11_4_59_37pm[[#This Row],[HPFP PRES. '[BAR']]]-Table3[[#This Row],[58F0]]</f>
        <v>0</v>
      </c>
      <c r="AA1400">
        <f>DataLog_T717420_Aug11_4_59_37pm[[#This Row],[COOLANT TEMP '[Â°C']]]-Table3[[#This Row],[5805]]</f>
        <v>0</v>
      </c>
      <c r="AB1400">
        <f>DataLog_T717420_Aug11_4_59_37pm[[#This Row],[BOOST '[BAR']]]-Table3[[#This Row],[58DD]]</f>
        <v>0</v>
      </c>
    </row>
    <row r="1401" spans="2:28" x14ac:dyDescent="0.25">
      <c r="B1401" s="2" t="s">
        <v>183</v>
      </c>
      <c r="C1401" s="2" t="s">
        <v>262</v>
      </c>
      <c r="D1401" s="2" t="s">
        <v>151</v>
      </c>
      <c r="E1401" s="2" t="s">
        <v>294</v>
      </c>
      <c r="F1401" s="2" t="s">
        <v>292</v>
      </c>
      <c r="G1401" s="2" t="s">
        <v>274</v>
      </c>
      <c r="I1401">
        <f>HEX2DEC(_0811_173439[[#This Row],[580C]])*B$4/B$5+B$6</f>
        <v>800</v>
      </c>
      <c r="J1401">
        <f>HEX2DEC(_0811_173439[[#This Row],[4402]])*C$4/C$5+C$6</f>
        <v>37</v>
      </c>
      <c r="K1401">
        <f>HEX2DEC(_0811_173439[[#This Row],[580F]])*D$4/D$5+D$6</f>
        <v>30</v>
      </c>
      <c r="L1401">
        <f>ROUND(HEX2DEC(_0811_173439[[#This Row],[58F0]])*E$4/E$5+E$6,0)</f>
        <v>69</v>
      </c>
      <c r="M1401">
        <f>ROUND(HEX2DEC(_0811_173439[[#This Row],[5805]])*F$4/F$5+F$6,0)</f>
        <v>45</v>
      </c>
      <c r="N1401">
        <f>ROUND(HEX2DEC(_0811_173439[[#This Row],[58DD]])*G$4/G$5+G$6,2)</f>
        <v>-0.03</v>
      </c>
      <c r="P1401">
        <v>800</v>
      </c>
      <c r="Q1401">
        <v>37</v>
      </c>
      <c r="R1401">
        <v>30</v>
      </c>
      <c r="S1401">
        <v>69</v>
      </c>
      <c r="T1401">
        <v>45</v>
      </c>
      <c r="U1401">
        <v>-0.03</v>
      </c>
      <c r="W1401">
        <f>DataLog_T717420_Aug11_4_59_37pm[[#This Row],[RPM '[1/MIN']]]-Table3[[#This Row],[580C]]</f>
        <v>0</v>
      </c>
      <c r="X1401">
        <f>DataLog_T717420_Aug11_4_59_37pm[[#This Row],[OIL TEMP '[Â°C']]]-Table3[[#This Row],[4402]]</f>
        <v>0</v>
      </c>
      <c r="Y1401">
        <f>DataLog_T717420_Aug11_4_59_37pm[[#This Row],[INTAKE TEMP '[Â°C']]]-Table3[[#This Row],[580F]]</f>
        <v>0</v>
      </c>
      <c r="Z1401">
        <f>DataLog_T717420_Aug11_4_59_37pm[[#This Row],[HPFP PRES. '[BAR']]]-Table3[[#This Row],[58F0]]</f>
        <v>0</v>
      </c>
      <c r="AA1401">
        <f>DataLog_T717420_Aug11_4_59_37pm[[#This Row],[COOLANT TEMP '[Â°C']]]-Table3[[#This Row],[5805]]</f>
        <v>0</v>
      </c>
      <c r="AB1401">
        <f>DataLog_T717420_Aug11_4_59_37pm[[#This Row],[BOOST '[BAR']]]-Table3[[#This Row],[58DD]]</f>
        <v>0</v>
      </c>
    </row>
    <row r="1402" spans="2:28" x14ac:dyDescent="0.25">
      <c r="B1402" s="2" t="s">
        <v>174</v>
      </c>
      <c r="C1402" s="2" t="s">
        <v>262</v>
      </c>
      <c r="D1402" s="2" t="s">
        <v>151</v>
      </c>
      <c r="E1402" s="2" t="s">
        <v>295</v>
      </c>
      <c r="F1402" s="2" t="s">
        <v>292</v>
      </c>
      <c r="G1402" s="2" t="s">
        <v>296</v>
      </c>
      <c r="I1402">
        <f>HEX2DEC(_0811_173439[[#This Row],[580C]])*B$4/B$5+B$6</f>
        <v>840</v>
      </c>
      <c r="J1402">
        <f>HEX2DEC(_0811_173439[[#This Row],[4402]])*C$4/C$5+C$6</f>
        <v>37</v>
      </c>
      <c r="K1402">
        <f>HEX2DEC(_0811_173439[[#This Row],[580F]])*D$4/D$5+D$6</f>
        <v>30</v>
      </c>
      <c r="L1402">
        <f>ROUND(HEX2DEC(_0811_173439[[#This Row],[58F0]])*E$4/E$5+E$6,0)</f>
        <v>67</v>
      </c>
      <c r="M1402">
        <f>ROUND(HEX2DEC(_0811_173439[[#This Row],[5805]])*F$4/F$5+F$6,0)</f>
        <v>45</v>
      </c>
      <c r="N1402">
        <f>ROUND(HEX2DEC(_0811_173439[[#This Row],[58DD]])*G$4/G$5+G$6,2)</f>
        <v>-0.03</v>
      </c>
      <c r="P1402">
        <v>840</v>
      </c>
      <c r="Q1402">
        <v>37</v>
      </c>
      <c r="R1402">
        <v>30</v>
      </c>
      <c r="S1402">
        <v>67</v>
      </c>
      <c r="T1402">
        <v>45</v>
      </c>
      <c r="U1402">
        <v>-0.03</v>
      </c>
      <c r="W1402">
        <f>DataLog_T717420_Aug11_4_59_37pm[[#This Row],[RPM '[1/MIN']]]-Table3[[#This Row],[580C]]</f>
        <v>0</v>
      </c>
      <c r="X1402">
        <f>DataLog_T717420_Aug11_4_59_37pm[[#This Row],[OIL TEMP '[Â°C']]]-Table3[[#This Row],[4402]]</f>
        <v>0</v>
      </c>
      <c r="Y1402">
        <f>DataLog_T717420_Aug11_4_59_37pm[[#This Row],[INTAKE TEMP '[Â°C']]]-Table3[[#This Row],[580F]]</f>
        <v>0</v>
      </c>
      <c r="Z1402">
        <f>DataLog_T717420_Aug11_4_59_37pm[[#This Row],[HPFP PRES. '[BAR']]]-Table3[[#This Row],[58F0]]</f>
        <v>0</v>
      </c>
      <c r="AA1402">
        <f>DataLog_T717420_Aug11_4_59_37pm[[#This Row],[COOLANT TEMP '[Â°C']]]-Table3[[#This Row],[5805]]</f>
        <v>0</v>
      </c>
      <c r="AB1402">
        <f>DataLog_T717420_Aug11_4_59_37pm[[#This Row],[BOOST '[BAR']]]-Table3[[#This Row],[58DD]]</f>
        <v>0</v>
      </c>
    </row>
    <row r="1403" spans="2:28" x14ac:dyDescent="0.25">
      <c r="B1403" s="2" t="s">
        <v>146</v>
      </c>
      <c r="C1403" s="2" t="s">
        <v>262</v>
      </c>
      <c r="D1403" s="2" t="s">
        <v>151</v>
      </c>
      <c r="E1403" s="2" t="s">
        <v>115</v>
      </c>
      <c r="F1403" s="2" t="s">
        <v>292</v>
      </c>
      <c r="G1403" s="2" t="s">
        <v>297</v>
      </c>
      <c r="I1403">
        <f>HEX2DEC(_0811_173439[[#This Row],[580C]])*B$4/B$5+B$6</f>
        <v>960</v>
      </c>
      <c r="J1403">
        <f>HEX2DEC(_0811_173439[[#This Row],[4402]])*C$4/C$5+C$6</f>
        <v>37</v>
      </c>
      <c r="K1403">
        <f>HEX2DEC(_0811_173439[[#This Row],[580F]])*D$4/D$5+D$6</f>
        <v>30</v>
      </c>
      <c r="L1403">
        <f>ROUND(HEX2DEC(_0811_173439[[#This Row],[58F0]])*E$4/E$5+E$6,0)</f>
        <v>69</v>
      </c>
      <c r="M1403">
        <f>ROUND(HEX2DEC(_0811_173439[[#This Row],[5805]])*F$4/F$5+F$6,0)</f>
        <v>45</v>
      </c>
      <c r="N1403">
        <f>ROUND(HEX2DEC(_0811_173439[[#This Row],[58DD]])*G$4/G$5+G$6,2)</f>
        <v>-0.04</v>
      </c>
      <c r="P1403">
        <v>960</v>
      </c>
      <c r="Q1403">
        <v>37</v>
      </c>
      <c r="R1403">
        <v>30</v>
      </c>
      <c r="S1403">
        <v>69</v>
      </c>
      <c r="T1403">
        <v>45</v>
      </c>
      <c r="U1403">
        <v>-0.04</v>
      </c>
      <c r="W1403">
        <f>DataLog_T717420_Aug11_4_59_37pm[[#This Row],[RPM '[1/MIN']]]-Table3[[#This Row],[580C]]</f>
        <v>0</v>
      </c>
      <c r="X1403">
        <f>DataLog_T717420_Aug11_4_59_37pm[[#This Row],[OIL TEMP '[Â°C']]]-Table3[[#This Row],[4402]]</f>
        <v>0</v>
      </c>
      <c r="Y1403">
        <f>DataLog_T717420_Aug11_4_59_37pm[[#This Row],[INTAKE TEMP '[Â°C']]]-Table3[[#This Row],[580F]]</f>
        <v>0</v>
      </c>
      <c r="Z1403">
        <f>DataLog_T717420_Aug11_4_59_37pm[[#This Row],[HPFP PRES. '[BAR']]]-Table3[[#This Row],[58F0]]</f>
        <v>0</v>
      </c>
      <c r="AA1403">
        <f>DataLog_T717420_Aug11_4_59_37pm[[#This Row],[COOLANT TEMP '[Â°C']]]-Table3[[#This Row],[5805]]</f>
        <v>0</v>
      </c>
      <c r="AB1403">
        <f>DataLog_T717420_Aug11_4_59_37pm[[#This Row],[BOOST '[BAR']]]-Table3[[#This Row],[58DD]]</f>
        <v>0</v>
      </c>
    </row>
    <row r="1404" spans="2:28" x14ac:dyDescent="0.25">
      <c r="B1404" s="2" t="s">
        <v>120</v>
      </c>
      <c r="C1404" s="2" t="s">
        <v>262</v>
      </c>
      <c r="D1404" s="2" t="s">
        <v>151</v>
      </c>
      <c r="E1404" s="2" t="s">
        <v>298</v>
      </c>
      <c r="F1404" s="2" t="s">
        <v>292</v>
      </c>
      <c r="G1404" s="2" t="s">
        <v>299</v>
      </c>
      <c r="I1404">
        <f>HEX2DEC(_0811_173439[[#This Row],[580C]])*B$4/B$5+B$6</f>
        <v>1160</v>
      </c>
      <c r="J1404">
        <f>HEX2DEC(_0811_173439[[#This Row],[4402]])*C$4/C$5+C$6</f>
        <v>37</v>
      </c>
      <c r="K1404">
        <f>HEX2DEC(_0811_173439[[#This Row],[580F]])*D$4/D$5+D$6</f>
        <v>30</v>
      </c>
      <c r="L1404">
        <f>ROUND(HEX2DEC(_0811_173439[[#This Row],[58F0]])*E$4/E$5+E$6,0)</f>
        <v>73</v>
      </c>
      <c r="M1404">
        <f>ROUND(HEX2DEC(_0811_173439[[#This Row],[5805]])*F$4/F$5+F$6,0)</f>
        <v>45</v>
      </c>
      <c r="N1404">
        <f>ROUND(HEX2DEC(_0811_173439[[#This Row],[58DD]])*G$4/G$5+G$6,2)</f>
        <v>-0.04</v>
      </c>
      <c r="P1404">
        <v>1160</v>
      </c>
      <c r="Q1404">
        <v>37</v>
      </c>
      <c r="R1404">
        <v>30</v>
      </c>
      <c r="S1404">
        <v>73</v>
      </c>
      <c r="T1404">
        <v>45</v>
      </c>
      <c r="U1404">
        <v>-0.04</v>
      </c>
      <c r="W1404">
        <f>DataLog_T717420_Aug11_4_59_37pm[[#This Row],[RPM '[1/MIN']]]-Table3[[#This Row],[580C]]</f>
        <v>0</v>
      </c>
      <c r="X1404">
        <f>DataLog_T717420_Aug11_4_59_37pm[[#This Row],[OIL TEMP '[Â°C']]]-Table3[[#This Row],[4402]]</f>
        <v>0</v>
      </c>
      <c r="Y1404">
        <f>DataLog_T717420_Aug11_4_59_37pm[[#This Row],[INTAKE TEMP '[Â°C']]]-Table3[[#This Row],[580F]]</f>
        <v>0</v>
      </c>
      <c r="Z1404">
        <f>DataLog_T717420_Aug11_4_59_37pm[[#This Row],[HPFP PRES. '[BAR']]]-Table3[[#This Row],[58F0]]</f>
        <v>0</v>
      </c>
      <c r="AA1404">
        <f>DataLog_T717420_Aug11_4_59_37pm[[#This Row],[COOLANT TEMP '[Â°C']]]-Table3[[#This Row],[5805]]</f>
        <v>0</v>
      </c>
      <c r="AB1404">
        <f>DataLog_T717420_Aug11_4_59_37pm[[#This Row],[BOOST '[BAR']]]-Table3[[#This Row],[58DD]]</f>
        <v>0</v>
      </c>
    </row>
    <row r="1405" spans="2:28" x14ac:dyDescent="0.25">
      <c r="B1405" s="2" t="s">
        <v>81</v>
      </c>
      <c r="C1405" s="2" t="s">
        <v>262</v>
      </c>
      <c r="D1405" s="2" t="s">
        <v>151</v>
      </c>
      <c r="E1405" s="2" t="s">
        <v>300</v>
      </c>
      <c r="F1405" s="2" t="s">
        <v>292</v>
      </c>
      <c r="G1405" s="2" t="s">
        <v>301</v>
      </c>
      <c r="I1405">
        <f>HEX2DEC(_0811_173439[[#This Row],[580C]])*B$4/B$5+B$6</f>
        <v>1400</v>
      </c>
      <c r="J1405">
        <f>HEX2DEC(_0811_173439[[#This Row],[4402]])*C$4/C$5+C$6</f>
        <v>37</v>
      </c>
      <c r="K1405">
        <f>HEX2DEC(_0811_173439[[#This Row],[580F]])*D$4/D$5+D$6</f>
        <v>30</v>
      </c>
      <c r="L1405">
        <f>ROUND(HEX2DEC(_0811_173439[[#This Row],[58F0]])*E$4/E$5+E$6,0)</f>
        <v>84</v>
      </c>
      <c r="M1405">
        <f>ROUND(HEX2DEC(_0811_173439[[#This Row],[5805]])*F$4/F$5+F$6,0)</f>
        <v>45</v>
      </c>
      <c r="N1405">
        <f>ROUND(HEX2DEC(_0811_173439[[#This Row],[58DD]])*G$4/G$5+G$6,2)</f>
        <v>-0.04</v>
      </c>
      <c r="P1405">
        <v>1400</v>
      </c>
      <c r="Q1405">
        <v>37</v>
      </c>
      <c r="R1405">
        <v>30</v>
      </c>
      <c r="S1405">
        <v>84</v>
      </c>
      <c r="T1405">
        <v>45</v>
      </c>
      <c r="U1405">
        <v>-0.04</v>
      </c>
      <c r="W1405">
        <f>DataLog_T717420_Aug11_4_59_37pm[[#This Row],[RPM '[1/MIN']]]-Table3[[#This Row],[580C]]</f>
        <v>0</v>
      </c>
      <c r="X1405">
        <f>DataLog_T717420_Aug11_4_59_37pm[[#This Row],[OIL TEMP '[Â°C']]]-Table3[[#This Row],[4402]]</f>
        <v>0</v>
      </c>
      <c r="Y1405">
        <f>DataLog_T717420_Aug11_4_59_37pm[[#This Row],[INTAKE TEMP '[Â°C']]]-Table3[[#This Row],[580F]]</f>
        <v>0</v>
      </c>
      <c r="Z1405">
        <f>DataLog_T717420_Aug11_4_59_37pm[[#This Row],[HPFP PRES. '[BAR']]]-Table3[[#This Row],[58F0]]</f>
        <v>0</v>
      </c>
      <c r="AA1405">
        <f>DataLog_T717420_Aug11_4_59_37pm[[#This Row],[COOLANT TEMP '[Â°C']]]-Table3[[#This Row],[5805]]</f>
        <v>0</v>
      </c>
      <c r="AB1405">
        <f>DataLog_T717420_Aug11_4_59_37pm[[#This Row],[BOOST '[BAR']]]-Table3[[#This Row],[58DD]]</f>
        <v>0</v>
      </c>
    </row>
    <row r="1406" spans="2:28" x14ac:dyDescent="0.25">
      <c r="B1406" s="2" t="s">
        <v>302</v>
      </c>
      <c r="C1406" s="2" t="s">
        <v>262</v>
      </c>
      <c r="D1406" s="2" t="s">
        <v>151</v>
      </c>
      <c r="E1406" s="2" t="s">
        <v>303</v>
      </c>
      <c r="F1406" s="2" t="s">
        <v>292</v>
      </c>
      <c r="G1406" s="2" t="s">
        <v>304</v>
      </c>
      <c r="I1406">
        <f>HEX2DEC(_0811_173439[[#This Row],[580C]])*B$4/B$5+B$6</f>
        <v>1680</v>
      </c>
      <c r="J1406">
        <f>HEX2DEC(_0811_173439[[#This Row],[4402]])*C$4/C$5+C$6</f>
        <v>37</v>
      </c>
      <c r="K1406">
        <f>HEX2DEC(_0811_173439[[#This Row],[580F]])*D$4/D$5+D$6</f>
        <v>30</v>
      </c>
      <c r="L1406">
        <f>ROUND(HEX2DEC(_0811_173439[[#This Row],[58F0]])*E$4/E$5+E$6,0)</f>
        <v>91</v>
      </c>
      <c r="M1406">
        <f>ROUND(HEX2DEC(_0811_173439[[#This Row],[5805]])*F$4/F$5+F$6,0)</f>
        <v>45</v>
      </c>
      <c r="N1406">
        <f>ROUND(HEX2DEC(_0811_173439[[#This Row],[58DD]])*G$4/G$5+G$6,2)</f>
        <v>-0.04</v>
      </c>
      <c r="P1406">
        <v>1680</v>
      </c>
      <c r="Q1406">
        <v>37</v>
      </c>
      <c r="R1406">
        <v>30</v>
      </c>
      <c r="S1406">
        <v>91</v>
      </c>
      <c r="T1406">
        <v>45</v>
      </c>
      <c r="U1406">
        <v>-0.04</v>
      </c>
      <c r="W1406">
        <f>DataLog_T717420_Aug11_4_59_37pm[[#This Row],[RPM '[1/MIN']]]-Table3[[#This Row],[580C]]</f>
        <v>0</v>
      </c>
      <c r="X1406">
        <f>DataLog_T717420_Aug11_4_59_37pm[[#This Row],[OIL TEMP '[Â°C']]]-Table3[[#This Row],[4402]]</f>
        <v>0</v>
      </c>
      <c r="Y1406">
        <f>DataLog_T717420_Aug11_4_59_37pm[[#This Row],[INTAKE TEMP '[Â°C']]]-Table3[[#This Row],[580F]]</f>
        <v>0</v>
      </c>
      <c r="Z1406">
        <f>DataLog_T717420_Aug11_4_59_37pm[[#This Row],[HPFP PRES. '[BAR']]]-Table3[[#This Row],[58F0]]</f>
        <v>0</v>
      </c>
      <c r="AA1406">
        <f>DataLog_T717420_Aug11_4_59_37pm[[#This Row],[COOLANT TEMP '[Â°C']]]-Table3[[#This Row],[5805]]</f>
        <v>0</v>
      </c>
      <c r="AB1406">
        <f>DataLog_T717420_Aug11_4_59_37pm[[#This Row],[BOOST '[BAR']]]-Table3[[#This Row],[58DD]]</f>
        <v>0</v>
      </c>
    </row>
    <row r="1407" spans="2:28" x14ac:dyDescent="0.25">
      <c r="B1407" s="2" t="s">
        <v>305</v>
      </c>
      <c r="C1407" s="2" t="s">
        <v>262</v>
      </c>
      <c r="D1407" s="2" t="s">
        <v>151</v>
      </c>
      <c r="E1407" s="2" t="s">
        <v>306</v>
      </c>
      <c r="F1407" s="2" t="s">
        <v>292</v>
      </c>
      <c r="G1407" s="2" t="s">
        <v>307</v>
      </c>
      <c r="I1407">
        <f>HEX2DEC(_0811_173439[[#This Row],[580C]])*B$4/B$5+B$6</f>
        <v>1920</v>
      </c>
      <c r="J1407">
        <f>HEX2DEC(_0811_173439[[#This Row],[4402]])*C$4/C$5+C$6</f>
        <v>37</v>
      </c>
      <c r="K1407">
        <f>HEX2DEC(_0811_173439[[#This Row],[580F]])*D$4/D$5+D$6</f>
        <v>30</v>
      </c>
      <c r="L1407">
        <f>ROUND(HEX2DEC(_0811_173439[[#This Row],[58F0]])*E$4/E$5+E$6,0)</f>
        <v>93</v>
      </c>
      <c r="M1407">
        <f>ROUND(HEX2DEC(_0811_173439[[#This Row],[5805]])*F$4/F$5+F$6,0)</f>
        <v>45</v>
      </c>
      <c r="N1407">
        <f>ROUND(HEX2DEC(_0811_173439[[#This Row],[58DD]])*G$4/G$5+G$6,2)</f>
        <v>-0.05</v>
      </c>
      <c r="P1407">
        <v>1920</v>
      </c>
      <c r="Q1407">
        <v>37</v>
      </c>
      <c r="R1407">
        <v>30</v>
      </c>
      <c r="S1407">
        <v>93</v>
      </c>
      <c r="T1407">
        <v>45</v>
      </c>
      <c r="U1407">
        <v>-0.05</v>
      </c>
      <c r="W1407">
        <f>DataLog_T717420_Aug11_4_59_37pm[[#This Row],[RPM '[1/MIN']]]-Table3[[#This Row],[580C]]</f>
        <v>0</v>
      </c>
      <c r="X1407">
        <f>DataLog_T717420_Aug11_4_59_37pm[[#This Row],[OIL TEMP '[Â°C']]]-Table3[[#This Row],[4402]]</f>
        <v>0</v>
      </c>
      <c r="Y1407">
        <f>DataLog_T717420_Aug11_4_59_37pm[[#This Row],[INTAKE TEMP '[Â°C']]]-Table3[[#This Row],[580F]]</f>
        <v>0</v>
      </c>
      <c r="Z1407">
        <f>DataLog_T717420_Aug11_4_59_37pm[[#This Row],[HPFP PRES. '[BAR']]]-Table3[[#This Row],[58F0]]</f>
        <v>0</v>
      </c>
      <c r="AA1407">
        <f>DataLog_T717420_Aug11_4_59_37pm[[#This Row],[COOLANT TEMP '[Â°C']]]-Table3[[#This Row],[5805]]</f>
        <v>0</v>
      </c>
      <c r="AB1407">
        <f>DataLog_T717420_Aug11_4_59_37pm[[#This Row],[BOOST '[BAR']]]-Table3[[#This Row],[58DD]]</f>
        <v>0</v>
      </c>
    </row>
    <row r="1408" spans="2:28" x14ac:dyDescent="0.25">
      <c r="B1408" s="2" t="s">
        <v>308</v>
      </c>
      <c r="C1408" s="2" t="s">
        <v>262</v>
      </c>
      <c r="D1408" s="2" t="s">
        <v>151</v>
      </c>
      <c r="E1408" s="2" t="s">
        <v>309</v>
      </c>
      <c r="F1408" s="2" t="s">
        <v>292</v>
      </c>
      <c r="G1408" s="2" t="s">
        <v>310</v>
      </c>
      <c r="I1408">
        <f>HEX2DEC(_0811_173439[[#This Row],[580C]])*B$4/B$5+B$6</f>
        <v>2200</v>
      </c>
      <c r="J1408">
        <f>HEX2DEC(_0811_173439[[#This Row],[4402]])*C$4/C$5+C$6</f>
        <v>37</v>
      </c>
      <c r="K1408">
        <f>HEX2DEC(_0811_173439[[#This Row],[580F]])*D$4/D$5+D$6</f>
        <v>30</v>
      </c>
      <c r="L1408">
        <f>ROUND(HEX2DEC(_0811_173439[[#This Row],[58F0]])*E$4/E$5+E$6,0)</f>
        <v>100</v>
      </c>
      <c r="M1408">
        <f>ROUND(HEX2DEC(_0811_173439[[#This Row],[5805]])*F$4/F$5+F$6,0)</f>
        <v>45</v>
      </c>
      <c r="N1408">
        <f>ROUND(HEX2DEC(_0811_173439[[#This Row],[58DD]])*G$4/G$5+G$6,2)</f>
        <v>-0.04</v>
      </c>
      <c r="P1408">
        <v>2200</v>
      </c>
      <c r="Q1408">
        <v>37</v>
      </c>
      <c r="R1408">
        <v>30</v>
      </c>
      <c r="S1408">
        <v>100</v>
      </c>
      <c r="T1408">
        <v>45</v>
      </c>
      <c r="U1408">
        <v>-0.04</v>
      </c>
      <c r="W1408">
        <f>DataLog_T717420_Aug11_4_59_37pm[[#This Row],[RPM '[1/MIN']]]-Table3[[#This Row],[580C]]</f>
        <v>0</v>
      </c>
      <c r="X1408">
        <f>DataLog_T717420_Aug11_4_59_37pm[[#This Row],[OIL TEMP '[Â°C']]]-Table3[[#This Row],[4402]]</f>
        <v>0</v>
      </c>
      <c r="Y1408">
        <f>DataLog_T717420_Aug11_4_59_37pm[[#This Row],[INTAKE TEMP '[Â°C']]]-Table3[[#This Row],[580F]]</f>
        <v>0</v>
      </c>
      <c r="Z1408">
        <f>DataLog_T717420_Aug11_4_59_37pm[[#This Row],[HPFP PRES. '[BAR']]]-Table3[[#This Row],[58F0]]</f>
        <v>0</v>
      </c>
      <c r="AA1408">
        <f>DataLog_T717420_Aug11_4_59_37pm[[#This Row],[COOLANT TEMP '[Â°C']]]-Table3[[#This Row],[5805]]</f>
        <v>0</v>
      </c>
      <c r="AB1408">
        <f>DataLog_T717420_Aug11_4_59_37pm[[#This Row],[BOOST '[BAR']]]-Table3[[#This Row],[58DD]]</f>
        <v>0</v>
      </c>
    </row>
    <row r="1409" spans="2:28" x14ac:dyDescent="0.25">
      <c r="B1409" s="2" t="s">
        <v>311</v>
      </c>
      <c r="C1409" s="2" t="s">
        <v>262</v>
      </c>
      <c r="D1409" s="2" t="s">
        <v>151</v>
      </c>
      <c r="E1409" s="2" t="s">
        <v>312</v>
      </c>
      <c r="F1409" s="2" t="s">
        <v>292</v>
      </c>
      <c r="G1409" s="2" t="s">
        <v>169</v>
      </c>
      <c r="I1409">
        <f>HEX2DEC(_0811_173439[[#This Row],[580C]])*B$4/B$5+B$6</f>
        <v>2440</v>
      </c>
      <c r="J1409">
        <f>HEX2DEC(_0811_173439[[#This Row],[4402]])*C$4/C$5+C$6</f>
        <v>37</v>
      </c>
      <c r="K1409">
        <f>HEX2DEC(_0811_173439[[#This Row],[580F]])*D$4/D$5+D$6</f>
        <v>30</v>
      </c>
      <c r="L1409">
        <f>ROUND(HEX2DEC(_0811_173439[[#This Row],[58F0]])*E$4/E$5+E$6,0)</f>
        <v>103</v>
      </c>
      <c r="M1409">
        <f>ROUND(HEX2DEC(_0811_173439[[#This Row],[5805]])*F$4/F$5+F$6,0)</f>
        <v>45</v>
      </c>
      <c r="N1409">
        <f>ROUND(HEX2DEC(_0811_173439[[#This Row],[58DD]])*G$4/G$5+G$6,2)</f>
        <v>-0.02</v>
      </c>
      <c r="P1409">
        <v>2440</v>
      </c>
      <c r="Q1409">
        <v>37</v>
      </c>
      <c r="R1409">
        <v>30</v>
      </c>
      <c r="S1409">
        <v>103</v>
      </c>
      <c r="T1409">
        <v>45</v>
      </c>
      <c r="U1409">
        <v>-0.02</v>
      </c>
      <c r="W1409">
        <f>DataLog_T717420_Aug11_4_59_37pm[[#This Row],[RPM '[1/MIN']]]-Table3[[#This Row],[580C]]</f>
        <v>0</v>
      </c>
      <c r="X1409">
        <f>DataLog_T717420_Aug11_4_59_37pm[[#This Row],[OIL TEMP '[Â°C']]]-Table3[[#This Row],[4402]]</f>
        <v>0</v>
      </c>
      <c r="Y1409">
        <f>DataLog_T717420_Aug11_4_59_37pm[[#This Row],[INTAKE TEMP '[Â°C']]]-Table3[[#This Row],[580F]]</f>
        <v>0</v>
      </c>
      <c r="Z1409">
        <f>DataLog_T717420_Aug11_4_59_37pm[[#This Row],[HPFP PRES. '[BAR']]]-Table3[[#This Row],[58F0]]</f>
        <v>0</v>
      </c>
      <c r="AA1409">
        <f>DataLog_T717420_Aug11_4_59_37pm[[#This Row],[COOLANT TEMP '[Â°C']]]-Table3[[#This Row],[5805]]</f>
        <v>0</v>
      </c>
      <c r="AB1409">
        <f>DataLog_T717420_Aug11_4_59_37pm[[#This Row],[BOOST '[BAR']]]-Table3[[#This Row],[58DD]]</f>
        <v>0</v>
      </c>
    </row>
    <row r="1410" spans="2:28" x14ac:dyDescent="0.25">
      <c r="B1410" s="2" t="s">
        <v>313</v>
      </c>
      <c r="C1410" s="2" t="s">
        <v>262</v>
      </c>
      <c r="D1410" s="2" t="s">
        <v>151</v>
      </c>
      <c r="E1410" s="2" t="s">
        <v>314</v>
      </c>
      <c r="F1410" s="2" t="s">
        <v>292</v>
      </c>
      <c r="G1410" s="2" t="s">
        <v>315</v>
      </c>
      <c r="I1410">
        <f>HEX2DEC(_0811_173439[[#This Row],[580C]])*B$4/B$5+B$6</f>
        <v>2480</v>
      </c>
      <c r="J1410">
        <f>HEX2DEC(_0811_173439[[#This Row],[4402]])*C$4/C$5+C$6</f>
        <v>37</v>
      </c>
      <c r="K1410">
        <f>HEX2DEC(_0811_173439[[#This Row],[580F]])*D$4/D$5+D$6</f>
        <v>30</v>
      </c>
      <c r="L1410">
        <f>ROUND(HEX2DEC(_0811_173439[[#This Row],[58F0]])*E$4/E$5+E$6,0)</f>
        <v>107</v>
      </c>
      <c r="M1410">
        <f>ROUND(HEX2DEC(_0811_173439[[#This Row],[5805]])*F$4/F$5+F$6,0)</f>
        <v>45</v>
      </c>
      <c r="N1410">
        <f>ROUND(HEX2DEC(_0811_173439[[#This Row],[58DD]])*G$4/G$5+G$6,2)</f>
        <v>0.04</v>
      </c>
      <c r="P1410">
        <v>2480</v>
      </c>
      <c r="Q1410">
        <v>37</v>
      </c>
      <c r="R1410">
        <v>30</v>
      </c>
      <c r="S1410">
        <v>107</v>
      </c>
      <c r="T1410">
        <v>45</v>
      </c>
      <c r="U1410">
        <v>0.04</v>
      </c>
      <c r="W1410">
        <f>DataLog_T717420_Aug11_4_59_37pm[[#This Row],[RPM '[1/MIN']]]-Table3[[#This Row],[580C]]</f>
        <v>0</v>
      </c>
      <c r="X1410">
        <f>DataLog_T717420_Aug11_4_59_37pm[[#This Row],[OIL TEMP '[Â°C']]]-Table3[[#This Row],[4402]]</f>
        <v>0</v>
      </c>
      <c r="Y1410">
        <f>DataLog_T717420_Aug11_4_59_37pm[[#This Row],[INTAKE TEMP '[Â°C']]]-Table3[[#This Row],[580F]]</f>
        <v>0</v>
      </c>
      <c r="Z1410">
        <f>DataLog_T717420_Aug11_4_59_37pm[[#This Row],[HPFP PRES. '[BAR']]]-Table3[[#This Row],[58F0]]</f>
        <v>0</v>
      </c>
      <c r="AA1410">
        <f>DataLog_T717420_Aug11_4_59_37pm[[#This Row],[COOLANT TEMP '[Â°C']]]-Table3[[#This Row],[5805]]</f>
        <v>0</v>
      </c>
      <c r="AB1410">
        <f>DataLog_T717420_Aug11_4_59_37pm[[#This Row],[BOOST '[BAR']]]-Table3[[#This Row],[58DD]]</f>
        <v>0</v>
      </c>
    </row>
    <row r="1411" spans="2:28" x14ac:dyDescent="0.25">
      <c r="B1411" s="2" t="s">
        <v>311</v>
      </c>
      <c r="C1411" s="2" t="s">
        <v>262</v>
      </c>
      <c r="D1411" s="2" t="s">
        <v>151</v>
      </c>
      <c r="E1411" s="2" t="s">
        <v>316</v>
      </c>
      <c r="F1411" s="2" t="s">
        <v>292</v>
      </c>
      <c r="G1411" s="2" t="s">
        <v>317</v>
      </c>
      <c r="I1411">
        <f>HEX2DEC(_0811_173439[[#This Row],[580C]])*B$4/B$5+B$6</f>
        <v>2440</v>
      </c>
      <c r="J1411">
        <f>HEX2DEC(_0811_173439[[#This Row],[4402]])*C$4/C$5+C$6</f>
        <v>37</v>
      </c>
      <c r="K1411">
        <f>HEX2DEC(_0811_173439[[#This Row],[580F]])*D$4/D$5+D$6</f>
        <v>30</v>
      </c>
      <c r="L1411">
        <f>ROUND(HEX2DEC(_0811_173439[[#This Row],[58F0]])*E$4/E$5+E$6,0)</f>
        <v>110</v>
      </c>
      <c r="M1411">
        <f>ROUND(HEX2DEC(_0811_173439[[#This Row],[5805]])*F$4/F$5+F$6,0)</f>
        <v>45</v>
      </c>
      <c r="N1411">
        <f>ROUND(HEX2DEC(_0811_173439[[#This Row],[58DD]])*G$4/G$5+G$6,2)</f>
        <v>0.03</v>
      </c>
      <c r="P1411">
        <v>2440</v>
      </c>
      <c r="Q1411">
        <v>37</v>
      </c>
      <c r="R1411">
        <v>30</v>
      </c>
      <c r="S1411">
        <v>110</v>
      </c>
      <c r="T1411">
        <v>45</v>
      </c>
      <c r="U1411">
        <v>0.03</v>
      </c>
      <c r="W1411">
        <f>DataLog_T717420_Aug11_4_59_37pm[[#This Row],[RPM '[1/MIN']]]-Table3[[#This Row],[580C]]</f>
        <v>0</v>
      </c>
      <c r="X1411">
        <f>DataLog_T717420_Aug11_4_59_37pm[[#This Row],[OIL TEMP '[Â°C']]]-Table3[[#This Row],[4402]]</f>
        <v>0</v>
      </c>
      <c r="Y1411">
        <f>DataLog_T717420_Aug11_4_59_37pm[[#This Row],[INTAKE TEMP '[Â°C']]]-Table3[[#This Row],[580F]]</f>
        <v>0</v>
      </c>
      <c r="Z1411">
        <f>DataLog_T717420_Aug11_4_59_37pm[[#This Row],[HPFP PRES. '[BAR']]]-Table3[[#This Row],[58F0]]</f>
        <v>0</v>
      </c>
      <c r="AA1411">
        <f>DataLog_T717420_Aug11_4_59_37pm[[#This Row],[COOLANT TEMP '[Â°C']]]-Table3[[#This Row],[5805]]</f>
        <v>0</v>
      </c>
      <c r="AB1411">
        <f>DataLog_T717420_Aug11_4_59_37pm[[#This Row],[BOOST '[BAR']]]-Table3[[#This Row],[58DD]]</f>
        <v>0</v>
      </c>
    </row>
    <row r="1412" spans="2:28" x14ac:dyDescent="0.25">
      <c r="B1412" s="2" t="s">
        <v>318</v>
      </c>
      <c r="C1412" s="2" t="s">
        <v>262</v>
      </c>
      <c r="D1412" s="2" t="s">
        <v>151</v>
      </c>
      <c r="E1412" s="2" t="s">
        <v>316</v>
      </c>
      <c r="F1412" s="2" t="s">
        <v>292</v>
      </c>
      <c r="G1412" s="2" t="s">
        <v>319</v>
      </c>
      <c r="I1412">
        <f>HEX2DEC(_0811_173439[[#This Row],[580C]])*B$4/B$5+B$6</f>
        <v>2360</v>
      </c>
      <c r="J1412">
        <f>HEX2DEC(_0811_173439[[#This Row],[4402]])*C$4/C$5+C$6</f>
        <v>37</v>
      </c>
      <c r="K1412">
        <f>HEX2DEC(_0811_173439[[#This Row],[580F]])*D$4/D$5+D$6</f>
        <v>30</v>
      </c>
      <c r="L1412">
        <f>ROUND(HEX2DEC(_0811_173439[[#This Row],[58F0]])*E$4/E$5+E$6,0)</f>
        <v>110</v>
      </c>
      <c r="M1412">
        <f>ROUND(HEX2DEC(_0811_173439[[#This Row],[5805]])*F$4/F$5+F$6,0)</f>
        <v>45</v>
      </c>
      <c r="N1412">
        <f>ROUND(HEX2DEC(_0811_173439[[#This Row],[58DD]])*G$4/G$5+G$6,2)</f>
        <v>0.02</v>
      </c>
      <c r="P1412">
        <v>2360</v>
      </c>
      <c r="Q1412">
        <v>37</v>
      </c>
      <c r="R1412">
        <v>30</v>
      </c>
      <c r="S1412">
        <v>110</v>
      </c>
      <c r="T1412">
        <v>45</v>
      </c>
      <c r="U1412">
        <v>0.02</v>
      </c>
      <c r="W1412">
        <f>DataLog_T717420_Aug11_4_59_37pm[[#This Row],[RPM '[1/MIN']]]-Table3[[#This Row],[580C]]</f>
        <v>0</v>
      </c>
      <c r="X1412">
        <f>DataLog_T717420_Aug11_4_59_37pm[[#This Row],[OIL TEMP '[Â°C']]]-Table3[[#This Row],[4402]]</f>
        <v>0</v>
      </c>
      <c r="Y1412">
        <f>DataLog_T717420_Aug11_4_59_37pm[[#This Row],[INTAKE TEMP '[Â°C']]]-Table3[[#This Row],[580F]]</f>
        <v>0</v>
      </c>
      <c r="Z1412">
        <f>DataLog_T717420_Aug11_4_59_37pm[[#This Row],[HPFP PRES. '[BAR']]]-Table3[[#This Row],[58F0]]</f>
        <v>0</v>
      </c>
      <c r="AA1412">
        <f>DataLog_T717420_Aug11_4_59_37pm[[#This Row],[COOLANT TEMP '[Â°C']]]-Table3[[#This Row],[5805]]</f>
        <v>0</v>
      </c>
      <c r="AB1412">
        <f>DataLog_T717420_Aug11_4_59_37pm[[#This Row],[BOOST '[BAR']]]-Table3[[#This Row],[58DD]]</f>
        <v>0</v>
      </c>
    </row>
    <row r="1413" spans="2:28" x14ac:dyDescent="0.25">
      <c r="B1413" s="2" t="s">
        <v>320</v>
      </c>
      <c r="C1413" s="2" t="s">
        <v>262</v>
      </c>
      <c r="D1413" s="2" t="s">
        <v>151</v>
      </c>
      <c r="E1413" s="2" t="s">
        <v>316</v>
      </c>
      <c r="F1413" s="2" t="s">
        <v>292</v>
      </c>
      <c r="G1413" s="2" t="s">
        <v>321</v>
      </c>
      <c r="I1413">
        <f>HEX2DEC(_0811_173439[[#This Row],[580C]])*B$4/B$5+B$6</f>
        <v>2320</v>
      </c>
      <c r="J1413">
        <f>HEX2DEC(_0811_173439[[#This Row],[4402]])*C$4/C$5+C$6</f>
        <v>37</v>
      </c>
      <c r="K1413">
        <f>HEX2DEC(_0811_173439[[#This Row],[580F]])*D$4/D$5+D$6</f>
        <v>30</v>
      </c>
      <c r="L1413">
        <f>ROUND(HEX2DEC(_0811_173439[[#This Row],[58F0]])*E$4/E$5+E$6,0)</f>
        <v>110</v>
      </c>
      <c r="M1413">
        <f>ROUND(HEX2DEC(_0811_173439[[#This Row],[5805]])*F$4/F$5+F$6,0)</f>
        <v>45</v>
      </c>
      <c r="N1413">
        <f>ROUND(HEX2DEC(_0811_173439[[#This Row],[58DD]])*G$4/G$5+G$6,2)</f>
        <v>0.01</v>
      </c>
      <c r="P1413">
        <v>2320</v>
      </c>
      <c r="Q1413">
        <v>37</v>
      </c>
      <c r="R1413">
        <v>30</v>
      </c>
      <c r="S1413">
        <v>110</v>
      </c>
      <c r="T1413">
        <v>45</v>
      </c>
      <c r="U1413">
        <v>0.01</v>
      </c>
      <c r="W1413">
        <f>DataLog_T717420_Aug11_4_59_37pm[[#This Row],[RPM '[1/MIN']]]-Table3[[#This Row],[580C]]</f>
        <v>0</v>
      </c>
      <c r="X1413">
        <f>DataLog_T717420_Aug11_4_59_37pm[[#This Row],[OIL TEMP '[Â°C']]]-Table3[[#This Row],[4402]]</f>
        <v>0</v>
      </c>
      <c r="Y1413">
        <f>DataLog_T717420_Aug11_4_59_37pm[[#This Row],[INTAKE TEMP '[Â°C']]]-Table3[[#This Row],[580F]]</f>
        <v>0</v>
      </c>
      <c r="Z1413">
        <f>DataLog_T717420_Aug11_4_59_37pm[[#This Row],[HPFP PRES. '[BAR']]]-Table3[[#This Row],[58F0]]</f>
        <v>0</v>
      </c>
      <c r="AA1413">
        <f>DataLog_T717420_Aug11_4_59_37pm[[#This Row],[COOLANT TEMP '[Â°C']]]-Table3[[#This Row],[5805]]</f>
        <v>0</v>
      </c>
      <c r="AB1413">
        <f>DataLog_T717420_Aug11_4_59_37pm[[#This Row],[BOOST '[BAR']]]-Table3[[#This Row],[58DD]]</f>
        <v>0</v>
      </c>
    </row>
    <row r="1414" spans="2:28" x14ac:dyDescent="0.25">
      <c r="B1414" s="2" t="s">
        <v>322</v>
      </c>
      <c r="C1414" s="2" t="s">
        <v>262</v>
      </c>
      <c r="D1414" s="2" t="s">
        <v>151</v>
      </c>
      <c r="E1414" s="2" t="s">
        <v>316</v>
      </c>
      <c r="F1414" s="2" t="s">
        <v>292</v>
      </c>
      <c r="G1414" s="2" t="s">
        <v>323</v>
      </c>
      <c r="I1414">
        <f>HEX2DEC(_0811_173439[[#This Row],[580C]])*B$4/B$5+B$6</f>
        <v>2240</v>
      </c>
      <c r="J1414">
        <f>HEX2DEC(_0811_173439[[#This Row],[4402]])*C$4/C$5+C$6</f>
        <v>37</v>
      </c>
      <c r="K1414">
        <f>HEX2DEC(_0811_173439[[#This Row],[580F]])*D$4/D$5+D$6</f>
        <v>30</v>
      </c>
      <c r="L1414">
        <f>ROUND(HEX2DEC(_0811_173439[[#This Row],[58F0]])*E$4/E$5+E$6,0)</f>
        <v>110</v>
      </c>
      <c r="M1414">
        <f>ROUND(HEX2DEC(_0811_173439[[#This Row],[5805]])*F$4/F$5+F$6,0)</f>
        <v>45</v>
      </c>
      <c r="N1414">
        <f>ROUND(HEX2DEC(_0811_173439[[#This Row],[58DD]])*G$4/G$5+G$6,2)</f>
        <v>0.01</v>
      </c>
      <c r="P1414">
        <v>2240</v>
      </c>
      <c r="Q1414">
        <v>37</v>
      </c>
      <c r="R1414">
        <v>30</v>
      </c>
      <c r="S1414">
        <v>110</v>
      </c>
      <c r="T1414">
        <v>45</v>
      </c>
      <c r="U1414">
        <v>0.01</v>
      </c>
      <c r="W1414">
        <f>DataLog_T717420_Aug11_4_59_37pm[[#This Row],[RPM '[1/MIN']]]-Table3[[#This Row],[580C]]</f>
        <v>0</v>
      </c>
      <c r="X1414">
        <f>DataLog_T717420_Aug11_4_59_37pm[[#This Row],[OIL TEMP '[Â°C']]]-Table3[[#This Row],[4402]]</f>
        <v>0</v>
      </c>
      <c r="Y1414">
        <f>DataLog_T717420_Aug11_4_59_37pm[[#This Row],[INTAKE TEMP '[Â°C']]]-Table3[[#This Row],[580F]]</f>
        <v>0</v>
      </c>
      <c r="Z1414">
        <f>DataLog_T717420_Aug11_4_59_37pm[[#This Row],[HPFP PRES. '[BAR']]]-Table3[[#This Row],[58F0]]</f>
        <v>0</v>
      </c>
      <c r="AA1414">
        <f>DataLog_T717420_Aug11_4_59_37pm[[#This Row],[COOLANT TEMP '[Â°C']]]-Table3[[#This Row],[5805]]</f>
        <v>0</v>
      </c>
      <c r="AB1414">
        <f>DataLog_T717420_Aug11_4_59_37pm[[#This Row],[BOOST '[BAR']]]-Table3[[#This Row],[58DD]]</f>
        <v>0</v>
      </c>
    </row>
    <row r="1415" spans="2:28" x14ac:dyDescent="0.25">
      <c r="B1415" s="2" t="s">
        <v>308</v>
      </c>
      <c r="C1415" s="2" t="s">
        <v>262</v>
      </c>
      <c r="D1415" s="2" t="s">
        <v>151</v>
      </c>
      <c r="E1415" s="2" t="s">
        <v>316</v>
      </c>
      <c r="F1415" s="2" t="s">
        <v>292</v>
      </c>
      <c r="G1415" s="2" t="s">
        <v>324</v>
      </c>
      <c r="I1415">
        <f>HEX2DEC(_0811_173439[[#This Row],[580C]])*B$4/B$5+B$6</f>
        <v>2200</v>
      </c>
      <c r="J1415">
        <f>HEX2DEC(_0811_173439[[#This Row],[4402]])*C$4/C$5+C$6</f>
        <v>37</v>
      </c>
      <c r="K1415">
        <f>HEX2DEC(_0811_173439[[#This Row],[580F]])*D$4/D$5+D$6</f>
        <v>30</v>
      </c>
      <c r="L1415">
        <f>ROUND(HEX2DEC(_0811_173439[[#This Row],[58F0]])*E$4/E$5+E$6,0)</f>
        <v>110</v>
      </c>
      <c r="M1415">
        <f>ROUND(HEX2DEC(_0811_173439[[#This Row],[5805]])*F$4/F$5+F$6,0)</f>
        <v>45</v>
      </c>
      <c r="N1415">
        <f>ROUND(HEX2DEC(_0811_173439[[#This Row],[58DD]])*G$4/G$5+G$6,2)</f>
        <v>0.01</v>
      </c>
      <c r="P1415">
        <v>2200</v>
      </c>
      <c r="Q1415">
        <v>37</v>
      </c>
      <c r="R1415">
        <v>30</v>
      </c>
      <c r="S1415">
        <v>110</v>
      </c>
      <c r="T1415">
        <v>45</v>
      </c>
      <c r="U1415">
        <v>0.01</v>
      </c>
      <c r="W1415">
        <f>DataLog_T717420_Aug11_4_59_37pm[[#This Row],[RPM '[1/MIN']]]-Table3[[#This Row],[580C]]</f>
        <v>0</v>
      </c>
      <c r="X1415">
        <f>DataLog_T717420_Aug11_4_59_37pm[[#This Row],[OIL TEMP '[Â°C']]]-Table3[[#This Row],[4402]]</f>
        <v>0</v>
      </c>
      <c r="Y1415">
        <f>DataLog_T717420_Aug11_4_59_37pm[[#This Row],[INTAKE TEMP '[Â°C']]]-Table3[[#This Row],[580F]]</f>
        <v>0</v>
      </c>
      <c r="Z1415">
        <f>DataLog_T717420_Aug11_4_59_37pm[[#This Row],[HPFP PRES. '[BAR']]]-Table3[[#This Row],[58F0]]</f>
        <v>0</v>
      </c>
      <c r="AA1415">
        <f>DataLog_T717420_Aug11_4_59_37pm[[#This Row],[COOLANT TEMP '[Â°C']]]-Table3[[#This Row],[5805]]</f>
        <v>0</v>
      </c>
      <c r="AB1415">
        <f>DataLog_T717420_Aug11_4_59_37pm[[#This Row],[BOOST '[BAR']]]-Table3[[#This Row],[58DD]]</f>
        <v>0</v>
      </c>
    </row>
    <row r="1416" spans="2:28" x14ac:dyDescent="0.25">
      <c r="B1416" s="2" t="s">
        <v>325</v>
      </c>
      <c r="C1416" s="2" t="s">
        <v>262</v>
      </c>
      <c r="D1416" s="2" t="s">
        <v>151</v>
      </c>
      <c r="E1416" s="2" t="s">
        <v>316</v>
      </c>
      <c r="F1416" s="2" t="s">
        <v>292</v>
      </c>
      <c r="G1416" s="2" t="s">
        <v>326</v>
      </c>
      <c r="I1416">
        <f>HEX2DEC(_0811_173439[[#This Row],[580C]])*B$4/B$5+B$6</f>
        <v>2120</v>
      </c>
      <c r="J1416">
        <f>HEX2DEC(_0811_173439[[#This Row],[4402]])*C$4/C$5+C$6</f>
        <v>37</v>
      </c>
      <c r="K1416">
        <f>HEX2DEC(_0811_173439[[#This Row],[580F]])*D$4/D$5+D$6</f>
        <v>30</v>
      </c>
      <c r="L1416">
        <f>ROUND(HEX2DEC(_0811_173439[[#This Row],[58F0]])*E$4/E$5+E$6,0)</f>
        <v>110</v>
      </c>
      <c r="M1416">
        <f>ROUND(HEX2DEC(_0811_173439[[#This Row],[5805]])*F$4/F$5+F$6,0)</f>
        <v>45</v>
      </c>
      <c r="N1416">
        <f>ROUND(HEX2DEC(_0811_173439[[#This Row],[58DD]])*G$4/G$5+G$6,2)</f>
        <v>0.01</v>
      </c>
      <c r="P1416">
        <v>2120</v>
      </c>
      <c r="Q1416">
        <v>37</v>
      </c>
      <c r="R1416">
        <v>30</v>
      </c>
      <c r="S1416">
        <v>110</v>
      </c>
      <c r="T1416">
        <v>45</v>
      </c>
      <c r="U1416">
        <v>0.01</v>
      </c>
      <c r="W1416">
        <f>DataLog_T717420_Aug11_4_59_37pm[[#This Row],[RPM '[1/MIN']]]-Table3[[#This Row],[580C]]</f>
        <v>0</v>
      </c>
      <c r="X1416">
        <f>DataLog_T717420_Aug11_4_59_37pm[[#This Row],[OIL TEMP '[Â°C']]]-Table3[[#This Row],[4402]]</f>
        <v>0</v>
      </c>
      <c r="Y1416">
        <f>DataLog_T717420_Aug11_4_59_37pm[[#This Row],[INTAKE TEMP '[Â°C']]]-Table3[[#This Row],[580F]]</f>
        <v>0</v>
      </c>
      <c r="Z1416">
        <f>DataLog_T717420_Aug11_4_59_37pm[[#This Row],[HPFP PRES. '[BAR']]]-Table3[[#This Row],[58F0]]</f>
        <v>0</v>
      </c>
      <c r="AA1416">
        <f>DataLog_T717420_Aug11_4_59_37pm[[#This Row],[COOLANT TEMP '[Â°C']]]-Table3[[#This Row],[5805]]</f>
        <v>0</v>
      </c>
      <c r="AB1416">
        <f>DataLog_T717420_Aug11_4_59_37pm[[#This Row],[BOOST '[BAR']]]-Table3[[#This Row],[58DD]]</f>
        <v>0</v>
      </c>
    </row>
    <row r="1417" spans="2:28" x14ac:dyDescent="0.25">
      <c r="B1417" s="2" t="s">
        <v>327</v>
      </c>
      <c r="C1417" s="2" t="s">
        <v>262</v>
      </c>
      <c r="D1417" s="2" t="s">
        <v>151</v>
      </c>
      <c r="E1417" s="2" t="s">
        <v>316</v>
      </c>
      <c r="F1417" s="2" t="s">
        <v>292</v>
      </c>
      <c r="G1417" s="2" t="s">
        <v>328</v>
      </c>
      <c r="I1417">
        <f>HEX2DEC(_0811_173439[[#This Row],[580C]])*B$4/B$5+B$6</f>
        <v>2040</v>
      </c>
      <c r="J1417">
        <f>HEX2DEC(_0811_173439[[#This Row],[4402]])*C$4/C$5+C$6</f>
        <v>37</v>
      </c>
      <c r="K1417">
        <f>HEX2DEC(_0811_173439[[#This Row],[580F]])*D$4/D$5+D$6</f>
        <v>30</v>
      </c>
      <c r="L1417">
        <f>ROUND(HEX2DEC(_0811_173439[[#This Row],[58F0]])*E$4/E$5+E$6,0)</f>
        <v>110</v>
      </c>
      <c r="M1417">
        <f>ROUND(HEX2DEC(_0811_173439[[#This Row],[5805]])*F$4/F$5+F$6,0)</f>
        <v>45</v>
      </c>
      <c r="N1417">
        <f>ROUND(HEX2DEC(_0811_173439[[#This Row],[58DD]])*G$4/G$5+G$6,2)</f>
        <v>0</v>
      </c>
      <c r="P1417">
        <v>2040</v>
      </c>
      <c r="Q1417">
        <v>37</v>
      </c>
      <c r="R1417">
        <v>30</v>
      </c>
      <c r="S1417">
        <v>110</v>
      </c>
      <c r="T1417">
        <v>45</v>
      </c>
      <c r="U1417">
        <v>0</v>
      </c>
      <c r="W1417">
        <f>DataLog_T717420_Aug11_4_59_37pm[[#This Row],[RPM '[1/MIN']]]-Table3[[#This Row],[580C]]</f>
        <v>0</v>
      </c>
      <c r="X1417">
        <f>DataLog_T717420_Aug11_4_59_37pm[[#This Row],[OIL TEMP '[Â°C']]]-Table3[[#This Row],[4402]]</f>
        <v>0</v>
      </c>
      <c r="Y1417">
        <f>DataLog_T717420_Aug11_4_59_37pm[[#This Row],[INTAKE TEMP '[Â°C']]]-Table3[[#This Row],[580F]]</f>
        <v>0</v>
      </c>
      <c r="Z1417">
        <f>DataLog_T717420_Aug11_4_59_37pm[[#This Row],[HPFP PRES. '[BAR']]]-Table3[[#This Row],[58F0]]</f>
        <v>0</v>
      </c>
      <c r="AA1417">
        <f>DataLog_T717420_Aug11_4_59_37pm[[#This Row],[COOLANT TEMP '[Â°C']]]-Table3[[#This Row],[5805]]</f>
        <v>0</v>
      </c>
      <c r="AB1417">
        <f>DataLog_T717420_Aug11_4_59_37pm[[#This Row],[BOOST '[BAR']]]-Table3[[#This Row],[58DD]]</f>
        <v>0</v>
      </c>
    </row>
    <row r="1418" spans="2:28" x14ac:dyDescent="0.25">
      <c r="B1418" s="2" t="s">
        <v>329</v>
      </c>
      <c r="C1418" s="2" t="s">
        <v>262</v>
      </c>
      <c r="D1418" s="2" t="s">
        <v>151</v>
      </c>
      <c r="E1418" s="2" t="s">
        <v>316</v>
      </c>
      <c r="F1418" s="2" t="s">
        <v>292</v>
      </c>
      <c r="G1418" s="2" t="s">
        <v>330</v>
      </c>
      <c r="I1418">
        <f>HEX2DEC(_0811_173439[[#This Row],[580C]])*B$4/B$5+B$6</f>
        <v>2000</v>
      </c>
      <c r="J1418">
        <f>HEX2DEC(_0811_173439[[#This Row],[4402]])*C$4/C$5+C$6</f>
        <v>37</v>
      </c>
      <c r="K1418">
        <f>HEX2DEC(_0811_173439[[#This Row],[580F]])*D$4/D$5+D$6</f>
        <v>30</v>
      </c>
      <c r="L1418">
        <f>ROUND(HEX2DEC(_0811_173439[[#This Row],[58F0]])*E$4/E$5+E$6,0)</f>
        <v>110</v>
      </c>
      <c r="M1418">
        <f>ROUND(HEX2DEC(_0811_173439[[#This Row],[5805]])*F$4/F$5+F$6,0)</f>
        <v>45</v>
      </c>
      <c r="N1418">
        <f>ROUND(HEX2DEC(_0811_173439[[#This Row],[58DD]])*G$4/G$5+G$6,2)</f>
        <v>0</v>
      </c>
      <c r="P1418">
        <v>2000</v>
      </c>
      <c r="Q1418">
        <v>37</v>
      </c>
      <c r="R1418">
        <v>30</v>
      </c>
      <c r="S1418">
        <v>110</v>
      </c>
      <c r="T1418">
        <v>45</v>
      </c>
      <c r="U1418">
        <v>0</v>
      </c>
      <c r="W1418">
        <f>DataLog_T717420_Aug11_4_59_37pm[[#This Row],[RPM '[1/MIN']]]-Table3[[#This Row],[580C]]</f>
        <v>0</v>
      </c>
      <c r="X1418">
        <f>DataLog_T717420_Aug11_4_59_37pm[[#This Row],[OIL TEMP '[Â°C']]]-Table3[[#This Row],[4402]]</f>
        <v>0</v>
      </c>
      <c r="Y1418">
        <f>DataLog_T717420_Aug11_4_59_37pm[[#This Row],[INTAKE TEMP '[Â°C']]]-Table3[[#This Row],[580F]]</f>
        <v>0</v>
      </c>
      <c r="Z1418">
        <f>DataLog_T717420_Aug11_4_59_37pm[[#This Row],[HPFP PRES. '[BAR']]]-Table3[[#This Row],[58F0]]</f>
        <v>0</v>
      </c>
      <c r="AA1418">
        <f>DataLog_T717420_Aug11_4_59_37pm[[#This Row],[COOLANT TEMP '[Â°C']]]-Table3[[#This Row],[5805]]</f>
        <v>0</v>
      </c>
      <c r="AB1418">
        <f>DataLog_T717420_Aug11_4_59_37pm[[#This Row],[BOOST '[BAR']]]-Table3[[#This Row],[58DD]]</f>
        <v>0</v>
      </c>
    </row>
    <row r="1419" spans="2:28" x14ac:dyDescent="0.25">
      <c r="B1419" s="2" t="s">
        <v>305</v>
      </c>
      <c r="C1419" s="2" t="s">
        <v>262</v>
      </c>
      <c r="D1419" s="2" t="s">
        <v>151</v>
      </c>
      <c r="E1419" s="2" t="s">
        <v>331</v>
      </c>
      <c r="F1419" s="2" t="s">
        <v>292</v>
      </c>
      <c r="G1419" s="2" t="s">
        <v>332</v>
      </c>
      <c r="I1419">
        <f>HEX2DEC(_0811_173439[[#This Row],[580C]])*B$4/B$5+B$6</f>
        <v>1920</v>
      </c>
      <c r="J1419">
        <f>HEX2DEC(_0811_173439[[#This Row],[4402]])*C$4/C$5+C$6</f>
        <v>37</v>
      </c>
      <c r="K1419">
        <f>HEX2DEC(_0811_173439[[#This Row],[580F]])*D$4/D$5+D$6</f>
        <v>30</v>
      </c>
      <c r="L1419">
        <f>ROUND(HEX2DEC(_0811_173439[[#This Row],[58F0]])*E$4/E$5+E$6,0)</f>
        <v>110</v>
      </c>
      <c r="M1419">
        <f>ROUND(HEX2DEC(_0811_173439[[#This Row],[5805]])*F$4/F$5+F$6,0)</f>
        <v>45</v>
      </c>
      <c r="N1419">
        <f>ROUND(HEX2DEC(_0811_173439[[#This Row],[58DD]])*G$4/G$5+G$6,2)</f>
        <v>0</v>
      </c>
      <c r="P1419">
        <v>1920</v>
      </c>
      <c r="Q1419">
        <v>37</v>
      </c>
      <c r="R1419">
        <v>30</v>
      </c>
      <c r="S1419">
        <v>110</v>
      </c>
      <c r="T1419">
        <v>45</v>
      </c>
      <c r="U1419">
        <v>0</v>
      </c>
      <c r="W1419">
        <f>DataLog_T717420_Aug11_4_59_37pm[[#This Row],[RPM '[1/MIN']]]-Table3[[#This Row],[580C]]</f>
        <v>0</v>
      </c>
      <c r="X1419">
        <f>DataLog_T717420_Aug11_4_59_37pm[[#This Row],[OIL TEMP '[Â°C']]]-Table3[[#This Row],[4402]]</f>
        <v>0</v>
      </c>
      <c r="Y1419">
        <f>DataLog_T717420_Aug11_4_59_37pm[[#This Row],[INTAKE TEMP '[Â°C']]]-Table3[[#This Row],[580F]]</f>
        <v>0</v>
      </c>
      <c r="Z1419">
        <f>DataLog_T717420_Aug11_4_59_37pm[[#This Row],[HPFP PRES. '[BAR']]]-Table3[[#This Row],[58F0]]</f>
        <v>0</v>
      </c>
      <c r="AA1419">
        <f>DataLog_T717420_Aug11_4_59_37pm[[#This Row],[COOLANT TEMP '[Â°C']]]-Table3[[#This Row],[5805]]</f>
        <v>0</v>
      </c>
      <c r="AB1419">
        <f>DataLog_T717420_Aug11_4_59_37pm[[#This Row],[BOOST '[BAR']]]-Table3[[#This Row],[58DD]]</f>
        <v>0</v>
      </c>
    </row>
    <row r="1420" spans="2:28" x14ac:dyDescent="0.25">
      <c r="B1420" s="2" t="s">
        <v>333</v>
      </c>
      <c r="C1420" s="2" t="s">
        <v>262</v>
      </c>
      <c r="D1420" s="2" t="s">
        <v>151</v>
      </c>
      <c r="E1420" s="2" t="s">
        <v>334</v>
      </c>
      <c r="F1420" s="2" t="s">
        <v>292</v>
      </c>
      <c r="G1420" s="2" t="s">
        <v>335</v>
      </c>
      <c r="I1420">
        <f>HEX2DEC(_0811_173439[[#This Row],[580C]])*B$4/B$5+B$6</f>
        <v>1880</v>
      </c>
      <c r="J1420">
        <f>HEX2DEC(_0811_173439[[#This Row],[4402]])*C$4/C$5+C$6</f>
        <v>37</v>
      </c>
      <c r="K1420">
        <f>HEX2DEC(_0811_173439[[#This Row],[580F]])*D$4/D$5+D$6</f>
        <v>30</v>
      </c>
      <c r="L1420">
        <f>ROUND(HEX2DEC(_0811_173439[[#This Row],[58F0]])*E$4/E$5+E$6,0)</f>
        <v>110</v>
      </c>
      <c r="M1420">
        <f>ROUND(HEX2DEC(_0811_173439[[#This Row],[5805]])*F$4/F$5+F$6,0)</f>
        <v>45</v>
      </c>
      <c r="N1420">
        <f>ROUND(HEX2DEC(_0811_173439[[#This Row],[58DD]])*G$4/G$5+G$6,2)</f>
        <v>0</v>
      </c>
      <c r="P1420">
        <v>1880</v>
      </c>
      <c r="Q1420">
        <v>37</v>
      </c>
      <c r="R1420">
        <v>30</v>
      </c>
      <c r="S1420">
        <v>110</v>
      </c>
      <c r="T1420">
        <v>45</v>
      </c>
      <c r="U1420">
        <v>0</v>
      </c>
      <c r="W1420">
        <f>DataLog_T717420_Aug11_4_59_37pm[[#This Row],[RPM '[1/MIN']]]-Table3[[#This Row],[580C]]</f>
        <v>0</v>
      </c>
      <c r="X1420">
        <f>DataLog_T717420_Aug11_4_59_37pm[[#This Row],[OIL TEMP '[Â°C']]]-Table3[[#This Row],[4402]]</f>
        <v>0</v>
      </c>
      <c r="Y1420">
        <f>DataLog_T717420_Aug11_4_59_37pm[[#This Row],[INTAKE TEMP '[Â°C']]]-Table3[[#This Row],[580F]]</f>
        <v>0</v>
      </c>
      <c r="Z1420">
        <f>DataLog_T717420_Aug11_4_59_37pm[[#This Row],[HPFP PRES. '[BAR']]]-Table3[[#This Row],[58F0]]</f>
        <v>0</v>
      </c>
      <c r="AA1420">
        <f>DataLog_T717420_Aug11_4_59_37pm[[#This Row],[COOLANT TEMP '[Â°C']]]-Table3[[#This Row],[5805]]</f>
        <v>0</v>
      </c>
      <c r="AB1420">
        <f>DataLog_T717420_Aug11_4_59_37pm[[#This Row],[BOOST '[BAR']]]-Table3[[#This Row],[58DD]]</f>
        <v>0</v>
      </c>
    </row>
    <row r="1421" spans="2:28" x14ac:dyDescent="0.25">
      <c r="B1421" s="2" t="s">
        <v>336</v>
      </c>
      <c r="C1421" s="2" t="s">
        <v>262</v>
      </c>
      <c r="D1421" s="2" t="s">
        <v>151</v>
      </c>
      <c r="E1421" s="2" t="s">
        <v>337</v>
      </c>
      <c r="F1421" s="2" t="s">
        <v>292</v>
      </c>
      <c r="G1421" s="2" t="s">
        <v>338</v>
      </c>
      <c r="I1421">
        <f>HEX2DEC(_0811_173439[[#This Row],[580C]])*B$4/B$5+B$6</f>
        <v>1800</v>
      </c>
      <c r="J1421">
        <f>HEX2DEC(_0811_173439[[#This Row],[4402]])*C$4/C$5+C$6</f>
        <v>37</v>
      </c>
      <c r="K1421">
        <f>HEX2DEC(_0811_173439[[#This Row],[580F]])*D$4/D$5+D$6</f>
        <v>30</v>
      </c>
      <c r="L1421">
        <f>ROUND(HEX2DEC(_0811_173439[[#This Row],[58F0]])*E$4/E$5+E$6,0)</f>
        <v>110</v>
      </c>
      <c r="M1421">
        <f>ROUND(HEX2DEC(_0811_173439[[#This Row],[5805]])*F$4/F$5+F$6,0)</f>
        <v>45</v>
      </c>
      <c r="N1421">
        <f>ROUND(HEX2DEC(_0811_173439[[#This Row],[58DD]])*G$4/G$5+G$6,2)</f>
        <v>0</v>
      </c>
      <c r="P1421">
        <v>1800</v>
      </c>
      <c r="Q1421">
        <v>37</v>
      </c>
      <c r="R1421">
        <v>30</v>
      </c>
      <c r="S1421">
        <v>110</v>
      </c>
      <c r="T1421">
        <v>45</v>
      </c>
      <c r="U1421">
        <v>0</v>
      </c>
      <c r="W1421">
        <f>DataLog_T717420_Aug11_4_59_37pm[[#This Row],[RPM '[1/MIN']]]-Table3[[#This Row],[580C]]</f>
        <v>0</v>
      </c>
      <c r="X1421">
        <f>DataLog_T717420_Aug11_4_59_37pm[[#This Row],[OIL TEMP '[Â°C']]]-Table3[[#This Row],[4402]]</f>
        <v>0</v>
      </c>
      <c r="Y1421">
        <f>DataLog_T717420_Aug11_4_59_37pm[[#This Row],[INTAKE TEMP '[Â°C']]]-Table3[[#This Row],[580F]]</f>
        <v>0</v>
      </c>
      <c r="Z1421">
        <f>DataLog_T717420_Aug11_4_59_37pm[[#This Row],[HPFP PRES. '[BAR']]]-Table3[[#This Row],[58F0]]</f>
        <v>0</v>
      </c>
      <c r="AA1421">
        <f>DataLog_T717420_Aug11_4_59_37pm[[#This Row],[COOLANT TEMP '[Â°C']]]-Table3[[#This Row],[5805]]</f>
        <v>0</v>
      </c>
      <c r="AB1421">
        <f>DataLog_T717420_Aug11_4_59_37pm[[#This Row],[BOOST '[BAR']]]-Table3[[#This Row],[58DD]]</f>
        <v>0</v>
      </c>
    </row>
    <row r="1422" spans="2:28" x14ac:dyDescent="0.25">
      <c r="B1422" s="2" t="s">
        <v>339</v>
      </c>
      <c r="C1422" s="2" t="s">
        <v>262</v>
      </c>
      <c r="D1422" s="2" t="s">
        <v>151</v>
      </c>
      <c r="E1422" s="2" t="s">
        <v>334</v>
      </c>
      <c r="F1422" s="2" t="s">
        <v>292</v>
      </c>
      <c r="G1422" s="2" t="s">
        <v>340</v>
      </c>
      <c r="I1422">
        <f>HEX2DEC(_0811_173439[[#This Row],[580C]])*B$4/B$5+B$6</f>
        <v>1720</v>
      </c>
      <c r="J1422">
        <f>HEX2DEC(_0811_173439[[#This Row],[4402]])*C$4/C$5+C$6</f>
        <v>37</v>
      </c>
      <c r="K1422">
        <f>HEX2DEC(_0811_173439[[#This Row],[580F]])*D$4/D$5+D$6</f>
        <v>30</v>
      </c>
      <c r="L1422">
        <f>ROUND(HEX2DEC(_0811_173439[[#This Row],[58F0]])*E$4/E$5+E$6,0)</f>
        <v>110</v>
      </c>
      <c r="M1422">
        <f>ROUND(HEX2DEC(_0811_173439[[#This Row],[5805]])*F$4/F$5+F$6,0)</f>
        <v>45</v>
      </c>
      <c r="N1422">
        <f>ROUND(HEX2DEC(_0811_173439[[#This Row],[58DD]])*G$4/G$5+G$6,2)</f>
        <v>0</v>
      </c>
      <c r="P1422">
        <v>1720</v>
      </c>
      <c r="Q1422">
        <v>37</v>
      </c>
      <c r="R1422">
        <v>30</v>
      </c>
      <c r="S1422">
        <v>110</v>
      </c>
      <c r="T1422">
        <v>45</v>
      </c>
      <c r="U1422">
        <v>0</v>
      </c>
      <c r="W1422">
        <f>DataLog_T717420_Aug11_4_59_37pm[[#This Row],[RPM '[1/MIN']]]-Table3[[#This Row],[580C]]</f>
        <v>0</v>
      </c>
      <c r="X1422">
        <f>DataLog_T717420_Aug11_4_59_37pm[[#This Row],[OIL TEMP '[Â°C']]]-Table3[[#This Row],[4402]]</f>
        <v>0</v>
      </c>
      <c r="Y1422">
        <f>DataLog_T717420_Aug11_4_59_37pm[[#This Row],[INTAKE TEMP '[Â°C']]]-Table3[[#This Row],[580F]]</f>
        <v>0</v>
      </c>
      <c r="Z1422">
        <f>DataLog_T717420_Aug11_4_59_37pm[[#This Row],[HPFP PRES. '[BAR']]]-Table3[[#This Row],[58F0]]</f>
        <v>0</v>
      </c>
      <c r="AA1422">
        <f>DataLog_T717420_Aug11_4_59_37pm[[#This Row],[COOLANT TEMP '[Â°C']]]-Table3[[#This Row],[5805]]</f>
        <v>0</v>
      </c>
      <c r="AB1422">
        <f>DataLog_T717420_Aug11_4_59_37pm[[#This Row],[BOOST '[BAR']]]-Table3[[#This Row],[58DD]]</f>
        <v>0</v>
      </c>
    </row>
    <row r="1423" spans="2:28" x14ac:dyDescent="0.25">
      <c r="B1423" s="2" t="s">
        <v>302</v>
      </c>
      <c r="C1423" s="2" t="s">
        <v>262</v>
      </c>
      <c r="D1423" s="2" t="s">
        <v>151</v>
      </c>
      <c r="E1423" s="2" t="s">
        <v>334</v>
      </c>
      <c r="F1423" s="2" t="s">
        <v>292</v>
      </c>
      <c r="G1423" s="2" t="s">
        <v>341</v>
      </c>
      <c r="I1423">
        <f>HEX2DEC(_0811_173439[[#This Row],[580C]])*B$4/B$5+B$6</f>
        <v>1680</v>
      </c>
      <c r="J1423">
        <f>HEX2DEC(_0811_173439[[#This Row],[4402]])*C$4/C$5+C$6</f>
        <v>37</v>
      </c>
      <c r="K1423">
        <f>HEX2DEC(_0811_173439[[#This Row],[580F]])*D$4/D$5+D$6</f>
        <v>30</v>
      </c>
      <c r="L1423">
        <f>ROUND(HEX2DEC(_0811_173439[[#This Row],[58F0]])*E$4/E$5+E$6,0)</f>
        <v>110</v>
      </c>
      <c r="M1423">
        <f>ROUND(HEX2DEC(_0811_173439[[#This Row],[5805]])*F$4/F$5+F$6,0)</f>
        <v>45</v>
      </c>
      <c r="N1423">
        <f>ROUND(HEX2DEC(_0811_173439[[#This Row],[58DD]])*G$4/G$5+G$6,2)</f>
        <v>-0.01</v>
      </c>
      <c r="P1423">
        <v>1680</v>
      </c>
      <c r="Q1423">
        <v>37</v>
      </c>
      <c r="R1423">
        <v>30</v>
      </c>
      <c r="S1423">
        <v>110</v>
      </c>
      <c r="T1423">
        <v>45</v>
      </c>
      <c r="U1423">
        <v>-0.01</v>
      </c>
      <c r="W1423">
        <f>DataLog_T717420_Aug11_4_59_37pm[[#This Row],[RPM '[1/MIN']]]-Table3[[#This Row],[580C]]</f>
        <v>0</v>
      </c>
      <c r="X1423">
        <f>DataLog_T717420_Aug11_4_59_37pm[[#This Row],[OIL TEMP '[Â°C']]]-Table3[[#This Row],[4402]]</f>
        <v>0</v>
      </c>
      <c r="Y1423">
        <f>DataLog_T717420_Aug11_4_59_37pm[[#This Row],[INTAKE TEMP '[Â°C']]]-Table3[[#This Row],[580F]]</f>
        <v>0</v>
      </c>
      <c r="Z1423">
        <f>DataLog_T717420_Aug11_4_59_37pm[[#This Row],[HPFP PRES. '[BAR']]]-Table3[[#This Row],[58F0]]</f>
        <v>0</v>
      </c>
      <c r="AA1423">
        <f>DataLog_T717420_Aug11_4_59_37pm[[#This Row],[COOLANT TEMP '[Â°C']]]-Table3[[#This Row],[5805]]</f>
        <v>0</v>
      </c>
      <c r="AB1423">
        <f>DataLog_T717420_Aug11_4_59_37pm[[#This Row],[BOOST '[BAR']]]-Table3[[#This Row],[58DD]]</f>
        <v>0</v>
      </c>
    </row>
    <row r="1424" spans="2:28" x14ac:dyDescent="0.25">
      <c r="B1424" s="2" t="s">
        <v>342</v>
      </c>
      <c r="C1424" s="2" t="s">
        <v>262</v>
      </c>
      <c r="D1424" s="2" t="s">
        <v>151</v>
      </c>
      <c r="E1424" s="2" t="s">
        <v>334</v>
      </c>
      <c r="F1424" s="2" t="s">
        <v>292</v>
      </c>
      <c r="G1424" s="2" t="s">
        <v>343</v>
      </c>
      <c r="I1424">
        <f>HEX2DEC(_0811_173439[[#This Row],[580C]])*B$4/B$5+B$6</f>
        <v>1600</v>
      </c>
      <c r="J1424">
        <f>HEX2DEC(_0811_173439[[#This Row],[4402]])*C$4/C$5+C$6</f>
        <v>37</v>
      </c>
      <c r="K1424">
        <f>HEX2DEC(_0811_173439[[#This Row],[580F]])*D$4/D$5+D$6</f>
        <v>30</v>
      </c>
      <c r="L1424">
        <f>ROUND(HEX2DEC(_0811_173439[[#This Row],[58F0]])*E$4/E$5+E$6,0)</f>
        <v>110</v>
      </c>
      <c r="M1424">
        <f>ROUND(HEX2DEC(_0811_173439[[#This Row],[5805]])*F$4/F$5+F$6,0)</f>
        <v>45</v>
      </c>
      <c r="N1424">
        <f>ROUND(HEX2DEC(_0811_173439[[#This Row],[58DD]])*G$4/G$5+G$6,2)</f>
        <v>-0.01</v>
      </c>
      <c r="P1424">
        <v>1600</v>
      </c>
      <c r="Q1424">
        <v>37</v>
      </c>
      <c r="R1424">
        <v>30</v>
      </c>
      <c r="S1424">
        <v>110</v>
      </c>
      <c r="T1424">
        <v>45</v>
      </c>
      <c r="U1424">
        <v>-0.01</v>
      </c>
      <c r="W1424">
        <f>DataLog_T717420_Aug11_4_59_37pm[[#This Row],[RPM '[1/MIN']]]-Table3[[#This Row],[580C]]</f>
        <v>0</v>
      </c>
      <c r="X1424">
        <f>DataLog_T717420_Aug11_4_59_37pm[[#This Row],[OIL TEMP '[Â°C']]]-Table3[[#This Row],[4402]]</f>
        <v>0</v>
      </c>
      <c r="Y1424">
        <f>DataLog_T717420_Aug11_4_59_37pm[[#This Row],[INTAKE TEMP '[Â°C']]]-Table3[[#This Row],[580F]]</f>
        <v>0</v>
      </c>
      <c r="Z1424">
        <f>DataLog_T717420_Aug11_4_59_37pm[[#This Row],[HPFP PRES. '[BAR']]]-Table3[[#This Row],[58F0]]</f>
        <v>0</v>
      </c>
      <c r="AA1424">
        <f>DataLog_T717420_Aug11_4_59_37pm[[#This Row],[COOLANT TEMP '[Â°C']]]-Table3[[#This Row],[5805]]</f>
        <v>0</v>
      </c>
      <c r="AB1424">
        <f>DataLog_T717420_Aug11_4_59_37pm[[#This Row],[BOOST '[BAR']]]-Table3[[#This Row],[58DD]]</f>
        <v>0</v>
      </c>
    </row>
    <row r="1425" spans="2:28" x14ac:dyDescent="0.25">
      <c r="B1425" s="2" t="s">
        <v>344</v>
      </c>
      <c r="C1425" s="2" t="s">
        <v>262</v>
      </c>
      <c r="D1425" s="2" t="s">
        <v>151</v>
      </c>
      <c r="E1425" s="2" t="s">
        <v>334</v>
      </c>
      <c r="F1425" s="2" t="s">
        <v>292</v>
      </c>
      <c r="G1425" s="2" t="s">
        <v>345</v>
      </c>
      <c r="I1425">
        <f>HEX2DEC(_0811_173439[[#This Row],[580C]])*B$4/B$5+B$6</f>
        <v>1560</v>
      </c>
      <c r="J1425">
        <f>HEX2DEC(_0811_173439[[#This Row],[4402]])*C$4/C$5+C$6</f>
        <v>37</v>
      </c>
      <c r="K1425">
        <f>HEX2DEC(_0811_173439[[#This Row],[580F]])*D$4/D$5+D$6</f>
        <v>30</v>
      </c>
      <c r="L1425">
        <f>ROUND(HEX2DEC(_0811_173439[[#This Row],[58F0]])*E$4/E$5+E$6,0)</f>
        <v>110</v>
      </c>
      <c r="M1425">
        <f>ROUND(HEX2DEC(_0811_173439[[#This Row],[5805]])*F$4/F$5+F$6,0)</f>
        <v>45</v>
      </c>
      <c r="N1425">
        <f>ROUND(HEX2DEC(_0811_173439[[#This Row],[58DD]])*G$4/G$5+G$6,2)</f>
        <v>-0.01</v>
      </c>
      <c r="P1425">
        <v>1560</v>
      </c>
      <c r="Q1425">
        <v>37</v>
      </c>
      <c r="R1425">
        <v>30</v>
      </c>
      <c r="S1425">
        <v>110</v>
      </c>
      <c r="T1425">
        <v>45</v>
      </c>
      <c r="U1425">
        <v>-0.01</v>
      </c>
      <c r="W1425">
        <f>DataLog_T717420_Aug11_4_59_37pm[[#This Row],[RPM '[1/MIN']]]-Table3[[#This Row],[580C]]</f>
        <v>0</v>
      </c>
      <c r="X1425">
        <f>DataLog_T717420_Aug11_4_59_37pm[[#This Row],[OIL TEMP '[Â°C']]]-Table3[[#This Row],[4402]]</f>
        <v>0</v>
      </c>
      <c r="Y1425">
        <f>DataLog_T717420_Aug11_4_59_37pm[[#This Row],[INTAKE TEMP '[Â°C']]]-Table3[[#This Row],[580F]]</f>
        <v>0</v>
      </c>
      <c r="Z1425">
        <f>DataLog_T717420_Aug11_4_59_37pm[[#This Row],[HPFP PRES. '[BAR']]]-Table3[[#This Row],[58F0]]</f>
        <v>0</v>
      </c>
      <c r="AA1425">
        <f>DataLog_T717420_Aug11_4_59_37pm[[#This Row],[COOLANT TEMP '[Â°C']]]-Table3[[#This Row],[5805]]</f>
        <v>0</v>
      </c>
      <c r="AB1425">
        <f>DataLog_T717420_Aug11_4_59_37pm[[#This Row],[BOOST '[BAR']]]-Table3[[#This Row],[58DD]]</f>
        <v>0</v>
      </c>
    </row>
    <row r="1426" spans="2:28" x14ac:dyDescent="0.25">
      <c r="B1426" s="2" t="s">
        <v>88</v>
      </c>
      <c r="C1426" s="2" t="s">
        <v>262</v>
      </c>
      <c r="D1426" s="2" t="s">
        <v>151</v>
      </c>
      <c r="E1426" s="2" t="s">
        <v>334</v>
      </c>
      <c r="F1426" s="2" t="s">
        <v>292</v>
      </c>
      <c r="G1426" s="2" t="s">
        <v>346</v>
      </c>
      <c r="I1426">
        <f>HEX2DEC(_0811_173439[[#This Row],[580C]])*B$4/B$5+B$6</f>
        <v>1480</v>
      </c>
      <c r="J1426">
        <f>HEX2DEC(_0811_173439[[#This Row],[4402]])*C$4/C$5+C$6</f>
        <v>37</v>
      </c>
      <c r="K1426">
        <f>HEX2DEC(_0811_173439[[#This Row],[580F]])*D$4/D$5+D$6</f>
        <v>30</v>
      </c>
      <c r="L1426">
        <f>ROUND(HEX2DEC(_0811_173439[[#This Row],[58F0]])*E$4/E$5+E$6,0)</f>
        <v>110</v>
      </c>
      <c r="M1426">
        <f>ROUND(HEX2DEC(_0811_173439[[#This Row],[5805]])*F$4/F$5+F$6,0)</f>
        <v>45</v>
      </c>
      <c r="N1426">
        <f>ROUND(HEX2DEC(_0811_173439[[#This Row],[58DD]])*G$4/G$5+G$6,2)</f>
        <v>-0.01</v>
      </c>
      <c r="P1426">
        <v>1480</v>
      </c>
      <c r="Q1426">
        <v>37</v>
      </c>
      <c r="R1426">
        <v>30</v>
      </c>
      <c r="S1426">
        <v>110</v>
      </c>
      <c r="T1426">
        <v>45</v>
      </c>
      <c r="U1426">
        <v>-0.01</v>
      </c>
      <c r="W1426">
        <f>DataLog_T717420_Aug11_4_59_37pm[[#This Row],[RPM '[1/MIN']]]-Table3[[#This Row],[580C]]</f>
        <v>0</v>
      </c>
      <c r="X1426">
        <f>DataLog_T717420_Aug11_4_59_37pm[[#This Row],[OIL TEMP '[Â°C']]]-Table3[[#This Row],[4402]]</f>
        <v>0</v>
      </c>
      <c r="Y1426">
        <f>DataLog_T717420_Aug11_4_59_37pm[[#This Row],[INTAKE TEMP '[Â°C']]]-Table3[[#This Row],[580F]]</f>
        <v>0</v>
      </c>
      <c r="Z1426">
        <f>DataLog_T717420_Aug11_4_59_37pm[[#This Row],[HPFP PRES. '[BAR']]]-Table3[[#This Row],[58F0]]</f>
        <v>0</v>
      </c>
      <c r="AA1426">
        <f>DataLog_T717420_Aug11_4_59_37pm[[#This Row],[COOLANT TEMP '[Â°C']]]-Table3[[#This Row],[5805]]</f>
        <v>0</v>
      </c>
      <c r="AB1426">
        <f>DataLog_T717420_Aug11_4_59_37pm[[#This Row],[BOOST '[BAR']]]-Table3[[#This Row],[58DD]]</f>
        <v>0</v>
      </c>
    </row>
    <row r="1427" spans="2:28" x14ac:dyDescent="0.25">
      <c r="B1427" s="2" t="s">
        <v>84</v>
      </c>
      <c r="C1427" s="2" t="s">
        <v>262</v>
      </c>
      <c r="D1427" s="2" t="s">
        <v>151</v>
      </c>
      <c r="E1427" s="2" t="s">
        <v>347</v>
      </c>
      <c r="F1427" s="2" t="s">
        <v>292</v>
      </c>
      <c r="G1427" s="2" t="s">
        <v>348</v>
      </c>
      <c r="I1427">
        <f>HEX2DEC(_0811_173439[[#This Row],[580C]])*B$4/B$5+B$6</f>
        <v>1440</v>
      </c>
      <c r="J1427">
        <f>HEX2DEC(_0811_173439[[#This Row],[4402]])*C$4/C$5+C$6</f>
        <v>37</v>
      </c>
      <c r="K1427">
        <f>HEX2DEC(_0811_173439[[#This Row],[580F]])*D$4/D$5+D$6</f>
        <v>30</v>
      </c>
      <c r="L1427">
        <f>ROUND(HEX2DEC(_0811_173439[[#This Row],[58F0]])*E$4/E$5+E$6,0)</f>
        <v>109</v>
      </c>
      <c r="M1427">
        <f>ROUND(HEX2DEC(_0811_173439[[#This Row],[5805]])*F$4/F$5+F$6,0)</f>
        <v>45</v>
      </c>
      <c r="N1427">
        <f>ROUND(HEX2DEC(_0811_173439[[#This Row],[58DD]])*G$4/G$5+G$6,2)</f>
        <v>-0.01</v>
      </c>
      <c r="P1427">
        <v>1440</v>
      </c>
      <c r="Q1427">
        <v>37</v>
      </c>
      <c r="R1427">
        <v>30</v>
      </c>
      <c r="S1427">
        <v>109</v>
      </c>
      <c r="T1427">
        <v>45</v>
      </c>
      <c r="U1427">
        <v>-0.01</v>
      </c>
      <c r="W1427">
        <f>DataLog_T717420_Aug11_4_59_37pm[[#This Row],[RPM '[1/MIN']]]-Table3[[#This Row],[580C]]</f>
        <v>0</v>
      </c>
      <c r="X1427">
        <f>DataLog_T717420_Aug11_4_59_37pm[[#This Row],[OIL TEMP '[Â°C']]]-Table3[[#This Row],[4402]]</f>
        <v>0</v>
      </c>
      <c r="Y1427">
        <f>DataLog_T717420_Aug11_4_59_37pm[[#This Row],[INTAKE TEMP '[Â°C']]]-Table3[[#This Row],[580F]]</f>
        <v>0</v>
      </c>
      <c r="Z1427">
        <f>DataLog_T717420_Aug11_4_59_37pm[[#This Row],[HPFP PRES. '[BAR']]]-Table3[[#This Row],[58F0]]</f>
        <v>0</v>
      </c>
      <c r="AA1427">
        <f>DataLog_T717420_Aug11_4_59_37pm[[#This Row],[COOLANT TEMP '[Â°C']]]-Table3[[#This Row],[5805]]</f>
        <v>0</v>
      </c>
      <c r="AB1427">
        <f>DataLog_T717420_Aug11_4_59_37pm[[#This Row],[BOOST '[BAR']]]-Table3[[#This Row],[58DD]]</f>
        <v>0</v>
      </c>
    </row>
    <row r="1428" spans="2:28" x14ac:dyDescent="0.25">
      <c r="B1428" s="2" t="s">
        <v>81</v>
      </c>
      <c r="C1428" s="2" t="s">
        <v>262</v>
      </c>
      <c r="D1428" s="2" t="s">
        <v>151</v>
      </c>
      <c r="E1428" s="2" t="s">
        <v>349</v>
      </c>
      <c r="F1428" s="2" t="s">
        <v>292</v>
      </c>
      <c r="G1428" s="2" t="s">
        <v>350</v>
      </c>
      <c r="I1428">
        <f>HEX2DEC(_0811_173439[[#This Row],[580C]])*B$4/B$5+B$6</f>
        <v>1400</v>
      </c>
      <c r="J1428">
        <f>HEX2DEC(_0811_173439[[#This Row],[4402]])*C$4/C$5+C$6</f>
        <v>37</v>
      </c>
      <c r="K1428">
        <f>HEX2DEC(_0811_173439[[#This Row],[580F]])*D$4/D$5+D$6</f>
        <v>30</v>
      </c>
      <c r="L1428">
        <f>ROUND(HEX2DEC(_0811_173439[[#This Row],[58F0]])*E$4/E$5+E$6,0)</f>
        <v>106</v>
      </c>
      <c r="M1428">
        <f>ROUND(HEX2DEC(_0811_173439[[#This Row],[5805]])*F$4/F$5+F$6,0)</f>
        <v>45</v>
      </c>
      <c r="N1428">
        <f>ROUND(HEX2DEC(_0811_173439[[#This Row],[58DD]])*G$4/G$5+G$6,2)</f>
        <v>-0.01</v>
      </c>
      <c r="P1428">
        <v>1400</v>
      </c>
      <c r="Q1428">
        <v>37</v>
      </c>
      <c r="R1428">
        <v>30</v>
      </c>
      <c r="S1428">
        <v>106</v>
      </c>
      <c r="T1428">
        <v>45</v>
      </c>
      <c r="U1428">
        <v>-0.01</v>
      </c>
      <c r="W1428">
        <f>DataLog_T717420_Aug11_4_59_37pm[[#This Row],[RPM '[1/MIN']]]-Table3[[#This Row],[580C]]</f>
        <v>0</v>
      </c>
      <c r="X1428">
        <f>DataLog_T717420_Aug11_4_59_37pm[[#This Row],[OIL TEMP '[Â°C']]]-Table3[[#This Row],[4402]]</f>
        <v>0</v>
      </c>
      <c r="Y1428">
        <f>DataLog_T717420_Aug11_4_59_37pm[[#This Row],[INTAKE TEMP '[Â°C']]]-Table3[[#This Row],[580F]]</f>
        <v>0</v>
      </c>
      <c r="Z1428">
        <f>DataLog_T717420_Aug11_4_59_37pm[[#This Row],[HPFP PRES. '[BAR']]]-Table3[[#This Row],[58F0]]</f>
        <v>0</v>
      </c>
      <c r="AA1428">
        <f>DataLog_T717420_Aug11_4_59_37pm[[#This Row],[COOLANT TEMP '[Â°C']]]-Table3[[#This Row],[5805]]</f>
        <v>0</v>
      </c>
      <c r="AB1428">
        <f>DataLog_T717420_Aug11_4_59_37pm[[#This Row],[BOOST '[BAR']]]-Table3[[#This Row],[58DD]]</f>
        <v>0</v>
      </c>
    </row>
    <row r="1429" spans="2:28" x14ac:dyDescent="0.25">
      <c r="B1429" s="2" t="s">
        <v>78</v>
      </c>
      <c r="C1429" s="2" t="s">
        <v>262</v>
      </c>
      <c r="D1429" s="2" t="s">
        <v>151</v>
      </c>
      <c r="E1429" s="2" t="s">
        <v>351</v>
      </c>
      <c r="F1429" s="2" t="s">
        <v>292</v>
      </c>
      <c r="G1429" s="2" t="s">
        <v>352</v>
      </c>
      <c r="I1429">
        <f>HEX2DEC(_0811_173439[[#This Row],[580C]])*B$4/B$5+B$6</f>
        <v>1360</v>
      </c>
      <c r="J1429">
        <f>HEX2DEC(_0811_173439[[#This Row],[4402]])*C$4/C$5+C$6</f>
        <v>37</v>
      </c>
      <c r="K1429">
        <f>HEX2DEC(_0811_173439[[#This Row],[580F]])*D$4/D$5+D$6</f>
        <v>30</v>
      </c>
      <c r="L1429">
        <f>ROUND(HEX2DEC(_0811_173439[[#This Row],[58F0]])*E$4/E$5+E$6,0)</f>
        <v>102</v>
      </c>
      <c r="M1429">
        <f>ROUND(HEX2DEC(_0811_173439[[#This Row],[5805]])*F$4/F$5+F$6,0)</f>
        <v>45</v>
      </c>
      <c r="N1429">
        <f>ROUND(HEX2DEC(_0811_173439[[#This Row],[58DD]])*G$4/G$5+G$6,2)</f>
        <v>-0.01</v>
      </c>
      <c r="P1429">
        <v>1360</v>
      </c>
      <c r="Q1429">
        <v>37</v>
      </c>
      <c r="R1429">
        <v>30</v>
      </c>
      <c r="S1429">
        <v>102</v>
      </c>
      <c r="T1429">
        <v>45</v>
      </c>
      <c r="U1429">
        <v>-0.01</v>
      </c>
      <c r="W1429">
        <f>DataLog_T717420_Aug11_4_59_37pm[[#This Row],[RPM '[1/MIN']]]-Table3[[#This Row],[580C]]</f>
        <v>0</v>
      </c>
      <c r="X1429">
        <f>DataLog_T717420_Aug11_4_59_37pm[[#This Row],[OIL TEMP '[Â°C']]]-Table3[[#This Row],[4402]]</f>
        <v>0</v>
      </c>
      <c r="Y1429">
        <f>DataLog_T717420_Aug11_4_59_37pm[[#This Row],[INTAKE TEMP '[Â°C']]]-Table3[[#This Row],[580F]]</f>
        <v>0</v>
      </c>
      <c r="Z1429">
        <f>DataLog_T717420_Aug11_4_59_37pm[[#This Row],[HPFP PRES. '[BAR']]]-Table3[[#This Row],[58F0]]</f>
        <v>0</v>
      </c>
      <c r="AA1429">
        <f>DataLog_T717420_Aug11_4_59_37pm[[#This Row],[COOLANT TEMP '[Â°C']]]-Table3[[#This Row],[5805]]</f>
        <v>0</v>
      </c>
      <c r="AB1429">
        <f>DataLog_T717420_Aug11_4_59_37pm[[#This Row],[BOOST '[BAR']]]-Table3[[#This Row],[58DD]]</f>
        <v>0</v>
      </c>
    </row>
    <row r="1430" spans="2:28" x14ac:dyDescent="0.25">
      <c r="B1430" s="2" t="s">
        <v>78</v>
      </c>
      <c r="C1430" s="2" t="s">
        <v>262</v>
      </c>
      <c r="D1430" s="2" t="s">
        <v>151</v>
      </c>
      <c r="E1430" s="2" t="s">
        <v>353</v>
      </c>
      <c r="F1430" s="2" t="s">
        <v>292</v>
      </c>
      <c r="G1430" s="2" t="s">
        <v>354</v>
      </c>
      <c r="I1430">
        <f>HEX2DEC(_0811_173439[[#This Row],[580C]])*B$4/B$5+B$6</f>
        <v>1360</v>
      </c>
      <c r="J1430">
        <f>HEX2DEC(_0811_173439[[#This Row],[4402]])*C$4/C$5+C$6</f>
        <v>37</v>
      </c>
      <c r="K1430">
        <f>HEX2DEC(_0811_173439[[#This Row],[580F]])*D$4/D$5+D$6</f>
        <v>30</v>
      </c>
      <c r="L1430">
        <f>ROUND(HEX2DEC(_0811_173439[[#This Row],[58F0]])*E$4/E$5+E$6,0)</f>
        <v>99</v>
      </c>
      <c r="M1430">
        <f>ROUND(HEX2DEC(_0811_173439[[#This Row],[5805]])*F$4/F$5+F$6,0)</f>
        <v>45</v>
      </c>
      <c r="N1430">
        <f>ROUND(HEX2DEC(_0811_173439[[#This Row],[58DD]])*G$4/G$5+G$6,2)</f>
        <v>-0.01</v>
      </c>
      <c r="P1430">
        <v>1360</v>
      </c>
      <c r="Q1430">
        <v>37</v>
      </c>
      <c r="R1430">
        <v>30</v>
      </c>
      <c r="S1430">
        <v>99</v>
      </c>
      <c r="T1430">
        <v>45</v>
      </c>
      <c r="U1430">
        <v>-0.01</v>
      </c>
      <c r="W1430">
        <f>DataLog_T717420_Aug11_4_59_37pm[[#This Row],[RPM '[1/MIN']]]-Table3[[#This Row],[580C]]</f>
        <v>0</v>
      </c>
      <c r="X1430">
        <f>DataLog_T717420_Aug11_4_59_37pm[[#This Row],[OIL TEMP '[Â°C']]]-Table3[[#This Row],[4402]]</f>
        <v>0</v>
      </c>
      <c r="Y1430">
        <f>DataLog_T717420_Aug11_4_59_37pm[[#This Row],[INTAKE TEMP '[Â°C']]]-Table3[[#This Row],[580F]]</f>
        <v>0</v>
      </c>
      <c r="Z1430">
        <f>DataLog_T717420_Aug11_4_59_37pm[[#This Row],[HPFP PRES. '[BAR']]]-Table3[[#This Row],[58F0]]</f>
        <v>0</v>
      </c>
      <c r="AA1430">
        <f>DataLog_T717420_Aug11_4_59_37pm[[#This Row],[COOLANT TEMP '[Â°C']]]-Table3[[#This Row],[5805]]</f>
        <v>0</v>
      </c>
      <c r="AB1430">
        <f>DataLog_T717420_Aug11_4_59_37pm[[#This Row],[BOOST '[BAR']]]-Table3[[#This Row],[58DD]]</f>
        <v>0</v>
      </c>
    </row>
    <row r="1431" spans="2:28" x14ac:dyDescent="0.25">
      <c r="B1431" s="2" t="s">
        <v>78</v>
      </c>
      <c r="C1431" s="2" t="s">
        <v>262</v>
      </c>
      <c r="D1431" s="2" t="s">
        <v>151</v>
      </c>
      <c r="E1431" s="2" t="s">
        <v>355</v>
      </c>
      <c r="F1431" s="2" t="s">
        <v>292</v>
      </c>
      <c r="G1431" s="2" t="s">
        <v>356</v>
      </c>
      <c r="I1431">
        <f>HEX2DEC(_0811_173439[[#This Row],[580C]])*B$4/B$5+B$6</f>
        <v>1360</v>
      </c>
      <c r="J1431">
        <f>HEX2DEC(_0811_173439[[#This Row],[4402]])*C$4/C$5+C$6</f>
        <v>37</v>
      </c>
      <c r="K1431">
        <f>HEX2DEC(_0811_173439[[#This Row],[580F]])*D$4/D$5+D$6</f>
        <v>30</v>
      </c>
      <c r="L1431">
        <f>ROUND(HEX2DEC(_0811_173439[[#This Row],[58F0]])*E$4/E$5+E$6,0)</f>
        <v>96</v>
      </c>
      <c r="M1431">
        <f>ROUND(HEX2DEC(_0811_173439[[#This Row],[5805]])*F$4/F$5+F$6,0)</f>
        <v>45</v>
      </c>
      <c r="N1431">
        <f>ROUND(HEX2DEC(_0811_173439[[#This Row],[58DD]])*G$4/G$5+G$6,2)</f>
        <v>-0.01</v>
      </c>
      <c r="P1431">
        <v>1360</v>
      </c>
      <c r="Q1431">
        <v>37</v>
      </c>
      <c r="R1431">
        <v>30</v>
      </c>
      <c r="S1431">
        <v>96</v>
      </c>
      <c r="T1431">
        <v>45</v>
      </c>
      <c r="U1431">
        <v>-0.01</v>
      </c>
      <c r="W1431">
        <f>DataLog_T717420_Aug11_4_59_37pm[[#This Row],[RPM '[1/MIN']]]-Table3[[#This Row],[580C]]</f>
        <v>0</v>
      </c>
      <c r="X1431">
        <f>DataLog_T717420_Aug11_4_59_37pm[[#This Row],[OIL TEMP '[Â°C']]]-Table3[[#This Row],[4402]]</f>
        <v>0</v>
      </c>
      <c r="Y1431">
        <f>DataLog_T717420_Aug11_4_59_37pm[[#This Row],[INTAKE TEMP '[Â°C']]]-Table3[[#This Row],[580F]]</f>
        <v>0</v>
      </c>
      <c r="Z1431">
        <f>DataLog_T717420_Aug11_4_59_37pm[[#This Row],[HPFP PRES. '[BAR']]]-Table3[[#This Row],[58F0]]</f>
        <v>0</v>
      </c>
      <c r="AA1431">
        <f>DataLog_T717420_Aug11_4_59_37pm[[#This Row],[COOLANT TEMP '[Â°C']]]-Table3[[#This Row],[5805]]</f>
        <v>0</v>
      </c>
      <c r="AB1431">
        <f>DataLog_T717420_Aug11_4_59_37pm[[#This Row],[BOOST '[BAR']]]-Table3[[#This Row],[58DD]]</f>
        <v>0</v>
      </c>
    </row>
    <row r="1432" spans="2:28" x14ac:dyDescent="0.25">
      <c r="B1432" s="2" t="s">
        <v>78</v>
      </c>
      <c r="C1432" s="2" t="s">
        <v>262</v>
      </c>
      <c r="D1432" s="2" t="s">
        <v>151</v>
      </c>
      <c r="E1432" s="2" t="s">
        <v>357</v>
      </c>
      <c r="F1432" s="2" t="s">
        <v>292</v>
      </c>
      <c r="G1432" s="2" t="s">
        <v>358</v>
      </c>
      <c r="I1432">
        <f>HEX2DEC(_0811_173439[[#This Row],[580C]])*B$4/B$5+B$6</f>
        <v>1360</v>
      </c>
      <c r="J1432">
        <f>HEX2DEC(_0811_173439[[#This Row],[4402]])*C$4/C$5+C$6</f>
        <v>37</v>
      </c>
      <c r="K1432">
        <f>HEX2DEC(_0811_173439[[#This Row],[580F]])*D$4/D$5+D$6</f>
        <v>30</v>
      </c>
      <c r="L1432">
        <f>ROUND(HEX2DEC(_0811_173439[[#This Row],[58F0]])*E$4/E$5+E$6,0)</f>
        <v>93</v>
      </c>
      <c r="M1432">
        <f>ROUND(HEX2DEC(_0811_173439[[#This Row],[5805]])*F$4/F$5+F$6,0)</f>
        <v>45</v>
      </c>
      <c r="N1432">
        <f>ROUND(HEX2DEC(_0811_173439[[#This Row],[58DD]])*G$4/G$5+G$6,2)</f>
        <v>-0.01</v>
      </c>
      <c r="P1432">
        <v>1360</v>
      </c>
      <c r="Q1432">
        <v>37</v>
      </c>
      <c r="R1432">
        <v>30</v>
      </c>
      <c r="S1432">
        <v>93</v>
      </c>
      <c r="T1432">
        <v>45</v>
      </c>
      <c r="U1432">
        <v>-0.01</v>
      </c>
      <c r="W1432">
        <f>DataLog_T717420_Aug11_4_59_37pm[[#This Row],[RPM '[1/MIN']]]-Table3[[#This Row],[580C]]</f>
        <v>0</v>
      </c>
      <c r="X1432">
        <f>DataLog_T717420_Aug11_4_59_37pm[[#This Row],[OIL TEMP '[Â°C']]]-Table3[[#This Row],[4402]]</f>
        <v>0</v>
      </c>
      <c r="Y1432">
        <f>DataLog_T717420_Aug11_4_59_37pm[[#This Row],[INTAKE TEMP '[Â°C']]]-Table3[[#This Row],[580F]]</f>
        <v>0</v>
      </c>
      <c r="Z1432">
        <f>DataLog_T717420_Aug11_4_59_37pm[[#This Row],[HPFP PRES. '[BAR']]]-Table3[[#This Row],[58F0]]</f>
        <v>0</v>
      </c>
      <c r="AA1432">
        <f>DataLog_T717420_Aug11_4_59_37pm[[#This Row],[COOLANT TEMP '[Â°C']]]-Table3[[#This Row],[5805]]</f>
        <v>0</v>
      </c>
      <c r="AB1432">
        <f>DataLog_T717420_Aug11_4_59_37pm[[#This Row],[BOOST '[BAR']]]-Table3[[#This Row],[58DD]]</f>
        <v>0</v>
      </c>
    </row>
    <row r="1433" spans="2:28" x14ac:dyDescent="0.25">
      <c r="B1433" s="2" t="s">
        <v>78</v>
      </c>
      <c r="C1433" s="2" t="s">
        <v>262</v>
      </c>
      <c r="D1433" s="2" t="s">
        <v>151</v>
      </c>
      <c r="E1433" s="2" t="s">
        <v>359</v>
      </c>
      <c r="F1433" s="2" t="s">
        <v>292</v>
      </c>
      <c r="G1433" s="2" t="s">
        <v>358</v>
      </c>
      <c r="I1433">
        <f>HEX2DEC(_0811_173439[[#This Row],[580C]])*B$4/B$5+B$6</f>
        <v>1360</v>
      </c>
      <c r="J1433">
        <f>HEX2DEC(_0811_173439[[#This Row],[4402]])*C$4/C$5+C$6</f>
        <v>37</v>
      </c>
      <c r="K1433">
        <f>HEX2DEC(_0811_173439[[#This Row],[580F]])*D$4/D$5+D$6</f>
        <v>30</v>
      </c>
      <c r="L1433">
        <f>ROUND(HEX2DEC(_0811_173439[[#This Row],[58F0]])*E$4/E$5+E$6,0)</f>
        <v>90</v>
      </c>
      <c r="M1433">
        <f>ROUND(HEX2DEC(_0811_173439[[#This Row],[5805]])*F$4/F$5+F$6,0)</f>
        <v>45</v>
      </c>
      <c r="N1433">
        <f>ROUND(HEX2DEC(_0811_173439[[#This Row],[58DD]])*G$4/G$5+G$6,2)</f>
        <v>-0.01</v>
      </c>
      <c r="P1433">
        <v>1360</v>
      </c>
      <c r="Q1433">
        <v>37</v>
      </c>
      <c r="R1433">
        <v>30</v>
      </c>
      <c r="S1433">
        <v>90</v>
      </c>
      <c r="T1433">
        <v>45</v>
      </c>
      <c r="U1433">
        <v>-0.01</v>
      </c>
      <c r="W1433">
        <f>DataLog_T717420_Aug11_4_59_37pm[[#This Row],[RPM '[1/MIN']]]-Table3[[#This Row],[580C]]</f>
        <v>0</v>
      </c>
      <c r="X1433">
        <f>DataLog_T717420_Aug11_4_59_37pm[[#This Row],[OIL TEMP '[Â°C']]]-Table3[[#This Row],[4402]]</f>
        <v>0</v>
      </c>
      <c r="Y1433">
        <f>DataLog_T717420_Aug11_4_59_37pm[[#This Row],[INTAKE TEMP '[Â°C']]]-Table3[[#This Row],[580F]]</f>
        <v>0</v>
      </c>
      <c r="Z1433">
        <f>DataLog_T717420_Aug11_4_59_37pm[[#This Row],[HPFP PRES. '[BAR']]]-Table3[[#This Row],[58F0]]</f>
        <v>0</v>
      </c>
      <c r="AA1433">
        <f>DataLog_T717420_Aug11_4_59_37pm[[#This Row],[COOLANT TEMP '[Â°C']]]-Table3[[#This Row],[5805]]</f>
        <v>0</v>
      </c>
      <c r="AB1433">
        <f>DataLog_T717420_Aug11_4_59_37pm[[#This Row],[BOOST '[BAR']]]-Table3[[#This Row],[58DD]]</f>
        <v>0</v>
      </c>
    </row>
    <row r="1434" spans="2:28" x14ac:dyDescent="0.25">
      <c r="B1434" s="2" t="s">
        <v>78</v>
      </c>
      <c r="C1434" s="2" t="s">
        <v>262</v>
      </c>
      <c r="D1434" s="2" t="s">
        <v>151</v>
      </c>
      <c r="E1434" s="2" t="s">
        <v>360</v>
      </c>
      <c r="F1434" s="2" t="s">
        <v>292</v>
      </c>
      <c r="G1434" s="2" t="s">
        <v>361</v>
      </c>
      <c r="I1434">
        <f>HEX2DEC(_0811_173439[[#This Row],[580C]])*B$4/B$5+B$6</f>
        <v>1360</v>
      </c>
      <c r="J1434">
        <f>HEX2DEC(_0811_173439[[#This Row],[4402]])*C$4/C$5+C$6</f>
        <v>37</v>
      </c>
      <c r="K1434">
        <f>HEX2DEC(_0811_173439[[#This Row],[580F]])*D$4/D$5+D$6</f>
        <v>30</v>
      </c>
      <c r="L1434">
        <f>ROUND(HEX2DEC(_0811_173439[[#This Row],[58F0]])*E$4/E$5+E$6,0)</f>
        <v>87</v>
      </c>
      <c r="M1434">
        <f>ROUND(HEX2DEC(_0811_173439[[#This Row],[5805]])*F$4/F$5+F$6,0)</f>
        <v>45</v>
      </c>
      <c r="N1434">
        <f>ROUND(HEX2DEC(_0811_173439[[#This Row],[58DD]])*G$4/G$5+G$6,2)</f>
        <v>-0.02</v>
      </c>
      <c r="P1434">
        <v>1360</v>
      </c>
      <c r="Q1434">
        <v>37</v>
      </c>
      <c r="R1434">
        <v>30</v>
      </c>
      <c r="S1434">
        <v>87</v>
      </c>
      <c r="T1434">
        <v>45</v>
      </c>
      <c r="U1434">
        <v>-0.02</v>
      </c>
      <c r="W1434">
        <f>DataLog_T717420_Aug11_4_59_37pm[[#This Row],[RPM '[1/MIN']]]-Table3[[#This Row],[580C]]</f>
        <v>0</v>
      </c>
      <c r="X1434">
        <f>DataLog_T717420_Aug11_4_59_37pm[[#This Row],[OIL TEMP '[Â°C']]]-Table3[[#This Row],[4402]]</f>
        <v>0</v>
      </c>
      <c r="Y1434">
        <f>DataLog_T717420_Aug11_4_59_37pm[[#This Row],[INTAKE TEMP '[Â°C']]]-Table3[[#This Row],[580F]]</f>
        <v>0</v>
      </c>
      <c r="Z1434">
        <f>DataLog_T717420_Aug11_4_59_37pm[[#This Row],[HPFP PRES. '[BAR']]]-Table3[[#This Row],[58F0]]</f>
        <v>0</v>
      </c>
      <c r="AA1434">
        <f>DataLog_T717420_Aug11_4_59_37pm[[#This Row],[COOLANT TEMP '[Â°C']]]-Table3[[#This Row],[5805]]</f>
        <v>0</v>
      </c>
      <c r="AB1434">
        <f>DataLog_T717420_Aug11_4_59_37pm[[#This Row],[BOOST '[BAR']]]-Table3[[#This Row],[58DD]]</f>
        <v>0</v>
      </c>
    </row>
    <row r="1435" spans="2:28" x14ac:dyDescent="0.25">
      <c r="B1435" s="2" t="s">
        <v>109</v>
      </c>
      <c r="C1435" s="2" t="s">
        <v>262</v>
      </c>
      <c r="D1435" s="2" t="s">
        <v>151</v>
      </c>
      <c r="E1435" s="2" t="s">
        <v>362</v>
      </c>
      <c r="F1435" s="2" t="s">
        <v>292</v>
      </c>
      <c r="G1435" s="2" t="s">
        <v>363</v>
      </c>
      <c r="I1435">
        <f>HEX2DEC(_0811_173439[[#This Row],[580C]])*B$4/B$5+B$6</f>
        <v>1320</v>
      </c>
      <c r="J1435">
        <f>HEX2DEC(_0811_173439[[#This Row],[4402]])*C$4/C$5+C$6</f>
        <v>37</v>
      </c>
      <c r="K1435">
        <f>HEX2DEC(_0811_173439[[#This Row],[580F]])*D$4/D$5+D$6</f>
        <v>30</v>
      </c>
      <c r="L1435">
        <f>ROUND(HEX2DEC(_0811_173439[[#This Row],[58F0]])*E$4/E$5+E$6,0)</f>
        <v>84</v>
      </c>
      <c r="M1435">
        <f>ROUND(HEX2DEC(_0811_173439[[#This Row],[5805]])*F$4/F$5+F$6,0)</f>
        <v>45</v>
      </c>
      <c r="N1435">
        <f>ROUND(HEX2DEC(_0811_173439[[#This Row],[58DD]])*G$4/G$5+G$6,2)</f>
        <v>-0.02</v>
      </c>
      <c r="P1435">
        <v>1320</v>
      </c>
      <c r="Q1435">
        <v>37</v>
      </c>
      <c r="R1435">
        <v>30</v>
      </c>
      <c r="S1435">
        <v>84</v>
      </c>
      <c r="T1435">
        <v>45</v>
      </c>
      <c r="U1435">
        <v>-0.02</v>
      </c>
      <c r="W1435">
        <f>DataLog_T717420_Aug11_4_59_37pm[[#This Row],[RPM '[1/MIN']]]-Table3[[#This Row],[580C]]</f>
        <v>0</v>
      </c>
      <c r="X1435">
        <f>DataLog_T717420_Aug11_4_59_37pm[[#This Row],[OIL TEMP '[Â°C']]]-Table3[[#This Row],[4402]]</f>
        <v>0</v>
      </c>
      <c r="Y1435">
        <f>DataLog_T717420_Aug11_4_59_37pm[[#This Row],[INTAKE TEMP '[Â°C']]]-Table3[[#This Row],[580F]]</f>
        <v>0</v>
      </c>
      <c r="Z1435">
        <f>DataLog_T717420_Aug11_4_59_37pm[[#This Row],[HPFP PRES. '[BAR']]]-Table3[[#This Row],[58F0]]</f>
        <v>0</v>
      </c>
      <c r="AA1435">
        <f>DataLog_T717420_Aug11_4_59_37pm[[#This Row],[COOLANT TEMP '[Â°C']]]-Table3[[#This Row],[5805]]</f>
        <v>0</v>
      </c>
      <c r="AB1435">
        <f>DataLog_T717420_Aug11_4_59_37pm[[#This Row],[BOOST '[BAR']]]-Table3[[#This Row],[58DD]]</f>
        <v>0</v>
      </c>
    </row>
    <row r="1436" spans="2:28" x14ac:dyDescent="0.25">
      <c r="B1436" s="2" t="s">
        <v>75</v>
      </c>
      <c r="C1436" s="2" t="s">
        <v>262</v>
      </c>
      <c r="D1436" s="2" t="s">
        <v>151</v>
      </c>
      <c r="E1436" s="2" t="s">
        <v>364</v>
      </c>
      <c r="F1436" s="2" t="s">
        <v>292</v>
      </c>
      <c r="G1436" s="2" t="s">
        <v>363</v>
      </c>
      <c r="I1436">
        <f>HEX2DEC(_0811_173439[[#This Row],[580C]])*B$4/B$5+B$6</f>
        <v>1280</v>
      </c>
      <c r="J1436">
        <f>HEX2DEC(_0811_173439[[#This Row],[4402]])*C$4/C$5+C$6</f>
        <v>37</v>
      </c>
      <c r="K1436">
        <f>HEX2DEC(_0811_173439[[#This Row],[580F]])*D$4/D$5+D$6</f>
        <v>30</v>
      </c>
      <c r="L1436">
        <f>ROUND(HEX2DEC(_0811_173439[[#This Row],[58F0]])*E$4/E$5+E$6,0)</f>
        <v>77</v>
      </c>
      <c r="M1436">
        <f>ROUND(HEX2DEC(_0811_173439[[#This Row],[5805]])*F$4/F$5+F$6,0)</f>
        <v>45</v>
      </c>
      <c r="N1436">
        <f>ROUND(HEX2DEC(_0811_173439[[#This Row],[58DD]])*G$4/G$5+G$6,2)</f>
        <v>-0.02</v>
      </c>
      <c r="P1436">
        <v>1280</v>
      </c>
      <c r="Q1436">
        <v>37</v>
      </c>
      <c r="R1436">
        <v>30</v>
      </c>
      <c r="S1436">
        <v>77</v>
      </c>
      <c r="T1436">
        <v>45</v>
      </c>
      <c r="U1436">
        <v>-0.02</v>
      </c>
      <c r="W1436">
        <f>DataLog_T717420_Aug11_4_59_37pm[[#This Row],[RPM '[1/MIN']]]-Table3[[#This Row],[580C]]</f>
        <v>0</v>
      </c>
      <c r="X1436">
        <f>DataLog_T717420_Aug11_4_59_37pm[[#This Row],[OIL TEMP '[Â°C']]]-Table3[[#This Row],[4402]]</f>
        <v>0</v>
      </c>
      <c r="Y1436">
        <f>DataLog_T717420_Aug11_4_59_37pm[[#This Row],[INTAKE TEMP '[Â°C']]]-Table3[[#This Row],[580F]]</f>
        <v>0</v>
      </c>
      <c r="Z1436">
        <f>DataLog_T717420_Aug11_4_59_37pm[[#This Row],[HPFP PRES. '[BAR']]]-Table3[[#This Row],[58F0]]</f>
        <v>0</v>
      </c>
      <c r="AA1436">
        <f>DataLog_T717420_Aug11_4_59_37pm[[#This Row],[COOLANT TEMP '[Â°C']]]-Table3[[#This Row],[5805]]</f>
        <v>0</v>
      </c>
      <c r="AB1436">
        <f>DataLog_T717420_Aug11_4_59_37pm[[#This Row],[BOOST '[BAR']]]-Table3[[#This Row],[58DD]]</f>
        <v>0</v>
      </c>
    </row>
    <row r="1437" spans="2:28" x14ac:dyDescent="0.25">
      <c r="B1437" s="2" t="s">
        <v>75</v>
      </c>
      <c r="C1437" s="2" t="s">
        <v>262</v>
      </c>
      <c r="D1437" s="2" t="s">
        <v>151</v>
      </c>
      <c r="E1437" s="2" t="s">
        <v>365</v>
      </c>
      <c r="F1437" s="2" t="s">
        <v>292</v>
      </c>
      <c r="G1437" s="2" t="s">
        <v>366</v>
      </c>
      <c r="I1437">
        <f>HEX2DEC(_0811_173439[[#This Row],[580C]])*B$4/B$5+B$6</f>
        <v>1280</v>
      </c>
      <c r="J1437">
        <f>HEX2DEC(_0811_173439[[#This Row],[4402]])*C$4/C$5+C$6</f>
        <v>37</v>
      </c>
      <c r="K1437">
        <f>HEX2DEC(_0811_173439[[#This Row],[580F]])*D$4/D$5+D$6</f>
        <v>30</v>
      </c>
      <c r="L1437">
        <f>ROUND(HEX2DEC(_0811_173439[[#This Row],[58F0]])*E$4/E$5+E$6,0)</f>
        <v>76</v>
      </c>
      <c r="M1437">
        <f>ROUND(HEX2DEC(_0811_173439[[#This Row],[5805]])*F$4/F$5+F$6,0)</f>
        <v>45</v>
      </c>
      <c r="N1437">
        <f>ROUND(HEX2DEC(_0811_173439[[#This Row],[58DD]])*G$4/G$5+G$6,2)</f>
        <v>-0.02</v>
      </c>
      <c r="P1437">
        <v>1280</v>
      </c>
      <c r="Q1437">
        <v>37</v>
      </c>
      <c r="R1437">
        <v>30</v>
      </c>
      <c r="S1437">
        <v>76</v>
      </c>
      <c r="T1437">
        <v>45</v>
      </c>
      <c r="U1437">
        <v>-0.02</v>
      </c>
      <c r="W1437">
        <f>DataLog_T717420_Aug11_4_59_37pm[[#This Row],[RPM '[1/MIN']]]-Table3[[#This Row],[580C]]</f>
        <v>0</v>
      </c>
      <c r="X1437">
        <f>DataLog_T717420_Aug11_4_59_37pm[[#This Row],[OIL TEMP '[Â°C']]]-Table3[[#This Row],[4402]]</f>
        <v>0</v>
      </c>
      <c r="Y1437">
        <f>DataLog_T717420_Aug11_4_59_37pm[[#This Row],[INTAKE TEMP '[Â°C']]]-Table3[[#This Row],[580F]]</f>
        <v>0</v>
      </c>
      <c r="Z1437">
        <f>DataLog_T717420_Aug11_4_59_37pm[[#This Row],[HPFP PRES. '[BAR']]]-Table3[[#This Row],[58F0]]</f>
        <v>0</v>
      </c>
      <c r="AA1437">
        <f>DataLog_T717420_Aug11_4_59_37pm[[#This Row],[COOLANT TEMP '[Â°C']]]-Table3[[#This Row],[5805]]</f>
        <v>0</v>
      </c>
      <c r="AB1437">
        <f>DataLog_T717420_Aug11_4_59_37pm[[#This Row],[BOOST '[BAR']]]-Table3[[#This Row],[58DD]]</f>
        <v>0</v>
      </c>
    </row>
    <row r="1438" spans="2:28" x14ac:dyDescent="0.25">
      <c r="B1438" s="2" t="s">
        <v>75</v>
      </c>
      <c r="C1438" s="2" t="s">
        <v>262</v>
      </c>
      <c r="D1438" s="2" t="s">
        <v>151</v>
      </c>
      <c r="E1438" s="2" t="s">
        <v>367</v>
      </c>
      <c r="F1438" s="2" t="s">
        <v>292</v>
      </c>
      <c r="G1438" s="2" t="s">
        <v>368</v>
      </c>
      <c r="I1438">
        <f>HEX2DEC(_0811_173439[[#This Row],[580C]])*B$4/B$5+B$6</f>
        <v>1280</v>
      </c>
      <c r="J1438">
        <f>HEX2DEC(_0811_173439[[#This Row],[4402]])*C$4/C$5+C$6</f>
        <v>37</v>
      </c>
      <c r="K1438">
        <f>HEX2DEC(_0811_173439[[#This Row],[580F]])*D$4/D$5+D$6</f>
        <v>30</v>
      </c>
      <c r="L1438">
        <f>ROUND(HEX2DEC(_0811_173439[[#This Row],[58F0]])*E$4/E$5+E$6,0)</f>
        <v>75</v>
      </c>
      <c r="M1438">
        <f>ROUND(HEX2DEC(_0811_173439[[#This Row],[5805]])*F$4/F$5+F$6,0)</f>
        <v>45</v>
      </c>
      <c r="N1438">
        <f>ROUND(HEX2DEC(_0811_173439[[#This Row],[58DD]])*G$4/G$5+G$6,2)</f>
        <v>-0.02</v>
      </c>
      <c r="P1438">
        <v>1280</v>
      </c>
      <c r="Q1438">
        <v>37</v>
      </c>
      <c r="R1438">
        <v>30</v>
      </c>
      <c r="S1438">
        <v>75</v>
      </c>
      <c r="T1438">
        <v>45</v>
      </c>
      <c r="U1438">
        <v>-0.02</v>
      </c>
      <c r="W1438">
        <f>DataLog_T717420_Aug11_4_59_37pm[[#This Row],[RPM '[1/MIN']]]-Table3[[#This Row],[580C]]</f>
        <v>0</v>
      </c>
      <c r="X1438">
        <f>DataLog_T717420_Aug11_4_59_37pm[[#This Row],[OIL TEMP '[Â°C']]]-Table3[[#This Row],[4402]]</f>
        <v>0</v>
      </c>
      <c r="Y1438">
        <f>DataLog_T717420_Aug11_4_59_37pm[[#This Row],[INTAKE TEMP '[Â°C']]]-Table3[[#This Row],[580F]]</f>
        <v>0</v>
      </c>
      <c r="Z1438">
        <f>DataLog_T717420_Aug11_4_59_37pm[[#This Row],[HPFP PRES. '[BAR']]]-Table3[[#This Row],[58F0]]</f>
        <v>0</v>
      </c>
      <c r="AA1438">
        <f>DataLog_T717420_Aug11_4_59_37pm[[#This Row],[COOLANT TEMP '[Â°C']]]-Table3[[#This Row],[5805]]</f>
        <v>0</v>
      </c>
      <c r="AB1438">
        <f>DataLog_T717420_Aug11_4_59_37pm[[#This Row],[BOOST '[BAR']]]-Table3[[#This Row],[58DD]]</f>
        <v>0</v>
      </c>
    </row>
    <row r="1439" spans="2:28" x14ac:dyDescent="0.25">
      <c r="B1439" s="2" t="s">
        <v>114</v>
      </c>
      <c r="C1439" s="2" t="s">
        <v>262</v>
      </c>
      <c r="D1439" s="2" t="s">
        <v>151</v>
      </c>
      <c r="E1439" s="2" t="s">
        <v>286</v>
      </c>
      <c r="F1439" s="2" t="s">
        <v>292</v>
      </c>
      <c r="G1439" s="2" t="s">
        <v>369</v>
      </c>
      <c r="I1439">
        <f>HEX2DEC(_0811_173439[[#This Row],[580C]])*B$4/B$5+B$6</f>
        <v>1240</v>
      </c>
      <c r="J1439">
        <f>HEX2DEC(_0811_173439[[#This Row],[4402]])*C$4/C$5+C$6</f>
        <v>37</v>
      </c>
      <c r="K1439">
        <f>HEX2DEC(_0811_173439[[#This Row],[580F]])*D$4/D$5+D$6</f>
        <v>30</v>
      </c>
      <c r="L1439">
        <f>ROUND(HEX2DEC(_0811_173439[[#This Row],[58F0]])*E$4/E$5+E$6,0)</f>
        <v>75</v>
      </c>
      <c r="M1439">
        <f>ROUND(HEX2DEC(_0811_173439[[#This Row],[5805]])*F$4/F$5+F$6,0)</f>
        <v>45</v>
      </c>
      <c r="N1439">
        <f>ROUND(HEX2DEC(_0811_173439[[#This Row],[58DD]])*G$4/G$5+G$6,2)</f>
        <v>-0.02</v>
      </c>
      <c r="P1439">
        <v>1240</v>
      </c>
      <c r="Q1439">
        <v>37</v>
      </c>
      <c r="R1439">
        <v>30</v>
      </c>
      <c r="S1439">
        <v>75</v>
      </c>
      <c r="T1439">
        <v>45</v>
      </c>
      <c r="U1439">
        <v>-0.02</v>
      </c>
      <c r="W1439">
        <f>DataLog_T717420_Aug11_4_59_37pm[[#This Row],[RPM '[1/MIN']]]-Table3[[#This Row],[580C]]</f>
        <v>0</v>
      </c>
      <c r="X1439">
        <f>DataLog_T717420_Aug11_4_59_37pm[[#This Row],[OIL TEMP '[Â°C']]]-Table3[[#This Row],[4402]]</f>
        <v>0</v>
      </c>
      <c r="Y1439">
        <f>DataLog_T717420_Aug11_4_59_37pm[[#This Row],[INTAKE TEMP '[Â°C']]]-Table3[[#This Row],[580F]]</f>
        <v>0</v>
      </c>
      <c r="Z1439">
        <f>DataLog_T717420_Aug11_4_59_37pm[[#This Row],[HPFP PRES. '[BAR']]]-Table3[[#This Row],[58F0]]</f>
        <v>0</v>
      </c>
      <c r="AA1439">
        <f>DataLog_T717420_Aug11_4_59_37pm[[#This Row],[COOLANT TEMP '[Â°C']]]-Table3[[#This Row],[5805]]</f>
        <v>0</v>
      </c>
      <c r="AB1439">
        <f>DataLog_T717420_Aug11_4_59_37pm[[#This Row],[BOOST '[BAR']]]-Table3[[#This Row],[58DD]]</f>
        <v>0</v>
      </c>
    </row>
    <row r="1440" spans="2:28" x14ac:dyDescent="0.25">
      <c r="B1440" s="2" t="s">
        <v>114</v>
      </c>
      <c r="C1440" s="2" t="s">
        <v>262</v>
      </c>
      <c r="D1440" s="2" t="s">
        <v>151</v>
      </c>
      <c r="E1440" s="2" t="s">
        <v>370</v>
      </c>
      <c r="F1440" s="2" t="s">
        <v>292</v>
      </c>
      <c r="G1440" s="2" t="s">
        <v>369</v>
      </c>
      <c r="I1440">
        <f>HEX2DEC(_0811_173439[[#This Row],[580C]])*B$4/B$5+B$6</f>
        <v>1240</v>
      </c>
      <c r="J1440">
        <f>HEX2DEC(_0811_173439[[#This Row],[4402]])*C$4/C$5+C$6</f>
        <v>37</v>
      </c>
      <c r="K1440">
        <f>HEX2DEC(_0811_173439[[#This Row],[580F]])*D$4/D$5+D$6</f>
        <v>30</v>
      </c>
      <c r="L1440">
        <f>ROUND(HEX2DEC(_0811_173439[[#This Row],[58F0]])*E$4/E$5+E$6,0)</f>
        <v>75</v>
      </c>
      <c r="M1440">
        <f>ROUND(HEX2DEC(_0811_173439[[#This Row],[5805]])*F$4/F$5+F$6,0)</f>
        <v>45</v>
      </c>
      <c r="N1440">
        <f>ROUND(HEX2DEC(_0811_173439[[#This Row],[58DD]])*G$4/G$5+G$6,2)</f>
        <v>-0.02</v>
      </c>
      <c r="P1440">
        <v>1240</v>
      </c>
      <c r="Q1440">
        <v>37</v>
      </c>
      <c r="R1440">
        <v>30</v>
      </c>
      <c r="S1440">
        <v>75</v>
      </c>
      <c r="T1440">
        <v>45</v>
      </c>
      <c r="U1440">
        <v>-0.02</v>
      </c>
      <c r="W1440">
        <f>DataLog_T717420_Aug11_4_59_37pm[[#This Row],[RPM '[1/MIN']]]-Table3[[#This Row],[580C]]</f>
        <v>0</v>
      </c>
      <c r="X1440">
        <f>DataLog_T717420_Aug11_4_59_37pm[[#This Row],[OIL TEMP '[Â°C']]]-Table3[[#This Row],[4402]]</f>
        <v>0</v>
      </c>
      <c r="Y1440">
        <f>DataLog_T717420_Aug11_4_59_37pm[[#This Row],[INTAKE TEMP '[Â°C']]]-Table3[[#This Row],[580F]]</f>
        <v>0</v>
      </c>
      <c r="Z1440">
        <f>DataLog_T717420_Aug11_4_59_37pm[[#This Row],[HPFP PRES. '[BAR']]]-Table3[[#This Row],[58F0]]</f>
        <v>0</v>
      </c>
      <c r="AA1440">
        <f>DataLog_T717420_Aug11_4_59_37pm[[#This Row],[COOLANT TEMP '[Â°C']]]-Table3[[#This Row],[5805]]</f>
        <v>0</v>
      </c>
      <c r="AB1440">
        <f>DataLog_T717420_Aug11_4_59_37pm[[#This Row],[BOOST '[BAR']]]-Table3[[#This Row],[58DD]]</f>
        <v>0</v>
      </c>
    </row>
    <row r="1441" spans="2:28" x14ac:dyDescent="0.25">
      <c r="B1441" s="2" t="s">
        <v>114</v>
      </c>
      <c r="C1441" s="2" t="s">
        <v>262</v>
      </c>
      <c r="D1441" s="2" t="s">
        <v>151</v>
      </c>
      <c r="E1441" s="2" t="s">
        <v>371</v>
      </c>
      <c r="F1441" s="2" t="s">
        <v>292</v>
      </c>
      <c r="G1441" s="2" t="s">
        <v>369</v>
      </c>
      <c r="I1441">
        <f>HEX2DEC(_0811_173439[[#This Row],[580C]])*B$4/B$5+B$6</f>
        <v>1240</v>
      </c>
      <c r="J1441">
        <f>HEX2DEC(_0811_173439[[#This Row],[4402]])*C$4/C$5+C$6</f>
        <v>37</v>
      </c>
      <c r="K1441">
        <f>HEX2DEC(_0811_173439[[#This Row],[580F]])*D$4/D$5+D$6</f>
        <v>30</v>
      </c>
      <c r="L1441">
        <f>ROUND(HEX2DEC(_0811_173439[[#This Row],[58F0]])*E$4/E$5+E$6,0)</f>
        <v>74</v>
      </c>
      <c r="M1441">
        <f>ROUND(HEX2DEC(_0811_173439[[#This Row],[5805]])*F$4/F$5+F$6,0)</f>
        <v>45</v>
      </c>
      <c r="N1441">
        <f>ROUND(HEX2DEC(_0811_173439[[#This Row],[58DD]])*G$4/G$5+G$6,2)</f>
        <v>-0.02</v>
      </c>
      <c r="P1441">
        <v>1240</v>
      </c>
      <c r="Q1441">
        <v>37</v>
      </c>
      <c r="R1441">
        <v>30</v>
      </c>
      <c r="S1441">
        <v>74</v>
      </c>
      <c r="T1441">
        <v>45</v>
      </c>
      <c r="U1441">
        <v>-0.02</v>
      </c>
      <c r="W1441">
        <f>DataLog_T717420_Aug11_4_59_37pm[[#This Row],[RPM '[1/MIN']]]-Table3[[#This Row],[580C]]</f>
        <v>0</v>
      </c>
      <c r="X1441">
        <f>DataLog_T717420_Aug11_4_59_37pm[[#This Row],[OIL TEMP '[Â°C']]]-Table3[[#This Row],[4402]]</f>
        <v>0</v>
      </c>
      <c r="Y1441">
        <f>DataLog_T717420_Aug11_4_59_37pm[[#This Row],[INTAKE TEMP '[Â°C']]]-Table3[[#This Row],[580F]]</f>
        <v>0</v>
      </c>
      <c r="Z1441">
        <f>DataLog_T717420_Aug11_4_59_37pm[[#This Row],[HPFP PRES. '[BAR']]]-Table3[[#This Row],[58F0]]</f>
        <v>0</v>
      </c>
      <c r="AA1441">
        <f>DataLog_T717420_Aug11_4_59_37pm[[#This Row],[COOLANT TEMP '[Â°C']]]-Table3[[#This Row],[5805]]</f>
        <v>0</v>
      </c>
      <c r="AB1441">
        <f>DataLog_T717420_Aug11_4_59_37pm[[#This Row],[BOOST '[BAR']]]-Table3[[#This Row],[58DD]]</f>
        <v>0</v>
      </c>
    </row>
    <row r="1442" spans="2:28" x14ac:dyDescent="0.25">
      <c r="B1442" s="2" t="s">
        <v>117</v>
      </c>
      <c r="C1442" s="2" t="s">
        <v>262</v>
      </c>
      <c r="D1442" s="2" t="s">
        <v>151</v>
      </c>
      <c r="E1442" s="2" t="s">
        <v>280</v>
      </c>
      <c r="F1442" s="2" t="s">
        <v>292</v>
      </c>
      <c r="G1442" s="2" t="s">
        <v>369</v>
      </c>
      <c r="I1442">
        <f>HEX2DEC(_0811_173439[[#This Row],[580C]])*B$4/B$5+B$6</f>
        <v>1200</v>
      </c>
      <c r="J1442">
        <f>HEX2DEC(_0811_173439[[#This Row],[4402]])*C$4/C$5+C$6</f>
        <v>37</v>
      </c>
      <c r="K1442">
        <f>HEX2DEC(_0811_173439[[#This Row],[580F]])*D$4/D$5+D$6</f>
        <v>30</v>
      </c>
      <c r="L1442">
        <f>ROUND(HEX2DEC(_0811_173439[[#This Row],[58F0]])*E$4/E$5+E$6,0)</f>
        <v>74</v>
      </c>
      <c r="M1442">
        <f>ROUND(HEX2DEC(_0811_173439[[#This Row],[5805]])*F$4/F$5+F$6,0)</f>
        <v>45</v>
      </c>
      <c r="N1442">
        <f>ROUND(HEX2DEC(_0811_173439[[#This Row],[58DD]])*G$4/G$5+G$6,2)</f>
        <v>-0.02</v>
      </c>
      <c r="P1442">
        <v>1200</v>
      </c>
      <c r="Q1442">
        <v>37</v>
      </c>
      <c r="R1442">
        <v>30</v>
      </c>
      <c r="S1442">
        <v>74</v>
      </c>
      <c r="T1442">
        <v>45</v>
      </c>
      <c r="U1442">
        <v>-0.02</v>
      </c>
      <c r="W1442">
        <f>DataLog_T717420_Aug11_4_59_37pm[[#This Row],[RPM '[1/MIN']]]-Table3[[#This Row],[580C]]</f>
        <v>0</v>
      </c>
      <c r="X1442">
        <f>DataLog_T717420_Aug11_4_59_37pm[[#This Row],[OIL TEMP '[Â°C']]]-Table3[[#This Row],[4402]]</f>
        <v>0</v>
      </c>
      <c r="Y1442">
        <f>DataLog_T717420_Aug11_4_59_37pm[[#This Row],[INTAKE TEMP '[Â°C']]]-Table3[[#This Row],[580F]]</f>
        <v>0</v>
      </c>
      <c r="Z1442">
        <f>DataLog_T717420_Aug11_4_59_37pm[[#This Row],[HPFP PRES. '[BAR']]]-Table3[[#This Row],[58F0]]</f>
        <v>0</v>
      </c>
      <c r="AA1442">
        <f>DataLog_T717420_Aug11_4_59_37pm[[#This Row],[COOLANT TEMP '[Â°C']]]-Table3[[#This Row],[5805]]</f>
        <v>0</v>
      </c>
      <c r="AB1442">
        <f>DataLog_T717420_Aug11_4_59_37pm[[#This Row],[BOOST '[BAR']]]-Table3[[#This Row],[58DD]]</f>
        <v>0</v>
      </c>
    </row>
    <row r="1443" spans="2:28" x14ac:dyDescent="0.25">
      <c r="B1443" s="2" t="s">
        <v>117</v>
      </c>
      <c r="C1443" s="2" t="s">
        <v>262</v>
      </c>
      <c r="D1443" s="2" t="s">
        <v>151</v>
      </c>
      <c r="E1443" s="2" t="s">
        <v>372</v>
      </c>
      <c r="F1443" s="2" t="s">
        <v>292</v>
      </c>
      <c r="G1443" s="2" t="s">
        <v>369</v>
      </c>
      <c r="I1443">
        <f>HEX2DEC(_0811_173439[[#This Row],[580C]])*B$4/B$5+B$6</f>
        <v>1200</v>
      </c>
      <c r="J1443">
        <f>HEX2DEC(_0811_173439[[#This Row],[4402]])*C$4/C$5+C$6</f>
        <v>37</v>
      </c>
      <c r="K1443">
        <f>HEX2DEC(_0811_173439[[#This Row],[580F]])*D$4/D$5+D$6</f>
        <v>30</v>
      </c>
      <c r="L1443">
        <f>ROUND(HEX2DEC(_0811_173439[[#This Row],[58F0]])*E$4/E$5+E$6,0)</f>
        <v>74</v>
      </c>
      <c r="M1443">
        <f>ROUND(HEX2DEC(_0811_173439[[#This Row],[5805]])*F$4/F$5+F$6,0)</f>
        <v>45</v>
      </c>
      <c r="N1443">
        <f>ROUND(HEX2DEC(_0811_173439[[#This Row],[58DD]])*G$4/G$5+G$6,2)</f>
        <v>-0.02</v>
      </c>
      <c r="P1443">
        <v>1200</v>
      </c>
      <c r="Q1443">
        <v>37</v>
      </c>
      <c r="R1443">
        <v>30</v>
      </c>
      <c r="S1443">
        <v>74</v>
      </c>
      <c r="T1443">
        <v>45</v>
      </c>
      <c r="U1443">
        <v>-0.02</v>
      </c>
      <c r="W1443">
        <f>DataLog_T717420_Aug11_4_59_37pm[[#This Row],[RPM '[1/MIN']]]-Table3[[#This Row],[580C]]</f>
        <v>0</v>
      </c>
      <c r="X1443">
        <f>DataLog_T717420_Aug11_4_59_37pm[[#This Row],[OIL TEMP '[Â°C']]]-Table3[[#This Row],[4402]]</f>
        <v>0</v>
      </c>
      <c r="Y1443">
        <f>DataLog_T717420_Aug11_4_59_37pm[[#This Row],[INTAKE TEMP '[Â°C']]]-Table3[[#This Row],[580F]]</f>
        <v>0</v>
      </c>
      <c r="Z1443">
        <f>DataLog_T717420_Aug11_4_59_37pm[[#This Row],[HPFP PRES. '[BAR']]]-Table3[[#This Row],[58F0]]</f>
        <v>0</v>
      </c>
      <c r="AA1443">
        <f>DataLog_T717420_Aug11_4_59_37pm[[#This Row],[COOLANT TEMP '[Â°C']]]-Table3[[#This Row],[5805]]</f>
        <v>0</v>
      </c>
      <c r="AB1443">
        <f>DataLog_T717420_Aug11_4_59_37pm[[#This Row],[BOOST '[BAR']]]-Table3[[#This Row],[58DD]]</f>
        <v>0</v>
      </c>
    </row>
    <row r="1444" spans="2:28" x14ac:dyDescent="0.25">
      <c r="B1444" s="2" t="s">
        <v>117</v>
      </c>
      <c r="C1444" s="2" t="s">
        <v>262</v>
      </c>
      <c r="D1444" s="2" t="s">
        <v>151</v>
      </c>
      <c r="E1444" s="2" t="s">
        <v>373</v>
      </c>
      <c r="F1444" s="2" t="s">
        <v>292</v>
      </c>
      <c r="G1444" s="2" t="s">
        <v>369</v>
      </c>
      <c r="I1444">
        <f>HEX2DEC(_0811_173439[[#This Row],[580C]])*B$4/B$5+B$6</f>
        <v>1200</v>
      </c>
      <c r="J1444">
        <f>HEX2DEC(_0811_173439[[#This Row],[4402]])*C$4/C$5+C$6</f>
        <v>37</v>
      </c>
      <c r="K1444">
        <f>HEX2DEC(_0811_173439[[#This Row],[580F]])*D$4/D$5+D$6</f>
        <v>30</v>
      </c>
      <c r="L1444">
        <f>ROUND(HEX2DEC(_0811_173439[[#This Row],[58F0]])*E$4/E$5+E$6,0)</f>
        <v>74</v>
      </c>
      <c r="M1444">
        <f>ROUND(HEX2DEC(_0811_173439[[#This Row],[5805]])*F$4/F$5+F$6,0)</f>
        <v>45</v>
      </c>
      <c r="N1444">
        <f>ROUND(HEX2DEC(_0811_173439[[#This Row],[58DD]])*G$4/G$5+G$6,2)</f>
        <v>-0.02</v>
      </c>
      <c r="P1444">
        <v>1200</v>
      </c>
      <c r="Q1444">
        <v>37</v>
      </c>
      <c r="R1444">
        <v>30</v>
      </c>
      <c r="S1444">
        <v>74</v>
      </c>
      <c r="T1444">
        <v>45</v>
      </c>
      <c r="U1444">
        <v>-0.02</v>
      </c>
      <c r="W1444">
        <f>DataLog_T717420_Aug11_4_59_37pm[[#This Row],[RPM '[1/MIN']]]-Table3[[#This Row],[580C]]</f>
        <v>0</v>
      </c>
      <c r="X1444">
        <f>DataLog_T717420_Aug11_4_59_37pm[[#This Row],[OIL TEMP '[Â°C']]]-Table3[[#This Row],[4402]]</f>
        <v>0</v>
      </c>
      <c r="Y1444">
        <f>DataLog_T717420_Aug11_4_59_37pm[[#This Row],[INTAKE TEMP '[Â°C']]]-Table3[[#This Row],[580F]]</f>
        <v>0</v>
      </c>
      <c r="Z1444">
        <f>DataLog_T717420_Aug11_4_59_37pm[[#This Row],[HPFP PRES. '[BAR']]]-Table3[[#This Row],[58F0]]</f>
        <v>0</v>
      </c>
      <c r="AA1444">
        <f>DataLog_T717420_Aug11_4_59_37pm[[#This Row],[COOLANT TEMP '[Â°C']]]-Table3[[#This Row],[5805]]</f>
        <v>0</v>
      </c>
      <c r="AB1444">
        <f>DataLog_T717420_Aug11_4_59_37pm[[#This Row],[BOOST '[BAR']]]-Table3[[#This Row],[58DD]]</f>
        <v>0</v>
      </c>
    </row>
    <row r="1445" spans="2:28" x14ac:dyDescent="0.25">
      <c r="B1445" s="2" t="s">
        <v>120</v>
      </c>
      <c r="C1445" s="2" t="s">
        <v>262</v>
      </c>
      <c r="D1445" s="2" t="s">
        <v>151</v>
      </c>
      <c r="E1445" s="2" t="s">
        <v>267</v>
      </c>
      <c r="F1445" s="2" t="s">
        <v>292</v>
      </c>
      <c r="G1445" s="2" t="s">
        <v>374</v>
      </c>
      <c r="I1445">
        <f>HEX2DEC(_0811_173439[[#This Row],[580C]])*B$4/B$5+B$6</f>
        <v>1160</v>
      </c>
      <c r="J1445">
        <f>HEX2DEC(_0811_173439[[#This Row],[4402]])*C$4/C$5+C$6</f>
        <v>37</v>
      </c>
      <c r="K1445">
        <f>HEX2DEC(_0811_173439[[#This Row],[580F]])*D$4/D$5+D$6</f>
        <v>30</v>
      </c>
      <c r="L1445">
        <f>ROUND(HEX2DEC(_0811_173439[[#This Row],[58F0]])*E$4/E$5+E$6,0)</f>
        <v>73</v>
      </c>
      <c r="M1445">
        <f>ROUND(HEX2DEC(_0811_173439[[#This Row],[5805]])*F$4/F$5+F$6,0)</f>
        <v>45</v>
      </c>
      <c r="N1445">
        <f>ROUND(HEX2DEC(_0811_173439[[#This Row],[58DD]])*G$4/G$5+G$6,2)</f>
        <v>-0.02</v>
      </c>
      <c r="P1445">
        <v>1160</v>
      </c>
      <c r="Q1445">
        <v>37</v>
      </c>
      <c r="R1445">
        <v>30</v>
      </c>
      <c r="S1445">
        <v>73</v>
      </c>
      <c r="T1445">
        <v>45</v>
      </c>
      <c r="U1445">
        <v>-0.02</v>
      </c>
      <c r="W1445">
        <f>DataLog_T717420_Aug11_4_59_37pm[[#This Row],[RPM '[1/MIN']]]-Table3[[#This Row],[580C]]</f>
        <v>0</v>
      </c>
      <c r="X1445">
        <f>DataLog_T717420_Aug11_4_59_37pm[[#This Row],[OIL TEMP '[Â°C']]]-Table3[[#This Row],[4402]]</f>
        <v>0</v>
      </c>
      <c r="Y1445">
        <f>DataLog_T717420_Aug11_4_59_37pm[[#This Row],[INTAKE TEMP '[Â°C']]]-Table3[[#This Row],[580F]]</f>
        <v>0</v>
      </c>
      <c r="Z1445">
        <f>DataLog_T717420_Aug11_4_59_37pm[[#This Row],[HPFP PRES. '[BAR']]]-Table3[[#This Row],[58F0]]</f>
        <v>0</v>
      </c>
      <c r="AA1445">
        <f>DataLog_T717420_Aug11_4_59_37pm[[#This Row],[COOLANT TEMP '[Â°C']]]-Table3[[#This Row],[5805]]</f>
        <v>0</v>
      </c>
      <c r="AB1445">
        <f>DataLog_T717420_Aug11_4_59_37pm[[#This Row],[BOOST '[BAR']]]-Table3[[#This Row],[58DD]]</f>
        <v>0</v>
      </c>
    </row>
    <row r="1446" spans="2:28" x14ac:dyDescent="0.25">
      <c r="B1446" s="2" t="s">
        <v>120</v>
      </c>
      <c r="C1446" s="2" t="s">
        <v>262</v>
      </c>
      <c r="D1446" s="2" t="s">
        <v>151</v>
      </c>
      <c r="E1446" s="2" t="s">
        <v>268</v>
      </c>
      <c r="F1446" s="2" t="s">
        <v>292</v>
      </c>
      <c r="G1446" s="2" t="s">
        <v>375</v>
      </c>
      <c r="I1446">
        <f>HEX2DEC(_0811_173439[[#This Row],[580C]])*B$4/B$5+B$6</f>
        <v>1160</v>
      </c>
      <c r="J1446">
        <f>HEX2DEC(_0811_173439[[#This Row],[4402]])*C$4/C$5+C$6</f>
        <v>37</v>
      </c>
      <c r="K1446">
        <f>HEX2DEC(_0811_173439[[#This Row],[580F]])*D$4/D$5+D$6</f>
        <v>30</v>
      </c>
      <c r="L1446">
        <f>ROUND(HEX2DEC(_0811_173439[[#This Row],[58F0]])*E$4/E$5+E$6,0)</f>
        <v>73</v>
      </c>
      <c r="M1446">
        <f>ROUND(HEX2DEC(_0811_173439[[#This Row],[5805]])*F$4/F$5+F$6,0)</f>
        <v>45</v>
      </c>
      <c r="N1446">
        <f>ROUND(HEX2DEC(_0811_173439[[#This Row],[58DD]])*G$4/G$5+G$6,2)</f>
        <v>-0.02</v>
      </c>
      <c r="P1446">
        <v>1160</v>
      </c>
      <c r="Q1446">
        <v>37</v>
      </c>
      <c r="R1446">
        <v>30</v>
      </c>
      <c r="S1446">
        <v>73</v>
      </c>
      <c r="T1446">
        <v>45</v>
      </c>
      <c r="U1446">
        <v>-0.02</v>
      </c>
      <c r="W1446">
        <f>DataLog_T717420_Aug11_4_59_37pm[[#This Row],[RPM '[1/MIN']]]-Table3[[#This Row],[580C]]</f>
        <v>0</v>
      </c>
      <c r="X1446">
        <f>DataLog_T717420_Aug11_4_59_37pm[[#This Row],[OIL TEMP '[Â°C']]]-Table3[[#This Row],[4402]]</f>
        <v>0</v>
      </c>
      <c r="Y1446">
        <f>DataLog_T717420_Aug11_4_59_37pm[[#This Row],[INTAKE TEMP '[Â°C']]]-Table3[[#This Row],[580F]]</f>
        <v>0</v>
      </c>
      <c r="Z1446">
        <f>DataLog_T717420_Aug11_4_59_37pm[[#This Row],[HPFP PRES. '[BAR']]]-Table3[[#This Row],[58F0]]</f>
        <v>0</v>
      </c>
      <c r="AA1446">
        <f>DataLog_T717420_Aug11_4_59_37pm[[#This Row],[COOLANT TEMP '[Â°C']]]-Table3[[#This Row],[5805]]</f>
        <v>0</v>
      </c>
      <c r="AB1446">
        <f>DataLog_T717420_Aug11_4_59_37pm[[#This Row],[BOOST '[BAR']]]-Table3[[#This Row],[58DD]]</f>
        <v>0</v>
      </c>
    </row>
    <row r="1447" spans="2:28" x14ac:dyDescent="0.25">
      <c r="B1447" s="2" t="s">
        <v>72</v>
      </c>
      <c r="C1447" s="2" t="s">
        <v>262</v>
      </c>
      <c r="D1447" s="2" t="s">
        <v>151</v>
      </c>
      <c r="E1447" s="2" t="s">
        <v>376</v>
      </c>
      <c r="F1447" s="2" t="s">
        <v>292</v>
      </c>
      <c r="G1447" s="2" t="s">
        <v>377</v>
      </c>
      <c r="I1447">
        <f>HEX2DEC(_0811_173439[[#This Row],[580C]])*B$4/B$5+B$6</f>
        <v>1120</v>
      </c>
      <c r="J1447">
        <f>HEX2DEC(_0811_173439[[#This Row],[4402]])*C$4/C$5+C$6</f>
        <v>37</v>
      </c>
      <c r="K1447">
        <f>HEX2DEC(_0811_173439[[#This Row],[580F]])*D$4/D$5+D$6</f>
        <v>30</v>
      </c>
      <c r="L1447">
        <f>ROUND(HEX2DEC(_0811_173439[[#This Row],[58F0]])*E$4/E$5+E$6,0)</f>
        <v>73</v>
      </c>
      <c r="M1447">
        <f>ROUND(HEX2DEC(_0811_173439[[#This Row],[5805]])*F$4/F$5+F$6,0)</f>
        <v>45</v>
      </c>
      <c r="N1447">
        <f>ROUND(HEX2DEC(_0811_173439[[#This Row],[58DD]])*G$4/G$5+G$6,2)</f>
        <v>-0.02</v>
      </c>
      <c r="P1447">
        <v>1120</v>
      </c>
      <c r="Q1447">
        <v>37</v>
      </c>
      <c r="R1447">
        <v>30</v>
      </c>
      <c r="S1447">
        <v>73</v>
      </c>
      <c r="T1447">
        <v>45</v>
      </c>
      <c r="U1447">
        <v>-0.02</v>
      </c>
      <c r="W1447">
        <f>DataLog_T717420_Aug11_4_59_37pm[[#This Row],[RPM '[1/MIN']]]-Table3[[#This Row],[580C]]</f>
        <v>0</v>
      </c>
      <c r="X1447">
        <f>DataLog_T717420_Aug11_4_59_37pm[[#This Row],[OIL TEMP '[Â°C']]]-Table3[[#This Row],[4402]]</f>
        <v>0</v>
      </c>
      <c r="Y1447">
        <f>DataLog_T717420_Aug11_4_59_37pm[[#This Row],[INTAKE TEMP '[Â°C']]]-Table3[[#This Row],[580F]]</f>
        <v>0</v>
      </c>
      <c r="Z1447">
        <f>DataLog_T717420_Aug11_4_59_37pm[[#This Row],[HPFP PRES. '[BAR']]]-Table3[[#This Row],[58F0]]</f>
        <v>0</v>
      </c>
      <c r="AA1447">
        <f>DataLog_T717420_Aug11_4_59_37pm[[#This Row],[COOLANT TEMP '[Â°C']]]-Table3[[#This Row],[5805]]</f>
        <v>0</v>
      </c>
      <c r="AB1447">
        <f>DataLog_T717420_Aug11_4_59_37pm[[#This Row],[BOOST '[BAR']]]-Table3[[#This Row],[58DD]]</f>
        <v>0</v>
      </c>
    </row>
    <row r="1448" spans="2:28" x14ac:dyDescent="0.25">
      <c r="B1448" s="2" t="s">
        <v>72</v>
      </c>
      <c r="C1448" s="2" t="s">
        <v>262</v>
      </c>
      <c r="D1448" s="2" t="s">
        <v>151</v>
      </c>
      <c r="E1448" s="2" t="s">
        <v>278</v>
      </c>
      <c r="F1448" s="2" t="s">
        <v>292</v>
      </c>
      <c r="G1448" s="2" t="s">
        <v>378</v>
      </c>
      <c r="I1448">
        <f>HEX2DEC(_0811_173439[[#This Row],[580C]])*B$4/B$5+B$6</f>
        <v>1120</v>
      </c>
      <c r="J1448">
        <f>HEX2DEC(_0811_173439[[#This Row],[4402]])*C$4/C$5+C$6</f>
        <v>37</v>
      </c>
      <c r="K1448">
        <f>HEX2DEC(_0811_173439[[#This Row],[580F]])*D$4/D$5+D$6</f>
        <v>30</v>
      </c>
      <c r="L1448">
        <f>ROUND(HEX2DEC(_0811_173439[[#This Row],[58F0]])*E$4/E$5+E$6,0)</f>
        <v>73</v>
      </c>
      <c r="M1448">
        <f>ROUND(HEX2DEC(_0811_173439[[#This Row],[5805]])*F$4/F$5+F$6,0)</f>
        <v>45</v>
      </c>
      <c r="N1448">
        <f>ROUND(HEX2DEC(_0811_173439[[#This Row],[58DD]])*G$4/G$5+G$6,2)</f>
        <v>-0.02</v>
      </c>
      <c r="P1448">
        <v>1120</v>
      </c>
      <c r="Q1448">
        <v>37</v>
      </c>
      <c r="R1448">
        <v>30</v>
      </c>
      <c r="S1448">
        <v>73</v>
      </c>
      <c r="T1448">
        <v>45</v>
      </c>
      <c r="U1448">
        <v>-0.02</v>
      </c>
      <c r="W1448">
        <f>DataLog_T717420_Aug11_4_59_37pm[[#This Row],[RPM '[1/MIN']]]-Table3[[#This Row],[580C]]</f>
        <v>0</v>
      </c>
      <c r="X1448">
        <f>DataLog_T717420_Aug11_4_59_37pm[[#This Row],[OIL TEMP '[Â°C']]]-Table3[[#This Row],[4402]]</f>
        <v>0</v>
      </c>
      <c r="Y1448">
        <f>DataLog_T717420_Aug11_4_59_37pm[[#This Row],[INTAKE TEMP '[Â°C']]]-Table3[[#This Row],[580F]]</f>
        <v>0</v>
      </c>
      <c r="Z1448">
        <f>DataLog_T717420_Aug11_4_59_37pm[[#This Row],[HPFP PRES. '[BAR']]]-Table3[[#This Row],[58F0]]</f>
        <v>0</v>
      </c>
      <c r="AA1448">
        <f>DataLog_T717420_Aug11_4_59_37pm[[#This Row],[COOLANT TEMP '[Â°C']]]-Table3[[#This Row],[5805]]</f>
        <v>0</v>
      </c>
      <c r="AB1448">
        <f>DataLog_T717420_Aug11_4_59_37pm[[#This Row],[BOOST '[BAR']]]-Table3[[#This Row],[58DD]]</f>
        <v>0</v>
      </c>
    </row>
    <row r="1449" spans="2:28" x14ac:dyDescent="0.25">
      <c r="B1449" s="2" t="s">
        <v>72</v>
      </c>
      <c r="C1449" s="2" t="s">
        <v>262</v>
      </c>
      <c r="D1449" s="2" t="s">
        <v>151</v>
      </c>
      <c r="E1449" s="2" t="s">
        <v>379</v>
      </c>
      <c r="F1449" s="2" t="s">
        <v>292</v>
      </c>
      <c r="G1449" s="2" t="s">
        <v>380</v>
      </c>
      <c r="I1449">
        <f>HEX2DEC(_0811_173439[[#This Row],[580C]])*B$4/B$5+B$6</f>
        <v>1120</v>
      </c>
      <c r="J1449">
        <f>HEX2DEC(_0811_173439[[#This Row],[4402]])*C$4/C$5+C$6</f>
        <v>37</v>
      </c>
      <c r="K1449">
        <f>HEX2DEC(_0811_173439[[#This Row],[580F]])*D$4/D$5+D$6</f>
        <v>30</v>
      </c>
      <c r="L1449">
        <f>ROUND(HEX2DEC(_0811_173439[[#This Row],[58F0]])*E$4/E$5+E$6,0)</f>
        <v>72</v>
      </c>
      <c r="M1449">
        <f>ROUND(HEX2DEC(_0811_173439[[#This Row],[5805]])*F$4/F$5+F$6,0)</f>
        <v>45</v>
      </c>
      <c r="N1449">
        <f>ROUND(HEX2DEC(_0811_173439[[#This Row],[58DD]])*G$4/G$5+G$6,2)</f>
        <v>-0.02</v>
      </c>
      <c r="P1449">
        <v>1120</v>
      </c>
      <c r="Q1449">
        <v>37</v>
      </c>
      <c r="R1449">
        <v>30</v>
      </c>
      <c r="S1449">
        <v>72</v>
      </c>
      <c r="T1449">
        <v>45</v>
      </c>
      <c r="U1449">
        <v>-0.02</v>
      </c>
      <c r="W1449">
        <f>DataLog_T717420_Aug11_4_59_37pm[[#This Row],[RPM '[1/MIN']]]-Table3[[#This Row],[580C]]</f>
        <v>0</v>
      </c>
      <c r="X1449">
        <f>DataLog_T717420_Aug11_4_59_37pm[[#This Row],[OIL TEMP '[Â°C']]]-Table3[[#This Row],[4402]]</f>
        <v>0</v>
      </c>
      <c r="Y1449">
        <f>DataLog_T717420_Aug11_4_59_37pm[[#This Row],[INTAKE TEMP '[Â°C']]]-Table3[[#This Row],[580F]]</f>
        <v>0</v>
      </c>
      <c r="Z1449">
        <f>DataLog_T717420_Aug11_4_59_37pm[[#This Row],[HPFP PRES. '[BAR']]]-Table3[[#This Row],[58F0]]</f>
        <v>0</v>
      </c>
      <c r="AA1449">
        <f>DataLog_T717420_Aug11_4_59_37pm[[#This Row],[COOLANT TEMP '[Â°C']]]-Table3[[#This Row],[5805]]</f>
        <v>0</v>
      </c>
      <c r="AB1449">
        <f>DataLog_T717420_Aug11_4_59_37pm[[#This Row],[BOOST '[BAR']]]-Table3[[#This Row],[58DD]]</f>
        <v>0</v>
      </c>
    </row>
    <row r="1450" spans="2:28" x14ac:dyDescent="0.25">
      <c r="B1450" s="2" t="s">
        <v>72</v>
      </c>
      <c r="C1450" s="2" t="s">
        <v>262</v>
      </c>
      <c r="D1450" s="2" t="s">
        <v>151</v>
      </c>
      <c r="E1450" s="2" t="s">
        <v>381</v>
      </c>
      <c r="F1450" s="2" t="s">
        <v>292</v>
      </c>
      <c r="G1450" s="2" t="s">
        <v>382</v>
      </c>
      <c r="I1450">
        <f>HEX2DEC(_0811_173439[[#This Row],[580C]])*B$4/B$5+B$6</f>
        <v>1120</v>
      </c>
      <c r="J1450">
        <f>HEX2DEC(_0811_173439[[#This Row],[4402]])*C$4/C$5+C$6</f>
        <v>37</v>
      </c>
      <c r="K1450">
        <f>HEX2DEC(_0811_173439[[#This Row],[580F]])*D$4/D$5+D$6</f>
        <v>30</v>
      </c>
      <c r="L1450">
        <f>ROUND(HEX2DEC(_0811_173439[[#This Row],[58F0]])*E$4/E$5+E$6,0)</f>
        <v>72</v>
      </c>
      <c r="M1450">
        <f>ROUND(HEX2DEC(_0811_173439[[#This Row],[5805]])*F$4/F$5+F$6,0)</f>
        <v>45</v>
      </c>
      <c r="N1450">
        <f>ROUND(HEX2DEC(_0811_173439[[#This Row],[58DD]])*G$4/G$5+G$6,2)</f>
        <v>-0.02</v>
      </c>
      <c r="P1450">
        <v>1120</v>
      </c>
      <c r="Q1450">
        <v>37</v>
      </c>
      <c r="R1450">
        <v>30</v>
      </c>
      <c r="S1450">
        <v>72</v>
      </c>
      <c r="T1450">
        <v>45</v>
      </c>
      <c r="U1450">
        <v>-0.02</v>
      </c>
      <c r="W1450">
        <f>DataLog_T717420_Aug11_4_59_37pm[[#This Row],[RPM '[1/MIN']]]-Table3[[#This Row],[580C]]</f>
        <v>0</v>
      </c>
      <c r="X1450">
        <f>DataLog_T717420_Aug11_4_59_37pm[[#This Row],[OIL TEMP '[Â°C']]]-Table3[[#This Row],[4402]]</f>
        <v>0</v>
      </c>
      <c r="Y1450">
        <f>DataLog_T717420_Aug11_4_59_37pm[[#This Row],[INTAKE TEMP '[Â°C']]]-Table3[[#This Row],[580F]]</f>
        <v>0</v>
      </c>
      <c r="Z1450">
        <f>DataLog_T717420_Aug11_4_59_37pm[[#This Row],[HPFP PRES. '[BAR']]]-Table3[[#This Row],[58F0]]</f>
        <v>0</v>
      </c>
      <c r="AA1450">
        <f>DataLog_T717420_Aug11_4_59_37pm[[#This Row],[COOLANT TEMP '[Â°C']]]-Table3[[#This Row],[5805]]</f>
        <v>0</v>
      </c>
      <c r="AB1450">
        <f>DataLog_T717420_Aug11_4_59_37pm[[#This Row],[BOOST '[BAR']]]-Table3[[#This Row],[58DD]]</f>
        <v>0</v>
      </c>
    </row>
    <row r="1451" spans="2:28" x14ac:dyDescent="0.25">
      <c r="B1451" s="2" t="s">
        <v>128</v>
      </c>
      <c r="C1451" s="2" t="s">
        <v>262</v>
      </c>
      <c r="D1451" s="2" t="s">
        <v>151</v>
      </c>
      <c r="E1451" s="2" t="s">
        <v>383</v>
      </c>
      <c r="F1451" s="2" t="s">
        <v>292</v>
      </c>
      <c r="G1451" s="2" t="s">
        <v>28</v>
      </c>
      <c r="I1451">
        <f>HEX2DEC(_0811_173439[[#This Row],[580C]])*B$4/B$5+B$6</f>
        <v>1080</v>
      </c>
      <c r="J1451">
        <f>HEX2DEC(_0811_173439[[#This Row],[4402]])*C$4/C$5+C$6</f>
        <v>37</v>
      </c>
      <c r="K1451">
        <f>HEX2DEC(_0811_173439[[#This Row],[580F]])*D$4/D$5+D$6</f>
        <v>30</v>
      </c>
      <c r="L1451">
        <f>ROUND(HEX2DEC(_0811_173439[[#This Row],[58F0]])*E$4/E$5+E$6,0)</f>
        <v>72</v>
      </c>
      <c r="M1451">
        <f>ROUND(HEX2DEC(_0811_173439[[#This Row],[5805]])*F$4/F$5+F$6,0)</f>
        <v>45</v>
      </c>
      <c r="N1451">
        <f>ROUND(HEX2DEC(_0811_173439[[#This Row],[58DD]])*G$4/G$5+G$6,2)</f>
        <v>-0.02</v>
      </c>
      <c r="P1451">
        <v>1080</v>
      </c>
      <c r="Q1451">
        <v>37</v>
      </c>
      <c r="R1451">
        <v>30</v>
      </c>
      <c r="S1451">
        <v>72</v>
      </c>
      <c r="T1451">
        <v>45</v>
      </c>
      <c r="U1451">
        <v>-0.02</v>
      </c>
      <c r="W1451">
        <f>DataLog_T717420_Aug11_4_59_37pm[[#This Row],[RPM '[1/MIN']]]-Table3[[#This Row],[580C]]</f>
        <v>0</v>
      </c>
      <c r="X1451">
        <f>DataLog_T717420_Aug11_4_59_37pm[[#This Row],[OIL TEMP '[Â°C']]]-Table3[[#This Row],[4402]]</f>
        <v>0</v>
      </c>
      <c r="Y1451">
        <f>DataLog_T717420_Aug11_4_59_37pm[[#This Row],[INTAKE TEMP '[Â°C']]]-Table3[[#This Row],[580F]]</f>
        <v>0</v>
      </c>
      <c r="Z1451">
        <f>DataLog_T717420_Aug11_4_59_37pm[[#This Row],[HPFP PRES. '[BAR']]]-Table3[[#This Row],[58F0]]</f>
        <v>0</v>
      </c>
      <c r="AA1451">
        <f>DataLog_T717420_Aug11_4_59_37pm[[#This Row],[COOLANT TEMP '[Â°C']]]-Table3[[#This Row],[5805]]</f>
        <v>0</v>
      </c>
      <c r="AB1451">
        <f>DataLog_T717420_Aug11_4_59_37pm[[#This Row],[BOOST '[BAR']]]-Table3[[#This Row],[58DD]]</f>
        <v>0</v>
      </c>
    </row>
    <row r="1452" spans="2:28" x14ac:dyDescent="0.25">
      <c r="B1452" s="2" t="s">
        <v>128</v>
      </c>
      <c r="C1452" s="2" t="s">
        <v>262</v>
      </c>
      <c r="D1452" s="2" t="s">
        <v>151</v>
      </c>
      <c r="E1452" s="2" t="s">
        <v>384</v>
      </c>
      <c r="F1452" s="2" t="s">
        <v>292</v>
      </c>
      <c r="G1452" s="2" t="s">
        <v>28</v>
      </c>
      <c r="I1452">
        <f>HEX2DEC(_0811_173439[[#This Row],[580C]])*B$4/B$5+B$6</f>
        <v>1080</v>
      </c>
      <c r="J1452">
        <f>HEX2DEC(_0811_173439[[#This Row],[4402]])*C$4/C$5+C$6</f>
        <v>37</v>
      </c>
      <c r="K1452">
        <f>HEX2DEC(_0811_173439[[#This Row],[580F]])*D$4/D$5+D$6</f>
        <v>30</v>
      </c>
      <c r="L1452">
        <f>ROUND(HEX2DEC(_0811_173439[[#This Row],[58F0]])*E$4/E$5+E$6,0)</f>
        <v>71</v>
      </c>
      <c r="M1452">
        <f>ROUND(HEX2DEC(_0811_173439[[#This Row],[5805]])*F$4/F$5+F$6,0)</f>
        <v>45</v>
      </c>
      <c r="N1452">
        <f>ROUND(HEX2DEC(_0811_173439[[#This Row],[58DD]])*G$4/G$5+G$6,2)</f>
        <v>-0.02</v>
      </c>
      <c r="P1452">
        <v>1080</v>
      </c>
      <c r="Q1452">
        <v>37</v>
      </c>
      <c r="R1452">
        <v>30</v>
      </c>
      <c r="S1452">
        <v>71</v>
      </c>
      <c r="T1452">
        <v>45</v>
      </c>
      <c r="U1452">
        <v>-0.02</v>
      </c>
      <c r="W1452">
        <f>DataLog_T717420_Aug11_4_59_37pm[[#This Row],[RPM '[1/MIN']]]-Table3[[#This Row],[580C]]</f>
        <v>0</v>
      </c>
      <c r="X1452">
        <f>DataLog_T717420_Aug11_4_59_37pm[[#This Row],[OIL TEMP '[Â°C']]]-Table3[[#This Row],[4402]]</f>
        <v>0</v>
      </c>
      <c r="Y1452">
        <f>DataLog_T717420_Aug11_4_59_37pm[[#This Row],[INTAKE TEMP '[Â°C']]]-Table3[[#This Row],[580F]]</f>
        <v>0</v>
      </c>
      <c r="Z1452">
        <f>DataLog_T717420_Aug11_4_59_37pm[[#This Row],[HPFP PRES. '[BAR']]]-Table3[[#This Row],[58F0]]</f>
        <v>0</v>
      </c>
      <c r="AA1452">
        <f>DataLog_T717420_Aug11_4_59_37pm[[#This Row],[COOLANT TEMP '[Â°C']]]-Table3[[#This Row],[5805]]</f>
        <v>0</v>
      </c>
      <c r="AB1452">
        <f>DataLog_T717420_Aug11_4_59_37pm[[#This Row],[BOOST '[BAR']]]-Table3[[#This Row],[58DD]]</f>
        <v>0</v>
      </c>
    </row>
    <row r="1453" spans="2:28" x14ac:dyDescent="0.25">
      <c r="B1453" s="2" t="s">
        <v>128</v>
      </c>
      <c r="C1453" s="2" t="s">
        <v>262</v>
      </c>
      <c r="D1453" s="2" t="s">
        <v>151</v>
      </c>
      <c r="E1453" s="2" t="s">
        <v>385</v>
      </c>
      <c r="F1453" s="2" t="s">
        <v>292</v>
      </c>
      <c r="G1453" s="2" t="s">
        <v>28</v>
      </c>
      <c r="I1453">
        <f>HEX2DEC(_0811_173439[[#This Row],[580C]])*B$4/B$5+B$6</f>
        <v>1080</v>
      </c>
      <c r="J1453">
        <f>HEX2DEC(_0811_173439[[#This Row],[4402]])*C$4/C$5+C$6</f>
        <v>37</v>
      </c>
      <c r="K1453">
        <f>HEX2DEC(_0811_173439[[#This Row],[580F]])*D$4/D$5+D$6</f>
        <v>30</v>
      </c>
      <c r="L1453">
        <f>ROUND(HEX2DEC(_0811_173439[[#This Row],[58F0]])*E$4/E$5+E$6,0)</f>
        <v>72</v>
      </c>
      <c r="M1453">
        <f>ROUND(HEX2DEC(_0811_173439[[#This Row],[5805]])*F$4/F$5+F$6,0)</f>
        <v>45</v>
      </c>
      <c r="N1453">
        <f>ROUND(HEX2DEC(_0811_173439[[#This Row],[58DD]])*G$4/G$5+G$6,2)</f>
        <v>-0.02</v>
      </c>
      <c r="P1453">
        <v>1080</v>
      </c>
      <c r="Q1453">
        <v>37</v>
      </c>
      <c r="R1453">
        <v>30</v>
      </c>
      <c r="S1453">
        <v>72</v>
      </c>
      <c r="T1453">
        <v>45</v>
      </c>
      <c r="U1453">
        <v>-0.02</v>
      </c>
      <c r="W1453">
        <f>DataLog_T717420_Aug11_4_59_37pm[[#This Row],[RPM '[1/MIN']]]-Table3[[#This Row],[580C]]</f>
        <v>0</v>
      </c>
      <c r="X1453">
        <f>DataLog_T717420_Aug11_4_59_37pm[[#This Row],[OIL TEMP '[Â°C']]]-Table3[[#This Row],[4402]]</f>
        <v>0</v>
      </c>
      <c r="Y1453">
        <f>DataLog_T717420_Aug11_4_59_37pm[[#This Row],[INTAKE TEMP '[Â°C']]]-Table3[[#This Row],[580F]]</f>
        <v>0</v>
      </c>
      <c r="Z1453">
        <f>DataLog_T717420_Aug11_4_59_37pm[[#This Row],[HPFP PRES. '[BAR']]]-Table3[[#This Row],[58F0]]</f>
        <v>0</v>
      </c>
      <c r="AA1453">
        <f>DataLog_T717420_Aug11_4_59_37pm[[#This Row],[COOLANT TEMP '[Â°C']]]-Table3[[#This Row],[5805]]</f>
        <v>0</v>
      </c>
      <c r="AB1453">
        <f>DataLog_T717420_Aug11_4_59_37pm[[#This Row],[BOOST '[BAR']]]-Table3[[#This Row],[58DD]]</f>
        <v>0</v>
      </c>
    </row>
    <row r="1454" spans="2:28" x14ac:dyDescent="0.25">
      <c r="B1454" s="2" t="s">
        <v>133</v>
      </c>
      <c r="C1454" s="2" t="s">
        <v>262</v>
      </c>
      <c r="D1454" s="2" t="s">
        <v>151</v>
      </c>
      <c r="E1454" s="2" t="s">
        <v>386</v>
      </c>
      <c r="F1454" s="2" t="s">
        <v>292</v>
      </c>
      <c r="G1454" s="2" t="s">
        <v>28</v>
      </c>
      <c r="I1454">
        <f>HEX2DEC(_0811_173439[[#This Row],[580C]])*B$4/B$5+B$6</f>
        <v>1040</v>
      </c>
      <c r="J1454">
        <f>HEX2DEC(_0811_173439[[#This Row],[4402]])*C$4/C$5+C$6</f>
        <v>37</v>
      </c>
      <c r="K1454">
        <f>HEX2DEC(_0811_173439[[#This Row],[580F]])*D$4/D$5+D$6</f>
        <v>30</v>
      </c>
      <c r="L1454">
        <f>ROUND(HEX2DEC(_0811_173439[[#This Row],[58F0]])*E$4/E$5+E$6,0)</f>
        <v>72</v>
      </c>
      <c r="M1454">
        <f>ROUND(HEX2DEC(_0811_173439[[#This Row],[5805]])*F$4/F$5+F$6,0)</f>
        <v>45</v>
      </c>
      <c r="N1454">
        <f>ROUND(HEX2DEC(_0811_173439[[#This Row],[58DD]])*G$4/G$5+G$6,2)</f>
        <v>-0.02</v>
      </c>
      <c r="P1454">
        <v>1040</v>
      </c>
      <c r="Q1454">
        <v>37</v>
      </c>
      <c r="R1454">
        <v>30</v>
      </c>
      <c r="S1454">
        <v>72</v>
      </c>
      <c r="T1454">
        <v>45</v>
      </c>
      <c r="U1454">
        <v>-0.02</v>
      </c>
      <c r="W1454">
        <f>DataLog_T717420_Aug11_4_59_37pm[[#This Row],[RPM '[1/MIN']]]-Table3[[#This Row],[580C]]</f>
        <v>0</v>
      </c>
      <c r="X1454">
        <f>DataLog_T717420_Aug11_4_59_37pm[[#This Row],[OIL TEMP '[Â°C']]]-Table3[[#This Row],[4402]]</f>
        <v>0</v>
      </c>
      <c r="Y1454">
        <f>DataLog_T717420_Aug11_4_59_37pm[[#This Row],[INTAKE TEMP '[Â°C']]]-Table3[[#This Row],[580F]]</f>
        <v>0</v>
      </c>
      <c r="Z1454">
        <f>DataLog_T717420_Aug11_4_59_37pm[[#This Row],[HPFP PRES. '[BAR']]]-Table3[[#This Row],[58F0]]</f>
        <v>0</v>
      </c>
      <c r="AA1454">
        <f>DataLog_T717420_Aug11_4_59_37pm[[#This Row],[COOLANT TEMP '[Â°C']]]-Table3[[#This Row],[5805]]</f>
        <v>0</v>
      </c>
      <c r="AB1454">
        <f>DataLog_T717420_Aug11_4_59_37pm[[#This Row],[BOOST '[BAR']]]-Table3[[#This Row],[58DD]]</f>
        <v>0</v>
      </c>
    </row>
    <row r="1455" spans="2:28" x14ac:dyDescent="0.25">
      <c r="B1455" s="2" t="s">
        <v>133</v>
      </c>
      <c r="C1455" s="2" t="s">
        <v>262</v>
      </c>
      <c r="D1455" s="2" t="s">
        <v>151</v>
      </c>
      <c r="E1455" s="2" t="s">
        <v>147</v>
      </c>
      <c r="F1455" s="2" t="s">
        <v>292</v>
      </c>
      <c r="G1455" s="2" t="s">
        <v>28</v>
      </c>
      <c r="I1455">
        <f>HEX2DEC(_0811_173439[[#This Row],[580C]])*B$4/B$5+B$6</f>
        <v>1040</v>
      </c>
      <c r="J1455">
        <f>HEX2DEC(_0811_173439[[#This Row],[4402]])*C$4/C$5+C$6</f>
        <v>37</v>
      </c>
      <c r="K1455">
        <f>HEX2DEC(_0811_173439[[#This Row],[580F]])*D$4/D$5+D$6</f>
        <v>30</v>
      </c>
      <c r="L1455">
        <f>ROUND(HEX2DEC(_0811_173439[[#This Row],[58F0]])*E$4/E$5+E$6,0)</f>
        <v>71</v>
      </c>
      <c r="M1455">
        <f>ROUND(HEX2DEC(_0811_173439[[#This Row],[5805]])*F$4/F$5+F$6,0)</f>
        <v>45</v>
      </c>
      <c r="N1455">
        <f>ROUND(HEX2DEC(_0811_173439[[#This Row],[58DD]])*G$4/G$5+G$6,2)</f>
        <v>-0.02</v>
      </c>
      <c r="P1455">
        <v>1040</v>
      </c>
      <c r="Q1455">
        <v>37</v>
      </c>
      <c r="R1455">
        <v>30</v>
      </c>
      <c r="S1455">
        <v>71</v>
      </c>
      <c r="T1455">
        <v>45</v>
      </c>
      <c r="U1455">
        <v>-0.02</v>
      </c>
      <c r="W1455">
        <f>DataLog_T717420_Aug11_4_59_37pm[[#This Row],[RPM '[1/MIN']]]-Table3[[#This Row],[580C]]</f>
        <v>0</v>
      </c>
      <c r="X1455">
        <f>DataLog_T717420_Aug11_4_59_37pm[[#This Row],[OIL TEMP '[Â°C']]]-Table3[[#This Row],[4402]]</f>
        <v>0</v>
      </c>
      <c r="Y1455">
        <f>DataLog_T717420_Aug11_4_59_37pm[[#This Row],[INTAKE TEMP '[Â°C']]]-Table3[[#This Row],[580F]]</f>
        <v>0</v>
      </c>
      <c r="Z1455">
        <f>DataLog_T717420_Aug11_4_59_37pm[[#This Row],[HPFP PRES. '[BAR']]]-Table3[[#This Row],[58F0]]</f>
        <v>0</v>
      </c>
      <c r="AA1455">
        <f>DataLog_T717420_Aug11_4_59_37pm[[#This Row],[COOLANT TEMP '[Â°C']]]-Table3[[#This Row],[5805]]</f>
        <v>0</v>
      </c>
      <c r="AB1455">
        <f>DataLog_T717420_Aug11_4_59_37pm[[#This Row],[BOOST '[BAR']]]-Table3[[#This Row],[58DD]]</f>
        <v>0</v>
      </c>
    </row>
    <row r="1456" spans="2:28" x14ac:dyDescent="0.25">
      <c r="B1456" s="2" t="s">
        <v>133</v>
      </c>
      <c r="C1456" s="2" t="s">
        <v>262</v>
      </c>
      <c r="D1456" s="2" t="s">
        <v>151</v>
      </c>
      <c r="E1456" s="2" t="s">
        <v>129</v>
      </c>
      <c r="F1456" s="2" t="s">
        <v>292</v>
      </c>
      <c r="G1456" s="2" t="s">
        <v>28</v>
      </c>
      <c r="I1456">
        <f>HEX2DEC(_0811_173439[[#This Row],[580C]])*B$4/B$5+B$6</f>
        <v>1040</v>
      </c>
      <c r="J1456">
        <f>HEX2DEC(_0811_173439[[#This Row],[4402]])*C$4/C$5+C$6</f>
        <v>37</v>
      </c>
      <c r="K1456">
        <f>HEX2DEC(_0811_173439[[#This Row],[580F]])*D$4/D$5+D$6</f>
        <v>30</v>
      </c>
      <c r="L1456">
        <f>ROUND(HEX2DEC(_0811_173439[[#This Row],[58F0]])*E$4/E$5+E$6,0)</f>
        <v>71</v>
      </c>
      <c r="M1456">
        <f>ROUND(HEX2DEC(_0811_173439[[#This Row],[5805]])*F$4/F$5+F$6,0)</f>
        <v>45</v>
      </c>
      <c r="N1456">
        <f>ROUND(HEX2DEC(_0811_173439[[#This Row],[58DD]])*G$4/G$5+G$6,2)</f>
        <v>-0.02</v>
      </c>
      <c r="P1456">
        <v>1040</v>
      </c>
      <c r="Q1456">
        <v>37</v>
      </c>
      <c r="R1456">
        <v>30</v>
      </c>
      <c r="S1456">
        <v>71</v>
      </c>
      <c r="T1456">
        <v>45</v>
      </c>
      <c r="U1456">
        <v>-0.02</v>
      </c>
      <c r="W1456">
        <f>DataLog_T717420_Aug11_4_59_37pm[[#This Row],[RPM '[1/MIN']]]-Table3[[#This Row],[580C]]</f>
        <v>0</v>
      </c>
      <c r="X1456">
        <f>DataLog_T717420_Aug11_4_59_37pm[[#This Row],[OIL TEMP '[Â°C']]]-Table3[[#This Row],[4402]]</f>
        <v>0</v>
      </c>
      <c r="Y1456">
        <f>DataLog_T717420_Aug11_4_59_37pm[[#This Row],[INTAKE TEMP '[Â°C']]]-Table3[[#This Row],[580F]]</f>
        <v>0</v>
      </c>
      <c r="Z1456">
        <f>DataLog_T717420_Aug11_4_59_37pm[[#This Row],[HPFP PRES. '[BAR']]]-Table3[[#This Row],[58F0]]</f>
        <v>0</v>
      </c>
      <c r="AA1456">
        <f>DataLog_T717420_Aug11_4_59_37pm[[#This Row],[COOLANT TEMP '[Â°C']]]-Table3[[#This Row],[5805]]</f>
        <v>0</v>
      </c>
      <c r="AB1456">
        <f>DataLog_T717420_Aug11_4_59_37pm[[#This Row],[BOOST '[BAR']]]-Table3[[#This Row],[58DD]]</f>
        <v>0</v>
      </c>
    </row>
    <row r="1457" spans="2:28" x14ac:dyDescent="0.25">
      <c r="B1457" s="2" t="s">
        <v>133</v>
      </c>
      <c r="C1457" s="2" t="s">
        <v>262</v>
      </c>
      <c r="D1457" s="2" t="s">
        <v>151</v>
      </c>
      <c r="E1457" s="2" t="s">
        <v>259</v>
      </c>
      <c r="F1457" s="2" t="s">
        <v>292</v>
      </c>
      <c r="G1457" s="2" t="s">
        <v>28</v>
      </c>
      <c r="I1457">
        <f>HEX2DEC(_0811_173439[[#This Row],[580C]])*B$4/B$5+B$6</f>
        <v>1040</v>
      </c>
      <c r="J1457">
        <f>HEX2DEC(_0811_173439[[#This Row],[4402]])*C$4/C$5+C$6</f>
        <v>37</v>
      </c>
      <c r="K1457">
        <f>HEX2DEC(_0811_173439[[#This Row],[580F]])*D$4/D$5+D$6</f>
        <v>30</v>
      </c>
      <c r="L1457">
        <f>ROUND(HEX2DEC(_0811_173439[[#This Row],[58F0]])*E$4/E$5+E$6,0)</f>
        <v>71</v>
      </c>
      <c r="M1457">
        <f>ROUND(HEX2DEC(_0811_173439[[#This Row],[5805]])*F$4/F$5+F$6,0)</f>
        <v>45</v>
      </c>
      <c r="N1457">
        <f>ROUND(HEX2DEC(_0811_173439[[#This Row],[58DD]])*G$4/G$5+G$6,2)</f>
        <v>-0.02</v>
      </c>
      <c r="P1457">
        <v>1040</v>
      </c>
      <c r="Q1457">
        <v>37</v>
      </c>
      <c r="R1457">
        <v>30</v>
      </c>
      <c r="S1457">
        <v>71</v>
      </c>
      <c r="T1457">
        <v>45</v>
      </c>
      <c r="U1457">
        <v>-0.02</v>
      </c>
      <c r="W1457">
        <f>DataLog_T717420_Aug11_4_59_37pm[[#This Row],[RPM '[1/MIN']]]-Table3[[#This Row],[580C]]</f>
        <v>0</v>
      </c>
      <c r="X1457">
        <f>DataLog_T717420_Aug11_4_59_37pm[[#This Row],[OIL TEMP '[Â°C']]]-Table3[[#This Row],[4402]]</f>
        <v>0</v>
      </c>
      <c r="Y1457">
        <f>DataLog_T717420_Aug11_4_59_37pm[[#This Row],[INTAKE TEMP '[Â°C']]]-Table3[[#This Row],[580F]]</f>
        <v>0</v>
      </c>
      <c r="Z1457">
        <f>DataLog_T717420_Aug11_4_59_37pm[[#This Row],[HPFP PRES. '[BAR']]]-Table3[[#This Row],[58F0]]</f>
        <v>0</v>
      </c>
      <c r="AA1457">
        <f>DataLog_T717420_Aug11_4_59_37pm[[#This Row],[COOLANT TEMP '[Â°C']]]-Table3[[#This Row],[5805]]</f>
        <v>0</v>
      </c>
      <c r="AB1457">
        <f>DataLog_T717420_Aug11_4_59_37pm[[#This Row],[BOOST '[BAR']]]-Table3[[#This Row],[58DD]]</f>
        <v>0</v>
      </c>
    </row>
    <row r="1458" spans="2:28" x14ac:dyDescent="0.25">
      <c r="B1458" s="2" t="s">
        <v>136</v>
      </c>
      <c r="C1458" s="2" t="s">
        <v>262</v>
      </c>
      <c r="D1458" s="2" t="s">
        <v>151</v>
      </c>
      <c r="E1458" s="2" t="s">
        <v>122</v>
      </c>
      <c r="F1458" s="2" t="s">
        <v>292</v>
      </c>
      <c r="G1458" s="2" t="s">
        <v>28</v>
      </c>
      <c r="I1458">
        <f>HEX2DEC(_0811_173439[[#This Row],[580C]])*B$4/B$5+B$6</f>
        <v>1000</v>
      </c>
      <c r="J1458">
        <f>HEX2DEC(_0811_173439[[#This Row],[4402]])*C$4/C$5+C$6</f>
        <v>37</v>
      </c>
      <c r="K1458">
        <f>HEX2DEC(_0811_173439[[#This Row],[580F]])*D$4/D$5+D$6</f>
        <v>30</v>
      </c>
      <c r="L1458">
        <f>ROUND(HEX2DEC(_0811_173439[[#This Row],[58F0]])*E$4/E$5+E$6,0)</f>
        <v>71</v>
      </c>
      <c r="M1458">
        <f>ROUND(HEX2DEC(_0811_173439[[#This Row],[5805]])*F$4/F$5+F$6,0)</f>
        <v>45</v>
      </c>
      <c r="N1458">
        <f>ROUND(HEX2DEC(_0811_173439[[#This Row],[58DD]])*G$4/G$5+G$6,2)</f>
        <v>-0.02</v>
      </c>
      <c r="P1458">
        <v>1000</v>
      </c>
      <c r="Q1458">
        <v>37</v>
      </c>
      <c r="R1458">
        <v>30</v>
      </c>
      <c r="S1458">
        <v>71</v>
      </c>
      <c r="T1458">
        <v>45</v>
      </c>
      <c r="U1458">
        <v>-0.02</v>
      </c>
      <c r="W1458">
        <f>DataLog_T717420_Aug11_4_59_37pm[[#This Row],[RPM '[1/MIN']]]-Table3[[#This Row],[580C]]</f>
        <v>0</v>
      </c>
      <c r="X1458">
        <f>DataLog_T717420_Aug11_4_59_37pm[[#This Row],[OIL TEMP '[Â°C']]]-Table3[[#This Row],[4402]]</f>
        <v>0</v>
      </c>
      <c r="Y1458">
        <f>DataLog_T717420_Aug11_4_59_37pm[[#This Row],[INTAKE TEMP '[Â°C']]]-Table3[[#This Row],[580F]]</f>
        <v>0</v>
      </c>
      <c r="Z1458">
        <f>DataLog_T717420_Aug11_4_59_37pm[[#This Row],[HPFP PRES. '[BAR']]]-Table3[[#This Row],[58F0]]</f>
        <v>0</v>
      </c>
      <c r="AA1458">
        <f>DataLog_T717420_Aug11_4_59_37pm[[#This Row],[COOLANT TEMP '[Â°C']]]-Table3[[#This Row],[5805]]</f>
        <v>0</v>
      </c>
      <c r="AB1458">
        <f>DataLog_T717420_Aug11_4_59_37pm[[#This Row],[BOOST '[BAR']]]-Table3[[#This Row],[58DD]]</f>
        <v>0</v>
      </c>
    </row>
    <row r="1459" spans="2:28" x14ac:dyDescent="0.25">
      <c r="B1459" s="2" t="s">
        <v>136</v>
      </c>
      <c r="C1459" s="2" t="s">
        <v>262</v>
      </c>
      <c r="D1459" s="2" t="s">
        <v>151</v>
      </c>
      <c r="E1459" s="2" t="s">
        <v>165</v>
      </c>
      <c r="F1459" s="2" t="s">
        <v>292</v>
      </c>
      <c r="G1459" s="2" t="s">
        <v>387</v>
      </c>
      <c r="I1459">
        <f>HEX2DEC(_0811_173439[[#This Row],[580C]])*B$4/B$5+B$6</f>
        <v>1000</v>
      </c>
      <c r="J1459">
        <f>HEX2DEC(_0811_173439[[#This Row],[4402]])*C$4/C$5+C$6</f>
        <v>37</v>
      </c>
      <c r="K1459">
        <f>HEX2DEC(_0811_173439[[#This Row],[580F]])*D$4/D$5+D$6</f>
        <v>30</v>
      </c>
      <c r="L1459">
        <f>ROUND(HEX2DEC(_0811_173439[[#This Row],[58F0]])*E$4/E$5+E$6,0)</f>
        <v>70</v>
      </c>
      <c r="M1459">
        <f>ROUND(HEX2DEC(_0811_173439[[#This Row],[5805]])*F$4/F$5+F$6,0)</f>
        <v>45</v>
      </c>
      <c r="N1459">
        <f>ROUND(HEX2DEC(_0811_173439[[#This Row],[58DD]])*G$4/G$5+G$6,2)</f>
        <v>-0.02</v>
      </c>
      <c r="P1459">
        <v>1000</v>
      </c>
      <c r="Q1459">
        <v>37</v>
      </c>
      <c r="R1459">
        <v>30</v>
      </c>
      <c r="S1459">
        <v>70</v>
      </c>
      <c r="T1459">
        <v>45</v>
      </c>
      <c r="U1459">
        <v>-0.02</v>
      </c>
      <c r="W1459">
        <f>DataLog_T717420_Aug11_4_59_37pm[[#This Row],[RPM '[1/MIN']]]-Table3[[#This Row],[580C]]</f>
        <v>0</v>
      </c>
      <c r="X1459">
        <f>DataLog_T717420_Aug11_4_59_37pm[[#This Row],[OIL TEMP '[Â°C']]]-Table3[[#This Row],[4402]]</f>
        <v>0</v>
      </c>
      <c r="Y1459">
        <f>DataLog_T717420_Aug11_4_59_37pm[[#This Row],[INTAKE TEMP '[Â°C']]]-Table3[[#This Row],[580F]]</f>
        <v>0</v>
      </c>
      <c r="Z1459">
        <f>DataLog_T717420_Aug11_4_59_37pm[[#This Row],[HPFP PRES. '[BAR']]]-Table3[[#This Row],[58F0]]</f>
        <v>0</v>
      </c>
      <c r="AA1459">
        <f>DataLog_T717420_Aug11_4_59_37pm[[#This Row],[COOLANT TEMP '[Â°C']]]-Table3[[#This Row],[5805]]</f>
        <v>0</v>
      </c>
      <c r="AB1459">
        <f>DataLog_T717420_Aug11_4_59_37pm[[#This Row],[BOOST '[BAR']]]-Table3[[#This Row],[58DD]]</f>
        <v>0</v>
      </c>
    </row>
    <row r="1460" spans="2:28" x14ac:dyDescent="0.25">
      <c r="B1460" s="2" t="s">
        <v>136</v>
      </c>
      <c r="C1460" s="2" t="s">
        <v>262</v>
      </c>
      <c r="D1460" s="2" t="s">
        <v>151</v>
      </c>
      <c r="E1460" s="2" t="s">
        <v>129</v>
      </c>
      <c r="F1460" s="2" t="s">
        <v>292</v>
      </c>
      <c r="G1460" s="2" t="s">
        <v>28</v>
      </c>
      <c r="I1460">
        <f>HEX2DEC(_0811_173439[[#This Row],[580C]])*B$4/B$5+B$6</f>
        <v>1000</v>
      </c>
      <c r="J1460">
        <f>HEX2DEC(_0811_173439[[#This Row],[4402]])*C$4/C$5+C$6</f>
        <v>37</v>
      </c>
      <c r="K1460">
        <f>HEX2DEC(_0811_173439[[#This Row],[580F]])*D$4/D$5+D$6</f>
        <v>30</v>
      </c>
      <c r="L1460">
        <f>ROUND(HEX2DEC(_0811_173439[[#This Row],[58F0]])*E$4/E$5+E$6,0)</f>
        <v>71</v>
      </c>
      <c r="M1460">
        <f>ROUND(HEX2DEC(_0811_173439[[#This Row],[5805]])*F$4/F$5+F$6,0)</f>
        <v>45</v>
      </c>
      <c r="N1460">
        <f>ROUND(HEX2DEC(_0811_173439[[#This Row],[58DD]])*G$4/G$5+G$6,2)</f>
        <v>-0.02</v>
      </c>
      <c r="P1460">
        <v>1000</v>
      </c>
      <c r="Q1460">
        <v>37</v>
      </c>
      <c r="R1460">
        <v>30</v>
      </c>
      <c r="S1460">
        <v>71</v>
      </c>
      <c r="T1460">
        <v>45</v>
      </c>
      <c r="U1460">
        <v>-0.02</v>
      </c>
      <c r="W1460">
        <f>DataLog_T717420_Aug11_4_59_37pm[[#This Row],[RPM '[1/MIN']]]-Table3[[#This Row],[580C]]</f>
        <v>0</v>
      </c>
      <c r="X1460">
        <f>DataLog_T717420_Aug11_4_59_37pm[[#This Row],[OIL TEMP '[Â°C']]]-Table3[[#This Row],[4402]]</f>
        <v>0</v>
      </c>
      <c r="Y1460">
        <f>DataLog_T717420_Aug11_4_59_37pm[[#This Row],[INTAKE TEMP '[Â°C']]]-Table3[[#This Row],[580F]]</f>
        <v>0</v>
      </c>
      <c r="Z1460">
        <f>DataLog_T717420_Aug11_4_59_37pm[[#This Row],[HPFP PRES. '[BAR']]]-Table3[[#This Row],[58F0]]</f>
        <v>0</v>
      </c>
      <c r="AA1460">
        <f>DataLog_T717420_Aug11_4_59_37pm[[#This Row],[COOLANT TEMP '[Â°C']]]-Table3[[#This Row],[5805]]</f>
        <v>0</v>
      </c>
      <c r="AB1460">
        <f>DataLog_T717420_Aug11_4_59_37pm[[#This Row],[BOOST '[BAR']]]-Table3[[#This Row],[58DD]]</f>
        <v>0</v>
      </c>
    </row>
    <row r="1461" spans="2:28" x14ac:dyDescent="0.25">
      <c r="B1461" s="2" t="s">
        <v>136</v>
      </c>
      <c r="C1461" s="2" t="s">
        <v>262</v>
      </c>
      <c r="D1461" s="2" t="s">
        <v>151</v>
      </c>
      <c r="E1461" s="2" t="s">
        <v>205</v>
      </c>
      <c r="F1461" s="2" t="s">
        <v>292</v>
      </c>
      <c r="G1461" s="2" t="s">
        <v>28</v>
      </c>
      <c r="I1461">
        <f>HEX2DEC(_0811_173439[[#This Row],[580C]])*B$4/B$5+B$6</f>
        <v>1000</v>
      </c>
      <c r="J1461">
        <f>HEX2DEC(_0811_173439[[#This Row],[4402]])*C$4/C$5+C$6</f>
        <v>37</v>
      </c>
      <c r="K1461">
        <f>HEX2DEC(_0811_173439[[#This Row],[580F]])*D$4/D$5+D$6</f>
        <v>30</v>
      </c>
      <c r="L1461">
        <f>ROUND(HEX2DEC(_0811_173439[[#This Row],[58F0]])*E$4/E$5+E$6,0)</f>
        <v>71</v>
      </c>
      <c r="M1461">
        <f>ROUND(HEX2DEC(_0811_173439[[#This Row],[5805]])*F$4/F$5+F$6,0)</f>
        <v>45</v>
      </c>
      <c r="N1461">
        <f>ROUND(HEX2DEC(_0811_173439[[#This Row],[58DD]])*G$4/G$5+G$6,2)</f>
        <v>-0.02</v>
      </c>
      <c r="P1461">
        <v>1000</v>
      </c>
      <c r="Q1461">
        <v>37</v>
      </c>
      <c r="R1461">
        <v>30</v>
      </c>
      <c r="S1461">
        <v>71</v>
      </c>
      <c r="T1461">
        <v>45</v>
      </c>
      <c r="U1461">
        <v>-0.02</v>
      </c>
      <c r="W1461">
        <f>DataLog_T717420_Aug11_4_59_37pm[[#This Row],[RPM '[1/MIN']]]-Table3[[#This Row],[580C]]</f>
        <v>0</v>
      </c>
      <c r="X1461">
        <f>DataLog_T717420_Aug11_4_59_37pm[[#This Row],[OIL TEMP '[Â°C']]]-Table3[[#This Row],[4402]]</f>
        <v>0</v>
      </c>
      <c r="Y1461">
        <f>DataLog_T717420_Aug11_4_59_37pm[[#This Row],[INTAKE TEMP '[Â°C']]]-Table3[[#This Row],[580F]]</f>
        <v>0</v>
      </c>
      <c r="Z1461">
        <f>DataLog_T717420_Aug11_4_59_37pm[[#This Row],[HPFP PRES. '[BAR']]]-Table3[[#This Row],[58F0]]</f>
        <v>0</v>
      </c>
      <c r="AA1461">
        <f>DataLog_T717420_Aug11_4_59_37pm[[#This Row],[COOLANT TEMP '[Â°C']]]-Table3[[#This Row],[5805]]</f>
        <v>0</v>
      </c>
      <c r="AB1461">
        <f>DataLog_T717420_Aug11_4_59_37pm[[#This Row],[BOOST '[BAR']]]-Table3[[#This Row],[58DD]]</f>
        <v>0</v>
      </c>
    </row>
    <row r="1462" spans="2:28" x14ac:dyDescent="0.25">
      <c r="B1462" s="2" t="s">
        <v>146</v>
      </c>
      <c r="C1462" s="2" t="s">
        <v>262</v>
      </c>
      <c r="D1462" s="2" t="s">
        <v>151</v>
      </c>
      <c r="E1462" s="2" t="s">
        <v>138</v>
      </c>
      <c r="F1462" s="2" t="s">
        <v>292</v>
      </c>
      <c r="G1462" s="2" t="s">
        <v>28</v>
      </c>
      <c r="I1462">
        <f>HEX2DEC(_0811_173439[[#This Row],[580C]])*B$4/B$5+B$6</f>
        <v>960</v>
      </c>
      <c r="J1462">
        <f>HEX2DEC(_0811_173439[[#This Row],[4402]])*C$4/C$5+C$6</f>
        <v>37</v>
      </c>
      <c r="K1462">
        <f>HEX2DEC(_0811_173439[[#This Row],[580F]])*D$4/D$5+D$6</f>
        <v>30</v>
      </c>
      <c r="L1462">
        <f>ROUND(HEX2DEC(_0811_173439[[#This Row],[58F0]])*E$4/E$5+E$6,0)</f>
        <v>70</v>
      </c>
      <c r="M1462">
        <f>ROUND(HEX2DEC(_0811_173439[[#This Row],[5805]])*F$4/F$5+F$6,0)</f>
        <v>45</v>
      </c>
      <c r="N1462">
        <f>ROUND(HEX2DEC(_0811_173439[[#This Row],[58DD]])*G$4/G$5+G$6,2)</f>
        <v>-0.02</v>
      </c>
      <c r="P1462">
        <v>960</v>
      </c>
      <c r="Q1462">
        <v>37</v>
      </c>
      <c r="R1462">
        <v>30</v>
      </c>
      <c r="S1462">
        <v>70</v>
      </c>
      <c r="T1462">
        <v>45</v>
      </c>
      <c r="U1462">
        <v>-0.02</v>
      </c>
      <c r="W1462">
        <f>DataLog_T717420_Aug11_4_59_37pm[[#This Row],[RPM '[1/MIN']]]-Table3[[#This Row],[580C]]</f>
        <v>0</v>
      </c>
      <c r="X1462">
        <f>DataLog_T717420_Aug11_4_59_37pm[[#This Row],[OIL TEMP '[Â°C']]]-Table3[[#This Row],[4402]]</f>
        <v>0</v>
      </c>
      <c r="Y1462">
        <f>DataLog_T717420_Aug11_4_59_37pm[[#This Row],[INTAKE TEMP '[Â°C']]]-Table3[[#This Row],[580F]]</f>
        <v>0</v>
      </c>
      <c r="Z1462">
        <f>DataLog_T717420_Aug11_4_59_37pm[[#This Row],[HPFP PRES. '[BAR']]]-Table3[[#This Row],[58F0]]</f>
        <v>0</v>
      </c>
      <c r="AA1462">
        <f>DataLog_T717420_Aug11_4_59_37pm[[#This Row],[COOLANT TEMP '[Â°C']]]-Table3[[#This Row],[5805]]</f>
        <v>0</v>
      </c>
      <c r="AB1462">
        <f>DataLog_T717420_Aug11_4_59_37pm[[#This Row],[BOOST '[BAR']]]-Table3[[#This Row],[58DD]]</f>
        <v>0</v>
      </c>
    </row>
    <row r="1463" spans="2:28" x14ac:dyDescent="0.25">
      <c r="B1463" s="2" t="s">
        <v>146</v>
      </c>
      <c r="C1463" s="2" t="s">
        <v>262</v>
      </c>
      <c r="D1463" s="2" t="s">
        <v>151</v>
      </c>
      <c r="E1463" s="2" t="s">
        <v>153</v>
      </c>
      <c r="F1463" s="2" t="s">
        <v>292</v>
      </c>
      <c r="G1463" s="2" t="s">
        <v>28</v>
      </c>
      <c r="I1463">
        <f>HEX2DEC(_0811_173439[[#This Row],[580C]])*B$4/B$5+B$6</f>
        <v>960</v>
      </c>
      <c r="J1463">
        <f>HEX2DEC(_0811_173439[[#This Row],[4402]])*C$4/C$5+C$6</f>
        <v>37</v>
      </c>
      <c r="K1463">
        <f>HEX2DEC(_0811_173439[[#This Row],[580F]])*D$4/D$5+D$6</f>
        <v>30</v>
      </c>
      <c r="L1463">
        <f>ROUND(HEX2DEC(_0811_173439[[#This Row],[58F0]])*E$4/E$5+E$6,0)</f>
        <v>70</v>
      </c>
      <c r="M1463">
        <f>ROUND(HEX2DEC(_0811_173439[[#This Row],[5805]])*F$4/F$5+F$6,0)</f>
        <v>45</v>
      </c>
      <c r="N1463">
        <f>ROUND(HEX2DEC(_0811_173439[[#This Row],[58DD]])*G$4/G$5+G$6,2)</f>
        <v>-0.02</v>
      </c>
      <c r="P1463">
        <v>960</v>
      </c>
      <c r="Q1463">
        <v>37</v>
      </c>
      <c r="R1463">
        <v>30</v>
      </c>
      <c r="S1463">
        <v>70</v>
      </c>
      <c r="T1463">
        <v>45</v>
      </c>
      <c r="U1463">
        <v>-0.02</v>
      </c>
      <c r="W1463">
        <f>DataLog_T717420_Aug11_4_59_37pm[[#This Row],[RPM '[1/MIN']]]-Table3[[#This Row],[580C]]</f>
        <v>0</v>
      </c>
      <c r="X1463">
        <f>DataLog_T717420_Aug11_4_59_37pm[[#This Row],[OIL TEMP '[Â°C']]]-Table3[[#This Row],[4402]]</f>
        <v>0</v>
      </c>
      <c r="Y1463">
        <f>DataLog_T717420_Aug11_4_59_37pm[[#This Row],[INTAKE TEMP '[Â°C']]]-Table3[[#This Row],[580F]]</f>
        <v>0</v>
      </c>
      <c r="Z1463">
        <f>DataLog_T717420_Aug11_4_59_37pm[[#This Row],[HPFP PRES. '[BAR']]]-Table3[[#This Row],[58F0]]</f>
        <v>0</v>
      </c>
      <c r="AA1463">
        <f>DataLog_T717420_Aug11_4_59_37pm[[#This Row],[COOLANT TEMP '[Â°C']]]-Table3[[#This Row],[5805]]</f>
        <v>0</v>
      </c>
      <c r="AB1463">
        <f>DataLog_T717420_Aug11_4_59_37pm[[#This Row],[BOOST '[BAR']]]-Table3[[#This Row],[58DD]]</f>
        <v>0</v>
      </c>
    </row>
    <row r="1464" spans="2:28" x14ac:dyDescent="0.25">
      <c r="B1464" s="2" t="s">
        <v>146</v>
      </c>
      <c r="C1464" s="2" t="s">
        <v>262</v>
      </c>
      <c r="D1464" s="2" t="s">
        <v>151</v>
      </c>
      <c r="E1464" s="2" t="s">
        <v>139</v>
      </c>
      <c r="F1464" s="2" t="s">
        <v>292</v>
      </c>
      <c r="G1464" s="2" t="s">
        <v>28</v>
      </c>
      <c r="I1464">
        <f>HEX2DEC(_0811_173439[[#This Row],[580C]])*B$4/B$5+B$6</f>
        <v>960</v>
      </c>
      <c r="J1464">
        <f>HEX2DEC(_0811_173439[[#This Row],[4402]])*C$4/C$5+C$6</f>
        <v>37</v>
      </c>
      <c r="K1464">
        <f>HEX2DEC(_0811_173439[[#This Row],[580F]])*D$4/D$5+D$6</f>
        <v>30</v>
      </c>
      <c r="L1464">
        <f>ROUND(HEX2DEC(_0811_173439[[#This Row],[58F0]])*E$4/E$5+E$6,0)</f>
        <v>71</v>
      </c>
      <c r="M1464">
        <f>ROUND(HEX2DEC(_0811_173439[[#This Row],[5805]])*F$4/F$5+F$6,0)</f>
        <v>45</v>
      </c>
      <c r="N1464">
        <f>ROUND(HEX2DEC(_0811_173439[[#This Row],[58DD]])*G$4/G$5+G$6,2)</f>
        <v>-0.02</v>
      </c>
      <c r="P1464">
        <v>960</v>
      </c>
      <c r="Q1464">
        <v>37</v>
      </c>
      <c r="R1464">
        <v>30</v>
      </c>
      <c r="S1464">
        <v>71</v>
      </c>
      <c r="T1464">
        <v>45</v>
      </c>
      <c r="U1464">
        <v>-0.02</v>
      </c>
      <c r="W1464">
        <f>DataLog_T717420_Aug11_4_59_37pm[[#This Row],[RPM '[1/MIN']]]-Table3[[#This Row],[580C]]</f>
        <v>0</v>
      </c>
      <c r="X1464">
        <f>DataLog_T717420_Aug11_4_59_37pm[[#This Row],[OIL TEMP '[Â°C']]]-Table3[[#This Row],[4402]]</f>
        <v>0</v>
      </c>
      <c r="Y1464">
        <f>DataLog_T717420_Aug11_4_59_37pm[[#This Row],[INTAKE TEMP '[Â°C']]]-Table3[[#This Row],[580F]]</f>
        <v>0</v>
      </c>
      <c r="Z1464">
        <f>DataLog_T717420_Aug11_4_59_37pm[[#This Row],[HPFP PRES. '[BAR']]]-Table3[[#This Row],[58F0]]</f>
        <v>0</v>
      </c>
      <c r="AA1464">
        <f>DataLog_T717420_Aug11_4_59_37pm[[#This Row],[COOLANT TEMP '[Â°C']]]-Table3[[#This Row],[5805]]</f>
        <v>0</v>
      </c>
      <c r="AB1464">
        <f>DataLog_T717420_Aug11_4_59_37pm[[#This Row],[BOOST '[BAR']]]-Table3[[#This Row],[58DD]]</f>
        <v>0</v>
      </c>
    </row>
    <row r="1465" spans="2:28" x14ac:dyDescent="0.25">
      <c r="B1465" s="2" t="s">
        <v>69</v>
      </c>
      <c r="C1465" s="2" t="s">
        <v>262</v>
      </c>
      <c r="D1465" s="2" t="s">
        <v>151</v>
      </c>
      <c r="E1465" s="2" t="s">
        <v>127</v>
      </c>
      <c r="F1465" s="2" t="s">
        <v>292</v>
      </c>
      <c r="G1465" s="2" t="s">
        <v>28</v>
      </c>
      <c r="I1465">
        <f>HEX2DEC(_0811_173439[[#This Row],[580C]])*B$4/B$5+B$6</f>
        <v>920</v>
      </c>
      <c r="J1465">
        <f>HEX2DEC(_0811_173439[[#This Row],[4402]])*C$4/C$5+C$6</f>
        <v>37</v>
      </c>
      <c r="K1465">
        <f>HEX2DEC(_0811_173439[[#This Row],[580F]])*D$4/D$5+D$6</f>
        <v>30</v>
      </c>
      <c r="L1465">
        <f>ROUND(HEX2DEC(_0811_173439[[#This Row],[58F0]])*E$4/E$5+E$6,0)</f>
        <v>70</v>
      </c>
      <c r="M1465">
        <f>ROUND(HEX2DEC(_0811_173439[[#This Row],[5805]])*F$4/F$5+F$6,0)</f>
        <v>45</v>
      </c>
      <c r="N1465">
        <f>ROUND(HEX2DEC(_0811_173439[[#This Row],[58DD]])*G$4/G$5+G$6,2)</f>
        <v>-0.02</v>
      </c>
      <c r="P1465">
        <v>920</v>
      </c>
      <c r="Q1465">
        <v>37</v>
      </c>
      <c r="R1465">
        <v>30</v>
      </c>
      <c r="S1465">
        <v>70</v>
      </c>
      <c r="T1465">
        <v>45</v>
      </c>
      <c r="U1465">
        <v>-0.02</v>
      </c>
      <c r="W1465">
        <f>DataLog_T717420_Aug11_4_59_37pm[[#This Row],[RPM '[1/MIN']]]-Table3[[#This Row],[580C]]</f>
        <v>0</v>
      </c>
      <c r="X1465">
        <f>DataLog_T717420_Aug11_4_59_37pm[[#This Row],[OIL TEMP '[Â°C']]]-Table3[[#This Row],[4402]]</f>
        <v>0</v>
      </c>
      <c r="Y1465">
        <f>DataLog_T717420_Aug11_4_59_37pm[[#This Row],[INTAKE TEMP '[Â°C']]]-Table3[[#This Row],[580F]]</f>
        <v>0</v>
      </c>
      <c r="Z1465">
        <f>DataLog_T717420_Aug11_4_59_37pm[[#This Row],[HPFP PRES. '[BAR']]]-Table3[[#This Row],[58F0]]</f>
        <v>0</v>
      </c>
      <c r="AA1465">
        <f>DataLog_T717420_Aug11_4_59_37pm[[#This Row],[COOLANT TEMP '[Â°C']]]-Table3[[#This Row],[5805]]</f>
        <v>0</v>
      </c>
      <c r="AB1465">
        <f>DataLog_T717420_Aug11_4_59_37pm[[#This Row],[BOOST '[BAR']]]-Table3[[#This Row],[58DD]]</f>
        <v>0</v>
      </c>
    </row>
    <row r="1466" spans="2:28" x14ac:dyDescent="0.25">
      <c r="B1466" s="2" t="s">
        <v>69</v>
      </c>
      <c r="C1466" s="2" t="s">
        <v>262</v>
      </c>
      <c r="D1466" s="2" t="s">
        <v>151</v>
      </c>
      <c r="E1466" s="2" t="s">
        <v>93</v>
      </c>
      <c r="F1466" s="2" t="s">
        <v>292</v>
      </c>
      <c r="G1466" s="2" t="s">
        <v>28</v>
      </c>
      <c r="I1466">
        <f>HEX2DEC(_0811_173439[[#This Row],[580C]])*B$4/B$5+B$6</f>
        <v>920</v>
      </c>
      <c r="J1466">
        <f>HEX2DEC(_0811_173439[[#This Row],[4402]])*C$4/C$5+C$6</f>
        <v>37</v>
      </c>
      <c r="K1466">
        <f>HEX2DEC(_0811_173439[[#This Row],[580F]])*D$4/D$5+D$6</f>
        <v>30</v>
      </c>
      <c r="L1466">
        <f>ROUND(HEX2DEC(_0811_173439[[#This Row],[58F0]])*E$4/E$5+E$6,0)</f>
        <v>70</v>
      </c>
      <c r="M1466">
        <f>ROUND(HEX2DEC(_0811_173439[[#This Row],[5805]])*F$4/F$5+F$6,0)</f>
        <v>45</v>
      </c>
      <c r="N1466">
        <f>ROUND(HEX2DEC(_0811_173439[[#This Row],[58DD]])*G$4/G$5+G$6,2)</f>
        <v>-0.02</v>
      </c>
      <c r="P1466">
        <v>920</v>
      </c>
      <c r="Q1466">
        <v>37</v>
      </c>
      <c r="R1466">
        <v>30</v>
      </c>
      <c r="S1466">
        <v>70</v>
      </c>
      <c r="T1466">
        <v>45</v>
      </c>
      <c r="U1466">
        <v>-0.02</v>
      </c>
      <c r="W1466">
        <f>DataLog_T717420_Aug11_4_59_37pm[[#This Row],[RPM '[1/MIN']]]-Table3[[#This Row],[580C]]</f>
        <v>0</v>
      </c>
      <c r="X1466">
        <f>DataLog_T717420_Aug11_4_59_37pm[[#This Row],[OIL TEMP '[Â°C']]]-Table3[[#This Row],[4402]]</f>
        <v>0</v>
      </c>
      <c r="Y1466">
        <f>DataLog_T717420_Aug11_4_59_37pm[[#This Row],[INTAKE TEMP '[Â°C']]]-Table3[[#This Row],[580F]]</f>
        <v>0</v>
      </c>
      <c r="Z1466">
        <f>DataLog_T717420_Aug11_4_59_37pm[[#This Row],[HPFP PRES. '[BAR']]]-Table3[[#This Row],[58F0]]</f>
        <v>0</v>
      </c>
      <c r="AA1466">
        <f>DataLog_T717420_Aug11_4_59_37pm[[#This Row],[COOLANT TEMP '[Â°C']]]-Table3[[#This Row],[5805]]</f>
        <v>0</v>
      </c>
      <c r="AB1466">
        <f>DataLog_T717420_Aug11_4_59_37pm[[#This Row],[BOOST '[BAR']]]-Table3[[#This Row],[58DD]]</f>
        <v>0</v>
      </c>
    </row>
    <row r="1467" spans="2:28" x14ac:dyDescent="0.25">
      <c r="B1467" s="2" t="s">
        <v>69</v>
      </c>
      <c r="C1467" s="2" t="s">
        <v>262</v>
      </c>
      <c r="D1467" s="2" t="s">
        <v>151</v>
      </c>
      <c r="E1467" s="2" t="s">
        <v>159</v>
      </c>
      <c r="F1467" s="2" t="s">
        <v>292</v>
      </c>
      <c r="G1467" s="2" t="s">
        <v>28</v>
      </c>
      <c r="I1467">
        <f>HEX2DEC(_0811_173439[[#This Row],[580C]])*B$4/B$5+B$6</f>
        <v>920</v>
      </c>
      <c r="J1467">
        <f>HEX2DEC(_0811_173439[[#This Row],[4402]])*C$4/C$5+C$6</f>
        <v>37</v>
      </c>
      <c r="K1467">
        <f>HEX2DEC(_0811_173439[[#This Row],[580F]])*D$4/D$5+D$6</f>
        <v>30</v>
      </c>
      <c r="L1467">
        <f>ROUND(HEX2DEC(_0811_173439[[#This Row],[58F0]])*E$4/E$5+E$6,0)</f>
        <v>70</v>
      </c>
      <c r="M1467">
        <f>ROUND(HEX2DEC(_0811_173439[[#This Row],[5805]])*F$4/F$5+F$6,0)</f>
        <v>45</v>
      </c>
      <c r="N1467">
        <f>ROUND(HEX2DEC(_0811_173439[[#This Row],[58DD]])*G$4/G$5+G$6,2)</f>
        <v>-0.02</v>
      </c>
      <c r="P1467">
        <v>920</v>
      </c>
      <c r="Q1467">
        <v>37</v>
      </c>
      <c r="R1467">
        <v>30</v>
      </c>
      <c r="S1467">
        <v>70</v>
      </c>
      <c r="T1467">
        <v>45</v>
      </c>
      <c r="U1467">
        <v>-0.02</v>
      </c>
      <c r="W1467">
        <f>DataLog_T717420_Aug11_4_59_37pm[[#This Row],[RPM '[1/MIN']]]-Table3[[#This Row],[580C]]</f>
        <v>0</v>
      </c>
      <c r="X1467">
        <f>DataLog_T717420_Aug11_4_59_37pm[[#This Row],[OIL TEMP '[Â°C']]]-Table3[[#This Row],[4402]]</f>
        <v>0</v>
      </c>
      <c r="Y1467">
        <f>DataLog_T717420_Aug11_4_59_37pm[[#This Row],[INTAKE TEMP '[Â°C']]]-Table3[[#This Row],[580F]]</f>
        <v>0</v>
      </c>
      <c r="Z1467">
        <f>DataLog_T717420_Aug11_4_59_37pm[[#This Row],[HPFP PRES. '[BAR']]]-Table3[[#This Row],[58F0]]</f>
        <v>0</v>
      </c>
      <c r="AA1467">
        <f>DataLog_T717420_Aug11_4_59_37pm[[#This Row],[COOLANT TEMP '[Â°C']]]-Table3[[#This Row],[5805]]</f>
        <v>0</v>
      </c>
      <c r="AB1467">
        <f>DataLog_T717420_Aug11_4_59_37pm[[#This Row],[BOOST '[BAR']]]-Table3[[#This Row],[58DD]]</f>
        <v>0</v>
      </c>
    </row>
    <row r="1468" spans="2:28" x14ac:dyDescent="0.25">
      <c r="B1468" s="2" t="s">
        <v>69</v>
      </c>
      <c r="C1468" s="2" t="s">
        <v>262</v>
      </c>
      <c r="D1468" s="2" t="s">
        <v>151</v>
      </c>
      <c r="E1468" s="2" t="s">
        <v>248</v>
      </c>
      <c r="F1468" s="2" t="s">
        <v>292</v>
      </c>
      <c r="G1468" s="2" t="s">
        <v>28</v>
      </c>
      <c r="I1468">
        <f>HEX2DEC(_0811_173439[[#This Row],[580C]])*B$4/B$5+B$6</f>
        <v>920</v>
      </c>
      <c r="J1468">
        <f>HEX2DEC(_0811_173439[[#This Row],[4402]])*C$4/C$5+C$6</f>
        <v>37</v>
      </c>
      <c r="K1468">
        <f>HEX2DEC(_0811_173439[[#This Row],[580F]])*D$4/D$5+D$6</f>
        <v>30</v>
      </c>
      <c r="L1468">
        <f>ROUND(HEX2DEC(_0811_173439[[#This Row],[58F0]])*E$4/E$5+E$6,0)</f>
        <v>70</v>
      </c>
      <c r="M1468">
        <f>ROUND(HEX2DEC(_0811_173439[[#This Row],[5805]])*F$4/F$5+F$6,0)</f>
        <v>45</v>
      </c>
      <c r="N1468">
        <f>ROUND(HEX2DEC(_0811_173439[[#This Row],[58DD]])*G$4/G$5+G$6,2)</f>
        <v>-0.02</v>
      </c>
      <c r="P1468">
        <v>920</v>
      </c>
      <c r="Q1468">
        <v>37</v>
      </c>
      <c r="R1468">
        <v>30</v>
      </c>
      <c r="S1468">
        <v>70</v>
      </c>
      <c r="T1468">
        <v>45</v>
      </c>
      <c r="U1468">
        <v>-0.02</v>
      </c>
      <c r="W1468">
        <f>DataLog_T717420_Aug11_4_59_37pm[[#This Row],[RPM '[1/MIN']]]-Table3[[#This Row],[580C]]</f>
        <v>0</v>
      </c>
      <c r="X1468">
        <f>DataLog_T717420_Aug11_4_59_37pm[[#This Row],[OIL TEMP '[Â°C']]]-Table3[[#This Row],[4402]]</f>
        <v>0</v>
      </c>
      <c r="Y1468">
        <f>DataLog_T717420_Aug11_4_59_37pm[[#This Row],[INTAKE TEMP '[Â°C']]]-Table3[[#This Row],[580F]]</f>
        <v>0</v>
      </c>
      <c r="Z1468">
        <f>DataLog_T717420_Aug11_4_59_37pm[[#This Row],[HPFP PRES. '[BAR']]]-Table3[[#This Row],[58F0]]</f>
        <v>0</v>
      </c>
      <c r="AA1468">
        <f>DataLog_T717420_Aug11_4_59_37pm[[#This Row],[COOLANT TEMP '[Â°C']]]-Table3[[#This Row],[5805]]</f>
        <v>0</v>
      </c>
      <c r="AB1468">
        <f>DataLog_T717420_Aug11_4_59_37pm[[#This Row],[BOOST '[BAR']]]-Table3[[#This Row],[58DD]]</f>
        <v>0</v>
      </c>
    </row>
    <row r="1469" spans="2:28" x14ac:dyDescent="0.25">
      <c r="B1469" s="2" t="s">
        <v>160</v>
      </c>
      <c r="C1469" s="2" t="s">
        <v>262</v>
      </c>
      <c r="D1469" s="2" t="s">
        <v>151</v>
      </c>
      <c r="E1469" s="2" t="s">
        <v>207</v>
      </c>
      <c r="F1469" s="2" t="s">
        <v>292</v>
      </c>
      <c r="G1469" s="2" t="s">
        <v>28</v>
      </c>
      <c r="I1469">
        <f>HEX2DEC(_0811_173439[[#This Row],[580C]])*B$4/B$5+B$6</f>
        <v>880</v>
      </c>
      <c r="J1469">
        <f>HEX2DEC(_0811_173439[[#This Row],[4402]])*C$4/C$5+C$6</f>
        <v>37</v>
      </c>
      <c r="K1469">
        <f>HEX2DEC(_0811_173439[[#This Row],[580F]])*D$4/D$5+D$6</f>
        <v>30</v>
      </c>
      <c r="L1469">
        <f>ROUND(HEX2DEC(_0811_173439[[#This Row],[58F0]])*E$4/E$5+E$6,0)</f>
        <v>70</v>
      </c>
      <c r="M1469">
        <f>ROUND(HEX2DEC(_0811_173439[[#This Row],[5805]])*F$4/F$5+F$6,0)</f>
        <v>45</v>
      </c>
      <c r="N1469">
        <f>ROUND(HEX2DEC(_0811_173439[[#This Row],[58DD]])*G$4/G$5+G$6,2)</f>
        <v>-0.02</v>
      </c>
      <c r="P1469">
        <v>880</v>
      </c>
      <c r="Q1469">
        <v>37</v>
      </c>
      <c r="R1469">
        <v>30</v>
      </c>
      <c r="S1469">
        <v>70</v>
      </c>
      <c r="T1469">
        <v>45</v>
      </c>
      <c r="U1469">
        <v>-0.02</v>
      </c>
      <c r="W1469">
        <f>DataLog_T717420_Aug11_4_59_37pm[[#This Row],[RPM '[1/MIN']]]-Table3[[#This Row],[580C]]</f>
        <v>0</v>
      </c>
      <c r="X1469">
        <f>DataLog_T717420_Aug11_4_59_37pm[[#This Row],[OIL TEMP '[Â°C']]]-Table3[[#This Row],[4402]]</f>
        <v>0</v>
      </c>
      <c r="Y1469">
        <f>DataLog_T717420_Aug11_4_59_37pm[[#This Row],[INTAKE TEMP '[Â°C']]]-Table3[[#This Row],[580F]]</f>
        <v>0</v>
      </c>
      <c r="Z1469">
        <f>DataLog_T717420_Aug11_4_59_37pm[[#This Row],[HPFP PRES. '[BAR']]]-Table3[[#This Row],[58F0]]</f>
        <v>0</v>
      </c>
      <c r="AA1469">
        <f>DataLog_T717420_Aug11_4_59_37pm[[#This Row],[COOLANT TEMP '[Â°C']]]-Table3[[#This Row],[5805]]</f>
        <v>0</v>
      </c>
      <c r="AB1469">
        <f>DataLog_T717420_Aug11_4_59_37pm[[#This Row],[BOOST '[BAR']]]-Table3[[#This Row],[58DD]]</f>
        <v>0</v>
      </c>
    </row>
    <row r="1470" spans="2:28" x14ac:dyDescent="0.25">
      <c r="B1470" s="2" t="s">
        <v>160</v>
      </c>
      <c r="C1470" s="2" t="s">
        <v>262</v>
      </c>
      <c r="D1470" s="2" t="s">
        <v>151</v>
      </c>
      <c r="E1470" s="2" t="s">
        <v>206</v>
      </c>
      <c r="F1470" s="2" t="s">
        <v>292</v>
      </c>
      <c r="G1470" s="2" t="s">
        <v>28</v>
      </c>
      <c r="I1470">
        <f>HEX2DEC(_0811_173439[[#This Row],[580C]])*B$4/B$5+B$6</f>
        <v>880</v>
      </c>
      <c r="J1470">
        <f>HEX2DEC(_0811_173439[[#This Row],[4402]])*C$4/C$5+C$6</f>
        <v>37</v>
      </c>
      <c r="K1470">
        <f>HEX2DEC(_0811_173439[[#This Row],[580F]])*D$4/D$5+D$6</f>
        <v>30</v>
      </c>
      <c r="L1470">
        <f>ROUND(HEX2DEC(_0811_173439[[#This Row],[58F0]])*E$4/E$5+E$6,0)</f>
        <v>71</v>
      </c>
      <c r="M1470">
        <f>ROUND(HEX2DEC(_0811_173439[[#This Row],[5805]])*F$4/F$5+F$6,0)</f>
        <v>45</v>
      </c>
      <c r="N1470">
        <f>ROUND(HEX2DEC(_0811_173439[[#This Row],[58DD]])*G$4/G$5+G$6,2)</f>
        <v>-0.02</v>
      </c>
      <c r="P1470">
        <v>880</v>
      </c>
      <c r="Q1470">
        <v>37</v>
      </c>
      <c r="R1470">
        <v>30</v>
      </c>
      <c r="S1470">
        <v>71</v>
      </c>
      <c r="T1470">
        <v>45</v>
      </c>
      <c r="U1470">
        <v>-0.02</v>
      </c>
      <c r="W1470">
        <f>DataLog_T717420_Aug11_4_59_37pm[[#This Row],[RPM '[1/MIN']]]-Table3[[#This Row],[580C]]</f>
        <v>0</v>
      </c>
      <c r="X1470">
        <f>DataLog_T717420_Aug11_4_59_37pm[[#This Row],[OIL TEMP '[Â°C']]]-Table3[[#This Row],[4402]]</f>
        <v>0</v>
      </c>
      <c r="Y1470">
        <f>DataLog_T717420_Aug11_4_59_37pm[[#This Row],[INTAKE TEMP '[Â°C']]]-Table3[[#This Row],[580F]]</f>
        <v>0</v>
      </c>
      <c r="Z1470">
        <f>DataLog_T717420_Aug11_4_59_37pm[[#This Row],[HPFP PRES. '[BAR']]]-Table3[[#This Row],[58F0]]</f>
        <v>0</v>
      </c>
      <c r="AA1470">
        <f>DataLog_T717420_Aug11_4_59_37pm[[#This Row],[COOLANT TEMP '[Â°C']]]-Table3[[#This Row],[5805]]</f>
        <v>0</v>
      </c>
      <c r="AB1470">
        <f>DataLog_T717420_Aug11_4_59_37pm[[#This Row],[BOOST '[BAR']]]-Table3[[#This Row],[58DD]]</f>
        <v>0</v>
      </c>
    </row>
    <row r="1471" spans="2:28" x14ac:dyDescent="0.25">
      <c r="B1471" s="2" t="s">
        <v>160</v>
      </c>
      <c r="C1471" s="2" t="s">
        <v>262</v>
      </c>
      <c r="D1471" s="2" t="s">
        <v>151</v>
      </c>
      <c r="E1471" s="2" t="s">
        <v>127</v>
      </c>
      <c r="F1471" s="2" t="s">
        <v>292</v>
      </c>
      <c r="G1471" s="2" t="s">
        <v>28</v>
      </c>
      <c r="I1471">
        <f>HEX2DEC(_0811_173439[[#This Row],[580C]])*B$4/B$5+B$6</f>
        <v>880</v>
      </c>
      <c r="J1471">
        <f>HEX2DEC(_0811_173439[[#This Row],[4402]])*C$4/C$5+C$6</f>
        <v>37</v>
      </c>
      <c r="K1471">
        <f>HEX2DEC(_0811_173439[[#This Row],[580F]])*D$4/D$5+D$6</f>
        <v>30</v>
      </c>
      <c r="L1471">
        <f>ROUND(HEX2DEC(_0811_173439[[#This Row],[58F0]])*E$4/E$5+E$6,0)</f>
        <v>70</v>
      </c>
      <c r="M1471">
        <f>ROUND(HEX2DEC(_0811_173439[[#This Row],[5805]])*F$4/F$5+F$6,0)</f>
        <v>45</v>
      </c>
      <c r="N1471">
        <f>ROUND(HEX2DEC(_0811_173439[[#This Row],[58DD]])*G$4/G$5+G$6,2)</f>
        <v>-0.02</v>
      </c>
      <c r="P1471">
        <v>880</v>
      </c>
      <c r="Q1471">
        <v>37</v>
      </c>
      <c r="R1471">
        <v>30</v>
      </c>
      <c r="S1471">
        <v>70</v>
      </c>
      <c r="T1471">
        <v>45</v>
      </c>
      <c r="U1471">
        <v>-0.02</v>
      </c>
      <c r="W1471">
        <f>DataLog_T717420_Aug11_4_59_37pm[[#This Row],[RPM '[1/MIN']]]-Table3[[#This Row],[580C]]</f>
        <v>0</v>
      </c>
      <c r="X1471">
        <f>DataLog_T717420_Aug11_4_59_37pm[[#This Row],[OIL TEMP '[Â°C']]]-Table3[[#This Row],[4402]]</f>
        <v>0</v>
      </c>
      <c r="Y1471">
        <f>DataLog_T717420_Aug11_4_59_37pm[[#This Row],[INTAKE TEMP '[Â°C']]]-Table3[[#This Row],[580F]]</f>
        <v>0</v>
      </c>
      <c r="Z1471">
        <f>DataLog_T717420_Aug11_4_59_37pm[[#This Row],[HPFP PRES. '[BAR']]]-Table3[[#This Row],[58F0]]</f>
        <v>0</v>
      </c>
      <c r="AA1471">
        <f>DataLog_T717420_Aug11_4_59_37pm[[#This Row],[COOLANT TEMP '[Â°C']]]-Table3[[#This Row],[5805]]</f>
        <v>0</v>
      </c>
      <c r="AB1471">
        <f>DataLog_T717420_Aug11_4_59_37pm[[#This Row],[BOOST '[BAR']]]-Table3[[#This Row],[58DD]]</f>
        <v>0</v>
      </c>
    </row>
    <row r="1472" spans="2:28" x14ac:dyDescent="0.25">
      <c r="B1472" s="2" t="s">
        <v>160</v>
      </c>
      <c r="C1472" s="2" t="s">
        <v>262</v>
      </c>
      <c r="D1472" s="2" t="s">
        <v>151</v>
      </c>
      <c r="E1472" s="2" t="s">
        <v>127</v>
      </c>
      <c r="F1472" s="2" t="s">
        <v>292</v>
      </c>
      <c r="G1472" s="2" t="s">
        <v>28</v>
      </c>
      <c r="I1472">
        <f>HEX2DEC(_0811_173439[[#This Row],[580C]])*B$4/B$5+B$6</f>
        <v>880</v>
      </c>
      <c r="J1472">
        <f>HEX2DEC(_0811_173439[[#This Row],[4402]])*C$4/C$5+C$6</f>
        <v>37</v>
      </c>
      <c r="K1472">
        <f>HEX2DEC(_0811_173439[[#This Row],[580F]])*D$4/D$5+D$6</f>
        <v>30</v>
      </c>
      <c r="L1472">
        <f>ROUND(HEX2DEC(_0811_173439[[#This Row],[58F0]])*E$4/E$5+E$6,0)</f>
        <v>70</v>
      </c>
      <c r="M1472">
        <f>ROUND(HEX2DEC(_0811_173439[[#This Row],[5805]])*F$4/F$5+F$6,0)</f>
        <v>45</v>
      </c>
      <c r="N1472">
        <f>ROUND(HEX2DEC(_0811_173439[[#This Row],[58DD]])*G$4/G$5+G$6,2)</f>
        <v>-0.02</v>
      </c>
      <c r="P1472">
        <v>880</v>
      </c>
      <c r="Q1472">
        <v>37</v>
      </c>
      <c r="R1472">
        <v>30</v>
      </c>
      <c r="S1472">
        <v>70</v>
      </c>
      <c r="T1472">
        <v>45</v>
      </c>
      <c r="U1472">
        <v>-0.02</v>
      </c>
      <c r="W1472">
        <f>DataLog_T717420_Aug11_4_59_37pm[[#This Row],[RPM '[1/MIN']]]-Table3[[#This Row],[580C]]</f>
        <v>0</v>
      </c>
      <c r="X1472">
        <f>DataLog_T717420_Aug11_4_59_37pm[[#This Row],[OIL TEMP '[Â°C']]]-Table3[[#This Row],[4402]]</f>
        <v>0</v>
      </c>
      <c r="Y1472">
        <f>DataLog_T717420_Aug11_4_59_37pm[[#This Row],[INTAKE TEMP '[Â°C']]]-Table3[[#This Row],[580F]]</f>
        <v>0</v>
      </c>
      <c r="Z1472">
        <f>DataLog_T717420_Aug11_4_59_37pm[[#This Row],[HPFP PRES. '[BAR']]]-Table3[[#This Row],[58F0]]</f>
        <v>0</v>
      </c>
      <c r="AA1472">
        <f>DataLog_T717420_Aug11_4_59_37pm[[#This Row],[COOLANT TEMP '[Â°C']]]-Table3[[#This Row],[5805]]</f>
        <v>0</v>
      </c>
      <c r="AB1472">
        <f>DataLog_T717420_Aug11_4_59_37pm[[#This Row],[BOOST '[BAR']]]-Table3[[#This Row],[58DD]]</f>
        <v>0</v>
      </c>
    </row>
    <row r="1473" spans="2:28" x14ac:dyDescent="0.25">
      <c r="B1473" s="2" t="s">
        <v>174</v>
      </c>
      <c r="C1473" s="2" t="s">
        <v>262</v>
      </c>
      <c r="D1473" s="2" t="s">
        <v>151</v>
      </c>
      <c r="E1473" s="2" t="s">
        <v>127</v>
      </c>
      <c r="F1473" s="2" t="s">
        <v>292</v>
      </c>
      <c r="G1473" s="2" t="s">
        <v>28</v>
      </c>
      <c r="I1473">
        <f>HEX2DEC(_0811_173439[[#This Row],[580C]])*B$4/B$5+B$6</f>
        <v>840</v>
      </c>
      <c r="J1473">
        <f>HEX2DEC(_0811_173439[[#This Row],[4402]])*C$4/C$5+C$6</f>
        <v>37</v>
      </c>
      <c r="K1473">
        <f>HEX2DEC(_0811_173439[[#This Row],[580F]])*D$4/D$5+D$6</f>
        <v>30</v>
      </c>
      <c r="L1473">
        <f>ROUND(HEX2DEC(_0811_173439[[#This Row],[58F0]])*E$4/E$5+E$6,0)</f>
        <v>70</v>
      </c>
      <c r="M1473">
        <f>ROUND(HEX2DEC(_0811_173439[[#This Row],[5805]])*F$4/F$5+F$6,0)</f>
        <v>45</v>
      </c>
      <c r="N1473">
        <f>ROUND(HEX2DEC(_0811_173439[[#This Row],[58DD]])*G$4/G$5+G$6,2)</f>
        <v>-0.02</v>
      </c>
      <c r="P1473">
        <v>840</v>
      </c>
      <c r="Q1473">
        <v>37</v>
      </c>
      <c r="R1473">
        <v>30</v>
      </c>
      <c r="S1473">
        <v>70</v>
      </c>
      <c r="T1473">
        <v>45</v>
      </c>
      <c r="U1473">
        <v>-0.02</v>
      </c>
      <c r="W1473">
        <f>DataLog_T717420_Aug11_4_59_37pm[[#This Row],[RPM '[1/MIN']]]-Table3[[#This Row],[580C]]</f>
        <v>0</v>
      </c>
      <c r="X1473">
        <f>DataLog_T717420_Aug11_4_59_37pm[[#This Row],[OIL TEMP '[Â°C']]]-Table3[[#This Row],[4402]]</f>
        <v>0</v>
      </c>
      <c r="Y1473">
        <f>DataLog_T717420_Aug11_4_59_37pm[[#This Row],[INTAKE TEMP '[Â°C']]]-Table3[[#This Row],[580F]]</f>
        <v>0</v>
      </c>
      <c r="Z1473">
        <f>DataLog_T717420_Aug11_4_59_37pm[[#This Row],[HPFP PRES. '[BAR']]]-Table3[[#This Row],[58F0]]</f>
        <v>0</v>
      </c>
      <c r="AA1473">
        <f>DataLog_T717420_Aug11_4_59_37pm[[#This Row],[COOLANT TEMP '[Â°C']]]-Table3[[#This Row],[5805]]</f>
        <v>0</v>
      </c>
      <c r="AB1473">
        <f>DataLog_T717420_Aug11_4_59_37pm[[#This Row],[BOOST '[BAR']]]-Table3[[#This Row],[58DD]]</f>
        <v>0</v>
      </c>
    </row>
    <row r="1474" spans="2:28" x14ac:dyDescent="0.25">
      <c r="B1474" s="2" t="s">
        <v>174</v>
      </c>
      <c r="C1474" s="2" t="s">
        <v>262</v>
      </c>
      <c r="D1474" s="2" t="s">
        <v>151</v>
      </c>
      <c r="E1474" s="2" t="s">
        <v>127</v>
      </c>
      <c r="F1474" s="2" t="s">
        <v>292</v>
      </c>
      <c r="G1474" s="2" t="s">
        <v>28</v>
      </c>
      <c r="I1474">
        <f>HEX2DEC(_0811_173439[[#This Row],[580C]])*B$4/B$5+B$6</f>
        <v>840</v>
      </c>
      <c r="J1474">
        <f>HEX2DEC(_0811_173439[[#This Row],[4402]])*C$4/C$5+C$6</f>
        <v>37</v>
      </c>
      <c r="K1474">
        <f>HEX2DEC(_0811_173439[[#This Row],[580F]])*D$4/D$5+D$6</f>
        <v>30</v>
      </c>
      <c r="L1474">
        <f>ROUND(HEX2DEC(_0811_173439[[#This Row],[58F0]])*E$4/E$5+E$6,0)</f>
        <v>70</v>
      </c>
      <c r="M1474">
        <f>ROUND(HEX2DEC(_0811_173439[[#This Row],[5805]])*F$4/F$5+F$6,0)</f>
        <v>45</v>
      </c>
      <c r="N1474">
        <f>ROUND(HEX2DEC(_0811_173439[[#This Row],[58DD]])*G$4/G$5+G$6,2)</f>
        <v>-0.02</v>
      </c>
      <c r="P1474">
        <v>840</v>
      </c>
      <c r="Q1474">
        <v>37</v>
      </c>
      <c r="R1474">
        <v>30</v>
      </c>
      <c r="S1474">
        <v>70</v>
      </c>
      <c r="T1474">
        <v>45</v>
      </c>
      <c r="U1474">
        <v>-0.02</v>
      </c>
      <c r="W1474">
        <f>DataLog_T717420_Aug11_4_59_37pm[[#This Row],[RPM '[1/MIN']]]-Table3[[#This Row],[580C]]</f>
        <v>0</v>
      </c>
      <c r="X1474">
        <f>DataLog_T717420_Aug11_4_59_37pm[[#This Row],[OIL TEMP '[Â°C']]]-Table3[[#This Row],[4402]]</f>
        <v>0</v>
      </c>
      <c r="Y1474">
        <f>DataLog_T717420_Aug11_4_59_37pm[[#This Row],[INTAKE TEMP '[Â°C']]]-Table3[[#This Row],[580F]]</f>
        <v>0</v>
      </c>
      <c r="Z1474">
        <f>DataLog_T717420_Aug11_4_59_37pm[[#This Row],[HPFP PRES. '[BAR']]]-Table3[[#This Row],[58F0]]</f>
        <v>0</v>
      </c>
      <c r="AA1474">
        <f>DataLog_T717420_Aug11_4_59_37pm[[#This Row],[COOLANT TEMP '[Â°C']]]-Table3[[#This Row],[5805]]</f>
        <v>0</v>
      </c>
      <c r="AB1474">
        <f>DataLog_T717420_Aug11_4_59_37pm[[#This Row],[BOOST '[BAR']]]-Table3[[#This Row],[58DD]]</f>
        <v>0</v>
      </c>
    </row>
    <row r="1475" spans="2:28" x14ac:dyDescent="0.25">
      <c r="B1475" s="2" t="s">
        <v>174</v>
      </c>
      <c r="C1475" s="2" t="s">
        <v>262</v>
      </c>
      <c r="D1475" s="2" t="s">
        <v>151</v>
      </c>
      <c r="E1475" s="2" t="s">
        <v>388</v>
      </c>
      <c r="F1475" s="2" t="s">
        <v>292</v>
      </c>
      <c r="G1475" s="2" t="s">
        <v>28</v>
      </c>
      <c r="I1475">
        <f>HEX2DEC(_0811_173439[[#This Row],[580C]])*B$4/B$5+B$6</f>
        <v>840</v>
      </c>
      <c r="J1475">
        <f>HEX2DEC(_0811_173439[[#This Row],[4402]])*C$4/C$5+C$6</f>
        <v>37</v>
      </c>
      <c r="K1475">
        <f>HEX2DEC(_0811_173439[[#This Row],[580F]])*D$4/D$5+D$6</f>
        <v>30</v>
      </c>
      <c r="L1475">
        <f>ROUND(HEX2DEC(_0811_173439[[#This Row],[58F0]])*E$4/E$5+E$6,0)</f>
        <v>69</v>
      </c>
      <c r="M1475">
        <f>ROUND(HEX2DEC(_0811_173439[[#This Row],[5805]])*F$4/F$5+F$6,0)</f>
        <v>45</v>
      </c>
      <c r="N1475">
        <f>ROUND(HEX2DEC(_0811_173439[[#This Row],[58DD]])*G$4/G$5+G$6,2)</f>
        <v>-0.02</v>
      </c>
      <c r="P1475">
        <v>840</v>
      </c>
      <c r="Q1475">
        <v>37</v>
      </c>
      <c r="R1475">
        <v>30</v>
      </c>
      <c r="S1475">
        <v>69</v>
      </c>
      <c r="T1475">
        <v>45</v>
      </c>
      <c r="U1475">
        <v>-0.02</v>
      </c>
      <c r="W1475">
        <f>DataLog_T717420_Aug11_4_59_37pm[[#This Row],[RPM '[1/MIN']]]-Table3[[#This Row],[580C]]</f>
        <v>0</v>
      </c>
      <c r="X1475">
        <f>DataLog_T717420_Aug11_4_59_37pm[[#This Row],[OIL TEMP '[Â°C']]]-Table3[[#This Row],[4402]]</f>
        <v>0</v>
      </c>
      <c r="Y1475">
        <f>DataLog_T717420_Aug11_4_59_37pm[[#This Row],[INTAKE TEMP '[Â°C']]]-Table3[[#This Row],[580F]]</f>
        <v>0</v>
      </c>
      <c r="Z1475">
        <f>DataLog_T717420_Aug11_4_59_37pm[[#This Row],[HPFP PRES. '[BAR']]]-Table3[[#This Row],[58F0]]</f>
        <v>0</v>
      </c>
      <c r="AA1475">
        <f>DataLog_T717420_Aug11_4_59_37pm[[#This Row],[COOLANT TEMP '[Â°C']]]-Table3[[#This Row],[5805]]</f>
        <v>0</v>
      </c>
      <c r="AB1475">
        <f>DataLog_T717420_Aug11_4_59_37pm[[#This Row],[BOOST '[BAR']]]-Table3[[#This Row],[58DD]]</f>
        <v>0</v>
      </c>
    </row>
    <row r="1476" spans="2:28" x14ac:dyDescent="0.25">
      <c r="B1476" s="2" t="s">
        <v>183</v>
      </c>
      <c r="C1476" s="2" t="s">
        <v>262</v>
      </c>
      <c r="D1476" s="2" t="s">
        <v>151</v>
      </c>
      <c r="E1476" s="2" t="s">
        <v>249</v>
      </c>
      <c r="F1476" s="2" t="s">
        <v>292</v>
      </c>
      <c r="G1476" s="2" t="s">
        <v>28</v>
      </c>
      <c r="I1476">
        <f>HEX2DEC(_0811_173439[[#This Row],[580C]])*B$4/B$5+B$6</f>
        <v>800</v>
      </c>
      <c r="J1476">
        <f>HEX2DEC(_0811_173439[[#This Row],[4402]])*C$4/C$5+C$6</f>
        <v>37</v>
      </c>
      <c r="K1476">
        <f>HEX2DEC(_0811_173439[[#This Row],[580F]])*D$4/D$5+D$6</f>
        <v>30</v>
      </c>
      <c r="L1476">
        <f>ROUND(HEX2DEC(_0811_173439[[#This Row],[58F0]])*E$4/E$5+E$6,0)</f>
        <v>70</v>
      </c>
      <c r="M1476">
        <f>ROUND(HEX2DEC(_0811_173439[[#This Row],[5805]])*F$4/F$5+F$6,0)</f>
        <v>45</v>
      </c>
      <c r="N1476">
        <f>ROUND(HEX2DEC(_0811_173439[[#This Row],[58DD]])*G$4/G$5+G$6,2)</f>
        <v>-0.02</v>
      </c>
      <c r="P1476">
        <v>800</v>
      </c>
      <c r="Q1476">
        <v>37</v>
      </c>
      <c r="R1476">
        <v>30</v>
      </c>
      <c r="S1476">
        <v>70</v>
      </c>
      <c r="T1476">
        <v>45</v>
      </c>
      <c r="U1476">
        <v>-0.02</v>
      </c>
      <c r="W1476">
        <f>DataLog_T717420_Aug11_4_59_37pm[[#This Row],[RPM '[1/MIN']]]-Table3[[#This Row],[580C]]</f>
        <v>0</v>
      </c>
      <c r="X1476">
        <f>DataLog_T717420_Aug11_4_59_37pm[[#This Row],[OIL TEMP '[Â°C']]]-Table3[[#This Row],[4402]]</f>
        <v>0</v>
      </c>
      <c r="Y1476">
        <f>DataLog_T717420_Aug11_4_59_37pm[[#This Row],[INTAKE TEMP '[Â°C']]]-Table3[[#This Row],[580F]]</f>
        <v>0</v>
      </c>
      <c r="Z1476">
        <f>DataLog_T717420_Aug11_4_59_37pm[[#This Row],[HPFP PRES. '[BAR']]]-Table3[[#This Row],[58F0]]</f>
        <v>0</v>
      </c>
      <c r="AA1476">
        <f>DataLog_T717420_Aug11_4_59_37pm[[#This Row],[COOLANT TEMP '[Â°C']]]-Table3[[#This Row],[5805]]</f>
        <v>0</v>
      </c>
      <c r="AB1476">
        <f>DataLog_T717420_Aug11_4_59_37pm[[#This Row],[BOOST '[BAR']]]-Table3[[#This Row],[58DD]]</f>
        <v>0</v>
      </c>
    </row>
    <row r="1477" spans="2:28" x14ac:dyDescent="0.25">
      <c r="B1477" s="2" t="s">
        <v>183</v>
      </c>
      <c r="C1477" s="2" t="s">
        <v>262</v>
      </c>
      <c r="D1477" s="2" t="s">
        <v>151</v>
      </c>
      <c r="E1477" s="2" t="s">
        <v>201</v>
      </c>
      <c r="F1477" s="2" t="s">
        <v>292</v>
      </c>
      <c r="G1477" s="2" t="s">
        <v>28</v>
      </c>
      <c r="I1477">
        <f>HEX2DEC(_0811_173439[[#This Row],[580C]])*B$4/B$5+B$6</f>
        <v>800</v>
      </c>
      <c r="J1477">
        <f>HEX2DEC(_0811_173439[[#This Row],[4402]])*C$4/C$5+C$6</f>
        <v>37</v>
      </c>
      <c r="K1477">
        <f>HEX2DEC(_0811_173439[[#This Row],[580F]])*D$4/D$5+D$6</f>
        <v>30</v>
      </c>
      <c r="L1477">
        <f>ROUND(HEX2DEC(_0811_173439[[#This Row],[58F0]])*E$4/E$5+E$6,0)</f>
        <v>69</v>
      </c>
      <c r="M1477">
        <f>ROUND(HEX2DEC(_0811_173439[[#This Row],[5805]])*F$4/F$5+F$6,0)</f>
        <v>45</v>
      </c>
      <c r="N1477">
        <f>ROUND(HEX2DEC(_0811_173439[[#This Row],[58DD]])*G$4/G$5+G$6,2)</f>
        <v>-0.02</v>
      </c>
      <c r="P1477">
        <v>800</v>
      </c>
      <c r="Q1477">
        <v>37</v>
      </c>
      <c r="R1477">
        <v>30</v>
      </c>
      <c r="S1477">
        <v>69</v>
      </c>
      <c r="T1477">
        <v>45</v>
      </c>
      <c r="U1477">
        <v>-0.02</v>
      </c>
      <c r="W1477">
        <f>DataLog_T717420_Aug11_4_59_37pm[[#This Row],[RPM '[1/MIN']]]-Table3[[#This Row],[580C]]</f>
        <v>0</v>
      </c>
      <c r="X1477">
        <f>DataLog_T717420_Aug11_4_59_37pm[[#This Row],[OIL TEMP '[Â°C']]]-Table3[[#This Row],[4402]]</f>
        <v>0</v>
      </c>
      <c r="Y1477">
        <f>DataLog_T717420_Aug11_4_59_37pm[[#This Row],[INTAKE TEMP '[Â°C']]]-Table3[[#This Row],[580F]]</f>
        <v>0</v>
      </c>
      <c r="Z1477">
        <f>DataLog_T717420_Aug11_4_59_37pm[[#This Row],[HPFP PRES. '[BAR']]]-Table3[[#This Row],[58F0]]</f>
        <v>0</v>
      </c>
      <c r="AA1477">
        <f>DataLog_T717420_Aug11_4_59_37pm[[#This Row],[COOLANT TEMP '[Â°C']]]-Table3[[#This Row],[5805]]</f>
        <v>0</v>
      </c>
      <c r="AB1477">
        <f>DataLog_T717420_Aug11_4_59_37pm[[#This Row],[BOOST '[BAR']]]-Table3[[#This Row],[58DD]]</f>
        <v>0</v>
      </c>
    </row>
    <row r="1478" spans="2:28" x14ac:dyDescent="0.25">
      <c r="B1478" s="2" t="s">
        <v>183</v>
      </c>
      <c r="C1478" s="2" t="s">
        <v>262</v>
      </c>
      <c r="D1478" s="2" t="s">
        <v>151</v>
      </c>
      <c r="E1478" s="2" t="s">
        <v>389</v>
      </c>
      <c r="F1478" s="2" t="s">
        <v>292</v>
      </c>
      <c r="G1478" s="2" t="s">
        <v>28</v>
      </c>
      <c r="I1478">
        <f>HEX2DEC(_0811_173439[[#This Row],[580C]])*B$4/B$5+B$6</f>
        <v>800</v>
      </c>
      <c r="J1478">
        <f>HEX2DEC(_0811_173439[[#This Row],[4402]])*C$4/C$5+C$6</f>
        <v>37</v>
      </c>
      <c r="K1478">
        <f>HEX2DEC(_0811_173439[[#This Row],[580F]])*D$4/D$5+D$6</f>
        <v>30</v>
      </c>
      <c r="L1478">
        <f>ROUND(HEX2DEC(_0811_173439[[#This Row],[58F0]])*E$4/E$5+E$6,0)</f>
        <v>69</v>
      </c>
      <c r="M1478">
        <f>ROUND(HEX2DEC(_0811_173439[[#This Row],[5805]])*F$4/F$5+F$6,0)</f>
        <v>45</v>
      </c>
      <c r="N1478">
        <f>ROUND(HEX2DEC(_0811_173439[[#This Row],[58DD]])*G$4/G$5+G$6,2)</f>
        <v>-0.02</v>
      </c>
      <c r="P1478">
        <v>800</v>
      </c>
      <c r="Q1478">
        <v>37</v>
      </c>
      <c r="R1478">
        <v>30</v>
      </c>
      <c r="S1478">
        <v>69</v>
      </c>
      <c r="T1478">
        <v>45</v>
      </c>
      <c r="U1478">
        <v>-0.02</v>
      </c>
      <c r="W1478">
        <f>DataLog_T717420_Aug11_4_59_37pm[[#This Row],[RPM '[1/MIN']]]-Table3[[#This Row],[580C]]</f>
        <v>0</v>
      </c>
      <c r="X1478">
        <f>DataLog_T717420_Aug11_4_59_37pm[[#This Row],[OIL TEMP '[Â°C']]]-Table3[[#This Row],[4402]]</f>
        <v>0</v>
      </c>
      <c r="Y1478">
        <f>DataLog_T717420_Aug11_4_59_37pm[[#This Row],[INTAKE TEMP '[Â°C']]]-Table3[[#This Row],[580F]]</f>
        <v>0</v>
      </c>
      <c r="Z1478">
        <f>DataLog_T717420_Aug11_4_59_37pm[[#This Row],[HPFP PRES. '[BAR']]]-Table3[[#This Row],[58F0]]</f>
        <v>0</v>
      </c>
      <c r="AA1478">
        <f>DataLog_T717420_Aug11_4_59_37pm[[#This Row],[COOLANT TEMP '[Â°C']]]-Table3[[#This Row],[5805]]</f>
        <v>0</v>
      </c>
      <c r="AB1478">
        <f>DataLog_T717420_Aug11_4_59_37pm[[#This Row],[BOOST '[BAR']]]-Table3[[#This Row],[58DD]]</f>
        <v>0</v>
      </c>
    </row>
    <row r="1479" spans="2:28" x14ac:dyDescent="0.25">
      <c r="B1479" s="2" t="s">
        <v>183</v>
      </c>
      <c r="C1479" s="2" t="s">
        <v>262</v>
      </c>
      <c r="D1479" s="2" t="s">
        <v>151</v>
      </c>
      <c r="E1479" s="2" t="s">
        <v>127</v>
      </c>
      <c r="F1479" s="2" t="s">
        <v>292</v>
      </c>
      <c r="G1479" s="2" t="s">
        <v>28</v>
      </c>
      <c r="I1479">
        <f>HEX2DEC(_0811_173439[[#This Row],[580C]])*B$4/B$5+B$6</f>
        <v>800</v>
      </c>
      <c r="J1479">
        <f>HEX2DEC(_0811_173439[[#This Row],[4402]])*C$4/C$5+C$6</f>
        <v>37</v>
      </c>
      <c r="K1479">
        <f>HEX2DEC(_0811_173439[[#This Row],[580F]])*D$4/D$5+D$6</f>
        <v>30</v>
      </c>
      <c r="L1479">
        <f>ROUND(HEX2DEC(_0811_173439[[#This Row],[58F0]])*E$4/E$5+E$6,0)</f>
        <v>70</v>
      </c>
      <c r="M1479">
        <f>ROUND(HEX2DEC(_0811_173439[[#This Row],[5805]])*F$4/F$5+F$6,0)</f>
        <v>45</v>
      </c>
      <c r="N1479">
        <f>ROUND(HEX2DEC(_0811_173439[[#This Row],[58DD]])*G$4/G$5+G$6,2)</f>
        <v>-0.02</v>
      </c>
      <c r="P1479">
        <v>800</v>
      </c>
      <c r="Q1479">
        <v>37</v>
      </c>
      <c r="R1479">
        <v>30</v>
      </c>
      <c r="S1479">
        <v>70</v>
      </c>
      <c r="T1479">
        <v>45</v>
      </c>
      <c r="U1479">
        <v>-0.02</v>
      </c>
      <c r="W1479">
        <f>DataLog_T717420_Aug11_4_59_37pm[[#This Row],[RPM '[1/MIN']]]-Table3[[#This Row],[580C]]</f>
        <v>0</v>
      </c>
      <c r="X1479">
        <f>DataLog_T717420_Aug11_4_59_37pm[[#This Row],[OIL TEMP '[Â°C']]]-Table3[[#This Row],[4402]]</f>
        <v>0</v>
      </c>
      <c r="Y1479">
        <f>DataLog_T717420_Aug11_4_59_37pm[[#This Row],[INTAKE TEMP '[Â°C']]]-Table3[[#This Row],[580F]]</f>
        <v>0</v>
      </c>
      <c r="Z1479">
        <f>DataLog_T717420_Aug11_4_59_37pm[[#This Row],[HPFP PRES. '[BAR']]]-Table3[[#This Row],[58F0]]</f>
        <v>0</v>
      </c>
      <c r="AA1479">
        <f>DataLog_T717420_Aug11_4_59_37pm[[#This Row],[COOLANT TEMP '[Â°C']]]-Table3[[#This Row],[5805]]</f>
        <v>0</v>
      </c>
      <c r="AB1479">
        <f>DataLog_T717420_Aug11_4_59_37pm[[#This Row],[BOOST '[BAR']]]-Table3[[#This Row],[58DD]]</f>
        <v>0</v>
      </c>
    </row>
    <row r="1480" spans="2:28" x14ac:dyDescent="0.25">
      <c r="B1480" s="2" t="s">
        <v>183</v>
      </c>
      <c r="C1480" s="2" t="s">
        <v>262</v>
      </c>
      <c r="D1480" s="2" t="s">
        <v>151</v>
      </c>
      <c r="E1480" s="2" t="s">
        <v>94</v>
      </c>
      <c r="F1480" s="2" t="s">
        <v>292</v>
      </c>
      <c r="G1480" s="2" t="s">
        <v>28</v>
      </c>
      <c r="I1480">
        <f>HEX2DEC(_0811_173439[[#This Row],[580C]])*B$4/B$5+B$6</f>
        <v>800</v>
      </c>
      <c r="J1480">
        <f>HEX2DEC(_0811_173439[[#This Row],[4402]])*C$4/C$5+C$6</f>
        <v>37</v>
      </c>
      <c r="K1480">
        <f>HEX2DEC(_0811_173439[[#This Row],[580F]])*D$4/D$5+D$6</f>
        <v>30</v>
      </c>
      <c r="L1480">
        <f>ROUND(HEX2DEC(_0811_173439[[#This Row],[58F0]])*E$4/E$5+E$6,0)</f>
        <v>69</v>
      </c>
      <c r="M1480">
        <f>ROUND(HEX2DEC(_0811_173439[[#This Row],[5805]])*F$4/F$5+F$6,0)</f>
        <v>45</v>
      </c>
      <c r="N1480">
        <f>ROUND(HEX2DEC(_0811_173439[[#This Row],[58DD]])*G$4/G$5+G$6,2)</f>
        <v>-0.02</v>
      </c>
      <c r="P1480">
        <v>800</v>
      </c>
      <c r="Q1480">
        <v>37</v>
      </c>
      <c r="R1480">
        <v>30</v>
      </c>
      <c r="S1480">
        <v>69</v>
      </c>
      <c r="T1480">
        <v>45</v>
      </c>
      <c r="U1480">
        <v>-0.02</v>
      </c>
      <c r="W1480">
        <f>DataLog_T717420_Aug11_4_59_37pm[[#This Row],[RPM '[1/MIN']]]-Table3[[#This Row],[580C]]</f>
        <v>0</v>
      </c>
      <c r="X1480">
        <f>DataLog_T717420_Aug11_4_59_37pm[[#This Row],[OIL TEMP '[Â°C']]]-Table3[[#This Row],[4402]]</f>
        <v>0</v>
      </c>
      <c r="Y1480">
        <f>DataLog_T717420_Aug11_4_59_37pm[[#This Row],[INTAKE TEMP '[Â°C']]]-Table3[[#This Row],[580F]]</f>
        <v>0</v>
      </c>
      <c r="Z1480">
        <f>DataLog_T717420_Aug11_4_59_37pm[[#This Row],[HPFP PRES. '[BAR']]]-Table3[[#This Row],[58F0]]</f>
        <v>0</v>
      </c>
      <c r="AA1480">
        <f>DataLog_T717420_Aug11_4_59_37pm[[#This Row],[COOLANT TEMP '[Â°C']]]-Table3[[#This Row],[5805]]</f>
        <v>0</v>
      </c>
      <c r="AB1480">
        <f>DataLog_T717420_Aug11_4_59_37pm[[#This Row],[BOOST '[BAR']]]-Table3[[#This Row],[58DD]]</f>
        <v>0</v>
      </c>
    </row>
    <row r="1481" spans="2:28" x14ac:dyDescent="0.25">
      <c r="B1481" s="2" t="s">
        <v>183</v>
      </c>
      <c r="C1481" s="2" t="s">
        <v>262</v>
      </c>
      <c r="D1481" s="2" t="s">
        <v>151</v>
      </c>
      <c r="E1481" s="2" t="s">
        <v>158</v>
      </c>
      <c r="F1481" s="2" t="s">
        <v>292</v>
      </c>
      <c r="G1481" s="2" t="s">
        <v>28</v>
      </c>
      <c r="I1481">
        <f>HEX2DEC(_0811_173439[[#This Row],[580C]])*B$4/B$5+B$6</f>
        <v>800</v>
      </c>
      <c r="J1481">
        <f>HEX2DEC(_0811_173439[[#This Row],[4402]])*C$4/C$5+C$6</f>
        <v>37</v>
      </c>
      <c r="K1481">
        <f>HEX2DEC(_0811_173439[[#This Row],[580F]])*D$4/D$5+D$6</f>
        <v>30</v>
      </c>
      <c r="L1481">
        <f>ROUND(HEX2DEC(_0811_173439[[#This Row],[58F0]])*E$4/E$5+E$6,0)</f>
        <v>70</v>
      </c>
      <c r="M1481">
        <f>ROUND(HEX2DEC(_0811_173439[[#This Row],[5805]])*F$4/F$5+F$6,0)</f>
        <v>45</v>
      </c>
      <c r="N1481">
        <f>ROUND(HEX2DEC(_0811_173439[[#This Row],[58DD]])*G$4/G$5+G$6,2)</f>
        <v>-0.02</v>
      </c>
      <c r="P1481">
        <v>800</v>
      </c>
      <c r="Q1481">
        <v>37</v>
      </c>
      <c r="R1481">
        <v>30</v>
      </c>
      <c r="S1481">
        <v>70</v>
      </c>
      <c r="T1481">
        <v>45</v>
      </c>
      <c r="U1481">
        <v>-0.02</v>
      </c>
      <c r="W1481">
        <f>DataLog_T717420_Aug11_4_59_37pm[[#This Row],[RPM '[1/MIN']]]-Table3[[#This Row],[580C]]</f>
        <v>0</v>
      </c>
      <c r="X1481">
        <f>DataLog_T717420_Aug11_4_59_37pm[[#This Row],[OIL TEMP '[Â°C']]]-Table3[[#This Row],[4402]]</f>
        <v>0</v>
      </c>
      <c r="Y1481">
        <f>DataLog_T717420_Aug11_4_59_37pm[[#This Row],[INTAKE TEMP '[Â°C']]]-Table3[[#This Row],[580F]]</f>
        <v>0</v>
      </c>
      <c r="Z1481">
        <f>DataLog_T717420_Aug11_4_59_37pm[[#This Row],[HPFP PRES. '[BAR']]]-Table3[[#This Row],[58F0]]</f>
        <v>0</v>
      </c>
      <c r="AA1481">
        <f>DataLog_T717420_Aug11_4_59_37pm[[#This Row],[COOLANT TEMP '[Â°C']]]-Table3[[#This Row],[5805]]</f>
        <v>0</v>
      </c>
      <c r="AB1481">
        <f>DataLog_T717420_Aug11_4_59_37pm[[#This Row],[BOOST '[BAR']]]-Table3[[#This Row],[58DD]]</f>
        <v>0</v>
      </c>
    </row>
    <row r="1482" spans="2:28" x14ac:dyDescent="0.25">
      <c r="B1482" s="2" t="s">
        <v>183</v>
      </c>
      <c r="C1482" s="2" t="s">
        <v>262</v>
      </c>
      <c r="D1482" s="2" t="s">
        <v>151</v>
      </c>
      <c r="E1482" s="2" t="s">
        <v>148</v>
      </c>
      <c r="F1482" s="2" t="s">
        <v>292</v>
      </c>
      <c r="G1482" s="2" t="s">
        <v>28</v>
      </c>
      <c r="I1482">
        <f>HEX2DEC(_0811_173439[[#This Row],[580C]])*B$4/B$5+B$6</f>
        <v>800</v>
      </c>
      <c r="J1482">
        <f>HEX2DEC(_0811_173439[[#This Row],[4402]])*C$4/C$5+C$6</f>
        <v>37</v>
      </c>
      <c r="K1482">
        <f>HEX2DEC(_0811_173439[[#This Row],[580F]])*D$4/D$5+D$6</f>
        <v>30</v>
      </c>
      <c r="L1482">
        <f>ROUND(HEX2DEC(_0811_173439[[#This Row],[58F0]])*E$4/E$5+E$6,0)</f>
        <v>70</v>
      </c>
      <c r="M1482">
        <f>ROUND(HEX2DEC(_0811_173439[[#This Row],[5805]])*F$4/F$5+F$6,0)</f>
        <v>45</v>
      </c>
      <c r="N1482">
        <f>ROUND(HEX2DEC(_0811_173439[[#This Row],[58DD]])*G$4/G$5+G$6,2)</f>
        <v>-0.02</v>
      </c>
      <c r="P1482">
        <v>800</v>
      </c>
      <c r="Q1482">
        <v>37</v>
      </c>
      <c r="R1482">
        <v>30</v>
      </c>
      <c r="S1482">
        <v>70</v>
      </c>
      <c r="T1482">
        <v>45</v>
      </c>
      <c r="U1482">
        <v>-0.02</v>
      </c>
      <c r="W1482">
        <f>DataLog_T717420_Aug11_4_59_37pm[[#This Row],[RPM '[1/MIN']]]-Table3[[#This Row],[580C]]</f>
        <v>0</v>
      </c>
      <c r="X1482">
        <f>DataLog_T717420_Aug11_4_59_37pm[[#This Row],[OIL TEMP '[Â°C']]]-Table3[[#This Row],[4402]]</f>
        <v>0</v>
      </c>
      <c r="Y1482">
        <f>DataLog_T717420_Aug11_4_59_37pm[[#This Row],[INTAKE TEMP '[Â°C']]]-Table3[[#This Row],[580F]]</f>
        <v>0</v>
      </c>
      <c r="Z1482">
        <f>DataLog_T717420_Aug11_4_59_37pm[[#This Row],[HPFP PRES. '[BAR']]]-Table3[[#This Row],[58F0]]</f>
        <v>0</v>
      </c>
      <c r="AA1482">
        <f>DataLog_T717420_Aug11_4_59_37pm[[#This Row],[COOLANT TEMP '[Â°C']]]-Table3[[#This Row],[5805]]</f>
        <v>0</v>
      </c>
      <c r="AB1482">
        <f>DataLog_T717420_Aug11_4_59_37pm[[#This Row],[BOOST '[BAR']]]-Table3[[#This Row],[58DD]]</f>
        <v>0</v>
      </c>
    </row>
    <row r="1483" spans="2:28" x14ac:dyDescent="0.25">
      <c r="B1483" s="2" t="s">
        <v>183</v>
      </c>
      <c r="C1483" s="2" t="s">
        <v>262</v>
      </c>
      <c r="D1483" s="2" t="s">
        <v>151</v>
      </c>
      <c r="E1483" s="2" t="s">
        <v>390</v>
      </c>
      <c r="F1483" s="2" t="s">
        <v>292</v>
      </c>
      <c r="G1483" s="2" t="s">
        <v>28</v>
      </c>
      <c r="I1483">
        <f>HEX2DEC(_0811_173439[[#This Row],[580C]])*B$4/B$5+B$6</f>
        <v>800</v>
      </c>
      <c r="J1483">
        <f>HEX2DEC(_0811_173439[[#This Row],[4402]])*C$4/C$5+C$6</f>
        <v>37</v>
      </c>
      <c r="K1483">
        <f>HEX2DEC(_0811_173439[[#This Row],[580F]])*D$4/D$5+D$6</f>
        <v>30</v>
      </c>
      <c r="L1483">
        <f>ROUND(HEX2DEC(_0811_173439[[#This Row],[58F0]])*E$4/E$5+E$6,0)</f>
        <v>69</v>
      </c>
      <c r="M1483">
        <f>ROUND(HEX2DEC(_0811_173439[[#This Row],[5805]])*F$4/F$5+F$6,0)</f>
        <v>45</v>
      </c>
      <c r="N1483">
        <f>ROUND(HEX2DEC(_0811_173439[[#This Row],[58DD]])*G$4/G$5+G$6,2)</f>
        <v>-0.02</v>
      </c>
      <c r="P1483">
        <v>800</v>
      </c>
      <c r="Q1483">
        <v>37</v>
      </c>
      <c r="R1483">
        <v>30</v>
      </c>
      <c r="S1483">
        <v>69</v>
      </c>
      <c r="T1483">
        <v>45</v>
      </c>
      <c r="U1483">
        <v>-0.02</v>
      </c>
      <c r="W1483">
        <f>DataLog_T717420_Aug11_4_59_37pm[[#This Row],[RPM '[1/MIN']]]-Table3[[#This Row],[580C]]</f>
        <v>0</v>
      </c>
      <c r="X1483">
        <f>DataLog_T717420_Aug11_4_59_37pm[[#This Row],[OIL TEMP '[Â°C']]]-Table3[[#This Row],[4402]]</f>
        <v>0</v>
      </c>
      <c r="Y1483">
        <f>DataLog_T717420_Aug11_4_59_37pm[[#This Row],[INTAKE TEMP '[Â°C']]]-Table3[[#This Row],[580F]]</f>
        <v>0</v>
      </c>
      <c r="Z1483">
        <f>DataLog_T717420_Aug11_4_59_37pm[[#This Row],[HPFP PRES. '[BAR']]]-Table3[[#This Row],[58F0]]</f>
        <v>0</v>
      </c>
      <c r="AA1483">
        <f>DataLog_T717420_Aug11_4_59_37pm[[#This Row],[COOLANT TEMP '[Â°C']]]-Table3[[#This Row],[5805]]</f>
        <v>0</v>
      </c>
      <c r="AB1483">
        <f>DataLog_T717420_Aug11_4_59_37pm[[#This Row],[BOOST '[BAR']]]-Table3[[#This Row],[58DD]]</f>
        <v>0</v>
      </c>
    </row>
    <row r="1484" spans="2:28" x14ac:dyDescent="0.25">
      <c r="B1484" s="2" t="s">
        <v>183</v>
      </c>
      <c r="C1484" s="2" t="s">
        <v>262</v>
      </c>
      <c r="D1484" s="2" t="s">
        <v>151</v>
      </c>
      <c r="E1484" s="2" t="s">
        <v>156</v>
      </c>
      <c r="F1484" s="2" t="s">
        <v>292</v>
      </c>
      <c r="G1484" s="2" t="s">
        <v>28</v>
      </c>
      <c r="I1484">
        <f>HEX2DEC(_0811_173439[[#This Row],[580C]])*B$4/B$5+B$6</f>
        <v>800</v>
      </c>
      <c r="J1484">
        <f>HEX2DEC(_0811_173439[[#This Row],[4402]])*C$4/C$5+C$6</f>
        <v>37</v>
      </c>
      <c r="K1484">
        <f>HEX2DEC(_0811_173439[[#This Row],[580F]])*D$4/D$5+D$6</f>
        <v>30</v>
      </c>
      <c r="L1484">
        <f>ROUND(HEX2DEC(_0811_173439[[#This Row],[58F0]])*E$4/E$5+E$6,0)</f>
        <v>70</v>
      </c>
      <c r="M1484">
        <f>ROUND(HEX2DEC(_0811_173439[[#This Row],[5805]])*F$4/F$5+F$6,0)</f>
        <v>45</v>
      </c>
      <c r="N1484">
        <f>ROUND(HEX2DEC(_0811_173439[[#This Row],[58DD]])*G$4/G$5+G$6,2)</f>
        <v>-0.02</v>
      </c>
      <c r="P1484">
        <v>800</v>
      </c>
      <c r="Q1484">
        <v>37</v>
      </c>
      <c r="R1484">
        <v>30</v>
      </c>
      <c r="S1484">
        <v>70</v>
      </c>
      <c r="T1484">
        <v>45</v>
      </c>
      <c r="U1484">
        <v>-0.02</v>
      </c>
      <c r="W1484">
        <f>DataLog_T717420_Aug11_4_59_37pm[[#This Row],[RPM '[1/MIN']]]-Table3[[#This Row],[580C]]</f>
        <v>0</v>
      </c>
      <c r="X1484">
        <f>DataLog_T717420_Aug11_4_59_37pm[[#This Row],[OIL TEMP '[Â°C']]]-Table3[[#This Row],[4402]]</f>
        <v>0</v>
      </c>
      <c r="Y1484">
        <f>DataLog_T717420_Aug11_4_59_37pm[[#This Row],[INTAKE TEMP '[Â°C']]]-Table3[[#This Row],[580F]]</f>
        <v>0</v>
      </c>
      <c r="Z1484">
        <f>DataLog_T717420_Aug11_4_59_37pm[[#This Row],[HPFP PRES. '[BAR']]]-Table3[[#This Row],[58F0]]</f>
        <v>0</v>
      </c>
      <c r="AA1484">
        <f>DataLog_T717420_Aug11_4_59_37pm[[#This Row],[COOLANT TEMP '[Â°C']]]-Table3[[#This Row],[5805]]</f>
        <v>0</v>
      </c>
      <c r="AB1484">
        <f>DataLog_T717420_Aug11_4_59_37pm[[#This Row],[BOOST '[BAR']]]-Table3[[#This Row],[58DD]]</f>
        <v>0</v>
      </c>
    </row>
    <row r="1485" spans="2:28" x14ac:dyDescent="0.25">
      <c r="B1485" s="2" t="s">
        <v>183</v>
      </c>
      <c r="C1485" s="2" t="s">
        <v>262</v>
      </c>
      <c r="D1485" s="2" t="s">
        <v>151</v>
      </c>
      <c r="E1485" s="2" t="s">
        <v>148</v>
      </c>
      <c r="F1485" s="2" t="s">
        <v>292</v>
      </c>
      <c r="G1485" s="2" t="s">
        <v>28</v>
      </c>
      <c r="I1485">
        <f>HEX2DEC(_0811_173439[[#This Row],[580C]])*B$4/B$5+B$6</f>
        <v>800</v>
      </c>
      <c r="J1485">
        <f>HEX2DEC(_0811_173439[[#This Row],[4402]])*C$4/C$5+C$6</f>
        <v>37</v>
      </c>
      <c r="K1485">
        <f>HEX2DEC(_0811_173439[[#This Row],[580F]])*D$4/D$5+D$6</f>
        <v>30</v>
      </c>
      <c r="L1485">
        <f>ROUND(HEX2DEC(_0811_173439[[#This Row],[58F0]])*E$4/E$5+E$6,0)</f>
        <v>70</v>
      </c>
      <c r="M1485">
        <f>ROUND(HEX2DEC(_0811_173439[[#This Row],[5805]])*F$4/F$5+F$6,0)</f>
        <v>45</v>
      </c>
      <c r="N1485">
        <f>ROUND(HEX2DEC(_0811_173439[[#This Row],[58DD]])*G$4/G$5+G$6,2)</f>
        <v>-0.02</v>
      </c>
      <c r="P1485">
        <v>800</v>
      </c>
      <c r="Q1485">
        <v>37</v>
      </c>
      <c r="R1485">
        <v>30</v>
      </c>
      <c r="S1485">
        <v>70</v>
      </c>
      <c r="T1485">
        <v>45</v>
      </c>
      <c r="U1485">
        <v>-0.02</v>
      </c>
      <c r="W1485">
        <f>DataLog_T717420_Aug11_4_59_37pm[[#This Row],[RPM '[1/MIN']]]-Table3[[#This Row],[580C]]</f>
        <v>0</v>
      </c>
      <c r="X1485">
        <f>DataLog_T717420_Aug11_4_59_37pm[[#This Row],[OIL TEMP '[Â°C']]]-Table3[[#This Row],[4402]]</f>
        <v>0</v>
      </c>
      <c r="Y1485">
        <f>DataLog_T717420_Aug11_4_59_37pm[[#This Row],[INTAKE TEMP '[Â°C']]]-Table3[[#This Row],[580F]]</f>
        <v>0</v>
      </c>
      <c r="Z1485">
        <f>DataLog_T717420_Aug11_4_59_37pm[[#This Row],[HPFP PRES. '[BAR']]]-Table3[[#This Row],[58F0]]</f>
        <v>0</v>
      </c>
      <c r="AA1485">
        <f>DataLog_T717420_Aug11_4_59_37pm[[#This Row],[COOLANT TEMP '[Â°C']]]-Table3[[#This Row],[5805]]</f>
        <v>0</v>
      </c>
      <c r="AB1485">
        <f>DataLog_T717420_Aug11_4_59_37pm[[#This Row],[BOOST '[BAR']]]-Table3[[#This Row],[58DD]]</f>
        <v>0</v>
      </c>
    </row>
    <row r="1486" spans="2:28" x14ac:dyDescent="0.25">
      <c r="B1486" s="2" t="s">
        <v>183</v>
      </c>
      <c r="C1486" s="2" t="s">
        <v>262</v>
      </c>
      <c r="D1486" s="2" t="s">
        <v>151</v>
      </c>
      <c r="E1486" s="2" t="s">
        <v>158</v>
      </c>
      <c r="F1486" s="2" t="s">
        <v>292</v>
      </c>
      <c r="G1486" s="2" t="s">
        <v>105</v>
      </c>
      <c r="I1486">
        <f>HEX2DEC(_0811_173439[[#This Row],[580C]])*B$4/B$5+B$6</f>
        <v>800</v>
      </c>
      <c r="J1486">
        <f>HEX2DEC(_0811_173439[[#This Row],[4402]])*C$4/C$5+C$6</f>
        <v>37</v>
      </c>
      <c r="K1486">
        <f>HEX2DEC(_0811_173439[[#This Row],[580F]])*D$4/D$5+D$6</f>
        <v>30</v>
      </c>
      <c r="L1486">
        <f>ROUND(HEX2DEC(_0811_173439[[#This Row],[58F0]])*E$4/E$5+E$6,0)</f>
        <v>70</v>
      </c>
      <c r="M1486">
        <f>ROUND(HEX2DEC(_0811_173439[[#This Row],[5805]])*F$4/F$5+F$6,0)</f>
        <v>45</v>
      </c>
      <c r="N1486">
        <f>ROUND(HEX2DEC(_0811_173439[[#This Row],[58DD]])*G$4/G$5+G$6,2)</f>
        <v>-0.02</v>
      </c>
      <c r="P1486">
        <v>800</v>
      </c>
      <c r="Q1486">
        <v>37</v>
      </c>
      <c r="R1486">
        <v>30</v>
      </c>
      <c r="S1486">
        <v>70</v>
      </c>
      <c r="T1486">
        <v>45</v>
      </c>
      <c r="U1486">
        <v>-0.02</v>
      </c>
      <c r="W1486">
        <f>DataLog_T717420_Aug11_4_59_37pm[[#This Row],[RPM '[1/MIN']]]-Table3[[#This Row],[580C]]</f>
        <v>0</v>
      </c>
      <c r="X1486">
        <f>DataLog_T717420_Aug11_4_59_37pm[[#This Row],[OIL TEMP '[Â°C']]]-Table3[[#This Row],[4402]]</f>
        <v>0</v>
      </c>
      <c r="Y1486">
        <f>DataLog_T717420_Aug11_4_59_37pm[[#This Row],[INTAKE TEMP '[Â°C']]]-Table3[[#This Row],[580F]]</f>
        <v>0</v>
      </c>
      <c r="Z1486">
        <f>DataLog_T717420_Aug11_4_59_37pm[[#This Row],[HPFP PRES. '[BAR']]]-Table3[[#This Row],[58F0]]</f>
        <v>0</v>
      </c>
      <c r="AA1486">
        <f>DataLog_T717420_Aug11_4_59_37pm[[#This Row],[COOLANT TEMP '[Â°C']]]-Table3[[#This Row],[5805]]</f>
        <v>0</v>
      </c>
      <c r="AB1486">
        <f>DataLog_T717420_Aug11_4_59_37pm[[#This Row],[BOOST '[BAR']]]-Table3[[#This Row],[58DD]]</f>
        <v>0</v>
      </c>
    </row>
    <row r="1487" spans="2:28" x14ac:dyDescent="0.25">
      <c r="B1487" s="2" t="s">
        <v>183</v>
      </c>
      <c r="C1487" s="2" t="s">
        <v>262</v>
      </c>
      <c r="D1487" s="2" t="s">
        <v>151</v>
      </c>
      <c r="E1487" s="2" t="s">
        <v>141</v>
      </c>
      <c r="F1487" s="2" t="s">
        <v>292</v>
      </c>
      <c r="G1487" s="2" t="s">
        <v>28</v>
      </c>
      <c r="I1487">
        <f>HEX2DEC(_0811_173439[[#This Row],[580C]])*B$4/B$5+B$6</f>
        <v>800</v>
      </c>
      <c r="J1487">
        <f>HEX2DEC(_0811_173439[[#This Row],[4402]])*C$4/C$5+C$6</f>
        <v>37</v>
      </c>
      <c r="K1487">
        <f>HEX2DEC(_0811_173439[[#This Row],[580F]])*D$4/D$5+D$6</f>
        <v>30</v>
      </c>
      <c r="L1487">
        <f>ROUND(HEX2DEC(_0811_173439[[#This Row],[58F0]])*E$4/E$5+E$6,0)</f>
        <v>70</v>
      </c>
      <c r="M1487">
        <f>ROUND(HEX2DEC(_0811_173439[[#This Row],[5805]])*F$4/F$5+F$6,0)</f>
        <v>45</v>
      </c>
      <c r="N1487">
        <f>ROUND(HEX2DEC(_0811_173439[[#This Row],[58DD]])*G$4/G$5+G$6,2)</f>
        <v>-0.02</v>
      </c>
      <c r="P1487">
        <v>800</v>
      </c>
      <c r="Q1487">
        <v>37</v>
      </c>
      <c r="R1487">
        <v>30</v>
      </c>
      <c r="S1487">
        <v>70</v>
      </c>
      <c r="T1487">
        <v>45</v>
      </c>
      <c r="U1487">
        <v>-0.02</v>
      </c>
      <c r="W1487">
        <f>DataLog_T717420_Aug11_4_59_37pm[[#This Row],[RPM '[1/MIN']]]-Table3[[#This Row],[580C]]</f>
        <v>0</v>
      </c>
      <c r="X1487">
        <f>DataLog_T717420_Aug11_4_59_37pm[[#This Row],[OIL TEMP '[Â°C']]]-Table3[[#This Row],[4402]]</f>
        <v>0</v>
      </c>
      <c r="Y1487">
        <f>DataLog_T717420_Aug11_4_59_37pm[[#This Row],[INTAKE TEMP '[Â°C']]]-Table3[[#This Row],[580F]]</f>
        <v>0</v>
      </c>
      <c r="Z1487">
        <f>DataLog_T717420_Aug11_4_59_37pm[[#This Row],[HPFP PRES. '[BAR']]]-Table3[[#This Row],[58F0]]</f>
        <v>0</v>
      </c>
      <c r="AA1487">
        <f>DataLog_T717420_Aug11_4_59_37pm[[#This Row],[COOLANT TEMP '[Â°C']]]-Table3[[#This Row],[5805]]</f>
        <v>0</v>
      </c>
      <c r="AB1487">
        <f>DataLog_T717420_Aug11_4_59_37pm[[#This Row],[BOOST '[BAR']]]-Table3[[#This Row],[58DD]]</f>
        <v>0</v>
      </c>
    </row>
    <row r="1488" spans="2:28" x14ac:dyDescent="0.25">
      <c r="B1488" s="2" t="s">
        <v>183</v>
      </c>
      <c r="C1488" s="2" t="s">
        <v>262</v>
      </c>
      <c r="D1488" s="2" t="s">
        <v>151</v>
      </c>
      <c r="E1488" s="2" t="s">
        <v>163</v>
      </c>
      <c r="F1488" s="2" t="s">
        <v>292</v>
      </c>
      <c r="G1488" s="2" t="s">
        <v>28</v>
      </c>
      <c r="I1488">
        <f>HEX2DEC(_0811_173439[[#This Row],[580C]])*B$4/B$5+B$6</f>
        <v>800</v>
      </c>
      <c r="J1488">
        <f>HEX2DEC(_0811_173439[[#This Row],[4402]])*C$4/C$5+C$6</f>
        <v>37</v>
      </c>
      <c r="K1488">
        <f>HEX2DEC(_0811_173439[[#This Row],[580F]])*D$4/D$5+D$6</f>
        <v>30</v>
      </c>
      <c r="L1488">
        <f>ROUND(HEX2DEC(_0811_173439[[#This Row],[58F0]])*E$4/E$5+E$6,0)</f>
        <v>70</v>
      </c>
      <c r="M1488">
        <f>ROUND(HEX2DEC(_0811_173439[[#This Row],[5805]])*F$4/F$5+F$6,0)</f>
        <v>45</v>
      </c>
      <c r="N1488">
        <f>ROUND(HEX2DEC(_0811_173439[[#This Row],[58DD]])*G$4/G$5+G$6,2)</f>
        <v>-0.02</v>
      </c>
      <c r="P1488">
        <v>800</v>
      </c>
      <c r="Q1488">
        <v>37</v>
      </c>
      <c r="R1488">
        <v>30</v>
      </c>
      <c r="S1488">
        <v>70</v>
      </c>
      <c r="T1488">
        <v>45</v>
      </c>
      <c r="U1488">
        <v>-0.02</v>
      </c>
      <c r="W1488">
        <f>DataLog_T717420_Aug11_4_59_37pm[[#This Row],[RPM '[1/MIN']]]-Table3[[#This Row],[580C]]</f>
        <v>0</v>
      </c>
      <c r="X1488">
        <f>DataLog_T717420_Aug11_4_59_37pm[[#This Row],[OIL TEMP '[Â°C']]]-Table3[[#This Row],[4402]]</f>
        <v>0</v>
      </c>
      <c r="Y1488">
        <f>DataLog_T717420_Aug11_4_59_37pm[[#This Row],[INTAKE TEMP '[Â°C']]]-Table3[[#This Row],[580F]]</f>
        <v>0</v>
      </c>
      <c r="Z1488">
        <f>DataLog_T717420_Aug11_4_59_37pm[[#This Row],[HPFP PRES. '[BAR']]]-Table3[[#This Row],[58F0]]</f>
        <v>0</v>
      </c>
      <c r="AA1488">
        <f>DataLog_T717420_Aug11_4_59_37pm[[#This Row],[COOLANT TEMP '[Â°C']]]-Table3[[#This Row],[5805]]</f>
        <v>0</v>
      </c>
      <c r="AB1488">
        <f>DataLog_T717420_Aug11_4_59_37pm[[#This Row],[BOOST '[BAR']]]-Table3[[#This Row],[58DD]]</f>
        <v>0</v>
      </c>
    </row>
    <row r="1489" spans="2:28" x14ac:dyDescent="0.25">
      <c r="B1489" s="2" t="s">
        <v>183</v>
      </c>
      <c r="C1489" s="2" t="s">
        <v>262</v>
      </c>
      <c r="D1489" s="2" t="s">
        <v>151</v>
      </c>
      <c r="E1489" s="2" t="s">
        <v>145</v>
      </c>
      <c r="F1489" s="2" t="s">
        <v>292</v>
      </c>
      <c r="G1489" s="2" t="s">
        <v>169</v>
      </c>
      <c r="I1489">
        <f>HEX2DEC(_0811_173439[[#This Row],[580C]])*B$4/B$5+B$6</f>
        <v>800</v>
      </c>
      <c r="J1489">
        <f>HEX2DEC(_0811_173439[[#This Row],[4402]])*C$4/C$5+C$6</f>
        <v>37</v>
      </c>
      <c r="K1489">
        <f>HEX2DEC(_0811_173439[[#This Row],[580F]])*D$4/D$5+D$6</f>
        <v>30</v>
      </c>
      <c r="L1489">
        <f>ROUND(HEX2DEC(_0811_173439[[#This Row],[58F0]])*E$4/E$5+E$6,0)</f>
        <v>70</v>
      </c>
      <c r="M1489">
        <f>ROUND(HEX2DEC(_0811_173439[[#This Row],[5805]])*F$4/F$5+F$6,0)</f>
        <v>45</v>
      </c>
      <c r="N1489">
        <f>ROUND(HEX2DEC(_0811_173439[[#This Row],[58DD]])*G$4/G$5+G$6,2)</f>
        <v>-0.02</v>
      </c>
      <c r="P1489">
        <v>800</v>
      </c>
      <c r="Q1489">
        <v>37</v>
      </c>
      <c r="R1489">
        <v>30</v>
      </c>
      <c r="S1489">
        <v>70</v>
      </c>
      <c r="T1489">
        <v>45</v>
      </c>
      <c r="U1489">
        <v>-0.02</v>
      </c>
      <c r="W1489">
        <f>DataLog_T717420_Aug11_4_59_37pm[[#This Row],[RPM '[1/MIN']]]-Table3[[#This Row],[580C]]</f>
        <v>0</v>
      </c>
      <c r="X1489">
        <f>DataLog_T717420_Aug11_4_59_37pm[[#This Row],[OIL TEMP '[Â°C']]]-Table3[[#This Row],[4402]]</f>
        <v>0</v>
      </c>
      <c r="Y1489">
        <f>DataLog_T717420_Aug11_4_59_37pm[[#This Row],[INTAKE TEMP '[Â°C']]]-Table3[[#This Row],[580F]]</f>
        <v>0</v>
      </c>
      <c r="Z1489">
        <f>DataLog_T717420_Aug11_4_59_37pm[[#This Row],[HPFP PRES. '[BAR']]]-Table3[[#This Row],[58F0]]</f>
        <v>0</v>
      </c>
      <c r="AA1489">
        <f>DataLog_T717420_Aug11_4_59_37pm[[#This Row],[COOLANT TEMP '[Â°C']]]-Table3[[#This Row],[5805]]</f>
        <v>0</v>
      </c>
      <c r="AB1489">
        <f>DataLog_T717420_Aug11_4_59_37pm[[#This Row],[BOOST '[BAR']]]-Table3[[#This Row],[58DD]]</f>
        <v>0</v>
      </c>
    </row>
    <row r="1490" spans="2:28" x14ac:dyDescent="0.25">
      <c r="B1490" s="2" t="s">
        <v>183</v>
      </c>
      <c r="C1490" s="2" t="s">
        <v>262</v>
      </c>
      <c r="D1490" s="2" t="s">
        <v>151</v>
      </c>
      <c r="E1490" s="2" t="s">
        <v>93</v>
      </c>
      <c r="F1490" s="2" t="s">
        <v>292</v>
      </c>
      <c r="G1490" s="2" t="s">
        <v>169</v>
      </c>
      <c r="I1490">
        <f>HEX2DEC(_0811_173439[[#This Row],[580C]])*B$4/B$5+B$6</f>
        <v>800</v>
      </c>
      <c r="J1490">
        <f>HEX2DEC(_0811_173439[[#This Row],[4402]])*C$4/C$5+C$6</f>
        <v>37</v>
      </c>
      <c r="K1490">
        <f>HEX2DEC(_0811_173439[[#This Row],[580F]])*D$4/D$5+D$6</f>
        <v>30</v>
      </c>
      <c r="L1490">
        <f>ROUND(HEX2DEC(_0811_173439[[#This Row],[58F0]])*E$4/E$5+E$6,0)</f>
        <v>70</v>
      </c>
      <c r="M1490">
        <f>ROUND(HEX2DEC(_0811_173439[[#This Row],[5805]])*F$4/F$5+F$6,0)</f>
        <v>45</v>
      </c>
      <c r="N1490">
        <f>ROUND(HEX2DEC(_0811_173439[[#This Row],[58DD]])*G$4/G$5+G$6,2)</f>
        <v>-0.02</v>
      </c>
      <c r="P1490">
        <v>800</v>
      </c>
      <c r="Q1490">
        <v>37</v>
      </c>
      <c r="R1490">
        <v>30</v>
      </c>
      <c r="S1490">
        <v>70</v>
      </c>
      <c r="T1490">
        <v>45</v>
      </c>
      <c r="U1490">
        <v>-0.02</v>
      </c>
      <c r="W1490">
        <f>DataLog_T717420_Aug11_4_59_37pm[[#This Row],[RPM '[1/MIN']]]-Table3[[#This Row],[580C]]</f>
        <v>0</v>
      </c>
      <c r="X1490">
        <f>DataLog_T717420_Aug11_4_59_37pm[[#This Row],[OIL TEMP '[Â°C']]]-Table3[[#This Row],[4402]]</f>
        <v>0</v>
      </c>
      <c r="Y1490">
        <f>DataLog_T717420_Aug11_4_59_37pm[[#This Row],[INTAKE TEMP '[Â°C']]]-Table3[[#This Row],[580F]]</f>
        <v>0</v>
      </c>
      <c r="Z1490">
        <f>DataLog_T717420_Aug11_4_59_37pm[[#This Row],[HPFP PRES. '[BAR']]]-Table3[[#This Row],[58F0]]</f>
        <v>0</v>
      </c>
      <c r="AA1490">
        <f>DataLog_T717420_Aug11_4_59_37pm[[#This Row],[COOLANT TEMP '[Â°C']]]-Table3[[#This Row],[5805]]</f>
        <v>0</v>
      </c>
      <c r="AB1490">
        <f>DataLog_T717420_Aug11_4_59_37pm[[#This Row],[BOOST '[BAR']]]-Table3[[#This Row],[58DD]]</f>
        <v>0</v>
      </c>
    </row>
    <row r="1491" spans="2:28" x14ac:dyDescent="0.25">
      <c r="B1491" s="2" t="s">
        <v>189</v>
      </c>
      <c r="C1491" s="2" t="s">
        <v>262</v>
      </c>
      <c r="D1491" s="2" t="s">
        <v>151</v>
      </c>
      <c r="E1491" s="2" t="s">
        <v>198</v>
      </c>
      <c r="F1491" s="2" t="s">
        <v>292</v>
      </c>
      <c r="G1491" s="2" t="s">
        <v>169</v>
      </c>
      <c r="I1491">
        <f>HEX2DEC(_0811_173439[[#This Row],[580C]])*B$4/B$5+B$6</f>
        <v>760</v>
      </c>
      <c r="J1491">
        <f>HEX2DEC(_0811_173439[[#This Row],[4402]])*C$4/C$5+C$6</f>
        <v>37</v>
      </c>
      <c r="K1491">
        <f>HEX2DEC(_0811_173439[[#This Row],[580F]])*D$4/D$5+D$6</f>
        <v>30</v>
      </c>
      <c r="L1491">
        <f>ROUND(HEX2DEC(_0811_173439[[#This Row],[58F0]])*E$4/E$5+E$6,0)</f>
        <v>70</v>
      </c>
      <c r="M1491">
        <f>ROUND(HEX2DEC(_0811_173439[[#This Row],[5805]])*F$4/F$5+F$6,0)</f>
        <v>45</v>
      </c>
      <c r="N1491">
        <f>ROUND(HEX2DEC(_0811_173439[[#This Row],[58DD]])*G$4/G$5+G$6,2)</f>
        <v>-0.02</v>
      </c>
      <c r="P1491">
        <v>760</v>
      </c>
      <c r="Q1491">
        <v>37</v>
      </c>
      <c r="R1491">
        <v>30</v>
      </c>
      <c r="S1491">
        <v>70</v>
      </c>
      <c r="T1491">
        <v>45</v>
      </c>
      <c r="U1491">
        <v>-0.02</v>
      </c>
      <c r="W1491">
        <f>DataLog_T717420_Aug11_4_59_37pm[[#This Row],[RPM '[1/MIN']]]-Table3[[#This Row],[580C]]</f>
        <v>0</v>
      </c>
      <c r="X1491">
        <f>DataLog_T717420_Aug11_4_59_37pm[[#This Row],[OIL TEMP '[Â°C']]]-Table3[[#This Row],[4402]]</f>
        <v>0</v>
      </c>
      <c r="Y1491">
        <f>DataLog_T717420_Aug11_4_59_37pm[[#This Row],[INTAKE TEMP '[Â°C']]]-Table3[[#This Row],[580F]]</f>
        <v>0</v>
      </c>
      <c r="Z1491">
        <f>DataLog_T717420_Aug11_4_59_37pm[[#This Row],[HPFP PRES. '[BAR']]]-Table3[[#This Row],[58F0]]</f>
        <v>0</v>
      </c>
      <c r="AA1491">
        <f>DataLog_T717420_Aug11_4_59_37pm[[#This Row],[COOLANT TEMP '[Â°C']]]-Table3[[#This Row],[5805]]</f>
        <v>0</v>
      </c>
      <c r="AB1491">
        <f>DataLog_T717420_Aug11_4_59_37pm[[#This Row],[BOOST '[BAR']]]-Table3[[#This Row],[58DD]]</f>
        <v>0</v>
      </c>
    </row>
    <row r="1492" spans="2:28" x14ac:dyDescent="0.25">
      <c r="B1492" s="2" t="s">
        <v>189</v>
      </c>
      <c r="C1492" s="2" t="s">
        <v>262</v>
      </c>
      <c r="D1492" s="2" t="s">
        <v>151</v>
      </c>
      <c r="E1492" s="2" t="s">
        <v>165</v>
      </c>
      <c r="F1492" s="2" t="s">
        <v>292</v>
      </c>
      <c r="G1492" s="2" t="s">
        <v>105</v>
      </c>
      <c r="I1492">
        <f>HEX2DEC(_0811_173439[[#This Row],[580C]])*B$4/B$5+B$6</f>
        <v>760</v>
      </c>
      <c r="J1492">
        <f>HEX2DEC(_0811_173439[[#This Row],[4402]])*C$4/C$5+C$6</f>
        <v>37</v>
      </c>
      <c r="K1492">
        <f>HEX2DEC(_0811_173439[[#This Row],[580F]])*D$4/D$5+D$6</f>
        <v>30</v>
      </c>
      <c r="L1492">
        <f>ROUND(HEX2DEC(_0811_173439[[#This Row],[58F0]])*E$4/E$5+E$6,0)</f>
        <v>70</v>
      </c>
      <c r="M1492">
        <f>ROUND(HEX2DEC(_0811_173439[[#This Row],[5805]])*F$4/F$5+F$6,0)</f>
        <v>45</v>
      </c>
      <c r="N1492">
        <f>ROUND(HEX2DEC(_0811_173439[[#This Row],[58DD]])*G$4/G$5+G$6,2)</f>
        <v>-0.02</v>
      </c>
      <c r="P1492">
        <v>760</v>
      </c>
      <c r="Q1492">
        <v>37</v>
      </c>
      <c r="R1492">
        <v>30</v>
      </c>
      <c r="S1492">
        <v>70</v>
      </c>
      <c r="T1492">
        <v>45</v>
      </c>
      <c r="U1492">
        <v>-0.02</v>
      </c>
      <c r="W1492">
        <f>DataLog_T717420_Aug11_4_59_37pm[[#This Row],[RPM '[1/MIN']]]-Table3[[#This Row],[580C]]</f>
        <v>0</v>
      </c>
      <c r="X1492">
        <f>DataLog_T717420_Aug11_4_59_37pm[[#This Row],[OIL TEMP '[Â°C']]]-Table3[[#This Row],[4402]]</f>
        <v>0</v>
      </c>
      <c r="Y1492">
        <f>DataLog_T717420_Aug11_4_59_37pm[[#This Row],[INTAKE TEMP '[Â°C']]]-Table3[[#This Row],[580F]]</f>
        <v>0</v>
      </c>
      <c r="Z1492">
        <f>DataLog_T717420_Aug11_4_59_37pm[[#This Row],[HPFP PRES. '[BAR']]]-Table3[[#This Row],[58F0]]</f>
        <v>0</v>
      </c>
      <c r="AA1492">
        <f>DataLog_T717420_Aug11_4_59_37pm[[#This Row],[COOLANT TEMP '[Â°C']]]-Table3[[#This Row],[5805]]</f>
        <v>0</v>
      </c>
      <c r="AB1492">
        <f>DataLog_T717420_Aug11_4_59_37pm[[#This Row],[BOOST '[BAR']]]-Table3[[#This Row],[58DD]]</f>
        <v>0</v>
      </c>
    </row>
    <row r="1493" spans="2:28" x14ac:dyDescent="0.25">
      <c r="B1493" s="2" t="s">
        <v>189</v>
      </c>
      <c r="C1493" s="2" t="s">
        <v>262</v>
      </c>
      <c r="D1493" s="2" t="s">
        <v>151</v>
      </c>
      <c r="E1493" s="2" t="s">
        <v>148</v>
      </c>
      <c r="F1493" s="2" t="s">
        <v>292</v>
      </c>
      <c r="G1493" s="2" t="s">
        <v>28</v>
      </c>
      <c r="I1493">
        <f>HEX2DEC(_0811_173439[[#This Row],[580C]])*B$4/B$5+B$6</f>
        <v>760</v>
      </c>
      <c r="J1493">
        <f>HEX2DEC(_0811_173439[[#This Row],[4402]])*C$4/C$5+C$6</f>
        <v>37</v>
      </c>
      <c r="K1493">
        <f>HEX2DEC(_0811_173439[[#This Row],[580F]])*D$4/D$5+D$6</f>
        <v>30</v>
      </c>
      <c r="L1493">
        <f>ROUND(HEX2DEC(_0811_173439[[#This Row],[58F0]])*E$4/E$5+E$6,0)</f>
        <v>70</v>
      </c>
      <c r="M1493">
        <f>ROUND(HEX2DEC(_0811_173439[[#This Row],[5805]])*F$4/F$5+F$6,0)</f>
        <v>45</v>
      </c>
      <c r="N1493">
        <f>ROUND(HEX2DEC(_0811_173439[[#This Row],[58DD]])*G$4/G$5+G$6,2)</f>
        <v>-0.02</v>
      </c>
      <c r="P1493">
        <v>760</v>
      </c>
      <c r="Q1493">
        <v>37</v>
      </c>
      <c r="R1493">
        <v>30</v>
      </c>
      <c r="S1493">
        <v>70</v>
      </c>
      <c r="T1493">
        <v>45</v>
      </c>
      <c r="U1493">
        <v>-0.02</v>
      </c>
      <c r="W1493">
        <f>DataLog_T717420_Aug11_4_59_37pm[[#This Row],[RPM '[1/MIN']]]-Table3[[#This Row],[580C]]</f>
        <v>0</v>
      </c>
      <c r="X1493">
        <f>DataLog_T717420_Aug11_4_59_37pm[[#This Row],[OIL TEMP '[Â°C']]]-Table3[[#This Row],[4402]]</f>
        <v>0</v>
      </c>
      <c r="Y1493">
        <f>DataLog_T717420_Aug11_4_59_37pm[[#This Row],[INTAKE TEMP '[Â°C']]]-Table3[[#This Row],[580F]]</f>
        <v>0</v>
      </c>
      <c r="Z1493">
        <f>DataLog_T717420_Aug11_4_59_37pm[[#This Row],[HPFP PRES. '[BAR']]]-Table3[[#This Row],[58F0]]</f>
        <v>0</v>
      </c>
      <c r="AA1493">
        <f>DataLog_T717420_Aug11_4_59_37pm[[#This Row],[COOLANT TEMP '[Â°C']]]-Table3[[#This Row],[5805]]</f>
        <v>0</v>
      </c>
      <c r="AB1493">
        <f>DataLog_T717420_Aug11_4_59_37pm[[#This Row],[BOOST '[BAR']]]-Table3[[#This Row],[58DD]]</f>
        <v>0</v>
      </c>
    </row>
    <row r="1494" spans="2:28" x14ac:dyDescent="0.25">
      <c r="B1494" s="2" t="s">
        <v>189</v>
      </c>
      <c r="C1494" s="2" t="s">
        <v>262</v>
      </c>
      <c r="D1494" s="2" t="s">
        <v>151</v>
      </c>
      <c r="E1494" s="2" t="s">
        <v>165</v>
      </c>
      <c r="F1494" s="2" t="s">
        <v>292</v>
      </c>
      <c r="G1494" s="2" t="s">
        <v>196</v>
      </c>
      <c r="I1494">
        <f>HEX2DEC(_0811_173439[[#This Row],[580C]])*B$4/B$5+B$6</f>
        <v>760</v>
      </c>
      <c r="J1494">
        <f>HEX2DEC(_0811_173439[[#This Row],[4402]])*C$4/C$5+C$6</f>
        <v>37</v>
      </c>
      <c r="K1494">
        <f>HEX2DEC(_0811_173439[[#This Row],[580F]])*D$4/D$5+D$6</f>
        <v>30</v>
      </c>
      <c r="L1494">
        <f>ROUND(HEX2DEC(_0811_173439[[#This Row],[58F0]])*E$4/E$5+E$6,0)</f>
        <v>70</v>
      </c>
      <c r="M1494">
        <f>ROUND(HEX2DEC(_0811_173439[[#This Row],[5805]])*F$4/F$5+F$6,0)</f>
        <v>45</v>
      </c>
      <c r="N1494">
        <f>ROUND(HEX2DEC(_0811_173439[[#This Row],[58DD]])*G$4/G$5+G$6,2)</f>
        <v>-0.02</v>
      </c>
      <c r="P1494">
        <v>760</v>
      </c>
      <c r="Q1494">
        <v>37</v>
      </c>
      <c r="R1494">
        <v>30</v>
      </c>
      <c r="S1494">
        <v>70</v>
      </c>
      <c r="T1494">
        <v>45</v>
      </c>
      <c r="U1494">
        <v>-0.03</v>
      </c>
      <c r="W1494">
        <f>DataLog_T717420_Aug11_4_59_37pm[[#This Row],[RPM '[1/MIN']]]-Table3[[#This Row],[580C]]</f>
        <v>0</v>
      </c>
      <c r="X1494">
        <f>DataLog_T717420_Aug11_4_59_37pm[[#This Row],[OIL TEMP '[Â°C']]]-Table3[[#This Row],[4402]]</f>
        <v>0</v>
      </c>
      <c r="Y1494">
        <f>DataLog_T717420_Aug11_4_59_37pm[[#This Row],[INTAKE TEMP '[Â°C']]]-Table3[[#This Row],[580F]]</f>
        <v>0</v>
      </c>
      <c r="Z1494">
        <f>DataLog_T717420_Aug11_4_59_37pm[[#This Row],[HPFP PRES. '[BAR']]]-Table3[[#This Row],[58F0]]</f>
        <v>0</v>
      </c>
      <c r="AA1494">
        <f>DataLog_T717420_Aug11_4_59_37pm[[#This Row],[COOLANT TEMP '[Â°C']]]-Table3[[#This Row],[5805]]</f>
        <v>0</v>
      </c>
      <c r="AB1494">
        <f>DataLog_T717420_Aug11_4_59_37pm[[#This Row],[BOOST '[BAR']]]-Table3[[#This Row],[58DD]]</f>
        <v>-9.9999999999999985E-3</v>
      </c>
    </row>
    <row r="1495" spans="2:28" x14ac:dyDescent="0.25">
      <c r="B1495" s="2" t="s">
        <v>189</v>
      </c>
      <c r="C1495" s="2" t="s">
        <v>262</v>
      </c>
      <c r="D1495" s="2" t="s">
        <v>151</v>
      </c>
      <c r="E1495" s="2" t="s">
        <v>221</v>
      </c>
      <c r="F1495" s="2" t="s">
        <v>292</v>
      </c>
      <c r="G1495" s="2" t="s">
        <v>173</v>
      </c>
      <c r="I1495">
        <f>HEX2DEC(_0811_173439[[#This Row],[580C]])*B$4/B$5+B$6</f>
        <v>760</v>
      </c>
      <c r="J1495">
        <f>HEX2DEC(_0811_173439[[#This Row],[4402]])*C$4/C$5+C$6</f>
        <v>37</v>
      </c>
      <c r="K1495">
        <f>HEX2DEC(_0811_173439[[#This Row],[580F]])*D$4/D$5+D$6</f>
        <v>30</v>
      </c>
      <c r="L1495">
        <f>ROUND(HEX2DEC(_0811_173439[[#This Row],[58F0]])*E$4/E$5+E$6,0)</f>
        <v>70</v>
      </c>
      <c r="M1495">
        <f>ROUND(HEX2DEC(_0811_173439[[#This Row],[5805]])*F$4/F$5+F$6,0)</f>
        <v>45</v>
      </c>
      <c r="N1495">
        <f>ROUND(HEX2DEC(_0811_173439[[#This Row],[58DD]])*G$4/G$5+G$6,2)</f>
        <v>-0.02</v>
      </c>
      <c r="P1495">
        <v>760</v>
      </c>
      <c r="Q1495">
        <v>37</v>
      </c>
      <c r="R1495">
        <v>30</v>
      </c>
      <c r="S1495">
        <v>70</v>
      </c>
      <c r="T1495">
        <v>45</v>
      </c>
      <c r="U1495">
        <v>-0.03</v>
      </c>
      <c r="W1495">
        <f>DataLog_T717420_Aug11_4_59_37pm[[#This Row],[RPM '[1/MIN']]]-Table3[[#This Row],[580C]]</f>
        <v>0</v>
      </c>
      <c r="X1495">
        <f>DataLog_T717420_Aug11_4_59_37pm[[#This Row],[OIL TEMP '[Â°C']]]-Table3[[#This Row],[4402]]</f>
        <v>0</v>
      </c>
      <c r="Y1495">
        <f>DataLog_T717420_Aug11_4_59_37pm[[#This Row],[INTAKE TEMP '[Â°C']]]-Table3[[#This Row],[580F]]</f>
        <v>0</v>
      </c>
      <c r="Z1495">
        <f>DataLog_T717420_Aug11_4_59_37pm[[#This Row],[HPFP PRES. '[BAR']]]-Table3[[#This Row],[58F0]]</f>
        <v>0</v>
      </c>
      <c r="AA1495">
        <f>DataLog_T717420_Aug11_4_59_37pm[[#This Row],[COOLANT TEMP '[Â°C']]]-Table3[[#This Row],[5805]]</f>
        <v>0</v>
      </c>
      <c r="AB1495">
        <f>DataLog_T717420_Aug11_4_59_37pm[[#This Row],[BOOST '[BAR']]]-Table3[[#This Row],[58DD]]</f>
        <v>-9.9999999999999985E-3</v>
      </c>
    </row>
    <row r="1496" spans="2:28" x14ac:dyDescent="0.25">
      <c r="B1496" s="2" t="s">
        <v>189</v>
      </c>
      <c r="C1496" s="2" t="s">
        <v>262</v>
      </c>
      <c r="D1496" s="2" t="s">
        <v>151</v>
      </c>
      <c r="E1496" s="2" t="s">
        <v>224</v>
      </c>
      <c r="F1496" s="2" t="s">
        <v>292</v>
      </c>
      <c r="G1496" s="2" t="s">
        <v>169</v>
      </c>
      <c r="I1496">
        <f>HEX2DEC(_0811_173439[[#This Row],[580C]])*B$4/B$5+B$6</f>
        <v>760</v>
      </c>
      <c r="J1496">
        <f>HEX2DEC(_0811_173439[[#This Row],[4402]])*C$4/C$5+C$6</f>
        <v>37</v>
      </c>
      <c r="K1496">
        <f>HEX2DEC(_0811_173439[[#This Row],[580F]])*D$4/D$5+D$6</f>
        <v>30</v>
      </c>
      <c r="L1496">
        <f>ROUND(HEX2DEC(_0811_173439[[#This Row],[58F0]])*E$4/E$5+E$6,0)</f>
        <v>69</v>
      </c>
      <c r="M1496">
        <f>ROUND(HEX2DEC(_0811_173439[[#This Row],[5805]])*F$4/F$5+F$6,0)</f>
        <v>45</v>
      </c>
      <c r="N1496">
        <f>ROUND(HEX2DEC(_0811_173439[[#This Row],[58DD]])*G$4/G$5+G$6,2)</f>
        <v>-0.02</v>
      </c>
      <c r="P1496">
        <v>760</v>
      </c>
      <c r="Q1496">
        <v>37</v>
      </c>
      <c r="R1496">
        <v>30</v>
      </c>
      <c r="S1496">
        <v>69</v>
      </c>
      <c r="T1496">
        <v>45</v>
      </c>
      <c r="U1496">
        <v>-0.02</v>
      </c>
      <c r="W1496">
        <f>DataLog_T717420_Aug11_4_59_37pm[[#This Row],[RPM '[1/MIN']]]-Table3[[#This Row],[580C]]</f>
        <v>0</v>
      </c>
      <c r="X1496">
        <f>DataLog_T717420_Aug11_4_59_37pm[[#This Row],[OIL TEMP '[Â°C']]]-Table3[[#This Row],[4402]]</f>
        <v>0</v>
      </c>
      <c r="Y1496">
        <f>DataLog_T717420_Aug11_4_59_37pm[[#This Row],[INTAKE TEMP '[Â°C']]]-Table3[[#This Row],[580F]]</f>
        <v>0</v>
      </c>
      <c r="Z1496">
        <f>DataLog_T717420_Aug11_4_59_37pm[[#This Row],[HPFP PRES. '[BAR']]]-Table3[[#This Row],[58F0]]</f>
        <v>0</v>
      </c>
      <c r="AA1496">
        <f>DataLog_T717420_Aug11_4_59_37pm[[#This Row],[COOLANT TEMP '[Â°C']]]-Table3[[#This Row],[5805]]</f>
        <v>0</v>
      </c>
      <c r="AB1496">
        <f>DataLog_T717420_Aug11_4_59_37pm[[#This Row],[BOOST '[BAR']]]-Table3[[#This Row],[58DD]]</f>
        <v>0</v>
      </c>
    </row>
    <row r="1497" spans="2:28" x14ac:dyDescent="0.25">
      <c r="B1497" s="2" t="s">
        <v>189</v>
      </c>
      <c r="C1497" s="2" t="s">
        <v>262</v>
      </c>
      <c r="D1497" s="2" t="s">
        <v>151</v>
      </c>
      <c r="E1497" s="2" t="s">
        <v>145</v>
      </c>
      <c r="F1497" s="2" t="s">
        <v>292</v>
      </c>
      <c r="G1497" s="2" t="s">
        <v>28</v>
      </c>
      <c r="I1497">
        <f>HEX2DEC(_0811_173439[[#This Row],[580C]])*B$4/B$5+B$6</f>
        <v>760</v>
      </c>
      <c r="J1497">
        <f>HEX2DEC(_0811_173439[[#This Row],[4402]])*C$4/C$5+C$6</f>
        <v>37</v>
      </c>
      <c r="K1497">
        <f>HEX2DEC(_0811_173439[[#This Row],[580F]])*D$4/D$5+D$6</f>
        <v>30</v>
      </c>
      <c r="L1497">
        <f>ROUND(HEX2DEC(_0811_173439[[#This Row],[58F0]])*E$4/E$5+E$6,0)</f>
        <v>70</v>
      </c>
      <c r="M1497">
        <f>ROUND(HEX2DEC(_0811_173439[[#This Row],[5805]])*F$4/F$5+F$6,0)</f>
        <v>45</v>
      </c>
      <c r="N1497">
        <f>ROUND(HEX2DEC(_0811_173439[[#This Row],[58DD]])*G$4/G$5+G$6,2)</f>
        <v>-0.02</v>
      </c>
      <c r="P1497">
        <v>760</v>
      </c>
      <c r="Q1497">
        <v>37</v>
      </c>
      <c r="R1497">
        <v>30</v>
      </c>
      <c r="S1497">
        <v>70</v>
      </c>
      <c r="T1497">
        <v>45</v>
      </c>
      <c r="U1497">
        <v>-0.02</v>
      </c>
      <c r="W1497">
        <f>DataLog_T717420_Aug11_4_59_37pm[[#This Row],[RPM '[1/MIN']]]-Table3[[#This Row],[580C]]</f>
        <v>0</v>
      </c>
      <c r="X1497">
        <f>DataLog_T717420_Aug11_4_59_37pm[[#This Row],[OIL TEMP '[Â°C']]]-Table3[[#This Row],[4402]]</f>
        <v>0</v>
      </c>
      <c r="Y1497">
        <f>DataLog_T717420_Aug11_4_59_37pm[[#This Row],[INTAKE TEMP '[Â°C']]]-Table3[[#This Row],[580F]]</f>
        <v>0</v>
      </c>
      <c r="Z1497">
        <f>DataLog_T717420_Aug11_4_59_37pm[[#This Row],[HPFP PRES. '[BAR']]]-Table3[[#This Row],[58F0]]</f>
        <v>0</v>
      </c>
      <c r="AA1497">
        <f>DataLog_T717420_Aug11_4_59_37pm[[#This Row],[COOLANT TEMP '[Â°C']]]-Table3[[#This Row],[5805]]</f>
        <v>0</v>
      </c>
      <c r="AB1497">
        <f>DataLog_T717420_Aug11_4_59_37pm[[#This Row],[BOOST '[BAR']]]-Table3[[#This Row],[58DD]]</f>
        <v>0</v>
      </c>
    </row>
    <row r="1498" spans="2:28" x14ac:dyDescent="0.25">
      <c r="B1498" s="2" t="s">
        <v>189</v>
      </c>
      <c r="C1498" s="2" t="s">
        <v>262</v>
      </c>
      <c r="D1498" s="2" t="s">
        <v>151</v>
      </c>
      <c r="E1498" s="2" t="s">
        <v>132</v>
      </c>
      <c r="F1498" s="2" t="s">
        <v>292</v>
      </c>
      <c r="G1498" s="2" t="s">
        <v>105</v>
      </c>
      <c r="I1498">
        <f>HEX2DEC(_0811_173439[[#This Row],[580C]])*B$4/B$5+B$6</f>
        <v>760</v>
      </c>
      <c r="J1498">
        <f>HEX2DEC(_0811_173439[[#This Row],[4402]])*C$4/C$5+C$6</f>
        <v>37</v>
      </c>
      <c r="K1498">
        <f>HEX2DEC(_0811_173439[[#This Row],[580F]])*D$4/D$5+D$6</f>
        <v>30</v>
      </c>
      <c r="L1498">
        <f>ROUND(HEX2DEC(_0811_173439[[#This Row],[58F0]])*E$4/E$5+E$6,0)</f>
        <v>70</v>
      </c>
      <c r="M1498">
        <f>ROUND(HEX2DEC(_0811_173439[[#This Row],[5805]])*F$4/F$5+F$6,0)</f>
        <v>45</v>
      </c>
      <c r="N1498">
        <f>ROUND(HEX2DEC(_0811_173439[[#This Row],[58DD]])*G$4/G$5+G$6,2)</f>
        <v>-0.02</v>
      </c>
      <c r="P1498">
        <v>760</v>
      </c>
      <c r="Q1498">
        <v>37</v>
      </c>
      <c r="R1498">
        <v>30</v>
      </c>
      <c r="S1498">
        <v>70</v>
      </c>
      <c r="T1498">
        <v>45</v>
      </c>
      <c r="U1498">
        <v>-0.02</v>
      </c>
      <c r="W1498">
        <f>DataLog_T717420_Aug11_4_59_37pm[[#This Row],[RPM '[1/MIN']]]-Table3[[#This Row],[580C]]</f>
        <v>0</v>
      </c>
      <c r="X1498">
        <f>DataLog_T717420_Aug11_4_59_37pm[[#This Row],[OIL TEMP '[Â°C']]]-Table3[[#This Row],[4402]]</f>
        <v>0</v>
      </c>
      <c r="Y1498">
        <f>DataLog_T717420_Aug11_4_59_37pm[[#This Row],[INTAKE TEMP '[Â°C']]]-Table3[[#This Row],[580F]]</f>
        <v>0</v>
      </c>
      <c r="Z1498">
        <f>DataLog_T717420_Aug11_4_59_37pm[[#This Row],[HPFP PRES. '[BAR']]]-Table3[[#This Row],[58F0]]</f>
        <v>0</v>
      </c>
      <c r="AA1498">
        <f>DataLog_T717420_Aug11_4_59_37pm[[#This Row],[COOLANT TEMP '[Â°C']]]-Table3[[#This Row],[5805]]</f>
        <v>0</v>
      </c>
      <c r="AB1498">
        <f>DataLog_T717420_Aug11_4_59_37pm[[#This Row],[BOOST '[BAR']]]-Table3[[#This Row],[58DD]]</f>
        <v>0</v>
      </c>
    </row>
    <row r="1499" spans="2:28" x14ac:dyDescent="0.25">
      <c r="B1499" s="2" t="s">
        <v>189</v>
      </c>
      <c r="C1499" s="2" t="s">
        <v>262</v>
      </c>
      <c r="D1499" s="2" t="s">
        <v>151</v>
      </c>
      <c r="E1499" s="2" t="s">
        <v>388</v>
      </c>
      <c r="F1499" s="2" t="s">
        <v>292</v>
      </c>
      <c r="G1499" s="2" t="s">
        <v>169</v>
      </c>
      <c r="I1499">
        <f>HEX2DEC(_0811_173439[[#This Row],[580C]])*B$4/B$5+B$6</f>
        <v>760</v>
      </c>
      <c r="J1499">
        <f>HEX2DEC(_0811_173439[[#This Row],[4402]])*C$4/C$5+C$6</f>
        <v>37</v>
      </c>
      <c r="K1499">
        <f>HEX2DEC(_0811_173439[[#This Row],[580F]])*D$4/D$5+D$6</f>
        <v>30</v>
      </c>
      <c r="L1499">
        <f>ROUND(HEX2DEC(_0811_173439[[#This Row],[58F0]])*E$4/E$5+E$6,0)</f>
        <v>69</v>
      </c>
      <c r="M1499">
        <f>ROUND(HEX2DEC(_0811_173439[[#This Row],[5805]])*F$4/F$5+F$6,0)</f>
        <v>45</v>
      </c>
      <c r="N1499">
        <f>ROUND(HEX2DEC(_0811_173439[[#This Row],[58DD]])*G$4/G$5+G$6,2)</f>
        <v>-0.02</v>
      </c>
      <c r="P1499">
        <v>760</v>
      </c>
      <c r="Q1499">
        <v>37</v>
      </c>
      <c r="R1499">
        <v>30</v>
      </c>
      <c r="S1499">
        <v>69</v>
      </c>
      <c r="T1499">
        <v>45</v>
      </c>
      <c r="U1499">
        <v>-0.02</v>
      </c>
      <c r="W1499">
        <f>DataLog_T717420_Aug11_4_59_37pm[[#This Row],[RPM '[1/MIN']]]-Table3[[#This Row],[580C]]</f>
        <v>0</v>
      </c>
      <c r="X1499">
        <f>DataLog_T717420_Aug11_4_59_37pm[[#This Row],[OIL TEMP '[Â°C']]]-Table3[[#This Row],[4402]]</f>
        <v>0</v>
      </c>
      <c r="Y1499">
        <f>DataLog_T717420_Aug11_4_59_37pm[[#This Row],[INTAKE TEMP '[Â°C']]]-Table3[[#This Row],[580F]]</f>
        <v>0</v>
      </c>
      <c r="Z1499">
        <f>DataLog_T717420_Aug11_4_59_37pm[[#This Row],[HPFP PRES. '[BAR']]]-Table3[[#This Row],[58F0]]</f>
        <v>0</v>
      </c>
      <c r="AA1499">
        <f>DataLog_T717420_Aug11_4_59_37pm[[#This Row],[COOLANT TEMP '[Â°C']]]-Table3[[#This Row],[5805]]</f>
        <v>0</v>
      </c>
      <c r="AB1499">
        <f>DataLog_T717420_Aug11_4_59_37pm[[#This Row],[BOOST '[BAR']]]-Table3[[#This Row],[58DD]]</f>
        <v>0</v>
      </c>
    </row>
    <row r="1500" spans="2:28" x14ac:dyDescent="0.25">
      <c r="B1500" s="2" t="s">
        <v>189</v>
      </c>
      <c r="C1500" s="2" t="s">
        <v>262</v>
      </c>
      <c r="D1500" s="2" t="s">
        <v>151</v>
      </c>
      <c r="E1500" s="2" t="s">
        <v>194</v>
      </c>
      <c r="F1500" s="2" t="s">
        <v>292</v>
      </c>
      <c r="G1500" s="2" t="s">
        <v>171</v>
      </c>
      <c r="I1500">
        <f>HEX2DEC(_0811_173439[[#This Row],[580C]])*B$4/B$5+B$6</f>
        <v>760</v>
      </c>
      <c r="J1500">
        <f>HEX2DEC(_0811_173439[[#This Row],[4402]])*C$4/C$5+C$6</f>
        <v>37</v>
      </c>
      <c r="K1500">
        <f>HEX2DEC(_0811_173439[[#This Row],[580F]])*D$4/D$5+D$6</f>
        <v>30</v>
      </c>
      <c r="L1500">
        <f>ROUND(HEX2DEC(_0811_173439[[#This Row],[58F0]])*E$4/E$5+E$6,0)</f>
        <v>70</v>
      </c>
      <c r="M1500">
        <f>ROUND(HEX2DEC(_0811_173439[[#This Row],[5805]])*F$4/F$5+F$6,0)</f>
        <v>45</v>
      </c>
      <c r="N1500">
        <f>ROUND(HEX2DEC(_0811_173439[[#This Row],[58DD]])*G$4/G$5+G$6,2)</f>
        <v>-0.03</v>
      </c>
      <c r="P1500">
        <v>760</v>
      </c>
      <c r="Q1500">
        <v>37</v>
      </c>
      <c r="R1500">
        <v>30</v>
      </c>
      <c r="S1500">
        <v>70</v>
      </c>
      <c r="T1500">
        <v>45</v>
      </c>
      <c r="U1500">
        <v>-0.03</v>
      </c>
      <c r="W1500">
        <f>DataLog_T717420_Aug11_4_59_37pm[[#This Row],[RPM '[1/MIN']]]-Table3[[#This Row],[580C]]</f>
        <v>0</v>
      </c>
      <c r="X1500">
        <f>DataLog_T717420_Aug11_4_59_37pm[[#This Row],[OIL TEMP '[Â°C']]]-Table3[[#This Row],[4402]]</f>
        <v>0</v>
      </c>
      <c r="Y1500">
        <f>DataLog_T717420_Aug11_4_59_37pm[[#This Row],[INTAKE TEMP '[Â°C']]]-Table3[[#This Row],[580F]]</f>
        <v>0</v>
      </c>
      <c r="Z1500">
        <f>DataLog_T717420_Aug11_4_59_37pm[[#This Row],[HPFP PRES. '[BAR']]]-Table3[[#This Row],[58F0]]</f>
        <v>0</v>
      </c>
      <c r="AA1500">
        <f>DataLog_T717420_Aug11_4_59_37pm[[#This Row],[COOLANT TEMP '[Â°C']]]-Table3[[#This Row],[5805]]</f>
        <v>0</v>
      </c>
      <c r="AB1500">
        <f>DataLog_T717420_Aug11_4_59_37pm[[#This Row],[BOOST '[BAR']]]-Table3[[#This Row],[58DD]]</f>
        <v>0</v>
      </c>
    </row>
    <row r="1501" spans="2:28" x14ac:dyDescent="0.25">
      <c r="B1501" s="2" t="s">
        <v>189</v>
      </c>
      <c r="C1501" s="2" t="s">
        <v>262</v>
      </c>
      <c r="D1501" s="2" t="s">
        <v>151</v>
      </c>
      <c r="E1501" s="2" t="s">
        <v>93</v>
      </c>
      <c r="F1501" s="2" t="s">
        <v>292</v>
      </c>
      <c r="G1501" s="2" t="s">
        <v>105</v>
      </c>
      <c r="I1501">
        <f>HEX2DEC(_0811_173439[[#This Row],[580C]])*B$4/B$5+B$6</f>
        <v>760</v>
      </c>
      <c r="J1501">
        <f>HEX2DEC(_0811_173439[[#This Row],[4402]])*C$4/C$5+C$6</f>
        <v>37</v>
      </c>
      <c r="K1501">
        <f>HEX2DEC(_0811_173439[[#This Row],[580F]])*D$4/D$5+D$6</f>
        <v>30</v>
      </c>
      <c r="L1501">
        <f>ROUND(HEX2DEC(_0811_173439[[#This Row],[58F0]])*E$4/E$5+E$6,0)</f>
        <v>70</v>
      </c>
      <c r="M1501">
        <f>ROUND(HEX2DEC(_0811_173439[[#This Row],[5805]])*F$4/F$5+F$6,0)</f>
        <v>45</v>
      </c>
      <c r="N1501">
        <f>ROUND(HEX2DEC(_0811_173439[[#This Row],[58DD]])*G$4/G$5+G$6,2)</f>
        <v>-0.02</v>
      </c>
      <c r="P1501">
        <v>760</v>
      </c>
      <c r="Q1501">
        <v>37</v>
      </c>
      <c r="R1501">
        <v>30</v>
      </c>
      <c r="S1501">
        <v>70</v>
      </c>
      <c r="T1501">
        <v>45</v>
      </c>
      <c r="U1501">
        <v>-0.02</v>
      </c>
      <c r="W1501">
        <f>DataLog_T717420_Aug11_4_59_37pm[[#This Row],[RPM '[1/MIN']]]-Table3[[#This Row],[580C]]</f>
        <v>0</v>
      </c>
      <c r="X1501">
        <f>DataLog_T717420_Aug11_4_59_37pm[[#This Row],[OIL TEMP '[Â°C']]]-Table3[[#This Row],[4402]]</f>
        <v>0</v>
      </c>
      <c r="Y1501">
        <f>DataLog_T717420_Aug11_4_59_37pm[[#This Row],[INTAKE TEMP '[Â°C']]]-Table3[[#This Row],[580F]]</f>
        <v>0</v>
      </c>
      <c r="Z1501">
        <f>DataLog_T717420_Aug11_4_59_37pm[[#This Row],[HPFP PRES. '[BAR']]]-Table3[[#This Row],[58F0]]</f>
        <v>0</v>
      </c>
      <c r="AA1501">
        <f>DataLog_T717420_Aug11_4_59_37pm[[#This Row],[COOLANT TEMP '[Â°C']]]-Table3[[#This Row],[5805]]</f>
        <v>0</v>
      </c>
      <c r="AB1501">
        <f>DataLog_T717420_Aug11_4_59_37pm[[#This Row],[BOOST '[BAR']]]-Table3[[#This Row],[58DD]]</f>
        <v>0</v>
      </c>
    </row>
    <row r="1502" spans="2:28" x14ac:dyDescent="0.25">
      <c r="B1502" s="2" t="s">
        <v>189</v>
      </c>
      <c r="C1502" s="2" t="s">
        <v>262</v>
      </c>
      <c r="D1502" s="2" t="s">
        <v>151</v>
      </c>
      <c r="E1502" s="2" t="s">
        <v>391</v>
      </c>
      <c r="F1502" s="2" t="s">
        <v>292</v>
      </c>
      <c r="G1502" s="2" t="s">
        <v>171</v>
      </c>
      <c r="I1502">
        <f>HEX2DEC(_0811_173439[[#This Row],[580C]])*B$4/B$5+B$6</f>
        <v>760</v>
      </c>
      <c r="J1502">
        <f>HEX2DEC(_0811_173439[[#This Row],[4402]])*C$4/C$5+C$6</f>
        <v>37</v>
      </c>
      <c r="K1502">
        <f>HEX2DEC(_0811_173439[[#This Row],[580F]])*D$4/D$5+D$6</f>
        <v>30</v>
      </c>
      <c r="L1502">
        <f>ROUND(HEX2DEC(_0811_173439[[#This Row],[58F0]])*E$4/E$5+E$6,0)</f>
        <v>70</v>
      </c>
      <c r="M1502">
        <f>ROUND(HEX2DEC(_0811_173439[[#This Row],[5805]])*F$4/F$5+F$6,0)</f>
        <v>45</v>
      </c>
      <c r="N1502">
        <f>ROUND(HEX2DEC(_0811_173439[[#This Row],[58DD]])*G$4/G$5+G$6,2)</f>
        <v>-0.03</v>
      </c>
      <c r="P1502">
        <v>760</v>
      </c>
      <c r="Q1502">
        <v>37</v>
      </c>
      <c r="R1502">
        <v>30</v>
      </c>
      <c r="S1502">
        <v>70</v>
      </c>
      <c r="T1502">
        <v>45</v>
      </c>
      <c r="U1502">
        <v>-0.03</v>
      </c>
      <c r="W1502">
        <f>DataLog_T717420_Aug11_4_59_37pm[[#This Row],[RPM '[1/MIN']]]-Table3[[#This Row],[580C]]</f>
        <v>0</v>
      </c>
      <c r="X1502">
        <f>DataLog_T717420_Aug11_4_59_37pm[[#This Row],[OIL TEMP '[Â°C']]]-Table3[[#This Row],[4402]]</f>
        <v>0</v>
      </c>
      <c r="Y1502">
        <f>DataLog_T717420_Aug11_4_59_37pm[[#This Row],[INTAKE TEMP '[Â°C']]]-Table3[[#This Row],[580F]]</f>
        <v>0</v>
      </c>
      <c r="Z1502">
        <f>DataLog_T717420_Aug11_4_59_37pm[[#This Row],[HPFP PRES. '[BAR']]]-Table3[[#This Row],[58F0]]</f>
        <v>0</v>
      </c>
      <c r="AA1502">
        <f>DataLog_T717420_Aug11_4_59_37pm[[#This Row],[COOLANT TEMP '[Â°C']]]-Table3[[#This Row],[5805]]</f>
        <v>0</v>
      </c>
      <c r="AB1502">
        <f>DataLog_T717420_Aug11_4_59_37pm[[#This Row],[BOOST '[BAR']]]-Table3[[#This Row],[58DD]]</f>
        <v>0</v>
      </c>
    </row>
    <row r="1503" spans="2:28" x14ac:dyDescent="0.25">
      <c r="B1503" s="2" t="s">
        <v>189</v>
      </c>
      <c r="C1503" s="2" t="s">
        <v>262</v>
      </c>
      <c r="D1503" s="2" t="s">
        <v>151</v>
      </c>
      <c r="E1503" s="2" t="s">
        <v>149</v>
      </c>
      <c r="F1503" s="2" t="s">
        <v>292</v>
      </c>
      <c r="G1503" s="2" t="s">
        <v>203</v>
      </c>
      <c r="I1503">
        <f>HEX2DEC(_0811_173439[[#This Row],[580C]])*B$4/B$5+B$6</f>
        <v>760</v>
      </c>
      <c r="J1503">
        <f>HEX2DEC(_0811_173439[[#This Row],[4402]])*C$4/C$5+C$6</f>
        <v>37</v>
      </c>
      <c r="K1503">
        <f>HEX2DEC(_0811_173439[[#This Row],[580F]])*D$4/D$5+D$6</f>
        <v>30</v>
      </c>
      <c r="L1503">
        <f>ROUND(HEX2DEC(_0811_173439[[#This Row],[58F0]])*E$4/E$5+E$6,0)</f>
        <v>70</v>
      </c>
      <c r="M1503">
        <f>ROUND(HEX2DEC(_0811_173439[[#This Row],[5805]])*F$4/F$5+F$6,0)</f>
        <v>45</v>
      </c>
      <c r="N1503">
        <f>ROUND(HEX2DEC(_0811_173439[[#This Row],[58DD]])*G$4/G$5+G$6,2)</f>
        <v>-0.03</v>
      </c>
      <c r="P1503">
        <v>760</v>
      </c>
      <c r="Q1503">
        <v>37</v>
      </c>
      <c r="R1503">
        <v>30</v>
      </c>
      <c r="S1503">
        <v>70</v>
      </c>
      <c r="T1503">
        <v>45</v>
      </c>
      <c r="U1503">
        <v>-0.03</v>
      </c>
      <c r="W1503">
        <f>DataLog_T717420_Aug11_4_59_37pm[[#This Row],[RPM '[1/MIN']]]-Table3[[#This Row],[580C]]</f>
        <v>0</v>
      </c>
      <c r="X1503">
        <f>DataLog_T717420_Aug11_4_59_37pm[[#This Row],[OIL TEMP '[Â°C']]]-Table3[[#This Row],[4402]]</f>
        <v>0</v>
      </c>
      <c r="Y1503">
        <f>DataLog_T717420_Aug11_4_59_37pm[[#This Row],[INTAKE TEMP '[Â°C']]]-Table3[[#This Row],[580F]]</f>
        <v>0</v>
      </c>
      <c r="Z1503">
        <f>DataLog_T717420_Aug11_4_59_37pm[[#This Row],[HPFP PRES. '[BAR']]]-Table3[[#This Row],[58F0]]</f>
        <v>0</v>
      </c>
      <c r="AA1503">
        <f>DataLog_T717420_Aug11_4_59_37pm[[#This Row],[COOLANT TEMP '[Â°C']]]-Table3[[#This Row],[5805]]</f>
        <v>0</v>
      </c>
      <c r="AB1503">
        <f>DataLog_T717420_Aug11_4_59_37pm[[#This Row],[BOOST '[BAR']]]-Table3[[#This Row],[58DD]]</f>
        <v>0</v>
      </c>
    </row>
    <row r="1504" spans="2:28" x14ac:dyDescent="0.25">
      <c r="B1504" s="2" t="s">
        <v>189</v>
      </c>
      <c r="C1504" s="2" t="s">
        <v>262</v>
      </c>
      <c r="D1504" s="2" t="s">
        <v>151</v>
      </c>
      <c r="E1504" s="2" t="s">
        <v>150</v>
      </c>
      <c r="F1504" s="2" t="s">
        <v>292</v>
      </c>
      <c r="G1504" s="2" t="s">
        <v>102</v>
      </c>
      <c r="I1504">
        <f>HEX2DEC(_0811_173439[[#This Row],[580C]])*B$4/B$5+B$6</f>
        <v>760</v>
      </c>
      <c r="J1504">
        <f>HEX2DEC(_0811_173439[[#This Row],[4402]])*C$4/C$5+C$6</f>
        <v>37</v>
      </c>
      <c r="K1504">
        <f>HEX2DEC(_0811_173439[[#This Row],[580F]])*D$4/D$5+D$6</f>
        <v>30</v>
      </c>
      <c r="L1504">
        <f>ROUND(HEX2DEC(_0811_173439[[#This Row],[58F0]])*E$4/E$5+E$6,0)</f>
        <v>70</v>
      </c>
      <c r="M1504">
        <f>ROUND(HEX2DEC(_0811_173439[[#This Row],[5805]])*F$4/F$5+F$6,0)</f>
        <v>45</v>
      </c>
      <c r="N1504">
        <f>ROUND(HEX2DEC(_0811_173439[[#This Row],[58DD]])*G$4/G$5+G$6,2)</f>
        <v>-0.03</v>
      </c>
      <c r="P1504">
        <v>760</v>
      </c>
      <c r="Q1504">
        <v>37</v>
      </c>
      <c r="R1504">
        <v>30</v>
      </c>
      <c r="S1504">
        <v>70</v>
      </c>
      <c r="T1504">
        <v>45</v>
      </c>
      <c r="U1504">
        <v>-0.03</v>
      </c>
      <c r="W1504">
        <f>DataLog_T717420_Aug11_4_59_37pm[[#This Row],[RPM '[1/MIN']]]-Table3[[#This Row],[580C]]</f>
        <v>0</v>
      </c>
      <c r="X1504">
        <f>DataLog_T717420_Aug11_4_59_37pm[[#This Row],[OIL TEMP '[Â°C']]]-Table3[[#This Row],[4402]]</f>
        <v>0</v>
      </c>
      <c r="Y1504">
        <f>DataLog_T717420_Aug11_4_59_37pm[[#This Row],[INTAKE TEMP '[Â°C']]]-Table3[[#This Row],[580F]]</f>
        <v>0</v>
      </c>
      <c r="Z1504">
        <f>DataLog_T717420_Aug11_4_59_37pm[[#This Row],[HPFP PRES. '[BAR']]]-Table3[[#This Row],[58F0]]</f>
        <v>0</v>
      </c>
      <c r="AA1504">
        <f>DataLog_T717420_Aug11_4_59_37pm[[#This Row],[COOLANT TEMP '[Â°C']]]-Table3[[#This Row],[5805]]</f>
        <v>0</v>
      </c>
      <c r="AB1504">
        <f>DataLog_T717420_Aug11_4_59_37pm[[#This Row],[BOOST '[BAR']]]-Table3[[#This Row],[58DD]]</f>
        <v>0</v>
      </c>
    </row>
    <row r="1505" spans="2:28" x14ac:dyDescent="0.25">
      <c r="B1505" s="2" t="s">
        <v>189</v>
      </c>
      <c r="C1505" s="2" t="s">
        <v>262</v>
      </c>
      <c r="D1505" s="2" t="s">
        <v>151</v>
      </c>
      <c r="E1505" s="2" t="s">
        <v>150</v>
      </c>
      <c r="F1505" s="2" t="s">
        <v>292</v>
      </c>
      <c r="G1505" s="2" t="s">
        <v>211</v>
      </c>
      <c r="I1505">
        <f>HEX2DEC(_0811_173439[[#This Row],[580C]])*B$4/B$5+B$6</f>
        <v>760</v>
      </c>
      <c r="J1505">
        <f>HEX2DEC(_0811_173439[[#This Row],[4402]])*C$4/C$5+C$6</f>
        <v>37</v>
      </c>
      <c r="K1505">
        <f>HEX2DEC(_0811_173439[[#This Row],[580F]])*D$4/D$5+D$6</f>
        <v>30</v>
      </c>
      <c r="L1505">
        <f>ROUND(HEX2DEC(_0811_173439[[#This Row],[58F0]])*E$4/E$5+E$6,0)</f>
        <v>70</v>
      </c>
      <c r="M1505">
        <f>ROUND(HEX2DEC(_0811_173439[[#This Row],[5805]])*F$4/F$5+F$6,0)</f>
        <v>45</v>
      </c>
      <c r="N1505">
        <f>ROUND(HEX2DEC(_0811_173439[[#This Row],[58DD]])*G$4/G$5+G$6,2)</f>
        <v>-0.03</v>
      </c>
      <c r="P1505">
        <v>760</v>
      </c>
      <c r="Q1505">
        <v>37</v>
      </c>
      <c r="R1505">
        <v>30</v>
      </c>
      <c r="S1505">
        <v>70</v>
      </c>
      <c r="T1505">
        <v>45</v>
      </c>
      <c r="U1505">
        <v>-0.03</v>
      </c>
      <c r="W1505">
        <f>DataLog_T717420_Aug11_4_59_37pm[[#This Row],[RPM '[1/MIN']]]-Table3[[#This Row],[580C]]</f>
        <v>0</v>
      </c>
      <c r="X1505">
        <f>DataLog_T717420_Aug11_4_59_37pm[[#This Row],[OIL TEMP '[Â°C']]]-Table3[[#This Row],[4402]]</f>
        <v>0</v>
      </c>
      <c r="Y1505">
        <f>DataLog_T717420_Aug11_4_59_37pm[[#This Row],[INTAKE TEMP '[Â°C']]]-Table3[[#This Row],[580F]]</f>
        <v>0</v>
      </c>
      <c r="Z1505">
        <f>DataLog_T717420_Aug11_4_59_37pm[[#This Row],[HPFP PRES. '[BAR']]]-Table3[[#This Row],[58F0]]</f>
        <v>0</v>
      </c>
      <c r="AA1505">
        <f>DataLog_T717420_Aug11_4_59_37pm[[#This Row],[COOLANT TEMP '[Â°C']]]-Table3[[#This Row],[5805]]</f>
        <v>0</v>
      </c>
      <c r="AB1505">
        <f>DataLog_T717420_Aug11_4_59_37pm[[#This Row],[BOOST '[BAR']]]-Table3[[#This Row],[58DD]]</f>
        <v>0</v>
      </c>
    </row>
    <row r="1506" spans="2:28" x14ac:dyDescent="0.25">
      <c r="B1506" s="2" t="s">
        <v>189</v>
      </c>
      <c r="C1506" s="2" t="s">
        <v>262</v>
      </c>
      <c r="D1506" s="2" t="s">
        <v>151</v>
      </c>
      <c r="E1506" s="2" t="s">
        <v>158</v>
      </c>
      <c r="F1506" s="2" t="s">
        <v>292</v>
      </c>
      <c r="G1506" s="2" t="s">
        <v>53</v>
      </c>
      <c r="I1506">
        <f>HEX2DEC(_0811_173439[[#This Row],[580C]])*B$4/B$5+B$6</f>
        <v>760</v>
      </c>
      <c r="J1506">
        <f>HEX2DEC(_0811_173439[[#This Row],[4402]])*C$4/C$5+C$6</f>
        <v>37</v>
      </c>
      <c r="K1506">
        <f>HEX2DEC(_0811_173439[[#This Row],[580F]])*D$4/D$5+D$6</f>
        <v>30</v>
      </c>
      <c r="L1506">
        <f>ROUND(HEX2DEC(_0811_173439[[#This Row],[58F0]])*E$4/E$5+E$6,0)</f>
        <v>70</v>
      </c>
      <c r="M1506">
        <f>ROUND(HEX2DEC(_0811_173439[[#This Row],[5805]])*F$4/F$5+F$6,0)</f>
        <v>45</v>
      </c>
      <c r="N1506">
        <f>ROUND(HEX2DEC(_0811_173439[[#This Row],[58DD]])*G$4/G$5+G$6,2)</f>
        <v>-0.03</v>
      </c>
      <c r="P1506">
        <v>760</v>
      </c>
      <c r="Q1506">
        <v>37</v>
      </c>
      <c r="R1506">
        <v>30</v>
      </c>
      <c r="S1506">
        <v>70</v>
      </c>
      <c r="T1506">
        <v>45</v>
      </c>
      <c r="U1506">
        <v>-0.03</v>
      </c>
      <c r="W1506">
        <f>DataLog_T717420_Aug11_4_59_37pm[[#This Row],[RPM '[1/MIN']]]-Table3[[#This Row],[580C]]</f>
        <v>0</v>
      </c>
      <c r="X1506">
        <f>DataLog_T717420_Aug11_4_59_37pm[[#This Row],[OIL TEMP '[Â°C']]]-Table3[[#This Row],[4402]]</f>
        <v>0</v>
      </c>
      <c r="Y1506">
        <f>DataLog_T717420_Aug11_4_59_37pm[[#This Row],[INTAKE TEMP '[Â°C']]]-Table3[[#This Row],[580F]]</f>
        <v>0</v>
      </c>
      <c r="Z1506">
        <f>DataLog_T717420_Aug11_4_59_37pm[[#This Row],[HPFP PRES. '[BAR']]]-Table3[[#This Row],[58F0]]</f>
        <v>0</v>
      </c>
      <c r="AA1506">
        <f>DataLog_T717420_Aug11_4_59_37pm[[#This Row],[COOLANT TEMP '[Â°C']]]-Table3[[#This Row],[5805]]</f>
        <v>0</v>
      </c>
      <c r="AB1506">
        <f>DataLog_T717420_Aug11_4_59_37pm[[#This Row],[BOOST '[BAR']]]-Table3[[#This Row],[58DD]]</f>
        <v>0</v>
      </c>
    </row>
    <row r="1507" spans="2:28" x14ac:dyDescent="0.25">
      <c r="B1507" s="2" t="s">
        <v>189</v>
      </c>
      <c r="C1507" s="2" t="s">
        <v>262</v>
      </c>
      <c r="D1507" s="2" t="s">
        <v>151</v>
      </c>
      <c r="E1507" s="2" t="s">
        <v>127</v>
      </c>
      <c r="F1507" s="2" t="s">
        <v>292</v>
      </c>
      <c r="G1507" s="2" t="s">
        <v>192</v>
      </c>
      <c r="I1507">
        <f>HEX2DEC(_0811_173439[[#This Row],[580C]])*B$4/B$5+B$6</f>
        <v>760</v>
      </c>
      <c r="J1507">
        <f>HEX2DEC(_0811_173439[[#This Row],[4402]])*C$4/C$5+C$6</f>
        <v>37</v>
      </c>
      <c r="K1507">
        <f>HEX2DEC(_0811_173439[[#This Row],[580F]])*D$4/D$5+D$6</f>
        <v>30</v>
      </c>
      <c r="L1507">
        <f>ROUND(HEX2DEC(_0811_173439[[#This Row],[58F0]])*E$4/E$5+E$6,0)</f>
        <v>70</v>
      </c>
      <c r="M1507">
        <f>ROUND(HEX2DEC(_0811_173439[[#This Row],[5805]])*F$4/F$5+F$6,0)</f>
        <v>45</v>
      </c>
      <c r="N1507">
        <f>ROUND(HEX2DEC(_0811_173439[[#This Row],[58DD]])*G$4/G$5+G$6,2)</f>
        <v>-0.03</v>
      </c>
      <c r="P1507">
        <v>760</v>
      </c>
      <c r="Q1507">
        <v>37</v>
      </c>
      <c r="R1507">
        <v>30</v>
      </c>
      <c r="S1507">
        <v>70</v>
      </c>
      <c r="T1507">
        <v>45</v>
      </c>
      <c r="U1507">
        <v>-0.03</v>
      </c>
      <c r="W1507">
        <f>DataLog_T717420_Aug11_4_59_37pm[[#This Row],[RPM '[1/MIN']]]-Table3[[#This Row],[580C]]</f>
        <v>0</v>
      </c>
      <c r="X1507">
        <f>DataLog_T717420_Aug11_4_59_37pm[[#This Row],[OIL TEMP '[Â°C']]]-Table3[[#This Row],[4402]]</f>
        <v>0</v>
      </c>
      <c r="Y1507">
        <f>DataLog_T717420_Aug11_4_59_37pm[[#This Row],[INTAKE TEMP '[Â°C']]]-Table3[[#This Row],[580F]]</f>
        <v>0</v>
      </c>
      <c r="Z1507">
        <f>DataLog_T717420_Aug11_4_59_37pm[[#This Row],[HPFP PRES. '[BAR']]]-Table3[[#This Row],[58F0]]</f>
        <v>0</v>
      </c>
      <c r="AA1507">
        <f>DataLog_T717420_Aug11_4_59_37pm[[#This Row],[COOLANT TEMP '[Â°C']]]-Table3[[#This Row],[5805]]</f>
        <v>0</v>
      </c>
      <c r="AB1507">
        <f>DataLog_T717420_Aug11_4_59_37pm[[#This Row],[BOOST '[BAR']]]-Table3[[#This Row],[58DD]]</f>
        <v>0</v>
      </c>
    </row>
    <row r="1508" spans="2:28" x14ac:dyDescent="0.25">
      <c r="B1508" s="2" t="s">
        <v>189</v>
      </c>
      <c r="C1508" s="2" t="s">
        <v>262</v>
      </c>
      <c r="D1508" s="2" t="s">
        <v>151</v>
      </c>
      <c r="E1508" s="2" t="s">
        <v>165</v>
      </c>
      <c r="F1508" s="2" t="s">
        <v>292</v>
      </c>
      <c r="G1508" s="2" t="s">
        <v>203</v>
      </c>
      <c r="I1508">
        <f>HEX2DEC(_0811_173439[[#This Row],[580C]])*B$4/B$5+B$6</f>
        <v>760</v>
      </c>
      <c r="J1508">
        <f>HEX2DEC(_0811_173439[[#This Row],[4402]])*C$4/C$5+C$6</f>
        <v>37</v>
      </c>
      <c r="K1508">
        <f>HEX2DEC(_0811_173439[[#This Row],[580F]])*D$4/D$5+D$6</f>
        <v>30</v>
      </c>
      <c r="L1508">
        <f>ROUND(HEX2DEC(_0811_173439[[#This Row],[58F0]])*E$4/E$5+E$6,0)</f>
        <v>70</v>
      </c>
      <c r="M1508">
        <f>ROUND(HEX2DEC(_0811_173439[[#This Row],[5805]])*F$4/F$5+F$6,0)</f>
        <v>45</v>
      </c>
      <c r="N1508">
        <f>ROUND(HEX2DEC(_0811_173439[[#This Row],[58DD]])*G$4/G$5+G$6,2)</f>
        <v>-0.03</v>
      </c>
      <c r="P1508">
        <v>760</v>
      </c>
      <c r="Q1508">
        <v>37</v>
      </c>
      <c r="R1508">
        <v>30</v>
      </c>
      <c r="S1508">
        <v>70</v>
      </c>
      <c r="T1508">
        <v>45</v>
      </c>
      <c r="U1508">
        <v>-0.03</v>
      </c>
      <c r="W1508">
        <f>DataLog_T717420_Aug11_4_59_37pm[[#This Row],[RPM '[1/MIN']]]-Table3[[#This Row],[580C]]</f>
        <v>0</v>
      </c>
      <c r="X1508">
        <f>DataLog_T717420_Aug11_4_59_37pm[[#This Row],[OIL TEMP '[Â°C']]]-Table3[[#This Row],[4402]]</f>
        <v>0</v>
      </c>
      <c r="Y1508">
        <f>DataLog_T717420_Aug11_4_59_37pm[[#This Row],[INTAKE TEMP '[Â°C']]]-Table3[[#This Row],[580F]]</f>
        <v>0</v>
      </c>
      <c r="Z1508">
        <f>DataLog_T717420_Aug11_4_59_37pm[[#This Row],[HPFP PRES. '[BAR']]]-Table3[[#This Row],[58F0]]</f>
        <v>0</v>
      </c>
      <c r="AA1508">
        <f>DataLog_T717420_Aug11_4_59_37pm[[#This Row],[COOLANT TEMP '[Â°C']]]-Table3[[#This Row],[5805]]</f>
        <v>0</v>
      </c>
      <c r="AB1508">
        <f>DataLog_T717420_Aug11_4_59_37pm[[#This Row],[BOOST '[BAR']]]-Table3[[#This Row],[58DD]]</f>
        <v>0</v>
      </c>
    </row>
    <row r="1509" spans="2:28" x14ac:dyDescent="0.25">
      <c r="B1509" s="2" t="s">
        <v>189</v>
      </c>
      <c r="C1509" s="2" t="s">
        <v>262</v>
      </c>
      <c r="D1509" s="2" t="s">
        <v>151</v>
      </c>
      <c r="E1509" s="2" t="s">
        <v>392</v>
      </c>
      <c r="F1509" s="2" t="s">
        <v>292</v>
      </c>
      <c r="G1509" s="2" t="s">
        <v>191</v>
      </c>
      <c r="I1509">
        <f>HEX2DEC(_0811_173439[[#This Row],[580C]])*B$4/B$5+B$6</f>
        <v>760</v>
      </c>
      <c r="J1509">
        <f>HEX2DEC(_0811_173439[[#This Row],[4402]])*C$4/C$5+C$6</f>
        <v>37</v>
      </c>
      <c r="K1509">
        <f>HEX2DEC(_0811_173439[[#This Row],[580F]])*D$4/D$5+D$6</f>
        <v>30</v>
      </c>
      <c r="L1509">
        <f>ROUND(HEX2DEC(_0811_173439[[#This Row],[58F0]])*E$4/E$5+E$6,0)</f>
        <v>70</v>
      </c>
      <c r="M1509">
        <f>ROUND(HEX2DEC(_0811_173439[[#This Row],[5805]])*F$4/F$5+F$6,0)</f>
        <v>45</v>
      </c>
      <c r="N1509">
        <f>ROUND(HEX2DEC(_0811_173439[[#This Row],[58DD]])*G$4/G$5+G$6,2)</f>
        <v>-0.03</v>
      </c>
      <c r="P1509">
        <v>760</v>
      </c>
      <c r="Q1509">
        <v>37</v>
      </c>
      <c r="R1509">
        <v>30</v>
      </c>
      <c r="S1509">
        <v>70</v>
      </c>
      <c r="T1509">
        <v>45</v>
      </c>
      <c r="U1509">
        <v>-0.03</v>
      </c>
      <c r="W1509">
        <f>DataLog_T717420_Aug11_4_59_37pm[[#This Row],[RPM '[1/MIN']]]-Table3[[#This Row],[580C]]</f>
        <v>0</v>
      </c>
      <c r="X1509">
        <f>DataLog_T717420_Aug11_4_59_37pm[[#This Row],[OIL TEMP '[Â°C']]]-Table3[[#This Row],[4402]]</f>
        <v>0</v>
      </c>
      <c r="Y1509">
        <f>DataLog_T717420_Aug11_4_59_37pm[[#This Row],[INTAKE TEMP '[Â°C']]]-Table3[[#This Row],[580F]]</f>
        <v>0</v>
      </c>
      <c r="Z1509">
        <f>DataLog_T717420_Aug11_4_59_37pm[[#This Row],[HPFP PRES. '[BAR']]]-Table3[[#This Row],[58F0]]</f>
        <v>0</v>
      </c>
      <c r="AA1509">
        <f>DataLog_T717420_Aug11_4_59_37pm[[#This Row],[COOLANT TEMP '[Â°C']]]-Table3[[#This Row],[5805]]</f>
        <v>0</v>
      </c>
      <c r="AB1509">
        <f>DataLog_T717420_Aug11_4_59_37pm[[#This Row],[BOOST '[BAR']]]-Table3[[#This Row],[58DD]]</f>
        <v>0</v>
      </c>
    </row>
    <row r="1510" spans="2:28" x14ac:dyDescent="0.25">
      <c r="B1510" s="2" t="s">
        <v>189</v>
      </c>
      <c r="C1510" s="2" t="s">
        <v>262</v>
      </c>
      <c r="D1510" s="2" t="s">
        <v>151</v>
      </c>
      <c r="E1510" s="2" t="s">
        <v>127</v>
      </c>
      <c r="F1510" s="2" t="s">
        <v>292</v>
      </c>
      <c r="G1510" s="2" t="s">
        <v>192</v>
      </c>
      <c r="I1510">
        <f>HEX2DEC(_0811_173439[[#This Row],[580C]])*B$4/B$5+B$6</f>
        <v>760</v>
      </c>
      <c r="J1510">
        <f>HEX2DEC(_0811_173439[[#This Row],[4402]])*C$4/C$5+C$6</f>
        <v>37</v>
      </c>
      <c r="K1510">
        <f>HEX2DEC(_0811_173439[[#This Row],[580F]])*D$4/D$5+D$6</f>
        <v>30</v>
      </c>
      <c r="L1510">
        <f>ROUND(HEX2DEC(_0811_173439[[#This Row],[58F0]])*E$4/E$5+E$6,0)</f>
        <v>70</v>
      </c>
      <c r="M1510">
        <f>ROUND(HEX2DEC(_0811_173439[[#This Row],[5805]])*F$4/F$5+F$6,0)</f>
        <v>45</v>
      </c>
      <c r="N1510">
        <f>ROUND(HEX2DEC(_0811_173439[[#This Row],[58DD]])*G$4/G$5+G$6,2)</f>
        <v>-0.03</v>
      </c>
      <c r="P1510">
        <v>760</v>
      </c>
      <c r="Q1510">
        <v>37</v>
      </c>
      <c r="R1510">
        <v>30</v>
      </c>
      <c r="S1510">
        <v>70</v>
      </c>
      <c r="T1510">
        <v>45</v>
      </c>
      <c r="U1510">
        <v>-0.03</v>
      </c>
      <c r="W1510">
        <f>DataLog_T717420_Aug11_4_59_37pm[[#This Row],[RPM '[1/MIN']]]-Table3[[#This Row],[580C]]</f>
        <v>0</v>
      </c>
      <c r="X1510">
        <f>DataLog_T717420_Aug11_4_59_37pm[[#This Row],[OIL TEMP '[Â°C']]]-Table3[[#This Row],[4402]]</f>
        <v>0</v>
      </c>
      <c r="Y1510">
        <f>DataLog_T717420_Aug11_4_59_37pm[[#This Row],[INTAKE TEMP '[Â°C']]]-Table3[[#This Row],[580F]]</f>
        <v>0</v>
      </c>
      <c r="Z1510">
        <f>DataLog_T717420_Aug11_4_59_37pm[[#This Row],[HPFP PRES. '[BAR']]]-Table3[[#This Row],[58F0]]</f>
        <v>0</v>
      </c>
      <c r="AA1510">
        <f>DataLog_T717420_Aug11_4_59_37pm[[#This Row],[COOLANT TEMP '[Â°C']]]-Table3[[#This Row],[5805]]</f>
        <v>0</v>
      </c>
      <c r="AB1510">
        <f>DataLog_T717420_Aug11_4_59_37pm[[#This Row],[BOOST '[BAR']]]-Table3[[#This Row],[58DD]]</f>
        <v>0</v>
      </c>
    </row>
    <row r="1511" spans="2:28" x14ac:dyDescent="0.25">
      <c r="B1511" s="2" t="s">
        <v>189</v>
      </c>
      <c r="C1511" s="2" t="s">
        <v>262</v>
      </c>
      <c r="D1511" s="2" t="s">
        <v>151</v>
      </c>
      <c r="E1511" s="2" t="s">
        <v>93</v>
      </c>
      <c r="F1511" s="2" t="s">
        <v>292</v>
      </c>
      <c r="G1511" s="2" t="s">
        <v>180</v>
      </c>
      <c r="I1511">
        <f>HEX2DEC(_0811_173439[[#This Row],[580C]])*B$4/B$5+B$6</f>
        <v>760</v>
      </c>
      <c r="J1511">
        <f>HEX2DEC(_0811_173439[[#This Row],[4402]])*C$4/C$5+C$6</f>
        <v>37</v>
      </c>
      <c r="K1511">
        <f>HEX2DEC(_0811_173439[[#This Row],[580F]])*D$4/D$5+D$6</f>
        <v>30</v>
      </c>
      <c r="L1511">
        <f>ROUND(HEX2DEC(_0811_173439[[#This Row],[58F0]])*E$4/E$5+E$6,0)</f>
        <v>70</v>
      </c>
      <c r="M1511">
        <f>ROUND(HEX2DEC(_0811_173439[[#This Row],[5805]])*F$4/F$5+F$6,0)</f>
        <v>45</v>
      </c>
      <c r="N1511">
        <f>ROUND(HEX2DEC(_0811_173439[[#This Row],[58DD]])*G$4/G$5+G$6,2)</f>
        <v>-0.03</v>
      </c>
      <c r="P1511">
        <v>760</v>
      </c>
      <c r="Q1511">
        <v>37</v>
      </c>
      <c r="R1511">
        <v>30</v>
      </c>
      <c r="S1511">
        <v>70</v>
      </c>
      <c r="T1511">
        <v>45</v>
      </c>
      <c r="U1511">
        <v>-0.03</v>
      </c>
      <c r="W1511">
        <f>DataLog_T717420_Aug11_4_59_37pm[[#This Row],[RPM '[1/MIN']]]-Table3[[#This Row],[580C]]</f>
        <v>0</v>
      </c>
      <c r="X1511">
        <f>DataLog_T717420_Aug11_4_59_37pm[[#This Row],[OIL TEMP '[Â°C']]]-Table3[[#This Row],[4402]]</f>
        <v>0</v>
      </c>
      <c r="Y1511">
        <f>DataLog_T717420_Aug11_4_59_37pm[[#This Row],[INTAKE TEMP '[Â°C']]]-Table3[[#This Row],[580F]]</f>
        <v>0</v>
      </c>
      <c r="Z1511">
        <f>DataLog_T717420_Aug11_4_59_37pm[[#This Row],[HPFP PRES. '[BAR']]]-Table3[[#This Row],[58F0]]</f>
        <v>0</v>
      </c>
      <c r="AA1511">
        <f>DataLog_T717420_Aug11_4_59_37pm[[#This Row],[COOLANT TEMP '[Â°C']]]-Table3[[#This Row],[5805]]</f>
        <v>0</v>
      </c>
      <c r="AB1511">
        <f>DataLog_T717420_Aug11_4_59_37pm[[#This Row],[BOOST '[BAR']]]-Table3[[#This Row],[58DD]]</f>
        <v>0</v>
      </c>
    </row>
    <row r="1512" spans="2:28" x14ac:dyDescent="0.25">
      <c r="B1512" s="2" t="s">
        <v>189</v>
      </c>
      <c r="C1512" s="2" t="s">
        <v>262</v>
      </c>
      <c r="D1512" s="2" t="s">
        <v>151</v>
      </c>
      <c r="E1512" s="2" t="s">
        <v>147</v>
      </c>
      <c r="F1512" s="2" t="s">
        <v>292</v>
      </c>
      <c r="G1512" s="2" t="s">
        <v>191</v>
      </c>
      <c r="I1512">
        <f>HEX2DEC(_0811_173439[[#This Row],[580C]])*B$4/B$5+B$6</f>
        <v>760</v>
      </c>
      <c r="J1512">
        <f>HEX2DEC(_0811_173439[[#This Row],[4402]])*C$4/C$5+C$6</f>
        <v>37</v>
      </c>
      <c r="K1512">
        <f>HEX2DEC(_0811_173439[[#This Row],[580F]])*D$4/D$5+D$6</f>
        <v>30</v>
      </c>
      <c r="L1512">
        <f>ROUND(HEX2DEC(_0811_173439[[#This Row],[58F0]])*E$4/E$5+E$6,0)</f>
        <v>71</v>
      </c>
      <c r="M1512">
        <f>ROUND(HEX2DEC(_0811_173439[[#This Row],[5805]])*F$4/F$5+F$6,0)</f>
        <v>45</v>
      </c>
      <c r="N1512">
        <f>ROUND(HEX2DEC(_0811_173439[[#This Row],[58DD]])*G$4/G$5+G$6,2)</f>
        <v>-0.03</v>
      </c>
      <c r="P1512">
        <v>760</v>
      </c>
      <c r="Q1512">
        <v>37</v>
      </c>
      <c r="R1512">
        <v>30</v>
      </c>
      <c r="S1512">
        <v>71</v>
      </c>
      <c r="T1512">
        <v>45</v>
      </c>
      <c r="U1512">
        <v>-0.03</v>
      </c>
      <c r="W1512">
        <f>DataLog_T717420_Aug11_4_59_37pm[[#This Row],[RPM '[1/MIN']]]-Table3[[#This Row],[580C]]</f>
        <v>0</v>
      </c>
      <c r="X1512">
        <f>DataLog_T717420_Aug11_4_59_37pm[[#This Row],[OIL TEMP '[Â°C']]]-Table3[[#This Row],[4402]]</f>
        <v>0</v>
      </c>
      <c r="Y1512">
        <f>DataLog_T717420_Aug11_4_59_37pm[[#This Row],[INTAKE TEMP '[Â°C']]]-Table3[[#This Row],[580F]]</f>
        <v>0</v>
      </c>
      <c r="Z1512">
        <f>DataLog_T717420_Aug11_4_59_37pm[[#This Row],[HPFP PRES. '[BAR']]]-Table3[[#This Row],[58F0]]</f>
        <v>0</v>
      </c>
      <c r="AA1512">
        <f>DataLog_T717420_Aug11_4_59_37pm[[#This Row],[COOLANT TEMP '[Â°C']]]-Table3[[#This Row],[5805]]</f>
        <v>0</v>
      </c>
      <c r="AB1512">
        <f>DataLog_T717420_Aug11_4_59_37pm[[#This Row],[BOOST '[BAR']]]-Table3[[#This Row],[58DD]]</f>
        <v>0</v>
      </c>
    </row>
    <row r="1513" spans="2:28" x14ac:dyDescent="0.25">
      <c r="B1513" s="2" t="s">
        <v>189</v>
      </c>
      <c r="C1513" s="2" t="s">
        <v>262</v>
      </c>
      <c r="D1513" s="2" t="s">
        <v>151</v>
      </c>
      <c r="E1513" s="2" t="s">
        <v>93</v>
      </c>
      <c r="F1513" s="2" t="s">
        <v>292</v>
      </c>
      <c r="G1513" s="2" t="s">
        <v>187</v>
      </c>
      <c r="I1513">
        <f>HEX2DEC(_0811_173439[[#This Row],[580C]])*B$4/B$5+B$6</f>
        <v>760</v>
      </c>
      <c r="J1513">
        <f>HEX2DEC(_0811_173439[[#This Row],[4402]])*C$4/C$5+C$6</f>
        <v>37</v>
      </c>
      <c r="K1513">
        <f>HEX2DEC(_0811_173439[[#This Row],[580F]])*D$4/D$5+D$6</f>
        <v>30</v>
      </c>
      <c r="L1513">
        <f>ROUND(HEX2DEC(_0811_173439[[#This Row],[58F0]])*E$4/E$5+E$6,0)</f>
        <v>70</v>
      </c>
      <c r="M1513">
        <f>ROUND(HEX2DEC(_0811_173439[[#This Row],[5805]])*F$4/F$5+F$6,0)</f>
        <v>45</v>
      </c>
      <c r="N1513">
        <f>ROUND(HEX2DEC(_0811_173439[[#This Row],[58DD]])*G$4/G$5+G$6,2)</f>
        <v>-0.03</v>
      </c>
      <c r="P1513">
        <v>760</v>
      </c>
      <c r="Q1513">
        <v>37</v>
      </c>
      <c r="R1513">
        <v>30</v>
      </c>
      <c r="S1513">
        <v>70</v>
      </c>
      <c r="T1513">
        <v>45</v>
      </c>
      <c r="U1513">
        <v>-0.03</v>
      </c>
      <c r="W1513">
        <f>DataLog_T717420_Aug11_4_59_37pm[[#This Row],[RPM '[1/MIN']]]-Table3[[#This Row],[580C]]</f>
        <v>0</v>
      </c>
      <c r="X1513">
        <f>DataLog_T717420_Aug11_4_59_37pm[[#This Row],[OIL TEMP '[Â°C']]]-Table3[[#This Row],[4402]]</f>
        <v>0</v>
      </c>
      <c r="Y1513">
        <f>DataLog_T717420_Aug11_4_59_37pm[[#This Row],[INTAKE TEMP '[Â°C']]]-Table3[[#This Row],[580F]]</f>
        <v>0</v>
      </c>
      <c r="Z1513">
        <f>DataLog_T717420_Aug11_4_59_37pm[[#This Row],[HPFP PRES. '[BAR']]]-Table3[[#This Row],[58F0]]</f>
        <v>0</v>
      </c>
      <c r="AA1513">
        <f>DataLog_T717420_Aug11_4_59_37pm[[#This Row],[COOLANT TEMP '[Â°C']]]-Table3[[#This Row],[5805]]</f>
        <v>0</v>
      </c>
      <c r="AB1513">
        <f>DataLog_T717420_Aug11_4_59_37pm[[#This Row],[BOOST '[BAR']]]-Table3[[#This Row],[58DD]]</f>
        <v>0</v>
      </c>
    </row>
    <row r="1514" spans="2:28" x14ac:dyDescent="0.25">
      <c r="B1514" s="2" t="s">
        <v>189</v>
      </c>
      <c r="C1514" s="2" t="s">
        <v>262</v>
      </c>
      <c r="D1514" s="2" t="s">
        <v>151</v>
      </c>
      <c r="E1514" s="2" t="s">
        <v>93</v>
      </c>
      <c r="F1514" s="2" t="s">
        <v>292</v>
      </c>
      <c r="G1514" s="2" t="s">
        <v>98</v>
      </c>
      <c r="I1514">
        <f>HEX2DEC(_0811_173439[[#This Row],[580C]])*B$4/B$5+B$6</f>
        <v>760</v>
      </c>
      <c r="J1514">
        <f>HEX2DEC(_0811_173439[[#This Row],[4402]])*C$4/C$5+C$6</f>
        <v>37</v>
      </c>
      <c r="K1514">
        <f>HEX2DEC(_0811_173439[[#This Row],[580F]])*D$4/D$5+D$6</f>
        <v>30</v>
      </c>
      <c r="L1514">
        <f>ROUND(HEX2DEC(_0811_173439[[#This Row],[58F0]])*E$4/E$5+E$6,0)</f>
        <v>70</v>
      </c>
      <c r="M1514">
        <f>ROUND(HEX2DEC(_0811_173439[[#This Row],[5805]])*F$4/F$5+F$6,0)</f>
        <v>45</v>
      </c>
      <c r="N1514">
        <f>ROUND(HEX2DEC(_0811_173439[[#This Row],[58DD]])*G$4/G$5+G$6,2)</f>
        <v>-0.03</v>
      </c>
      <c r="P1514">
        <v>760</v>
      </c>
      <c r="Q1514">
        <v>37</v>
      </c>
      <c r="R1514">
        <v>30</v>
      </c>
      <c r="S1514">
        <v>70</v>
      </c>
      <c r="T1514">
        <v>45</v>
      </c>
      <c r="U1514">
        <v>-0.03</v>
      </c>
      <c r="W1514">
        <f>DataLog_T717420_Aug11_4_59_37pm[[#This Row],[RPM '[1/MIN']]]-Table3[[#This Row],[580C]]</f>
        <v>0</v>
      </c>
      <c r="X1514">
        <f>DataLog_T717420_Aug11_4_59_37pm[[#This Row],[OIL TEMP '[Â°C']]]-Table3[[#This Row],[4402]]</f>
        <v>0</v>
      </c>
      <c r="Y1514">
        <f>DataLog_T717420_Aug11_4_59_37pm[[#This Row],[INTAKE TEMP '[Â°C']]]-Table3[[#This Row],[580F]]</f>
        <v>0</v>
      </c>
      <c r="Z1514">
        <f>DataLog_T717420_Aug11_4_59_37pm[[#This Row],[HPFP PRES. '[BAR']]]-Table3[[#This Row],[58F0]]</f>
        <v>0</v>
      </c>
      <c r="AA1514">
        <f>DataLog_T717420_Aug11_4_59_37pm[[#This Row],[COOLANT TEMP '[Â°C']]]-Table3[[#This Row],[5805]]</f>
        <v>0</v>
      </c>
      <c r="AB1514">
        <f>DataLog_T717420_Aug11_4_59_37pm[[#This Row],[BOOST '[BAR']]]-Table3[[#This Row],[58DD]]</f>
        <v>0</v>
      </c>
    </row>
    <row r="1515" spans="2:28" x14ac:dyDescent="0.25">
      <c r="B1515" s="2" t="s">
        <v>189</v>
      </c>
      <c r="C1515" s="2" t="s">
        <v>262</v>
      </c>
      <c r="D1515" s="2" t="s">
        <v>151</v>
      </c>
      <c r="E1515" s="2" t="s">
        <v>122</v>
      </c>
      <c r="F1515" s="2" t="s">
        <v>292</v>
      </c>
      <c r="G1515" s="2" t="s">
        <v>53</v>
      </c>
      <c r="I1515">
        <f>HEX2DEC(_0811_173439[[#This Row],[580C]])*B$4/B$5+B$6</f>
        <v>760</v>
      </c>
      <c r="J1515">
        <f>HEX2DEC(_0811_173439[[#This Row],[4402]])*C$4/C$5+C$6</f>
        <v>37</v>
      </c>
      <c r="K1515">
        <f>HEX2DEC(_0811_173439[[#This Row],[580F]])*D$4/D$5+D$6</f>
        <v>30</v>
      </c>
      <c r="L1515">
        <f>ROUND(HEX2DEC(_0811_173439[[#This Row],[58F0]])*E$4/E$5+E$6,0)</f>
        <v>71</v>
      </c>
      <c r="M1515">
        <f>ROUND(HEX2DEC(_0811_173439[[#This Row],[5805]])*F$4/F$5+F$6,0)</f>
        <v>45</v>
      </c>
      <c r="N1515">
        <f>ROUND(HEX2DEC(_0811_173439[[#This Row],[58DD]])*G$4/G$5+G$6,2)</f>
        <v>-0.03</v>
      </c>
      <c r="P1515">
        <v>760</v>
      </c>
      <c r="Q1515">
        <v>37</v>
      </c>
      <c r="R1515">
        <v>30</v>
      </c>
      <c r="S1515">
        <v>71</v>
      </c>
      <c r="T1515">
        <v>45</v>
      </c>
      <c r="U1515">
        <v>-0.03</v>
      </c>
      <c r="W1515">
        <f>DataLog_T717420_Aug11_4_59_37pm[[#This Row],[RPM '[1/MIN']]]-Table3[[#This Row],[580C]]</f>
        <v>0</v>
      </c>
      <c r="X1515">
        <f>DataLog_T717420_Aug11_4_59_37pm[[#This Row],[OIL TEMP '[Â°C']]]-Table3[[#This Row],[4402]]</f>
        <v>0</v>
      </c>
      <c r="Y1515">
        <f>DataLog_T717420_Aug11_4_59_37pm[[#This Row],[INTAKE TEMP '[Â°C']]]-Table3[[#This Row],[580F]]</f>
        <v>0</v>
      </c>
      <c r="Z1515">
        <f>DataLog_T717420_Aug11_4_59_37pm[[#This Row],[HPFP PRES. '[BAR']]]-Table3[[#This Row],[58F0]]</f>
        <v>0</v>
      </c>
      <c r="AA1515">
        <f>DataLog_T717420_Aug11_4_59_37pm[[#This Row],[COOLANT TEMP '[Â°C']]]-Table3[[#This Row],[5805]]</f>
        <v>0</v>
      </c>
      <c r="AB1515">
        <f>DataLog_T717420_Aug11_4_59_37pm[[#This Row],[BOOST '[BAR']]]-Table3[[#This Row],[58DD]]</f>
        <v>0</v>
      </c>
    </row>
    <row r="1516" spans="2:28" x14ac:dyDescent="0.25">
      <c r="B1516" s="2" t="s">
        <v>189</v>
      </c>
      <c r="C1516" s="2" t="s">
        <v>262</v>
      </c>
      <c r="D1516" s="2" t="s">
        <v>151</v>
      </c>
      <c r="E1516" s="2" t="s">
        <v>139</v>
      </c>
      <c r="F1516" s="2" t="s">
        <v>292</v>
      </c>
      <c r="G1516" s="2" t="s">
        <v>98</v>
      </c>
      <c r="I1516">
        <f>HEX2DEC(_0811_173439[[#This Row],[580C]])*B$4/B$5+B$6</f>
        <v>760</v>
      </c>
      <c r="J1516">
        <f>HEX2DEC(_0811_173439[[#This Row],[4402]])*C$4/C$5+C$6</f>
        <v>37</v>
      </c>
      <c r="K1516">
        <f>HEX2DEC(_0811_173439[[#This Row],[580F]])*D$4/D$5+D$6</f>
        <v>30</v>
      </c>
      <c r="L1516">
        <f>ROUND(HEX2DEC(_0811_173439[[#This Row],[58F0]])*E$4/E$5+E$6,0)</f>
        <v>71</v>
      </c>
      <c r="M1516">
        <f>ROUND(HEX2DEC(_0811_173439[[#This Row],[5805]])*F$4/F$5+F$6,0)</f>
        <v>45</v>
      </c>
      <c r="N1516">
        <f>ROUND(HEX2DEC(_0811_173439[[#This Row],[58DD]])*G$4/G$5+G$6,2)</f>
        <v>-0.03</v>
      </c>
      <c r="P1516">
        <v>760</v>
      </c>
      <c r="Q1516">
        <v>37</v>
      </c>
      <c r="R1516">
        <v>30</v>
      </c>
      <c r="S1516">
        <v>71</v>
      </c>
      <c r="T1516">
        <v>45</v>
      </c>
      <c r="U1516">
        <v>-0.03</v>
      </c>
      <c r="W1516">
        <f>DataLog_T717420_Aug11_4_59_37pm[[#This Row],[RPM '[1/MIN']]]-Table3[[#This Row],[580C]]</f>
        <v>0</v>
      </c>
      <c r="X1516">
        <f>DataLog_T717420_Aug11_4_59_37pm[[#This Row],[OIL TEMP '[Â°C']]]-Table3[[#This Row],[4402]]</f>
        <v>0</v>
      </c>
      <c r="Y1516">
        <f>DataLog_T717420_Aug11_4_59_37pm[[#This Row],[INTAKE TEMP '[Â°C']]]-Table3[[#This Row],[580F]]</f>
        <v>0</v>
      </c>
      <c r="Z1516">
        <f>DataLog_T717420_Aug11_4_59_37pm[[#This Row],[HPFP PRES. '[BAR']]]-Table3[[#This Row],[58F0]]</f>
        <v>0</v>
      </c>
      <c r="AA1516">
        <f>DataLog_T717420_Aug11_4_59_37pm[[#This Row],[COOLANT TEMP '[Â°C']]]-Table3[[#This Row],[5805]]</f>
        <v>0</v>
      </c>
      <c r="AB1516">
        <f>DataLog_T717420_Aug11_4_59_37pm[[#This Row],[BOOST '[BAR']]]-Table3[[#This Row],[58DD]]</f>
        <v>0</v>
      </c>
    </row>
    <row r="1517" spans="2:28" x14ac:dyDescent="0.25">
      <c r="B1517" s="2" t="s">
        <v>189</v>
      </c>
      <c r="C1517" s="2" t="s">
        <v>262</v>
      </c>
      <c r="D1517" s="2" t="s">
        <v>151</v>
      </c>
      <c r="E1517" s="2" t="s">
        <v>93</v>
      </c>
      <c r="F1517" s="2" t="s">
        <v>292</v>
      </c>
      <c r="G1517" s="2" t="s">
        <v>53</v>
      </c>
      <c r="I1517">
        <f>HEX2DEC(_0811_173439[[#This Row],[580C]])*B$4/B$5+B$6</f>
        <v>760</v>
      </c>
      <c r="J1517">
        <f>HEX2DEC(_0811_173439[[#This Row],[4402]])*C$4/C$5+C$6</f>
        <v>37</v>
      </c>
      <c r="K1517">
        <f>HEX2DEC(_0811_173439[[#This Row],[580F]])*D$4/D$5+D$6</f>
        <v>30</v>
      </c>
      <c r="L1517">
        <f>ROUND(HEX2DEC(_0811_173439[[#This Row],[58F0]])*E$4/E$5+E$6,0)</f>
        <v>70</v>
      </c>
      <c r="M1517">
        <f>ROUND(HEX2DEC(_0811_173439[[#This Row],[5805]])*F$4/F$5+F$6,0)</f>
        <v>45</v>
      </c>
      <c r="N1517">
        <f>ROUND(HEX2DEC(_0811_173439[[#This Row],[58DD]])*G$4/G$5+G$6,2)</f>
        <v>-0.03</v>
      </c>
      <c r="P1517">
        <v>760</v>
      </c>
      <c r="Q1517">
        <v>37</v>
      </c>
      <c r="R1517">
        <v>30</v>
      </c>
      <c r="S1517">
        <v>70</v>
      </c>
      <c r="T1517">
        <v>45</v>
      </c>
      <c r="U1517">
        <v>-0.03</v>
      </c>
      <c r="W1517">
        <f>DataLog_T717420_Aug11_4_59_37pm[[#This Row],[RPM '[1/MIN']]]-Table3[[#This Row],[580C]]</f>
        <v>0</v>
      </c>
      <c r="X1517">
        <f>DataLog_T717420_Aug11_4_59_37pm[[#This Row],[OIL TEMP '[Â°C']]]-Table3[[#This Row],[4402]]</f>
        <v>0</v>
      </c>
      <c r="Y1517">
        <f>DataLog_T717420_Aug11_4_59_37pm[[#This Row],[INTAKE TEMP '[Â°C']]]-Table3[[#This Row],[580F]]</f>
        <v>0</v>
      </c>
      <c r="Z1517">
        <f>DataLog_T717420_Aug11_4_59_37pm[[#This Row],[HPFP PRES. '[BAR']]]-Table3[[#This Row],[58F0]]</f>
        <v>0</v>
      </c>
      <c r="AA1517">
        <f>DataLog_T717420_Aug11_4_59_37pm[[#This Row],[COOLANT TEMP '[Â°C']]]-Table3[[#This Row],[5805]]</f>
        <v>0</v>
      </c>
      <c r="AB1517">
        <f>DataLog_T717420_Aug11_4_59_37pm[[#This Row],[BOOST '[BAR']]]-Table3[[#This Row],[58DD]]</f>
        <v>0</v>
      </c>
    </row>
    <row r="1518" spans="2:28" x14ac:dyDescent="0.25">
      <c r="B1518" s="2" t="s">
        <v>189</v>
      </c>
      <c r="C1518" s="2" t="s">
        <v>262</v>
      </c>
      <c r="D1518" s="2" t="s">
        <v>151</v>
      </c>
      <c r="E1518" s="2" t="s">
        <v>122</v>
      </c>
      <c r="F1518" s="2" t="s">
        <v>292</v>
      </c>
      <c r="G1518" s="2" t="s">
        <v>98</v>
      </c>
      <c r="I1518">
        <f>HEX2DEC(_0811_173439[[#This Row],[580C]])*B$4/B$5+B$6</f>
        <v>760</v>
      </c>
      <c r="J1518">
        <f>HEX2DEC(_0811_173439[[#This Row],[4402]])*C$4/C$5+C$6</f>
        <v>37</v>
      </c>
      <c r="K1518">
        <f>HEX2DEC(_0811_173439[[#This Row],[580F]])*D$4/D$5+D$6</f>
        <v>30</v>
      </c>
      <c r="L1518">
        <f>ROUND(HEX2DEC(_0811_173439[[#This Row],[58F0]])*E$4/E$5+E$6,0)</f>
        <v>71</v>
      </c>
      <c r="M1518">
        <f>ROUND(HEX2DEC(_0811_173439[[#This Row],[5805]])*F$4/F$5+F$6,0)</f>
        <v>45</v>
      </c>
      <c r="N1518">
        <f>ROUND(HEX2DEC(_0811_173439[[#This Row],[58DD]])*G$4/G$5+G$6,2)</f>
        <v>-0.03</v>
      </c>
      <c r="P1518">
        <v>760</v>
      </c>
      <c r="Q1518">
        <v>37</v>
      </c>
      <c r="R1518">
        <v>30</v>
      </c>
      <c r="S1518">
        <v>71</v>
      </c>
      <c r="T1518">
        <v>45</v>
      </c>
      <c r="U1518">
        <v>-0.03</v>
      </c>
      <c r="W1518">
        <f>DataLog_T717420_Aug11_4_59_37pm[[#This Row],[RPM '[1/MIN']]]-Table3[[#This Row],[580C]]</f>
        <v>0</v>
      </c>
      <c r="X1518">
        <f>DataLog_T717420_Aug11_4_59_37pm[[#This Row],[OIL TEMP '[Â°C']]]-Table3[[#This Row],[4402]]</f>
        <v>0</v>
      </c>
      <c r="Y1518">
        <f>DataLog_T717420_Aug11_4_59_37pm[[#This Row],[INTAKE TEMP '[Â°C']]]-Table3[[#This Row],[580F]]</f>
        <v>0</v>
      </c>
      <c r="Z1518">
        <f>DataLog_T717420_Aug11_4_59_37pm[[#This Row],[HPFP PRES. '[BAR']]]-Table3[[#This Row],[58F0]]</f>
        <v>0</v>
      </c>
      <c r="AA1518">
        <f>DataLog_T717420_Aug11_4_59_37pm[[#This Row],[COOLANT TEMP '[Â°C']]]-Table3[[#This Row],[5805]]</f>
        <v>0</v>
      </c>
      <c r="AB1518">
        <f>DataLog_T717420_Aug11_4_59_37pm[[#This Row],[BOOST '[BAR']]]-Table3[[#This Row],[58DD]]</f>
        <v>0</v>
      </c>
    </row>
    <row r="1519" spans="2:28" x14ac:dyDescent="0.25">
      <c r="B1519" s="2" t="s">
        <v>189</v>
      </c>
      <c r="C1519" s="2" t="s">
        <v>262</v>
      </c>
      <c r="D1519" s="2" t="s">
        <v>151</v>
      </c>
      <c r="E1519" s="2" t="s">
        <v>204</v>
      </c>
      <c r="F1519" s="2" t="s">
        <v>292</v>
      </c>
      <c r="G1519" s="2" t="s">
        <v>187</v>
      </c>
      <c r="I1519">
        <f>HEX2DEC(_0811_173439[[#This Row],[580C]])*B$4/B$5+B$6</f>
        <v>760</v>
      </c>
      <c r="J1519">
        <f>HEX2DEC(_0811_173439[[#This Row],[4402]])*C$4/C$5+C$6</f>
        <v>37</v>
      </c>
      <c r="K1519">
        <f>HEX2DEC(_0811_173439[[#This Row],[580F]])*D$4/D$5+D$6</f>
        <v>30</v>
      </c>
      <c r="L1519">
        <f>ROUND(HEX2DEC(_0811_173439[[#This Row],[58F0]])*E$4/E$5+E$6,0)</f>
        <v>71</v>
      </c>
      <c r="M1519">
        <f>ROUND(HEX2DEC(_0811_173439[[#This Row],[5805]])*F$4/F$5+F$6,0)</f>
        <v>45</v>
      </c>
      <c r="N1519">
        <f>ROUND(HEX2DEC(_0811_173439[[#This Row],[58DD]])*G$4/G$5+G$6,2)</f>
        <v>-0.03</v>
      </c>
      <c r="P1519">
        <v>760</v>
      </c>
      <c r="Q1519">
        <v>37</v>
      </c>
      <c r="R1519">
        <v>30</v>
      </c>
      <c r="S1519">
        <v>71</v>
      </c>
      <c r="T1519">
        <v>45</v>
      </c>
      <c r="U1519">
        <v>-0.03</v>
      </c>
      <c r="W1519">
        <f>DataLog_T717420_Aug11_4_59_37pm[[#This Row],[RPM '[1/MIN']]]-Table3[[#This Row],[580C]]</f>
        <v>0</v>
      </c>
      <c r="X1519">
        <f>DataLog_T717420_Aug11_4_59_37pm[[#This Row],[OIL TEMP '[Â°C']]]-Table3[[#This Row],[4402]]</f>
        <v>0</v>
      </c>
      <c r="Y1519">
        <f>DataLog_T717420_Aug11_4_59_37pm[[#This Row],[INTAKE TEMP '[Â°C']]]-Table3[[#This Row],[580F]]</f>
        <v>0</v>
      </c>
      <c r="Z1519">
        <f>DataLog_T717420_Aug11_4_59_37pm[[#This Row],[HPFP PRES. '[BAR']]]-Table3[[#This Row],[58F0]]</f>
        <v>0</v>
      </c>
      <c r="AA1519">
        <f>DataLog_T717420_Aug11_4_59_37pm[[#This Row],[COOLANT TEMP '[Â°C']]]-Table3[[#This Row],[5805]]</f>
        <v>0</v>
      </c>
      <c r="AB1519">
        <f>DataLog_T717420_Aug11_4_59_37pm[[#This Row],[BOOST '[BAR']]]-Table3[[#This Row],[58DD]]</f>
        <v>0</v>
      </c>
    </row>
    <row r="1520" spans="2:28" x14ac:dyDescent="0.25">
      <c r="B1520" s="2" t="s">
        <v>189</v>
      </c>
      <c r="C1520" s="2" t="s">
        <v>262</v>
      </c>
      <c r="D1520" s="2" t="s">
        <v>151</v>
      </c>
      <c r="E1520" s="2" t="s">
        <v>165</v>
      </c>
      <c r="F1520" s="2" t="s">
        <v>292</v>
      </c>
      <c r="G1520" s="2" t="s">
        <v>191</v>
      </c>
      <c r="I1520">
        <f>HEX2DEC(_0811_173439[[#This Row],[580C]])*B$4/B$5+B$6</f>
        <v>760</v>
      </c>
      <c r="J1520">
        <f>HEX2DEC(_0811_173439[[#This Row],[4402]])*C$4/C$5+C$6</f>
        <v>37</v>
      </c>
      <c r="K1520">
        <f>HEX2DEC(_0811_173439[[#This Row],[580F]])*D$4/D$5+D$6</f>
        <v>30</v>
      </c>
      <c r="L1520">
        <f>ROUND(HEX2DEC(_0811_173439[[#This Row],[58F0]])*E$4/E$5+E$6,0)</f>
        <v>70</v>
      </c>
      <c r="M1520">
        <f>ROUND(HEX2DEC(_0811_173439[[#This Row],[5805]])*F$4/F$5+F$6,0)</f>
        <v>45</v>
      </c>
      <c r="N1520">
        <f>ROUND(HEX2DEC(_0811_173439[[#This Row],[58DD]])*G$4/G$5+G$6,2)</f>
        <v>-0.03</v>
      </c>
      <c r="P1520">
        <v>760</v>
      </c>
      <c r="Q1520">
        <v>37</v>
      </c>
      <c r="R1520">
        <v>30</v>
      </c>
      <c r="S1520">
        <v>70</v>
      </c>
      <c r="T1520">
        <v>45</v>
      </c>
      <c r="U1520">
        <v>-0.03</v>
      </c>
      <c r="W1520">
        <f>DataLog_T717420_Aug11_4_59_37pm[[#This Row],[RPM '[1/MIN']]]-Table3[[#This Row],[580C]]</f>
        <v>0</v>
      </c>
      <c r="X1520">
        <f>DataLog_T717420_Aug11_4_59_37pm[[#This Row],[OIL TEMP '[Â°C']]]-Table3[[#This Row],[4402]]</f>
        <v>0</v>
      </c>
      <c r="Y1520">
        <f>DataLog_T717420_Aug11_4_59_37pm[[#This Row],[INTAKE TEMP '[Â°C']]]-Table3[[#This Row],[580F]]</f>
        <v>0</v>
      </c>
      <c r="Z1520">
        <f>DataLog_T717420_Aug11_4_59_37pm[[#This Row],[HPFP PRES. '[BAR']]]-Table3[[#This Row],[58F0]]</f>
        <v>0</v>
      </c>
      <c r="AA1520">
        <f>DataLog_T717420_Aug11_4_59_37pm[[#This Row],[COOLANT TEMP '[Â°C']]]-Table3[[#This Row],[5805]]</f>
        <v>0</v>
      </c>
      <c r="AB1520">
        <f>DataLog_T717420_Aug11_4_59_37pm[[#This Row],[BOOST '[BAR']]]-Table3[[#This Row],[58DD]]</f>
        <v>0</v>
      </c>
    </row>
    <row r="1521" spans="2:28" x14ac:dyDescent="0.25">
      <c r="B1521" s="2" t="s">
        <v>189</v>
      </c>
      <c r="C1521" s="2" t="s">
        <v>262</v>
      </c>
      <c r="D1521" s="2" t="s">
        <v>151</v>
      </c>
      <c r="E1521" s="2" t="s">
        <v>221</v>
      </c>
      <c r="F1521" s="2" t="s">
        <v>292</v>
      </c>
      <c r="G1521" s="2" t="s">
        <v>191</v>
      </c>
      <c r="I1521">
        <f>HEX2DEC(_0811_173439[[#This Row],[580C]])*B$4/B$5+B$6</f>
        <v>760</v>
      </c>
      <c r="J1521">
        <f>HEX2DEC(_0811_173439[[#This Row],[4402]])*C$4/C$5+C$6</f>
        <v>37</v>
      </c>
      <c r="K1521">
        <f>HEX2DEC(_0811_173439[[#This Row],[580F]])*D$4/D$5+D$6</f>
        <v>30</v>
      </c>
      <c r="L1521">
        <f>ROUND(HEX2DEC(_0811_173439[[#This Row],[58F0]])*E$4/E$5+E$6,0)</f>
        <v>70</v>
      </c>
      <c r="M1521">
        <f>ROUND(HEX2DEC(_0811_173439[[#This Row],[5805]])*F$4/F$5+F$6,0)</f>
        <v>45</v>
      </c>
      <c r="N1521">
        <f>ROUND(HEX2DEC(_0811_173439[[#This Row],[58DD]])*G$4/G$5+G$6,2)</f>
        <v>-0.03</v>
      </c>
      <c r="P1521">
        <v>760</v>
      </c>
      <c r="Q1521">
        <v>37</v>
      </c>
      <c r="R1521">
        <v>30</v>
      </c>
      <c r="S1521">
        <v>70</v>
      </c>
      <c r="T1521">
        <v>45</v>
      </c>
      <c r="U1521">
        <v>-0.03</v>
      </c>
      <c r="W1521">
        <f>DataLog_T717420_Aug11_4_59_37pm[[#This Row],[RPM '[1/MIN']]]-Table3[[#This Row],[580C]]</f>
        <v>0</v>
      </c>
      <c r="X1521">
        <f>DataLog_T717420_Aug11_4_59_37pm[[#This Row],[OIL TEMP '[Â°C']]]-Table3[[#This Row],[4402]]</f>
        <v>0</v>
      </c>
      <c r="Y1521">
        <f>DataLog_T717420_Aug11_4_59_37pm[[#This Row],[INTAKE TEMP '[Â°C']]]-Table3[[#This Row],[580F]]</f>
        <v>0</v>
      </c>
      <c r="Z1521">
        <f>DataLog_T717420_Aug11_4_59_37pm[[#This Row],[HPFP PRES. '[BAR']]]-Table3[[#This Row],[58F0]]</f>
        <v>0</v>
      </c>
      <c r="AA1521">
        <f>DataLog_T717420_Aug11_4_59_37pm[[#This Row],[COOLANT TEMP '[Â°C']]]-Table3[[#This Row],[5805]]</f>
        <v>0</v>
      </c>
      <c r="AB1521">
        <f>DataLog_T717420_Aug11_4_59_37pm[[#This Row],[BOOST '[BAR']]]-Table3[[#This Row],[58DD]]</f>
        <v>0</v>
      </c>
    </row>
    <row r="1522" spans="2:28" x14ac:dyDescent="0.25">
      <c r="B1522" s="2" t="s">
        <v>189</v>
      </c>
      <c r="C1522" s="2" t="s">
        <v>262</v>
      </c>
      <c r="D1522" s="2" t="s">
        <v>151</v>
      </c>
      <c r="E1522" s="2" t="s">
        <v>125</v>
      </c>
      <c r="F1522" s="2" t="s">
        <v>292</v>
      </c>
      <c r="G1522" s="2" t="s">
        <v>98</v>
      </c>
      <c r="I1522">
        <f>HEX2DEC(_0811_173439[[#This Row],[580C]])*B$4/B$5+B$6</f>
        <v>760</v>
      </c>
      <c r="J1522">
        <f>HEX2DEC(_0811_173439[[#This Row],[4402]])*C$4/C$5+C$6</f>
        <v>37</v>
      </c>
      <c r="K1522">
        <f>HEX2DEC(_0811_173439[[#This Row],[580F]])*D$4/D$5+D$6</f>
        <v>30</v>
      </c>
      <c r="L1522">
        <f>ROUND(HEX2DEC(_0811_173439[[#This Row],[58F0]])*E$4/E$5+E$6,0)</f>
        <v>70</v>
      </c>
      <c r="M1522">
        <f>ROUND(HEX2DEC(_0811_173439[[#This Row],[5805]])*F$4/F$5+F$6,0)</f>
        <v>45</v>
      </c>
      <c r="N1522">
        <f>ROUND(HEX2DEC(_0811_173439[[#This Row],[58DD]])*G$4/G$5+G$6,2)</f>
        <v>-0.03</v>
      </c>
      <c r="P1522">
        <v>760</v>
      </c>
      <c r="Q1522">
        <v>37</v>
      </c>
      <c r="R1522">
        <v>30</v>
      </c>
      <c r="S1522">
        <v>70</v>
      </c>
      <c r="T1522">
        <v>45</v>
      </c>
      <c r="U1522">
        <v>-0.03</v>
      </c>
      <c r="W1522">
        <f>DataLog_T717420_Aug11_4_59_37pm[[#This Row],[RPM '[1/MIN']]]-Table3[[#This Row],[580C]]</f>
        <v>0</v>
      </c>
      <c r="X1522">
        <f>DataLog_T717420_Aug11_4_59_37pm[[#This Row],[OIL TEMP '[Â°C']]]-Table3[[#This Row],[4402]]</f>
        <v>0</v>
      </c>
      <c r="Y1522">
        <f>DataLog_T717420_Aug11_4_59_37pm[[#This Row],[INTAKE TEMP '[Â°C']]]-Table3[[#This Row],[580F]]</f>
        <v>0</v>
      </c>
      <c r="Z1522">
        <f>DataLog_T717420_Aug11_4_59_37pm[[#This Row],[HPFP PRES. '[BAR']]]-Table3[[#This Row],[58F0]]</f>
        <v>0</v>
      </c>
      <c r="AA1522">
        <f>DataLog_T717420_Aug11_4_59_37pm[[#This Row],[COOLANT TEMP '[Â°C']]]-Table3[[#This Row],[5805]]</f>
        <v>0</v>
      </c>
      <c r="AB1522">
        <f>DataLog_T717420_Aug11_4_59_37pm[[#This Row],[BOOST '[BAR']]]-Table3[[#This Row],[58DD]]</f>
        <v>0</v>
      </c>
    </row>
    <row r="1523" spans="2:28" x14ac:dyDescent="0.25">
      <c r="B1523" s="2" t="s">
        <v>189</v>
      </c>
      <c r="C1523" s="2" t="s">
        <v>262</v>
      </c>
      <c r="D1523" s="2" t="s">
        <v>151</v>
      </c>
      <c r="E1523" s="2" t="s">
        <v>221</v>
      </c>
      <c r="F1523" s="2" t="s">
        <v>292</v>
      </c>
      <c r="G1523" s="2" t="s">
        <v>192</v>
      </c>
      <c r="I1523">
        <f>HEX2DEC(_0811_173439[[#This Row],[580C]])*B$4/B$5+B$6</f>
        <v>760</v>
      </c>
      <c r="J1523">
        <f>HEX2DEC(_0811_173439[[#This Row],[4402]])*C$4/C$5+C$6</f>
        <v>37</v>
      </c>
      <c r="K1523">
        <f>HEX2DEC(_0811_173439[[#This Row],[580F]])*D$4/D$5+D$6</f>
        <v>30</v>
      </c>
      <c r="L1523">
        <f>ROUND(HEX2DEC(_0811_173439[[#This Row],[58F0]])*E$4/E$5+E$6,0)</f>
        <v>70</v>
      </c>
      <c r="M1523">
        <f>ROUND(HEX2DEC(_0811_173439[[#This Row],[5805]])*F$4/F$5+F$6,0)</f>
        <v>45</v>
      </c>
      <c r="N1523">
        <f>ROUND(HEX2DEC(_0811_173439[[#This Row],[58DD]])*G$4/G$5+G$6,2)</f>
        <v>-0.03</v>
      </c>
      <c r="P1523">
        <v>760</v>
      </c>
      <c r="Q1523">
        <v>37</v>
      </c>
      <c r="R1523">
        <v>30</v>
      </c>
      <c r="S1523">
        <v>70</v>
      </c>
      <c r="T1523">
        <v>45</v>
      </c>
      <c r="U1523">
        <v>-0.03</v>
      </c>
      <c r="W1523">
        <f>DataLog_T717420_Aug11_4_59_37pm[[#This Row],[RPM '[1/MIN']]]-Table3[[#This Row],[580C]]</f>
        <v>0</v>
      </c>
      <c r="X1523">
        <f>DataLog_T717420_Aug11_4_59_37pm[[#This Row],[OIL TEMP '[Â°C']]]-Table3[[#This Row],[4402]]</f>
        <v>0</v>
      </c>
      <c r="Y1523">
        <f>DataLog_T717420_Aug11_4_59_37pm[[#This Row],[INTAKE TEMP '[Â°C']]]-Table3[[#This Row],[580F]]</f>
        <v>0</v>
      </c>
      <c r="Z1523">
        <f>DataLog_T717420_Aug11_4_59_37pm[[#This Row],[HPFP PRES. '[BAR']]]-Table3[[#This Row],[58F0]]</f>
        <v>0</v>
      </c>
      <c r="AA1523">
        <f>DataLog_T717420_Aug11_4_59_37pm[[#This Row],[COOLANT TEMP '[Â°C']]]-Table3[[#This Row],[5805]]</f>
        <v>0</v>
      </c>
      <c r="AB1523">
        <f>DataLog_T717420_Aug11_4_59_37pm[[#This Row],[BOOST '[BAR']]]-Table3[[#This Row],[58DD]]</f>
        <v>0</v>
      </c>
    </row>
    <row r="1524" spans="2:28" x14ac:dyDescent="0.25">
      <c r="B1524" s="2" t="s">
        <v>189</v>
      </c>
      <c r="C1524" s="2" t="s">
        <v>262</v>
      </c>
      <c r="D1524" s="2" t="s">
        <v>151</v>
      </c>
      <c r="E1524" s="2" t="s">
        <v>251</v>
      </c>
      <c r="F1524" s="2" t="s">
        <v>292</v>
      </c>
      <c r="G1524" s="2" t="s">
        <v>190</v>
      </c>
      <c r="I1524">
        <f>HEX2DEC(_0811_173439[[#This Row],[580C]])*B$4/B$5+B$6</f>
        <v>760</v>
      </c>
      <c r="J1524">
        <f>HEX2DEC(_0811_173439[[#This Row],[4402]])*C$4/C$5+C$6</f>
        <v>37</v>
      </c>
      <c r="K1524">
        <f>HEX2DEC(_0811_173439[[#This Row],[580F]])*D$4/D$5+D$6</f>
        <v>30</v>
      </c>
      <c r="L1524">
        <f>ROUND(HEX2DEC(_0811_173439[[#This Row],[58F0]])*E$4/E$5+E$6,0)</f>
        <v>69</v>
      </c>
      <c r="M1524">
        <f>ROUND(HEX2DEC(_0811_173439[[#This Row],[5805]])*F$4/F$5+F$6,0)</f>
        <v>45</v>
      </c>
      <c r="N1524">
        <f>ROUND(HEX2DEC(_0811_173439[[#This Row],[58DD]])*G$4/G$5+G$6,2)</f>
        <v>-0.03</v>
      </c>
      <c r="P1524">
        <v>760</v>
      </c>
      <c r="Q1524">
        <v>37</v>
      </c>
      <c r="R1524">
        <v>30</v>
      </c>
      <c r="S1524">
        <v>69</v>
      </c>
      <c r="T1524">
        <v>45</v>
      </c>
      <c r="U1524">
        <v>-0.03</v>
      </c>
      <c r="W1524">
        <f>DataLog_T717420_Aug11_4_59_37pm[[#This Row],[RPM '[1/MIN']]]-Table3[[#This Row],[580C]]</f>
        <v>0</v>
      </c>
      <c r="X1524">
        <f>DataLog_T717420_Aug11_4_59_37pm[[#This Row],[OIL TEMP '[Â°C']]]-Table3[[#This Row],[4402]]</f>
        <v>0</v>
      </c>
      <c r="Y1524">
        <f>DataLog_T717420_Aug11_4_59_37pm[[#This Row],[INTAKE TEMP '[Â°C']]]-Table3[[#This Row],[580F]]</f>
        <v>0</v>
      </c>
      <c r="Z1524">
        <f>DataLog_T717420_Aug11_4_59_37pm[[#This Row],[HPFP PRES. '[BAR']]]-Table3[[#This Row],[58F0]]</f>
        <v>0</v>
      </c>
      <c r="AA1524">
        <f>DataLog_T717420_Aug11_4_59_37pm[[#This Row],[COOLANT TEMP '[Â°C']]]-Table3[[#This Row],[5805]]</f>
        <v>0</v>
      </c>
      <c r="AB1524">
        <f>DataLog_T717420_Aug11_4_59_37pm[[#This Row],[BOOST '[BAR']]]-Table3[[#This Row],[58DD]]</f>
        <v>0</v>
      </c>
    </row>
    <row r="1525" spans="2:28" x14ac:dyDescent="0.25">
      <c r="B1525" s="2" t="s">
        <v>189</v>
      </c>
      <c r="C1525" s="2" t="s">
        <v>262</v>
      </c>
      <c r="D1525" s="2" t="s">
        <v>151</v>
      </c>
      <c r="E1525" s="2" t="s">
        <v>159</v>
      </c>
      <c r="F1525" s="2" t="s">
        <v>292</v>
      </c>
      <c r="G1525" s="2" t="s">
        <v>53</v>
      </c>
      <c r="I1525">
        <f>HEX2DEC(_0811_173439[[#This Row],[580C]])*B$4/B$5+B$6</f>
        <v>760</v>
      </c>
      <c r="J1525">
        <f>HEX2DEC(_0811_173439[[#This Row],[4402]])*C$4/C$5+C$6</f>
        <v>37</v>
      </c>
      <c r="K1525">
        <f>HEX2DEC(_0811_173439[[#This Row],[580F]])*D$4/D$5+D$6</f>
        <v>30</v>
      </c>
      <c r="L1525">
        <f>ROUND(HEX2DEC(_0811_173439[[#This Row],[58F0]])*E$4/E$5+E$6,0)</f>
        <v>70</v>
      </c>
      <c r="M1525">
        <f>ROUND(HEX2DEC(_0811_173439[[#This Row],[5805]])*F$4/F$5+F$6,0)</f>
        <v>45</v>
      </c>
      <c r="N1525">
        <f>ROUND(HEX2DEC(_0811_173439[[#This Row],[58DD]])*G$4/G$5+G$6,2)</f>
        <v>-0.03</v>
      </c>
      <c r="P1525">
        <v>760</v>
      </c>
      <c r="Q1525">
        <v>37</v>
      </c>
      <c r="R1525">
        <v>30</v>
      </c>
      <c r="S1525">
        <v>70</v>
      </c>
      <c r="T1525">
        <v>45</v>
      </c>
      <c r="U1525">
        <v>-0.03</v>
      </c>
      <c r="W1525">
        <f>DataLog_T717420_Aug11_4_59_37pm[[#This Row],[RPM '[1/MIN']]]-Table3[[#This Row],[580C]]</f>
        <v>0</v>
      </c>
      <c r="X1525">
        <f>DataLog_T717420_Aug11_4_59_37pm[[#This Row],[OIL TEMP '[Â°C']]]-Table3[[#This Row],[4402]]</f>
        <v>0</v>
      </c>
      <c r="Y1525">
        <f>DataLog_T717420_Aug11_4_59_37pm[[#This Row],[INTAKE TEMP '[Â°C']]]-Table3[[#This Row],[580F]]</f>
        <v>0</v>
      </c>
      <c r="Z1525">
        <f>DataLog_T717420_Aug11_4_59_37pm[[#This Row],[HPFP PRES. '[BAR']]]-Table3[[#This Row],[58F0]]</f>
        <v>0</v>
      </c>
      <c r="AA1525">
        <f>DataLog_T717420_Aug11_4_59_37pm[[#This Row],[COOLANT TEMP '[Â°C']]]-Table3[[#This Row],[5805]]</f>
        <v>0</v>
      </c>
      <c r="AB1525">
        <f>DataLog_T717420_Aug11_4_59_37pm[[#This Row],[BOOST '[BAR']]]-Table3[[#This Row],[58DD]]</f>
        <v>0</v>
      </c>
    </row>
    <row r="1526" spans="2:28" x14ac:dyDescent="0.25">
      <c r="B1526" s="2" t="s">
        <v>189</v>
      </c>
      <c r="C1526" s="2" t="s">
        <v>262</v>
      </c>
      <c r="D1526" s="2" t="s">
        <v>151</v>
      </c>
      <c r="E1526" s="2" t="s">
        <v>132</v>
      </c>
      <c r="F1526" s="2" t="s">
        <v>292</v>
      </c>
      <c r="G1526" s="2" t="s">
        <v>53</v>
      </c>
      <c r="I1526">
        <f>HEX2DEC(_0811_173439[[#This Row],[580C]])*B$4/B$5+B$6</f>
        <v>760</v>
      </c>
      <c r="J1526">
        <f>HEX2DEC(_0811_173439[[#This Row],[4402]])*C$4/C$5+C$6</f>
        <v>37</v>
      </c>
      <c r="K1526">
        <f>HEX2DEC(_0811_173439[[#This Row],[580F]])*D$4/D$5+D$6</f>
        <v>30</v>
      </c>
      <c r="L1526">
        <f>ROUND(HEX2DEC(_0811_173439[[#This Row],[58F0]])*E$4/E$5+E$6,0)</f>
        <v>70</v>
      </c>
      <c r="M1526">
        <f>ROUND(HEX2DEC(_0811_173439[[#This Row],[5805]])*F$4/F$5+F$6,0)</f>
        <v>45</v>
      </c>
      <c r="N1526">
        <f>ROUND(HEX2DEC(_0811_173439[[#This Row],[58DD]])*G$4/G$5+G$6,2)</f>
        <v>-0.03</v>
      </c>
      <c r="P1526">
        <v>760</v>
      </c>
      <c r="Q1526">
        <v>37</v>
      </c>
      <c r="R1526">
        <v>30</v>
      </c>
      <c r="S1526">
        <v>70</v>
      </c>
      <c r="T1526">
        <v>45</v>
      </c>
      <c r="U1526">
        <v>-0.03</v>
      </c>
      <c r="W1526">
        <f>DataLog_T717420_Aug11_4_59_37pm[[#This Row],[RPM '[1/MIN']]]-Table3[[#This Row],[580C]]</f>
        <v>0</v>
      </c>
      <c r="X1526">
        <f>DataLog_T717420_Aug11_4_59_37pm[[#This Row],[OIL TEMP '[Â°C']]]-Table3[[#This Row],[4402]]</f>
        <v>0</v>
      </c>
      <c r="Y1526">
        <f>DataLog_T717420_Aug11_4_59_37pm[[#This Row],[INTAKE TEMP '[Â°C']]]-Table3[[#This Row],[580F]]</f>
        <v>0</v>
      </c>
      <c r="Z1526">
        <f>DataLog_T717420_Aug11_4_59_37pm[[#This Row],[HPFP PRES. '[BAR']]]-Table3[[#This Row],[58F0]]</f>
        <v>0</v>
      </c>
      <c r="AA1526">
        <f>DataLog_T717420_Aug11_4_59_37pm[[#This Row],[COOLANT TEMP '[Â°C']]]-Table3[[#This Row],[5805]]</f>
        <v>0</v>
      </c>
      <c r="AB1526">
        <f>DataLog_T717420_Aug11_4_59_37pm[[#This Row],[BOOST '[BAR']]]-Table3[[#This Row],[58DD]]</f>
        <v>0</v>
      </c>
    </row>
    <row r="1527" spans="2:28" x14ac:dyDescent="0.25">
      <c r="B1527" s="2" t="s">
        <v>189</v>
      </c>
      <c r="C1527" s="2" t="s">
        <v>262</v>
      </c>
      <c r="D1527" s="2" t="s">
        <v>151</v>
      </c>
      <c r="E1527" s="2" t="s">
        <v>159</v>
      </c>
      <c r="F1527" s="2" t="s">
        <v>292</v>
      </c>
      <c r="G1527" s="2" t="s">
        <v>53</v>
      </c>
      <c r="I1527">
        <f>HEX2DEC(_0811_173439[[#This Row],[580C]])*B$4/B$5+B$6</f>
        <v>760</v>
      </c>
      <c r="J1527">
        <f>HEX2DEC(_0811_173439[[#This Row],[4402]])*C$4/C$5+C$6</f>
        <v>37</v>
      </c>
      <c r="K1527">
        <f>HEX2DEC(_0811_173439[[#This Row],[580F]])*D$4/D$5+D$6</f>
        <v>30</v>
      </c>
      <c r="L1527">
        <f>ROUND(HEX2DEC(_0811_173439[[#This Row],[58F0]])*E$4/E$5+E$6,0)</f>
        <v>70</v>
      </c>
      <c r="M1527">
        <f>ROUND(HEX2DEC(_0811_173439[[#This Row],[5805]])*F$4/F$5+F$6,0)</f>
        <v>45</v>
      </c>
      <c r="N1527">
        <f>ROUND(HEX2DEC(_0811_173439[[#This Row],[58DD]])*G$4/G$5+G$6,2)</f>
        <v>-0.03</v>
      </c>
      <c r="P1527">
        <v>760</v>
      </c>
      <c r="Q1527">
        <v>37</v>
      </c>
      <c r="R1527">
        <v>30</v>
      </c>
      <c r="S1527">
        <v>70</v>
      </c>
      <c r="T1527">
        <v>45</v>
      </c>
      <c r="U1527">
        <v>-0.03</v>
      </c>
      <c r="W1527">
        <f>DataLog_T717420_Aug11_4_59_37pm[[#This Row],[RPM '[1/MIN']]]-Table3[[#This Row],[580C]]</f>
        <v>0</v>
      </c>
      <c r="X1527">
        <f>DataLog_T717420_Aug11_4_59_37pm[[#This Row],[OIL TEMP '[Â°C']]]-Table3[[#This Row],[4402]]</f>
        <v>0</v>
      </c>
      <c r="Y1527">
        <f>DataLog_T717420_Aug11_4_59_37pm[[#This Row],[INTAKE TEMP '[Â°C']]]-Table3[[#This Row],[580F]]</f>
        <v>0</v>
      </c>
      <c r="Z1527">
        <f>DataLog_T717420_Aug11_4_59_37pm[[#This Row],[HPFP PRES. '[BAR']]]-Table3[[#This Row],[58F0]]</f>
        <v>0</v>
      </c>
      <c r="AA1527">
        <f>DataLog_T717420_Aug11_4_59_37pm[[#This Row],[COOLANT TEMP '[Â°C']]]-Table3[[#This Row],[5805]]</f>
        <v>0</v>
      </c>
      <c r="AB1527">
        <f>DataLog_T717420_Aug11_4_59_37pm[[#This Row],[BOOST '[BAR']]]-Table3[[#This Row],[58DD]]</f>
        <v>0</v>
      </c>
    </row>
    <row r="1528" spans="2:28" x14ac:dyDescent="0.25">
      <c r="B1528" s="2" t="s">
        <v>189</v>
      </c>
      <c r="C1528" s="2" t="s">
        <v>262</v>
      </c>
      <c r="D1528" s="2" t="s">
        <v>151</v>
      </c>
      <c r="E1528" s="2" t="s">
        <v>138</v>
      </c>
      <c r="F1528" s="2" t="s">
        <v>292</v>
      </c>
      <c r="G1528" s="2" t="s">
        <v>53</v>
      </c>
      <c r="I1528">
        <f>HEX2DEC(_0811_173439[[#This Row],[580C]])*B$4/B$5+B$6</f>
        <v>760</v>
      </c>
      <c r="J1528">
        <f>HEX2DEC(_0811_173439[[#This Row],[4402]])*C$4/C$5+C$6</f>
        <v>37</v>
      </c>
      <c r="K1528">
        <f>HEX2DEC(_0811_173439[[#This Row],[580F]])*D$4/D$5+D$6</f>
        <v>30</v>
      </c>
      <c r="L1528">
        <f>ROUND(HEX2DEC(_0811_173439[[#This Row],[58F0]])*E$4/E$5+E$6,0)</f>
        <v>70</v>
      </c>
      <c r="M1528">
        <f>ROUND(HEX2DEC(_0811_173439[[#This Row],[5805]])*F$4/F$5+F$6,0)</f>
        <v>45</v>
      </c>
      <c r="N1528">
        <f>ROUND(HEX2DEC(_0811_173439[[#This Row],[58DD]])*G$4/G$5+G$6,2)</f>
        <v>-0.03</v>
      </c>
      <c r="P1528">
        <v>760</v>
      </c>
      <c r="Q1528">
        <v>37</v>
      </c>
      <c r="R1528">
        <v>30</v>
      </c>
      <c r="S1528">
        <v>70</v>
      </c>
      <c r="T1528">
        <v>45</v>
      </c>
      <c r="U1528">
        <v>-0.03</v>
      </c>
      <c r="W1528">
        <f>DataLog_T717420_Aug11_4_59_37pm[[#This Row],[RPM '[1/MIN']]]-Table3[[#This Row],[580C]]</f>
        <v>0</v>
      </c>
      <c r="X1528">
        <f>DataLog_T717420_Aug11_4_59_37pm[[#This Row],[OIL TEMP '[Â°C']]]-Table3[[#This Row],[4402]]</f>
        <v>0</v>
      </c>
      <c r="Y1528">
        <f>DataLog_T717420_Aug11_4_59_37pm[[#This Row],[INTAKE TEMP '[Â°C']]]-Table3[[#This Row],[580F]]</f>
        <v>0</v>
      </c>
      <c r="Z1528">
        <f>DataLog_T717420_Aug11_4_59_37pm[[#This Row],[HPFP PRES. '[BAR']]]-Table3[[#This Row],[58F0]]</f>
        <v>0</v>
      </c>
      <c r="AA1528">
        <f>DataLog_T717420_Aug11_4_59_37pm[[#This Row],[COOLANT TEMP '[Â°C']]]-Table3[[#This Row],[5805]]</f>
        <v>0</v>
      </c>
      <c r="AB1528">
        <f>DataLog_T717420_Aug11_4_59_37pm[[#This Row],[BOOST '[BAR']]]-Table3[[#This Row],[58DD]]</f>
        <v>0</v>
      </c>
    </row>
    <row r="1529" spans="2:28" x14ac:dyDescent="0.25">
      <c r="B1529" s="2" t="s">
        <v>189</v>
      </c>
      <c r="C1529" s="2" t="s">
        <v>262</v>
      </c>
      <c r="D1529" s="2" t="s">
        <v>151</v>
      </c>
      <c r="E1529" s="2" t="s">
        <v>93</v>
      </c>
      <c r="F1529" s="2" t="s">
        <v>292</v>
      </c>
      <c r="G1529" s="2" t="s">
        <v>192</v>
      </c>
      <c r="I1529">
        <f>HEX2DEC(_0811_173439[[#This Row],[580C]])*B$4/B$5+B$6</f>
        <v>760</v>
      </c>
      <c r="J1529">
        <f>HEX2DEC(_0811_173439[[#This Row],[4402]])*C$4/C$5+C$6</f>
        <v>37</v>
      </c>
      <c r="K1529">
        <f>HEX2DEC(_0811_173439[[#This Row],[580F]])*D$4/D$5+D$6</f>
        <v>30</v>
      </c>
      <c r="L1529">
        <f>ROUND(HEX2DEC(_0811_173439[[#This Row],[58F0]])*E$4/E$5+E$6,0)</f>
        <v>70</v>
      </c>
      <c r="M1529">
        <f>ROUND(HEX2DEC(_0811_173439[[#This Row],[5805]])*F$4/F$5+F$6,0)</f>
        <v>45</v>
      </c>
      <c r="N1529">
        <f>ROUND(HEX2DEC(_0811_173439[[#This Row],[58DD]])*G$4/G$5+G$6,2)</f>
        <v>-0.03</v>
      </c>
      <c r="P1529">
        <v>760</v>
      </c>
      <c r="Q1529">
        <v>37</v>
      </c>
      <c r="R1529">
        <v>30</v>
      </c>
      <c r="S1529">
        <v>70</v>
      </c>
      <c r="T1529">
        <v>45</v>
      </c>
      <c r="U1529">
        <v>-0.03</v>
      </c>
      <c r="W1529">
        <f>DataLog_T717420_Aug11_4_59_37pm[[#This Row],[RPM '[1/MIN']]]-Table3[[#This Row],[580C]]</f>
        <v>0</v>
      </c>
      <c r="X1529">
        <f>DataLog_T717420_Aug11_4_59_37pm[[#This Row],[OIL TEMP '[Â°C']]]-Table3[[#This Row],[4402]]</f>
        <v>0</v>
      </c>
      <c r="Y1529">
        <f>DataLog_T717420_Aug11_4_59_37pm[[#This Row],[INTAKE TEMP '[Â°C']]]-Table3[[#This Row],[580F]]</f>
        <v>0</v>
      </c>
      <c r="Z1529">
        <f>DataLog_T717420_Aug11_4_59_37pm[[#This Row],[HPFP PRES. '[BAR']]]-Table3[[#This Row],[58F0]]</f>
        <v>0</v>
      </c>
      <c r="AA1529">
        <f>DataLog_T717420_Aug11_4_59_37pm[[#This Row],[COOLANT TEMP '[Â°C']]]-Table3[[#This Row],[5805]]</f>
        <v>0</v>
      </c>
      <c r="AB1529">
        <f>DataLog_T717420_Aug11_4_59_37pm[[#This Row],[BOOST '[BAR']]]-Table3[[#This Row],[58DD]]</f>
        <v>0</v>
      </c>
    </row>
    <row r="1530" spans="2:28" x14ac:dyDescent="0.25">
      <c r="B1530" s="2" t="s">
        <v>189</v>
      </c>
      <c r="C1530" s="2" t="s">
        <v>262</v>
      </c>
      <c r="D1530" s="2" t="s">
        <v>151</v>
      </c>
      <c r="E1530" s="2" t="s">
        <v>153</v>
      </c>
      <c r="F1530" s="2" t="s">
        <v>292</v>
      </c>
      <c r="G1530" s="2" t="s">
        <v>102</v>
      </c>
      <c r="I1530">
        <f>HEX2DEC(_0811_173439[[#This Row],[580C]])*B$4/B$5+B$6</f>
        <v>760</v>
      </c>
      <c r="J1530">
        <f>HEX2DEC(_0811_173439[[#This Row],[4402]])*C$4/C$5+C$6</f>
        <v>37</v>
      </c>
      <c r="K1530">
        <f>HEX2DEC(_0811_173439[[#This Row],[580F]])*D$4/D$5+D$6</f>
        <v>30</v>
      </c>
      <c r="L1530">
        <f>ROUND(HEX2DEC(_0811_173439[[#This Row],[58F0]])*E$4/E$5+E$6,0)</f>
        <v>70</v>
      </c>
      <c r="M1530">
        <f>ROUND(HEX2DEC(_0811_173439[[#This Row],[5805]])*F$4/F$5+F$6,0)</f>
        <v>45</v>
      </c>
      <c r="N1530">
        <f>ROUND(HEX2DEC(_0811_173439[[#This Row],[58DD]])*G$4/G$5+G$6,2)</f>
        <v>-0.03</v>
      </c>
      <c r="P1530">
        <v>760</v>
      </c>
      <c r="Q1530">
        <v>37</v>
      </c>
      <c r="R1530">
        <v>30</v>
      </c>
      <c r="S1530">
        <v>70</v>
      </c>
      <c r="T1530">
        <v>45</v>
      </c>
      <c r="U1530">
        <v>-0.03</v>
      </c>
      <c r="W1530">
        <f>DataLog_T717420_Aug11_4_59_37pm[[#This Row],[RPM '[1/MIN']]]-Table3[[#This Row],[580C]]</f>
        <v>0</v>
      </c>
      <c r="X1530">
        <f>DataLog_T717420_Aug11_4_59_37pm[[#This Row],[OIL TEMP '[Â°C']]]-Table3[[#This Row],[4402]]</f>
        <v>0</v>
      </c>
      <c r="Y1530">
        <f>DataLog_T717420_Aug11_4_59_37pm[[#This Row],[INTAKE TEMP '[Â°C']]]-Table3[[#This Row],[580F]]</f>
        <v>0</v>
      </c>
      <c r="Z1530">
        <f>DataLog_T717420_Aug11_4_59_37pm[[#This Row],[HPFP PRES. '[BAR']]]-Table3[[#This Row],[58F0]]</f>
        <v>0</v>
      </c>
      <c r="AA1530">
        <f>DataLog_T717420_Aug11_4_59_37pm[[#This Row],[COOLANT TEMP '[Â°C']]]-Table3[[#This Row],[5805]]</f>
        <v>0</v>
      </c>
      <c r="AB1530">
        <f>DataLog_T717420_Aug11_4_59_37pm[[#This Row],[BOOST '[BAR']]]-Table3[[#This Row],[58DD]]</f>
        <v>0</v>
      </c>
    </row>
    <row r="1531" spans="2:28" x14ac:dyDescent="0.25">
      <c r="B1531" s="2" t="s">
        <v>189</v>
      </c>
      <c r="C1531" s="2" t="s">
        <v>262</v>
      </c>
      <c r="D1531" s="2" t="s">
        <v>151</v>
      </c>
      <c r="E1531" s="2" t="s">
        <v>178</v>
      </c>
      <c r="F1531" s="2" t="s">
        <v>292</v>
      </c>
      <c r="G1531" s="2" t="s">
        <v>53</v>
      </c>
      <c r="I1531">
        <f>HEX2DEC(_0811_173439[[#This Row],[580C]])*B$4/B$5+B$6</f>
        <v>760</v>
      </c>
      <c r="J1531">
        <f>HEX2DEC(_0811_173439[[#This Row],[4402]])*C$4/C$5+C$6</f>
        <v>37</v>
      </c>
      <c r="K1531">
        <f>HEX2DEC(_0811_173439[[#This Row],[580F]])*D$4/D$5+D$6</f>
        <v>30</v>
      </c>
      <c r="L1531">
        <f>ROUND(HEX2DEC(_0811_173439[[#This Row],[58F0]])*E$4/E$5+E$6,0)</f>
        <v>71</v>
      </c>
      <c r="M1531">
        <f>ROUND(HEX2DEC(_0811_173439[[#This Row],[5805]])*F$4/F$5+F$6,0)</f>
        <v>45</v>
      </c>
      <c r="N1531">
        <f>ROUND(HEX2DEC(_0811_173439[[#This Row],[58DD]])*G$4/G$5+G$6,2)</f>
        <v>-0.03</v>
      </c>
      <c r="P1531">
        <v>760</v>
      </c>
      <c r="Q1531">
        <v>37</v>
      </c>
      <c r="R1531">
        <v>30</v>
      </c>
      <c r="S1531">
        <v>71</v>
      </c>
      <c r="T1531">
        <v>45</v>
      </c>
      <c r="U1531">
        <v>-0.03</v>
      </c>
      <c r="W1531">
        <f>DataLog_T717420_Aug11_4_59_37pm[[#This Row],[RPM '[1/MIN']]]-Table3[[#This Row],[580C]]</f>
        <v>0</v>
      </c>
      <c r="X1531">
        <f>DataLog_T717420_Aug11_4_59_37pm[[#This Row],[OIL TEMP '[Â°C']]]-Table3[[#This Row],[4402]]</f>
        <v>0</v>
      </c>
      <c r="Y1531">
        <f>DataLog_T717420_Aug11_4_59_37pm[[#This Row],[INTAKE TEMP '[Â°C']]]-Table3[[#This Row],[580F]]</f>
        <v>0</v>
      </c>
      <c r="Z1531">
        <f>DataLog_T717420_Aug11_4_59_37pm[[#This Row],[HPFP PRES. '[BAR']]]-Table3[[#This Row],[58F0]]</f>
        <v>0</v>
      </c>
      <c r="AA1531">
        <f>DataLog_T717420_Aug11_4_59_37pm[[#This Row],[COOLANT TEMP '[Â°C']]]-Table3[[#This Row],[5805]]</f>
        <v>0</v>
      </c>
      <c r="AB1531">
        <f>DataLog_T717420_Aug11_4_59_37pm[[#This Row],[BOOST '[BAR']]]-Table3[[#This Row],[58DD]]</f>
        <v>0</v>
      </c>
    </row>
    <row r="1532" spans="2:28" x14ac:dyDescent="0.25">
      <c r="B1532" s="2" t="s">
        <v>189</v>
      </c>
      <c r="C1532" s="2" t="s">
        <v>262</v>
      </c>
      <c r="D1532" s="2" t="s">
        <v>151</v>
      </c>
      <c r="E1532" s="2" t="s">
        <v>93</v>
      </c>
      <c r="F1532" s="2" t="s">
        <v>292</v>
      </c>
      <c r="G1532" s="2" t="s">
        <v>190</v>
      </c>
      <c r="I1532">
        <f>HEX2DEC(_0811_173439[[#This Row],[580C]])*B$4/B$5+B$6</f>
        <v>760</v>
      </c>
      <c r="J1532">
        <f>HEX2DEC(_0811_173439[[#This Row],[4402]])*C$4/C$5+C$6</f>
        <v>37</v>
      </c>
      <c r="K1532">
        <f>HEX2DEC(_0811_173439[[#This Row],[580F]])*D$4/D$5+D$6</f>
        <v>30</v>
      </c>
      <c r="L1532">
        <f>ROUND(HEX2DEC(_0811_173439[[#This Row],[58F0]])*E$4/E$5+E$6,0)</f>
        <v>70</v>
      </c>
      <c r="M1532">
        <f>ROUND(HEX2DEC(_0811_173439[[#This Row],[5805]])*F$4/F$5+F$6,0)</f>
        <v>45</v>
      </c>
      <c r="N1532">
        <f>ROUND(HEX2DEC(_0811_173439[[#This Row],[58DD]])*G$4/G$5+G$6,2)</f>
        <v>-0.03</v>
      </c>
      <c r="P1532">
        <v>760</v>
      </c>
      <c r="Q1532">
        <v>37</v>
      </c>
      <c r="R1532">
        <v>30</v>
      </c>
      <c r="S1532">
        <v>70</v>
      </c>
      <c r="T1532">
        <v>45</v>
      </c>
      <c r="U1532">
        <v>-0.03</v>
      </c>
      <c r="W1532">
        <f>DataLog_T717420_Aug11_4_59_37pm[[#This Row],[RPM '[1/MIN']]]-Table3[[#This Row],[580C]]</f>
        <v>0</v>
      </c>
      <c r="X1532">
        <f>DataLog_T717420_Aug11_4_59_37pm[[#This Row],[OIL TEMP '[Â°C']]]-Table3[[#This Row],[4402]]</f>
        <v>0</v>
      </c>
      <c r="Y1532">
        <f>DataLog_T717420_Aug11_4_59_37pm[[#This Row],[INTAKE TEMP '[Â°C']]]-Table3[[#This Row],[580F]]</f>
        <v>0</v>
      </c>
      <c r="Z1532">
        <f>DataLog_T717420_Aug11_4_59_37pm[[#This Row],[HPFP PRES. '[BAR']]]-Table3[[#This Row],[58F0]]</f>
        <v>0</v>
      </c>
      <c r="AA1532">
        <f>DataLog_T717420_Aug11_4_59_37pm[[#This Row],[COOLANT TEMP '[Â°C']]]-Table3[[#This Row],[5805]]</f>
        <v>0</v>
      </c>
      <c r="AB1532">
        <f>DataLog_T717420_Aug11_4_59_37pm[[#This Row],[BOOST '[BAR']]]-Table3[[#This Row],[58DD]]</f>
        <v>0</v>
      </c>
    </row>
    <row r="1533" spans="2:28" x14ac:dyDescent="0.25">
      <c r="B1533" s="2" t="s">
        <v>189</v>
      </c>
      <c r="C1533" s="2" t="s">
        <v>262</v>
      </c>
      <c r="D1533" s="2" t="s">
        <v>151</v>
      </c>
      <c r="E1533" s="2" t="s">
        <v>93</v>
      </c>
      <c r="F1533" s="2" t="s">
        <v>292</v>
      </c>
      <c r="G1533" s="2" t="s">
        <v>90</v>
      </c>
      <c r="I1533">
        <f>HEX2DEC(_0811_173439[[#This Row],[580C]])*B$4/B$5+B$6</f>
        <v>760</v>
      </c>
      <c r="J1533">
        <f>HEX2DEC(_0811_173439[[#This Row],[4402]])*C$4/C$5+C$6</f>
        <v>37</v>
      </c>
      <c r="K1533">
        <f>HEX2DEC(_0811_173439[[#This Row],[580F]])*D$4/D$5+D$6</f>
        <v>30</v>
      </c>
      <c r="L1533">
        <f>ROUND(HEX2DEC(_0811_173439[[#This Row],[58F0]])*E$4/E$5+E$6,0)</f>
        <v>70</v>
      </c>
      <c r="M1533">
        <f>ROUND(HEX2DEC(_0811_173439[[#This Row],[5805]])*F$4/F$5+F$6,0)</f>
        <v>45</v>
      </c>
      <c r="N1533">
        <f>ROUND(HEX2DEC(_0811_173439[[#This Row],[58DD]])*G$4/G$5+G$6,2)</f>
        <v>-0.03</v>
      </c>
      <c r="P1533">
        <v>760</v>
      </c>
      <c r="Q1533">
        <v>37</v>
      </c>
      <c r="R1533">
        <v>30</v>
      </c>
      <c r="S1533">
        <v>70</v>
      </c>
      <c r="T1533">
        <v>45</v>
      </c>
      <c r="U1533">
        <v>-0.03</v>
      </c>
      <c r="W1533">
        <f>DataLog_T717420_Aug11_4_59_37pm[[#This Row],[RPM '[1/MIN']]]-Table3[[#This Row],[580C]]</f>
        <v>0</v>
      </c>
      <c r="X1533">
        <f>DataLog_T717420_Aug11_4_59_37pm[[#This Row],[OIL TEMP '[Â°C']]]-Table3[[#This Row],[4402]]</f>
        <v>0</v>
      </c>
      <c r="Y1533">
        <f>DataLog_T717420_Aug11_4_59_37pm[[#This Row],[INTAKE TEMP '[Â°C']]]-Table3[[#This Row],[580F]]</f>
        <v>0</v>
      </c>
      <c r="Z1533">
        <f>DataLog_T717420_Aug11_4_59_37pm[[#This Row],[HPFP PRES. '[BAR']]]-Table3[[#This Row],[58F0]]</f>
        <v>0</v>
      </c>
      <c r="AA1533">
        <f>DataLog_T717420_Aug11_4_59_37pm[[#This Row],[COOLANT TEMP '[Â°C']]]-Table3[[#This Row],[5805]]</f>
        <v>0</v>
      </c>
      <c r="AB1533">
        <f>DataLog_T717420_Aug11_4_59_37pm[[#This Row],[BOOST '[BAR']]]-Table3[[#This Row],[58DD]]</f>
        <v>0</v>
      </c>
    </row>
    <row r="1534" spans="2:28" x14ac:dyDescent="0.25">
      <c r="B1534" s="2" t="s">
        <v>189</v>
      </c>
      <c r="C1534" s="2" t="s">
        <v>262</v>
      </c>
      <c r="D1534" s="2" t="s">
        <v>151</v>
      </c>
      <c r="E1534" s="2" t="s">
        <v>148</v>
      </c>
      <c r="F1534" s="2" t="s">
        <v>292</v>
      </c>
      <c r="G1534" s="2" t="s">
        <v>102</v>
      </c>
      <c r="I1534">
        <f>HEX2DEC(_0811_173439[[#This Row],[580C]])*B$4/B$5+B$6</f>
        <v>760</v>
      </c>
      <c r="J1534">
        <f>HEX2DEC(_0811_173439[[#This Row],[4402]])*C$4/C$5+C$6</f>
        <v>37</v>
      </c>
      <c r="K1534">
        <f>HEX2DEC(_0811_173439[[#This Row],[580F]])*D$4/D$5+D$6</f>
        <v>30</v>
      </c>
      <c r="L1534">
        <f>ROUND(HEX2DEC(_0811_173439[[#This Row],[58F0]])*E$4/E$5+E$6,0)</f>
        <v>70</v>
      </c>
      <c r="M1534">
        <f>ROUND(HEX2DEC(_0811_173439[[#This Row],[5805]])*F$4/F$5+F$6,0)</f>
        <v>45</v>
      </c>
      <c r="N1534">
        <f>ROUND(HEX2DEC(_0811_173439[[#This Row],[58DD]])*G$4/G$5+G$6,2)</f>
        <v>-0.03</v>
      </c>
      <c r="P1534">
        <v>760</v>
      </c>
      <c r="Q1534">
        <v>37</v>
      </c>
      <c r="R1534">
        <v>30</v>
      </c>
      <c r="S1534">
        <v>70</v>
      </c>
      <c r="T1534">
        <v>45</v>
      </c>
      <c r="U1534">
        <v>-0.03</v>
      </c>
      <c r="W1534">
        <f>DataLog_T717420_Aug11_4_59_37pm[[#This Row],[RPM '[1/MIN']]]-Table3[[#This Row],[580C]]</f>
        <v>0</v>
      </c>
      <c r="X1534">
        <f>DataLog_T717420_Aug11_4_59_37pm[[#This Row],[OIL TEMP '[Â°C']]]-Table3[[#This Row],[4402]]</f>
        <v>0</v>
      </c>
      <c r="Y1534">
        <f>DataLog_T717420_Aug11_4_59_37pm[[#This Row],[INTAKE TEMP '[Â°C']]]-Table3[[#This Row],[580F]]</f>
        <v>0</v>
      </c>
      <c r="Z1534">
        <f>DataLog_T717420_Aug11_4_59_37pm[[#This Row],[HPFP PRES. '[BAR']]]-Table3[[#This Row],[58F0]]</f>
        <v>0</v>
      </c>
      <c r="AA1534">
        <f>DataLog_T717420_Aug11_4_59_37pm[[#This Row],[COOLANT TEMP '[Â°C']]]-Table3[[#This Row],[5805]]</f>
        <v>0</v>
      </c>
      <c r="AB1534">
        <f>DataLog_T717420_Aug11_4_59_37pm[[#This Row],[BOOST '[BAR']]]-Table3[[#This Row],[58DD]]</f>
        <v>0</v>
      </c>
    </row>
    <row r="1535" spans="2:28" x14ac:dyDescent="0.25">
      <c r="B1535" s="2" t="s">
        <v>189</v>
      </c>
      <c r="C1535" s="2" t="s">
        <v>262</v>
      </c>
      <c r="D1535" s="2" t="s">
        <v>151</v>
      </c>
      <c r="E1535" s="2" t="s">
        <v>135</v>
      </c>
      <c r="F1535" s="2" t="s">
        <v>292</v>
      </c>
      <c r="G1535" s="2" t="s">
        <v>190</v>
      </c>
      <c r="I1535">
        <f>HEX2DEC(_0811_173439[[#This Row],[580C]])*B$4/B$5+B$6</f>
        <v>760</v>
      </c>
      <c r="J1535">
        <f>HEX2DEC(_0811_173439[[#This Row],[4402]])*C$4/C$5+C$6</f>
        <v>37</v>
      </c>
      <c r="K1535">
        <f>HEX2DEC(_0811_173439[[#This Row],[580F]])*D$4/D$5+D$6</f>
        <v>30</v>
      </c>
      <c r="L1535">
        <f>ROUND(HEX2DEC(_0811_173439[[#This Row],[58F0]])*E$4/E$5+E$6,0)</f>
        <v>71</v>
      </c>
      <c r="M1535">
        <f>ROUND(HEX2DEC(_0811_173439[[#This Row],[5805]])*F$4/F$5+F$6,0)</f>
        <v>45</v>
      </c>
      <c r="N1535">
        <f>ROUND(HEX2DEC(_0811_173439[[#This Row],[58DD]])*G$4/G$5+G$6,2)</f>
        <v>-0.03</v>
      </c>
      <c r="P1535">
        <v>760</v>
      </c>
      <c r="Q1535">
        <v>37</v>
      </c>
      <c r="R1535">
        <v>30</v>
      </c>
      <c r="S1535">
        <v>71</v>
      </c>
      <c r="T1535">
        <v>45</v>
      </c>
      <c r="U1535">
        <v>-0.03</v>
      </c>
      <c r="W1535">
        <f>DataLog_T717420_Aug11_4_59_37pm[[#This Row],[RPM '[1/MIN']]]-Table3[[#This Row],[580C]]</f>
        <v>0</v>
      </c>
      <c r="X1535">
        <f>DataLog_T717420_Aug11_4_59_37pm[[#This Row],[OIL TEMP '[Â°C']]]-Table3[[#This Row],[4402]]</f>
        <v>0</v>
      </c>
      <c r="Y1535">
        <f>DataLog_T717420_Aug11_4_59_37pm[[#This Row],[INTAKE TEMP '[Â°C']]]-Table3[[#This Row],[580F]]</f>
        <v>0</v>
      </c>
      <c r="Z1535">
        <f>DataLog_T717420_Aug11_4_59_37pm[[#This Row],[HPFP PRES. '[BAR']]]-Table3[[#This Row],[58F0]]</f>
        <v>0</v>
      </c>
      <c r="AA1535">
        <f>DataLog_T717420_Aug11_4_59_37pm[[#This Row],[COOLANT TEMP '[Â°C']]]-Table3[[#This Row],[5805]]</f>
        <v>0</v>
      </c>
      <c r="AB1535">
        <f>DataLog_T717420_Aug11_4_59_37pm[[#This Row],[BOOST '[BAR']]]-Table3[[#This Row],[58DD]]</f>
        <v>0</v>
      </c>
    </row>
    <row r="1536" spans="2:28" x14ac:dyDescent="0.25">
      <c r="B1536" s="2" t="s">
        <v>189</v>
      </c>
      <c r="C1536" s="2" t="s">
        <v>262</v>
      </c>
      <c r="D1536" s="2" t="s">
        <v>151</v>
      </c>
      <c r="E1536" s="2" t="s">
        <v>93</v>
      </c>
      <c r="F1536" s="2" t="s">
        <v>292</v>
      </c>
      <c r="G1536" s="2" t="s">
        <v>190</v>
      </c>
      <c r="I1536">
        <f>HEX2DEC(_0811_173439[[#This Row],[580C]])*B$4/B$5+B$6</f>
        <v>760</v>
      </c>
      <c r="J1536">
        <f>HEX2DEC(_0811_173439[[#This Row],[4402]])*C$4/C$5+C$6</f>
        <v>37</v>
      </c>
      <c r="K1536">
        <f>HEX2DEC(_0811_173439[[#This Row],[580F]])*D$4/D$5+D$6</f>
        <v>30</v>
      </c>
      <c r="L1536">
        <f>ROUND(HEX2DEC(_0811_173439[[#This Row],[58F0]])*E$4/E$5+E$6,0)</f>
        <v>70</v>
      </c>
      <c r="M1536">
        <f>ROUND(HEX2DEC(_0811_173439[[#This Row],[5805]])*F$4/F$5+F$6,0)</f>
        <v>45</v>
      </c>
      <c r="N1536">
        <f>ROUND(HEX2DEC(_0811_173439[[#This Row],[58DD]])*G$4/G$5+G$6,2)</f>
        <v>-0.03</v>
      </c>
      <c r="P1536">
        <v>760</v>
      </c>
      <c r="Q1536">
        <v>37</v>
      </c>
      <c r="R1536">
        <v>30</v>
      </c>
      <c r="S1536">
        <v>70</v>
      </c>
      <c r="T1536">
        <v>45</v>
      </c>
      <c r="U1536">
        <v>-0.03</v>
      </c>
      <c r="W1536">
        <f>DataLog_T717420_Aug11_4_59_37pm[[#This Row],[RPM '[1/MIN']]]-Table3[[#This Row],[580C]]</f>
        <v>0</v>
      </c>
      <c r="X1536">
        <f>DataLog_T717420_Aug11_4_59_37pm[[#This Row],[OIL TEMP '[Â°C']]]-Table3[[#This Row],[4402]]</f>
        <v>0</v>
      </c>
      <c r="Y1536">
        <f>DataLog_T717420_Aug11_4_59_37pm[[#This Row],[INTAKE TEMP '[Â°C']]]-Table3[[#This Row],[580F]]</f>
        <v>0</v>
      </c>
      <c r="Z1536">
        <f>DataLog_T717420_Aug11_4_59_37pm[[#This Row],[HPFP PRES. '[BAR']]]-Table3[[#This Row],[58F0]]</f>
        <v>0</v>
      </c>
      <c r="AA1536">
        <f>DataLog_T717420_Aug11_4_59_37pm[[#This Row],[COOLANT TEMP '[Â°C']]]-Table3[[#This Row],[5805]]</f>
        <v>0</v>
      </c>
      <c r="AB1536">
        <f>DataLog_T717420_Aug11_4_59_37pm[[#This Row],[BOOST '[BAR']]]-Table3[[#This Row],[58DD]]</f>
        <v>0</v>
      </c>
    </row>
    <row r="1537" spans="2:28" x14ac:dyDescent="0.25">
      <c r="B1537" s="2" t="s">
        <v>189</v>
      </c>
      <c r="C1537" s="2" t="s">
        <v>262</v>
      </c>
      <c r="D1537" s="2" t="s">
        <v>151</v>
      </c>
      <c r="E1537" s="2" t="s">
        <v>119</v>
      </c>
      <c r="F1537" s="2" t="s">
        <v>292</v>
      </c>
      <c r="G1537" s="2" t="s">
        <v>213</v>
      </c>
      <c r="I1537">
        <f>HEX2DEC(_0811_173439[[#This Row],[580C]])*B$4/B$5+B$6</f>
        <v>760</v>
      </c>
      <c r="J1537">
        <f>HEX2DEC(_0811_173439[[#This Row],[4402]])*C$4/C$5+C$6</f>
        <v>37</v>
      </c>
      <c r="K1537">
        <f>HEX2DEC(_0811_173439[[#This Row],[580F]])*D$4/D$5+D$6</f>
        <v>30</v>
      </c>
      <c r="L1537">
        <f>ROUND(HEX2DEC(_0811_173439[[#This Row],[58F0]])*E$4/E$5+E$6,0)</f>
        <v>71</v>
      </c>
      <c r="M1537">
        <f>ROUND(HEX2DEC(_0811_173439[[#This Row],[5805]])*F$4/F$5+F$6,0)</f>
        <v>45</v>
      </c>
      <c r="N1537">
        <f>ROUND(HEX2DEC(_0811_173439[[#This Row],[58DD]])*G$4/G$5+G$6,2)</f>
        <v>-0.03</v>
      </c>
      <c r="P1537">
        <v>760</v>
      </c>
      <c r="Q1537">
        <v>37</v>
      </c>
      <c r="R1537">
        <v>30</v>
      </c>
      <c r="S1537">
        <v>71</v>
      </c>
      <c r="T1537">
        <v>45</v>
      </c>
      <c r="U1537">
        <v>-0.03</v>
      </c>
      <c r="W1537">
        <f>DataLog_T717420_Aug11_4_59_37pm[[#This Row],[RPM '[1/MIN']]]-Table3[[#This Row],[580C]]</f>
        <v>0</v>
      </c>
      <c r="X1537">
        <f>DataLog_T717420_Aug11_4_59_37pm[[#This Row],[OIL TEMP '[Â°C']]]-Table3[[#This Row],[4402]]</f>
        <v>0</v>
      </c>
      <c r="Y1537">
        <f>DataLog_T717420_Aug11_4_59_37pm[[#This Row],[INTAKE TEMP '[Â°C']]]-Table3[[#This Row],[580F]]</f>
        <v>0</v>
      </c>
      <c r="Z1537">
        <f>DataLog_T717420_Aug11_4_59_37pm[[#This Row],[HPFP PRES. '[BAR']]]-Table3[[#This Row],[58F0]]</f>
        <v>0</v>
      </c>
      <c r="AA1537">
        <f>DataLog_T717420_Aug11_4_59_37pm[[#This Row],[COOLANT TEMP '[Â°C']]]-Table3[[#This Row],[5805]]</f>
        <v>0</v>
      </c>
      <c r="AB1537">
        <f>DataLog_T717420_Aug11_4_59_37pm[[#This Row],[BOOST '[BAR']]]-Table3[[#This Row],[58DD]]</f>
        <v>0</v>
      </c>
    </row>
    <row r="1538" spans="2:28" x14ac:dyDescent="0.25">
      <c r="B1538" s="2" t="s">
        <v>189</v>
      </c>
      <c r="C1538" s="2" t="s">
        <v>262</v>
      </c>
      <c r="D1538" s="2" t="s">
        <v>151</v>
      </c>
      <c r="E1538" s="2" t="s">
        <v>126</v>
      </c>
      <c r="F1538" s="2" t="s">
        <v>292</v>
      </c>
      <c r="G1538" s="2" t="s">
        <v>190</v>
      </c>
      <c r="I1538">
        <f>HEX2DEC(_0811_173439[[#This Row],[580C]])*B$4/B$5+B$6</f>
        <v>760</v>
      </c>
      <c r="J1538">
        <f>HEX2DEC(_0811_173439[[#This Row],[4402]])*C$4/C$5+C$6</f>
        <v>37</v>
      </c>
      <c r="K1538">
        <f>HEX2DEC(_0811_173439[[#This Row],[580F]])*D$4/D$5+D$6</f>
        <v>30</v>
      </c>
      <c r="L1538">
        <f>ROUND(HEX2DEC(_0811_173439[[#This Row],[58F0]])*E$4/E$5+E$6,0)</f>
        <v>71</v>
      </c>
      <c r="M1538">
        <f>ROUND(HEX2DEC(_0811_173439[[#This Row],[5805]])*F$4/F$5+F$6,0)</f>
        <v>45</v>
      </c>
      <c r="N1538">
        <f>ROUND(HEX2DEC(_0811_173439[[#This Row],[58DD]])*G$4/G$5+G$6,2)</f>
        <v>-0.03</v>
      </c>
      <c r="P1538">
        <v>760</v>
      </c>
      <c r="Q1538">
        <v>37</v>
      </c>
      <c r="R1538">
        <v>30</v>
      </c>
      <c r="S1538">
        <v>71</v>
      </c>
      <c r="T1538">
        <v>45</v>
      </c>
      <c r="U1538">
        <v>-0.03</v>
      </c>
      <c r="W1538">
        <f>DataLog_T717420_Aug11_4_59_37pm[[#This Row],[RPM '[1/MIN']]]-Table3[[#This Row],[580C]]</f>
        <v>0</v>
      </c>
      <c r="X1538">
        <f>DataLog_T717420_Aug11_4_59_37pm[[#This Row],[OIL TEMP '[Â°C']]]-Table3[[#This Row],[4402]]</f>
        <v>0</v>
      </c>
      <c r="Y1538">
        <f>DataLog_T717420_Aug11_4_59_37pm[[#This Row],[INTAKE TEMP '[Â°C']]]-Table3[[#This Row],[580F]]</f>
        <v>0</v>
      </c>
      <c r="Z1538">
        <f>DataLog_T717420_Aug11_4_59_37pm[[#This Row],[HPFP PRES. '[BAR']]]-Table3[[#This Row],[58F0]]</f>
        <v>0</v>
      </c>
      <c r="AA1538">
        <f>DataLog_T717420_Aug11_4_59_37pm[[#This Row],[COOLANT TEMP '[Â°C']]]-Table3[[#This Row],[5805]]</f>
        <v>0</v>
      </c>
      <c r="AB1538">
        <f>DataLog_T717420_Aug11_4_59_37pm[[#This Row],[BOOST '[BAR']]]-Table3[[#This Row],[58DD]]</f>
        <v>0</v>
      </c>
    </row>
    <row r="1539" spans="2:28" x14ac:dyDescent="0.25">
      <c r="B1539" s="2" t="s">
        <v>189</v>
      </c>
      <c r="C1539" s="2" t="s">
        <v>262</v>
      </c>
      <c r="D1539" s="2" t="s">
        <v>151</v>
      </c>
      <c r="E1539" s="2" t="s">
        <v>207</v>
      </c>
      <c r="F1539" s="2" t="s">
        <v>292</v>
      </c>
      <c r="G1539" s="2" t="s">
        <v>53</v>
      </c>
      <c r="I1539">
        <f>HEX2DEC(_0811_173439[[#This Row],[580C]])*B$4/B$5+B$6</f>
        <v>760</v>
      </c>
      <c r="J1539">
        <f>HEX2DEC(_0811_173439[[#This Row],[4402]])*C$4/C$5+C$6</f>
        <v>37</v>
      </c>
      <c r="K1539">
        <f>HEX2DEC(_0811_173439[[#This Row],[580F]])*D$4/D$5+D$6</f>
        <v>30</v>
      </c>
      <c r="L1539">
        <f>ROUND(HEX2DEC(_0811_173439[[#This Row],[58F0]])*E$4/E$5+E$6,0)</f>
        <v>70</v>
      </c>
      <c r="M1539">
        <f>ROUND(HEX2DEC(_0811_173439[[#This Row],[5805]])*F$4/F$5+F$6,0)</f>
        <v>45</v>
      </c>
      <c r="N1539">
        <f>ROUND(HEX2DEC(_0811_173439[[#This Row],[58DD]])*G$4/G$5+G$6,2)</f>
        <v>-0.03</v>
      </c>
      <c r="P1539">
        <v>760</v>
      </c>
      <c r="Q1539">
        <v>37</v>
      </c>
      <c r="R1539">
        <v>30</v>
      </c>
      <c r="S1539">
        <v>70</v>
      </c>
      <c r="T1539">
        <v>45</v>
      </c>
      <c r="U1539">
        <v>-0.03</v>
      </c>
      <c r="W1539">
        <f>DataLog_T717420_Aug11_4_59_37pm[[#This Row],[RPM '[1/MIN']]]-Table3[[#This Row],[580C]]</f>
        <v>0</v>
      </c>
      <c r="X1539">
        <f>DataLog_T717420_Aug11_4_59_37pm[[#This Row],[OIL TEMP '[Â°C']]]-Table3[[#This Row],[4402]]</f>
        <v>0</v>
      </c>
      <c r="Y1539">
        <f>DataLog_T717420_Aug11_4_59_37pm[[#This Row],[INTAKE TEMP '[Â°C']]]-Table3[[#This Row],[580F]]</f>
        <v>0</v>
      </c>
      <c r="Z1539">
        <f>DataLog_T717420_Aug11_4_59_37pm[[#This Row],[HPFP PRES. '[BAR']]]-Table3[[#This Row],[58F0]]</f>
        <v>0</v>
      </c>
      <c r="AA1539">
        <f>DataLog_T717420_Aug11_4_59_37pm[[#This Row],[COOLANT TEMP '[Â°C']]]-Table3[[#This Row],[5805]]</f>
        <v>0</v>
      </c>
      <c r="AB1539">
        <f>DataLog_T717420_Aug11_4_59_37pm[[#This Row],[BOOST '[BAR']]]-Table3[[#This Row],[58DD]]</f>
        <v>0</v>
      </c>
    </row>
    <row r="1540" spans="2:28" x14ac:dyDescent="0.25">
      <c r="B1540" s="2" t="s">
        <v>189</v>
      </c>
      <c r="C1540" s="2" t="s">
        <v>262</v>
      </c>
      <c r="D1540" s="2" t="s">
        <v>151</v>
      </c>
      <c r="E1540" s="2" t="s">
        <v>172</v>
      </c>
      <c r="F1540" s="2" t="s">
        <v>292</v>
      </c>
      <c r="G1540" s="2" t="s">
        <v>216</v>
      </c>
      <c r="I1540">
        <f>HEX2DEC(_0811_173439[[#This Row],[580C]])*B$4/B$5+B$6</f>
        <v>760</v>
      </c>
      <c r="J1540">
        <f>HEX2DEC(_0811_173439[[#This Row],[4402]])*C$4/C$5+C$6</f>
        <v>37</v>
      </c>
      <c r="K1540">
        <f>HEX2DEC(_0811_173439[[#This Row],[580F]])*D$4/D$5+D$6</f>
        <v>30</v>
      </c>
      <c r="L1540">
        <f>ROUND(HEX2DEC(_0811_173439[[#This Row],[58F0]])*E$4/E$5+E$6,0)</f>
        <v>70</v>
      </c>
      <c r="M1540">
        <f>ROUND(HEX2DEC(_0811_173439[[#This Row],[5805]])*F$4/F$5+F$6,0)</f>
        <v>45</v>
      </c>
      <c r="N1540">
        <f>ROUND(HEX2DEC(_0811_173439[[#This Row],[58DD]])*G$4/G$5+G$6,2)</f>
        <v>-0.03</v>
      </c>
      <c r="P1540">
        <v>760</v>
      </c>
      <c r="Q1540">
        <v>37</v>
      </c>
      <c r="R1540">
        <v>30</v>
      </c>
      <c r="S1540">
        <v>70</v>
      </c>
      <c r="T1540">
        <v>45</v>
      </c>
      <c r="U1540">
        <v>-0.03</v>
      </c>
      <c r="W1540">
        <f>DataLog_T717420_Aug11_4_59_37pm[[#This Row],[RPM '[1/MIN']]]-Table3[[#This Row],[580C]]</f>
        <v>0</v>
      </c>
      <c r="X1540">
        <f>DataLog_T717420_Aug11_4_59_37pm[[#This Row],[OIL TEMP '[Â°C']]]-Table3[[#This Row],[4402]]</f>
        <v>0</v>
      </c>
      <c r="Y1540">
        <f>DataLog_T717420_Aug11_4_59_37pm[[#This Row],[INTAKE TEMP '[Â°C']]]-Table3[[#This Row],[580F]]</f>
        <v>0</v>
      </c>
      <c r="Z1540">
        <f>DataLog_T717420_Aug11_4_59_37pm[[#This Row],[HPFP PRES. '[BAR']]]-Table3[[#This Row],[58F0]]</f>
        <v>0</v>
      </c>
      <c r="AA1540">
        <f>DataLog_T717420_Aug11_4_59_37pm[[#This Row],[COOLANT TEMP '[Â°C']]]-Table3[[#This Row],[5805]]</f>
        <v>0</v>
      </c>
      <c r="AB1540">
        <f>DataLog_T717420_Aug11_4_59_37pm[[#This Row],[BOOST '[BAR']]]-Table3[[#This Row],[58DD]]</f>
        <v>0</v>
      </c>
    </row>
    <row r="1541" spans="2:28" x14ac:dyDescent="0.25">
      <c r="B1541" s="2" t="s">
        <v>189</v>
      </c>
      <c r="C1541" s="2" t="s">
        <v>262</v>
      </c>
      <c r="D1541" s="2" t="s">
        <v>151</v>
      </c>
      <c r="E1541" s="2" t="s">
        <v>118</v>
      </c>
      <c r="F1541" s="2" t="s">
        <v>292</v>
      </c>
      <c r="G1541" s="2" t="s">
        <v>71</v>
      </c>
      <c r="I1541">
        <f>HEX2DEC(_0811_173439[[#This Row],[580C]])*B$4/B$5+B$6</f>
        <v>760</v>
      </c>
      <c r="J1541">
        <f>HEX2DEC(_0811_173439[[#This Row],[4402]])*C$4/C$5+C$6</f>
        <v>37</v>
      </c>
      <c r="K1541">
        <f>HEX2DEC(_0811_173439[[#This Row],[580F]])*D$4/D$5+D$6</f>
        <v>30</v>
      </c>
      <c r="L1541">
        <f>ROUND(HEX2DEC(_0811_173439[[#This Row],[58F0]])*E$4/E$5+E$6,0)</f>
        <v>70</v>
      </c>
      <c r="M1541">
        <f>ROUND(HEX2DEC(_0811_173439[[#This Row],[5805]])*F$4/F$5+F$6,0)</f>
        <v>45</v>
      </c>
      <c r="N1541">
        <f>ROUND(HEX2DEC(_0811_173439[[#This Row],[58DD]])*G$4/G$5+G$6,2)</f>
        <v>-0.03</v>
      </c>
      <c r="P1541">
        <v>760</v>
      </c>
      <c r="Q1541">
        <v>37</v>
      </c>
      <c r="R1541">
        <v>30</v>
      </c>
      <c r="S1541">
        <v>70</v>
      </c>
      <c r="T1541">
        <v>45</v>
      </c>
      <c r="U1541">
        <v>-0.03</v>
      </c>
      <c r="W1541">
        <f>DataLog_T717420_Aug11_4_59_37pm[[#This Row],[RPM '[1/MIN']]]-Table3[[#This Row],[580C]]</f>
        <v>0</v>
      </c>
      <c r="X1541">
        <f>DataLog_T717420_Aug11_4_59_37pm[[#This Row],[OIL TEMP '[Â°C']]]-Table3[[#This Row],[4402]]</f>
        <v>0</v>
      </c>
      <c r="Y1541">
        <f>DataLog_T717420_Aug11_4_59_37pm[[#This Row],[INTAKE TEMP '[Â°C']]]-Table3[[#This Row],[580F]]</f>
        <v>0</v>
      </c>
      <c r="Z1541">
        <f>DataLog_T717420_Aug11_4_59_37pm[[#This Row],[HPFP PRES. '[BAR']]]-Table3[[#This Row],[58F0]]</f>
        <v>0</v>
      </c>
      <c r="AA1541">
        <f>DataLog_T717420_Aug11_4_59_37pm[[#This Row],[COOLANT TEMP '[Â°C']]]-Table3[[#This Row],[5805]]</f>
        <v>0</v>
      </c>
      <c r="AB1541">
        <f>DataLog_T717420_Aug11_4_59_37pm[[#This Row],[BOOST '[BAR']]]-Table3[[#This Row],[58DD]]</f>
        <v>0</v>
      </c>
    </row>
    <row r="1542" spans="2:28" x14ac:dyDescent="0.25">
      <c r="B1542" s="2" t="s">
        <v>189</v>
      </c>
      <c r="C1542" s="2" t="s">
        <v>262</v>
      </c>
      <c r="D1542" s="2" t="s">
        <v>151</v>
      </c>
      <c r="E1542" s="2" t="s">
        <v>221</v>
      </c>
      <c r="F1542" s="2" t="s">
        <v>292</v>
      </c>
      <c r="G1542" s="2" t="s">
        <v>71</v>
      </c>
      <c r="I1542">
        <f>HEX2DEC(_0811_173439[[#This Row],[580C]])*B$4/B$5+B$6</f>
        <v>760</v>
      </c>
      <c r="J1542">
        <f>HEX2DEC(_0811_173439[[#This Row],[4402]])*C$4/C$5+C$6</f>
        <v>37</v>
      </c>
      <c r="K1542">
        <f>HEX2DEC(_0811_173439[[#This Row],[580F]])*D$4/D$5+D$6</f>
        <v>30</v>
      </c>
      <c r="L1542">
        <f>ROUND(HEX2DEC(_0811_173439[[#This Row],[58F0]])*E$4/E$5+E$6,0)</f>
        <v>70</v>
      </c>
      <c r="M1542">
        <f>ROUND(HEX2DEC(_0811_173439[[#This Row],[5805]])*F$4/F$5+F$6,0)</f>
        <v>45</v>
      </c>
      <c r="N1542">
        <f>ROUND(HEX2DEC(_0811_173439[[#This Row],[58DD]])*G$4/G$5+G$6,2)</f>
        <v>-0.03</v>
      </c>
      <c r="P1542">
        <v>760</v>
      </c>
      <c r="Q1542">
        <v>37</v>
      </c>
      <c r="R1542">
        <v>30</v>
      </c>
      <c r="S1542">
        <v>70</v>
      </c>
      <c r="T1542">
        <v>45</v>
      </c>
      <c r="U1542">
        <v>-0.03</v>
      </c>
      <c r="W1542">
        <f>DataLog_T717420_Aug11_4_59_37pm[[#This Row],[RPM '[1/MIN']]]-Table3[[#This Row],[580C]]</f>
        <v>0</v>
      </c>
      <c r="X1542">
        <f>DataLog_T717420_Aug11_4_59_37pm[[#This Row],[OIL TEMP '[Â°C']]]-Table3[[#This Row],[4402]]</f>
        <v>0</v>
      </c>
      <c r="Y1542">
        <f>DataLog_T717420_Aug11_4_59_37pm[[#This Row],[INTAKE TEMP '[Â°C']]]-Table3[[#This Row],[580F]]</f>
        <v>0</v>
      </c>
      <c r="Z1542">
        <f>DataLog_T717420_Aug11_4_59_37pm[[#This Row],[HPFP PRES. '[BAR']]]-Table3[[#This Row],[58F0]]</f>
        <v>0</v>
      </c>
      <c r="AA1542">
        <f>DataLog_T717420_Aug11_4_59_37pm[[#This Row],[COOLANT TEMP '[Â°C']]]-Table3[[#This Row],[5805]]</f>
        <v>0</v>
      </c>
      <c r="AB1542">
        <f>DataLog_T717420_Aug11_4_59_37pm[[#This Row],[BOOST '[BAR']]]-Table3[[#This Row],[58DD]]</f>
        <v>0</v>
      </c>
    </row>
    <row r="1543" spans="2:28" x14ac:dyDescent="0.25">
      <c r="B1543" s="2" t="s">
        <v>189</v>
      </c>
      <c r="C1543" s="2" t="s">
        <v>262</v>
      </c>
      <c r="D1543" s="2" t="s">
        <v>151</v>
      </c>
      <c r="E1543" s="2" t="s">
        <v>388</v>
      </c>
      <c r="F1543" s="2" t="s">
        <v>292</v>
      </c>
      <c r="G1543" s="2" t="s">
        <v>216</v>
      </c>
      <c r="I1543">
        <f>HEX2DEC(_0811_173439[[#This Row],[580C]])*B$4/B$5+B$6</f>
        <v>760</v>
      </c>
      <c r="J1543">
        <f>HEX2DEC(_0811_173439[[#This Row],[4402]])*C$4/C$5+C$6</f>
        <v>37</v>
      </c>
      <c r="K1543">
        <f>HEX2DEC(_0811_173439[[#This Row],[580F]])*D$4/D$5+D$6</f>
        <v>30</v>
      </c>
      <c r="L1543">
        <f>ROUND(HEX2DEC(_0811_173439[[#This Row],[58F0]])*E$4/E$5+E$6,0)</f>
        <v>69</v>
      </c>
      <c r="M1543">
        <f>ROUND(HEX2DEC(_0811_173439[[#This Row],[5805]])*F$4/F$5+F$6,0)</f>
        <v>45</v>
      </c>
      <c r="N1543">
        <f>ROUND(HEX2DEC(_0811_173439[[#This Row],[58DD]])*G$4/G$5+G$6,2)</f>
        <v>-0.03</v>
      </c>
      <c r="P1543">
        <v>760</v>
      </c>
      <c r="Q1543">
        <v>37</v>
      </c>
      <c r="R1543">
        <v>30</v>
      </c>
      <c r="S1543">
        <v>69</v>
      </c>
      <c r="T1543">
        <v>45</v>
      </c>
      <c r="U1543">
        <v>-0.03</v>
      </c>
      <c r="W1543">
        <f>DataLog_T717420_Aug11_4_59_37pm[[#This Row],[RPM '[1/MIN']]]-Table3[[#This Row],[580C]]</f>
        <v>0</v>
      </c>
      <c r="X1543">
        <f>DataLog_T717420_Aug11_4_59_37pm[[#This Row],[OIL TEMP '[Â°C']]]-Table3[[#This Row],[4402]]</f>
        <v>0</v>
      </c>
      <c r="Y1543">
        <f>DataLog_T717420_Aug11_4_59_37pm[[#This Row],[INTAKE TEMP '[Â°C']]]-Table3[[#This Row],[580F]]</f>
        <v>0</v>
      </c>
      <c r="Z1543">
        <f>DataLog_T717420_Aug11_4_59_37pm[[#This Row],[HPFP PRES. '[BAR']]]-Table3[[#This Row],[58F0]]</f>
        <v>0</v>
      </c>
      <c r="AA1543">
        <f>DataLog_T717420_Aug11_4_59_37pm[[#This Row],[COOLANT TEMP '[Â°C']]]-Table3[[#This Row],[5805]]</f>
        <v>0</v>
      </c>
      <c r="AB1543">
        <f>DataLog_T717420_Aug11_4_59_37pm[[#This Row],[BOOST '[BAR']]]-Table3[[#This Row],[58DD]]</f>
        <v>0</v>
      </c>
    </row>
    <row r="1544" spans="2:28" x14ac:dyDescent="0.25">
      <c r="B1544" s="2" t="s">
        <v>189</v>
      </c>
      <c r="C1544" s="2" t="s">
        <v>262</v>
      </c>
      <c r="D1544" s="2" t="s">
        <v>151</v>
      </c>
      <c r="E1544" s="2" t="s">
        <v>214</v>
      </c>
      <c r="F1544" s="2" t="s">
        <v>292</v>
      </c>
      <c r="G1544" s="2" t="s">
        <v>96</v>
      </c>
      <c r="I1544">
        <f>HEX2DEC(_0811_173439[[#This Row],[580C]])*B$4/B$5+B$6</f>
        <v>760</v>
      </c>
      <c r="J1544">
        <f>HEX2DEC(_0811_173439[[#This Row],[4402]])*C$4/C$5+C$6</f>
        <v>37</v>
      </c>
      <c r="K1544">
        <f>HEX2DEC(_0811_173439[[#This Row],[580F]])*D$4/D$5+D$6</f>
        <v>30</v>
      </c>
      <c r="L1544">
        <f>ROUND(HEX2DEC(_0811_173439[[#This Row],[58F0]])*E$4/E$5+E$6,0)</f>
        <v>70</v>
      </c>
      <c r="M1544">
        <f>ROUND(HEX2DEC(_0811_173439[[#This Row],[5805]])*F$4/F$5+F$6,0)</f>
        <v>45</v>
      </c>
      <c r="N1544">
        <f>ROUND(HEX2DEC(_0811_173439[[#This Row],[58DD]])*G$4/G$5+G$6,2)</f>
        <v>-0.03</v>
      </c>
      <c r="P1544">
        <v>760</v>
      </c>
      <c r="Q1544">
        <v>37</v>
      </c>
      <c r="R1544">
        <v>30</v>
      </c>
      <c r="S1544">
        <v>70</v>
      </c>
      <c r="T1544">
        <v>45</v>
      </c>
      <c r="U1544">
        <v>-0.03</v>
      </c>
      <c r="W1544">
        <f>DataLog_T717420_Aug11_4_59_37pm[[#This Row],[RPM '[1/MIN']]]-Table3[[#This Row],[580C]]</f>
        <v>0</v>
      </c>
      <c r="X1544">
        <f>DataLog_T717420_Aug11_4_59_37pm[[#This Row],[OIL TEMP '[Â°C']]]-Table3[[#This Row],[4402]]</f>
        <v>0</v>
      </c>
      <c r="Y1544">
        <f>DataLog_T717420_Aug11_4_59_37pm[[#This Row],[INTAKE TEMP '[Â°C']]]-Table3[[#This Row],[580F]]</f>
        <v>0</v>
      </c>
      <c r="Z1544">
        <f>DataLog_T717420_Aug11_4_59_37pm[[#This Row],[HPFP PRES. '[BAR']]]-Table3[[#This Row],[58F0]]</f>
        <v>0</v>
      </c>
      <c r="AA1544">
        <f>DataLog_T717420_Aug11_4_59_37pm[[#This Row],[COOLANT TEMP '[Â°C']]]-Table3[[#This Row],[5805]]</f>
        <v>0</v>
      </c>
      <c r="AB1544">
        <f>DataLog_T717420_Aug11_4_59_37pm[[#This Row],[BOOST '[BAR']]]-Table3[[#This Row],[58DD]]</f>
        <v>0</v>
      </c>
    </row>
    <row r="1545" spans="2:28" x14ac:dyDescent="0.25">
      <c r="B1545" s="2" t="s">
        <v>189</v>
      </c>
      <c r="C1545" s="2" t="s">
        <v>262</v>
      </c>
      <c r="D1545" s="2" t="s">
        <v>151</v>
      </c>
      <c r="E1545" s="2" t="s">
        <v>93</v>
      </c>
      <c r="F1545" s="2" t="s">
        <v>292</v>
      </c>
      <c r="G1545" s="2" t="s">
        <v>191</v>
      </c>
      <c r="I1545">
        <f>HEX2DEC(_0811_173439[[#This Row],[580C]])*B$4/B$5+B$6</f>
        <v>760</v>
      </c>
      <c r="J1545">
        <f>HEX2DEC(_0811_173439[[#This Row],[4402]])*C$4/C$5+C$6</f>
        <v>37</v>
      </c>
      <c r="K1545">
        <f>HEX2DEC(_0811_173439[[#This Row],[580F]])*D$4/D$5+D$6</f>
        <v>30</v>
      </c>
      <c r="L1545">
        <f>ROUND(HEX2DEC(_0811_173439[[#This Row],[58F0]])*E$4/E$5+E$6,0)</f>
        <v>70</v>
      </c>
      <c r="M1545">
        <f>ROUND(HEX2DEC(_0811_173439[[#This Row],[5805]])*F$4/F$5+F$6,0)</f>
        <v>45</v>
      </c>
      <c r="N1545">
        <f>ROUND(HEX2DEC(_0811_173439[[#This Row],[58DD]])*G$4/G$5+G$6,2)</f>
        <v>-0.03</v>
      </c>
      <c r="P1545">
        <v>760</v>
      </c>
      <c r="Q1545">
        <v>37</v>
      </c>
      <c r="R1545">
        <v>30</v>
      </c>
      <c r="S1545">
        <v>70</v>
      </c>
      <c r="T1545">
        <v>45</v>
      </c>
      <c r="U1545">
        <v>-0.03</v>
      </c>
      <c r="W1545">
        <f>DataLog_T717420_Aug11_4_59_37pm[[#This Row],[RPM '[1/MIN']]]-Table3[[#This Row],[580C]]</f>
        <v>0</v>
      </c>
      <c r="X1545">
        <f>DataLog_T717420_Aug11_4_59_37pm[[#This Row],[OIL TEMP '[Â°C']]]-Table3[[#This Row],[4402]]</f>
        <v>0</v>
      </c>
      <c r="Y1545">
        <f>DataLog_T717420_Aug11_4_59_37pm[[#This Row],[INTAKE TEMP '[Â°C']]]-Table3[[#This Row],[580F]]</f>
        <v>0</v>
      </c>
      <c r="Z1545">
        <f>DataLog_T717420_Aug11_4_59_37pm[[#This Row],[HPFP PRES. '[BAR']]]-Table3[[#This Row],[58F0]]</f>
        <v>0</v>
      </c>
      <c r="AA1545">
        <f>DataLog_T717420_Aug11_4_59_37pm[[#This Row],[COOLANT TEMP '[Â°C']]]-Table3[[#This Row],[5805]]</f>
        <v>0</v>
      </c>
      <c r="AB1545">
        <f>DataLog_T717420_Aug11_4_59_37pm[[#This Row],[BOOST '[BAR']]]-Table3[[#This Row],[58DD]]</f>
        <v>0</v>
      </c>
    </row>
    <row r="1546" spans="2:28" x14ac:dyDescent="0.25">
      <c r="B1546" s="2" t="s">
        <v>189</v>
      </c>
      <c r="C1546" s="2" t="s">
        <v>262</v>
      </c>
      <c r="D1546" s="2" t="s">
        <v>151</v>
      </c>
      <c r="E1546" s="2" t="s">
        <v>201</v>
      </c>
      <c r="F1546" s="2" t="s">
        <v>292</v>
      </c>
      <c r="G1546" s="2" t="s">
        <v>216</v>
      </c>
      <c r="I1546">
        <f>HEX2DEC(_0811_173439[[#This Row],[580C]])*B$4/B$5+B$6</f>
        <v>760</v>
      </c>
      <c r="J1546">
        <f>HEX2DEC(_0811_173439[[#This Row],[4402]])*C$4/C$5+C$6</f>
        <v>37</v>
      </c>
      <c r="K1546">
        <f>HEX2DEC(_0811_173439[[#This Row],[580F]])*D$4/D$5+D$6</f>
        <v>30</v>
      </c>
      <c r="L1546">
        <f>ROUND(HEX2DEC(_0811_173439[[#This Row],[58F0]])*E$4/E$5+E$6,0)</f>
        <v>69</v>
      </c>
      <c r="M1546">
        <f>ROUND(HEX2DEC(_0811_173439[[#This Row],[5805]])*F$4/F$5+F$6,0)</f>
        <v>45</v>
      </c>
      <c r="N1546">
        <f>ROUND(HEX2DEC(_0811_173439[[#This Row],[58DD]])*G$4/G$5+G$6,2)</f>
        <v>-0.03</v>
      </c>
      <c r="P1546">
        <v>760</v>
      </c>
      <c r="Q1546">
        <v>37</v>
      </c>
      <c r="R1546">
        <v>30</v>
      </c>
      <c r="S1546">
        <v>69</v>
      </c>
      <c r="T1546">
        <v>45</v>
      </c>
      <c r="U1546">
        <v>-0.03</v>
      </c>
      <c r="W1546">
        <f>DataLog_T717420_Aug11_4_59_37pm[[#This Row],[RPM '[1/MIN']]]-Table3[[#This Row],[580C]]</f>
        <v>0</v>
      </c>
      <c r="X1546">
        <f>DataLog_T717420_Aug11_4_59_37pm[[#This Row],[OIL TEMP '[Â°C']]]-Table3[[#This Row],[4402]]</f>
        <v>0</v>
      </c>
      <c r="Y1546">
        <f>DataLog_T717420_Aug11_4_59_37pm[[#This Row],[INTAKE TEMP '[Â°C']]]-Table3[[#This Row],[580F]]</f>
        <v>0</v>
      </c>
      <c r="Z1546">
        <f>DataLog_T717420_Aug11_4_59_37pm[[#This Row],[HPFP PRES. '[BAR']]]-Table3[[#This Row],[58F0]]</f>
        <v>0</v>
      </c>
      <c r="AA1546">
        <f>DataLog_T717420_Aug11_4_59_37pm[[#This Row],[COOLANT TEMP '[Â°C']]]-Table3[[#This Row],[5805]]</f>
        <v>0</v>
      </c>
      <c r="AB1546">
        <f>DataLog_T717420_Aug11_4_59_37pm[[#This Row],[BOOST '[BAR']]]-Table3[[#This Row],[58DD]]</f>
        <v>0</v>
      </c>
    </row>
    <row r="1547" spans="2:28" x14ac:dyDescent="0.25">
      <c r="B1547" s="2" t="s">
        <v>189</v>
      </c>
      <c r="C1547" s="2" t="s">
        <v>262</v>
      </c>
      <c r="D1547" s="2" t="s">
        <v>151</v>
      </c>
      <c r="E1547" s="2" t="s">
        <v>93</v>
      </c>
      <c r="F1547" s="2" t="s">
        <v>393</v>
      </c>
      <c r="G1547" s="2" t="s">
        <v>191</v>
      </c>
      <c r="I1547">
        <f>HEX2DEC(_0811_173439[[#This Row],[580C]])*B$4/B$5+B$6</f>
        <v>760</v>
      </c>
      <c r="J1547">
        <f>HEX2DEC(_0811_173439[[#This Row],[4402]])*C$4/C$5+C$6</f>
        <v>37</v>
      </c>
      <c r="K1547">
        <f>HEX2DEC(_0811_173439[[#This Row],[580F]])*D$4/D$5+D$6</f>
        <v>30</v>
      </c>
      <c r="L1547">
        <f>ROUND(HEX2DEC(_0811_173439[[#This Row],[58F0]])*E$4/E$5+E$6,0)</f>
        <v>70</v>
      </c>
      <c r="M1547">
        <f>ROUND(HEX2DEC(_0811_173439[[#This Row],[5805]])*F$4/F$5+F$6,0)</f>
        <v>46</v>
      </c>
      <c r="N1547">
        <f>ROUND(HEX2DEC(_0811_173439[[#This Row],[58DD]])*G$4/G$5+G$6,2)</f>
        <v>-0.03</v>
      </c>
      <c r="P1547">
        <v>760</v>
      </c>
      <c r="Q1547">
        <v>37</v>
      </c>
      <c r="R1547">
        <v>30</v>
      </c>
      <c r="S1547">
        <v>70</v>
      </c>
      <c r="T1547">
        <v>46</v>
      </c>
      <c r="U1547">
        <v>-0.03</v>
      </c>
      <c r="W1547">
        <f>DataLog_T717420_Aug11_4_59_37pm[[#This Row],[RPM '[1/MIN']]]-Table3[[#This Row],[580C]]</f>
        <v>0</v>
      </c>
      <c r="X1547">
        <f>DataLog_T717420_Aug11_4_59_37pm[[#This Row],[OIL TEMP '[Â°C']]]-Table3[[#This Row],[4402]]</f>
        <v>0</v>
      </c>
      <c r="Y1547">
        <f>DataLog_T717420_Aug11_4_59_37pm[[#This Row],[INTAKE TEMP '[Â°C']]]-Table3[[#This Row],[580F]]</f>
        <v>0</v>
      </c>
      <c r="Z1547">
        <f>DataLog_T717420_Aug11_4_59_37pm[[#This Row],[HPFP PRES. '[BAR']]]-Table3[[#This Row],[58F0]]</f>
        <v>0</v>
      </c>
      <c r="AA1547">
        <f>DataLog_T717420_Aug11_4_59_37pm[[#This Row],[COOLANT TEMP '[Â°C']]]-Table3[[#This Row],[5805]]</f>
        <v>0</v>
      </c>
      <c r="AB1547">
        <f>DataLog_T717420_Aug11_4_59_37pm[[#This Row],[BOOST '[BAR']]]-Table3[[#This Row],[58DD]]</f>
        <v>0</v>
      </c>
    </row>
    <row r="1548" spans="2:28" x14ac:dyDescent="0.25">
      <c r="B1548" s="2" t="s">
        <v>189</v>
      </c>
      <c r="C1548" s="2" t="s">
        <v>262</v>
      </c>
      <c r="D1548" s="2" t="s">
        <v>151</v>
      </c>
      <c r="E1548" s="2" t="s">
        <v>199</v>
      </c>
      <c r="F1548" s="2" t="s">
        <v>393</v>
      </c>
      <c r="G1548" s="2" t="s">
        <v>191</v>
      </c>
      <c r="I1548">
        <f>HEX2DEC(_0811_173439[[#This Row],[580C]])*B$4/B$5+B$6</f>
        <v>760</v>
      </c>
      <c r="J1548">
        <f>HEX2DEC(_0811_173439[[#This Row],[4402]])*C$4/C$5+C$6</f>
        <v>37</v>
      </c>
      <c r="K1548">
        <f>HEX2DEC(_0811_173439[[#This Row],[580F]])*D$4/D$5+D$6</f>
        <v>30</v>
      </c>
      <c r="L1548">
        <f>ROUND(HEX2DEC(_0811_173439[[#This Row],[58F0]])*E$4/E$5+E$6,0)</f>
        <v>70</v>
      </c>
      <c r="M1548">
        <f>ROUND(HEX2DEC(_0811_173439[[#This Row],[5805]])*F$4/F$5+F$6,0)</f>
        <v>46</v>
      </c>
      <c r="N1548">
        <f>ROUND(HEX2DEC(_0811_173439[[#This Row],[58DD]])*G$4/G$5+G$6,2)</f>
        <v>-0.03</v>
      </c>
      <c r="P1548">
        <v>760</v>
      </c>
      <c r="Q1548">
        <v>37</v>
      </c>
      <c r="R1548">
        <v>30</v>
      </c>
      <c r="S1548">
        <v>70</v>
      </c>
      <c r="T1548">
        <v>46</v>
      </c>
      <c r="U1548">
        <v>-0.03</v>
      </c>
      <c r="W1548">
        <f>DataLog_T717420_Aug11_4_59_37pm[[#This Row],[RPM '[1/MIN']]]-Table3[[#This Row],[580C]]</f>
        <v>0</v>
      </c>
      <c r="X1548">
        <f>DataLog_T717420_Aug11_4_59_37pm[[#This Row],[OIL TEMP '[Â°C']]]-Table3[[#This Row],[4402]]</f>
        <v>0</v>
      </c>
      <c r="Y1548">
        <f>DataLog_T717420_Aug11_4_59_37pm[[#This Row],[INTAKE TEMP '[Â°C']]]-Table3[[#This Row],[580F]]</f>
        <v>0</v>
      </c>
      <c r="Z1548">
        <f>DataLog_T717420_Aug11_4_59_37pm[[#This Row],[HPFP PRES. '[BAR']]]-Table3[[#This Row],[58F0]]</f>
        <v>0</v>
      </c>
      <c r="AA1548">
        <f>DataLog_T717420_Aug11_4_59_37pm[[#This Row],[COOLANT TEMP '[Â°C']]]-Table3[[#This Row],[5805]]</f>
        <v>0</v>
      </c>
      <c r="AB1548">
        <f>DataLog_T717420_Aug11_4_59_37pm[[#This Row],[BOOST '[BAR']]]-Table3[[#This Row],[58DD]]</f>
        <v>0</v>
      </c>
    </row>
    <row r="1549" spans="2:28" x14ac:dyDescent="0.25">
      <c r="B1549" s="2" t="s">
        <v>189</v>
      </c>
      <c r="C1549" s="2" t="s">
        <v>262</v>
      </c>
      <c r="D1549" s="2" t="s">
        <v>151</v>
      </c>
      <c r="E1549" s="2" t="s">
        <v>93</v>
      </c>
      <c r="F1549" s="2" t="s">
        <v>292</v>
      </c>
      <c r="G1549" s="2" t="s">
        <v>191</v>
      </c>
      <c r="I1549">
        <f>HEX2DEC(_0811_173439[[#This Row],[580C]])*B$4/B$5+B$6</f>
        <v>760</v>
      </c>
      <c r="J1549">
        <f>HEX2DEC(_0811_173439[[#This Row],[4402]])*C$4/C$5+C$6</f>
        <v>37</v>
      </c>
      <c r="K1549">
        <f>HEX2DEC(_0811_173439[[#This Row],[580F]])*D$4/D$5+D$6</f>
        <v>30</v>
      </c>
      <c r="L1549">
        <f>ROUND(HEX2DEC(_0811_173439[[#This Row],[58F0]])*E$4/E$5+E$6,0)</f>
        <v>70</v>
      </c>
      <c r="M1549">
        <f>ROUND(HEX2DEC(_0811_173439[[#This Row],[5805]])*F$4/F$5+F$6,0)</f>
        <v>45</v>
      </c>
      <c r="N1549">
        <f>ROUND(HEX2DEC(_0811_173439[[#This Row],[58DD]])*G$4/G$5+G$6,2)</f>
        <v>-0.03</v>
      </c>
      <c r="P1549">
        <v>760</v>
      </c>
      <c r="Q1549">
        <v>37</v>
      </c>
      <c r="R1549">
        <v>30</v>
      </c>
      <c r="S1549">
        <v>70</v>
      </c>
      <c r="T1549">
        <v>45</v>
      </c>
      <c r="U1549">
        <v>-0.03</v>
      </c>
      <c r="W1549">
        <f>DataLog_T717420_Aug11_4_59_37pm[[#This Row],[RPM '[1/MIN']]]-Table3[[#This Row],[580C]]</f>
        <v>0</v>
      </c>
      <c r="X1549">
        <f>DataLog_T717420_Aug11_4_59_37pm[[#This Row],[OIL TEMP '[Â°C']]]-Table3[[#This Row],[4402]]</f>
        <v>0</v>
      </c>
      <c r="Y1549">
        <f>DataLog_T717420_Aug11_4_59_37pm[[#This Row],[INTAKE TEMP '[Â°C']]]-Table3[[#This Row],[580F]]</f>
        <v>0</v>
      </c>
      <c r="Z1549">
        <f>DataLog_T717420_Aug11_4_59_37pm[[#This Row],[HPFP PRES. '[BAR']]]-Table3[[#This Row],[58F0]]</f>
        <v>0</v>
      </c>
      <c r="AA1549">
        <f>DataLog_T717420_Aug11_4_59_37pm[[#This Row],[COOLANT TEMP '[Â°C']]]-Table3[[#This Row],[5805]]</f>
        <v>0</v>
      </c>
      <c r="AB1549">
        <f>DataLog_T717420_Aug11_4_59_37pm[[#This Row],[BOOST '[BAR']]]-Table3[[#This Row],[58DD]]</f>
        <v>0</v>
      </c>
    </row>
    <row r="1550" spans="2:28" x14ac:dyDescent="0.25">
      <c r="B1550" s="2" t="s">
        <v>189</v>
      </c>
      <c r="C1550" s="2" t="s">
        <v>262</v>
      </c>
      <c r="D1550" s="2" t="s">
        <v>151</v>
      </c>
      <c r="E1550" s="2" t="s">
        <v>122</v>
      </c>
      <c r="F1550" s="2" t="s">
        <v>292</v>
      </c>
      <c r="G1550" s="2" t="s">
        <v>53</v>
      </c>
      <c r="I1550">
        <f>HEX2DEC(_0811_173439[[#This Row],[580C]])*B$4/B$5+B$6</f>
        <v>760</v>
      </c>
      <c r="J1550">
        <f>HEX2DEC(_0811_173439[[#This Row],[4402]])*C$4/C$5+C$6</f>
        <v>37</v>
      </c>
      <c r="K1550">
        <f>HEX2DEC(_0811_173439[[#This Row],[580F]])*D$4/D$5+D$6</f>
        <v>30</v>
      </c>
      <c r="L1550">
        <f>ROUND(HEX2DEC(_0811_173439[[#This Row],[58F0]])*E$4/E$5+E$6,0)</f>
        <v>71</v>
      </c>
      <c r="M1550">
        <f>ROUND(HEX2DEC(_0811_173439[[#This Row],[5805]])*F$4/F$5+F$6,0)</f>
        <v>45</v>
      </c>
      <c r="N1550">
        <f>ROUND(HEX2DEC(_0811_173439[[#This Row],[58DD]])*G$4/G$5+G$6,2)</f>
        <v>-0.03</v>
      </c>
      <c r="P1550">
        <v>760</v>
      </c>
      <c r="Q1550">
        <v>37</v>
      </c>
      <c r="R1550">
        <v>30</v>
      </c>
      <c r="S1550">
        <v>71</v>
      </c>
      <c r="T1550">
        <v>45</v>
      </c>
      <c r="U1550">
        <v>-0.03</v>
      </c>
      <c r="W1550">
        <f>DataLog_T717420_Aug11_4_59_37pm[[#This Row],[RPM '[1/MIN']]]-Table3[[#This Row],[580C]]</f>
        <v>0</v>
      </c>
      <c r="X1550">
        <f>DataLog_T717420_Aug11_4_59_37pm[[#This Row],[OIL TEMP '[Â°C']]]-Table3[[#This Row],[4402]]</f>
        <v>0</v>
      </c>
      <c r="Y1550">
        <f>DataLog_T717420_Aug11_4_59_37pm[[#This Row],[INTAKE TEMP '[Â°C']]]-Table3[[#This Row],[580F]]</f>
        <v>0</v>
      </c>
      <c r="Z1550">
        <f>DataLog_T717420_Aug11_4_59_37pm[[#This Row],[HPFP PRES. '[BAR']]]-Table3[[#This Row],[58F0]]</f>
        <v>0</v>
      </c>
      <c r="AA1550">
        <f>DataLog_T717420_Aug11_4_59_37pm[[#This Row],[COOLANT TEMP '[Â°C']]]-Table3[[#This Row],[5805]]</f>
        <v>0</v>
      </c>
      <c r="AB1550">
        <f>DataLog_T717420_Aug11_4_59_37pm[[#This Row],[BOOST '[BAR']]]-Table3[[#This Row],[58DD]]</f>
        <v>0</v>
      </c>
    </row>
    <row r="1551" spans="2:28" x14ac:dyDescent="0.25">
      <c r="B1551" s="2" t="s">
        <v>189</v>
      </c>
      <c r="C1551" s="2" t="s">
        <v>262</v>
      </c>
      <c r="D1551" s="2" t="s">
        <v>151</v>
      </c>
      <c r="E1551" s="2" t="s">
        <v>215</v>
      </c>
      <c r="F1551" s="2" t="s">
        <v>393</v>
      </c>
      <c r="G1551" s="2" t="s">
        <v>191</v>
      </c>
      <c r="I1551">
        <f>HEX2DEC(_0811_173439[[#This Row],[580C]])*B$4/B$5+B$6</f>
        <v>760</v>
      </c>
      <c r="J1551">
        <f>HEX2DEC(_0811_173439[[#This Row],[4402]])*C$4/C$5+C$6</f>
        <v>37</v>
      </c>
      <c r="K1551">
        <f>HEX2DEC(_0811_173439[[#This Row],[580F]])*D$4/D$5+D$6</f>
        <v>30</v>
      </c>
      <c r="L1551">
        <f>ROUND(HEX2DEC(_0811_173439[[#This Row],[58F0]])*E$4/E$5+E$6,0)</f>
        <v>70</v>
      </c>
      <c r="M1551">
        <f>ROUND(HEX2DEC(_0811_173439[[#This Row],[5805]])*F$4/F$5+F$6,0)</f>
        <v>46</v>
      </c>
      <c r="N1551">
        <f>ROUND(HEX2DEC(_0811_173439[[#This Row],[58DD]])*G$4/G$5+G$6,2)</f>
        <v>-0.03</v>
      </c>
      <c r="P1551">
        <v>760</v>
      </c>
      <c r="Q1551">
        <v>37</v>
      </c>
      <c r="R1551">
        <v>30</v>
      </c>
      <c r="S1551">
        <v>70</v>
      </c>
      <c r="T1551">
        <v>46</v>
      </c>
      <c r="U1551">
        <v>-0.03</v>
      </c>
      <c r="W1551">
        <f>DataLog_T717420_Aug11_4_59_37pm[[#This Row],[RPM '[1/MIN']]]-Table3[[#This Row],[580C]]</f>
        <v>0</v>
      </c>
      <c r="X1551">
        <f>DataLog_T717420_Aug11_4_59_37pm[[#This Row],[OIL TEMP '[Â°C']]]-Table3[[#This Row],[4402]]</f>
        <v>0</v>
      </c>
      <c r="Y1551">
        <f>DataLog_T717420_Aug11_4_59_37pm[[#This Row],[INTAKE TEMP '[Â°C']]]-Table3[[#This Row],[580F]]</f>
        <v>0</v>
      </c>
      <c r="Z1551">
        <f>DataLog_T717420_Aug11_4_59_37pm[[#This Row],[HPFP PRES. '[BAR']]]-Table3[[#This Row],[58F0]]</f>
        <v>0</v>
      </c>
      <c r="AA1551">
        <f>DataLog_T717420_Aug11_4_59_37pm[[#This Row],[COOLANT TEMP '[Â°C']]]-Table3[[#This Row],[5805]]</f>
        <v>0</v>
      </c>
      <c r="AB1551">
        <f>DataLog_T717420_Aug11_4_59_37pm[[#This Row],[BOOST '[BAR']]]-Table3[[#This Row],[58DD]]</f>
        <v>0</v>
      </c>
    </row>
    <row r="1552" spans="2:28" x14ac:dyDescent="0.25">
      <c r="B1552" s="2" t="s">
        <v>189</v>
      </c>
      <c r="C1552" s="2" t="s">
        <v>262</v>
      </c>
      <c r="D1552" s="2" t="s">
        <v>151</v>
      </c>
      <c r="E1552" s="2" t="s">
        <v>93</v>
      </c>
      <c r="F1552" s="2" t="s">
        <v>393</v>
      </c>
      <c r="G1552" s="2" t="s">
        <v>191</v>
      </c>
      <c r="I1552">
        <f>HEX2DEC(_0811_173439[[#This Row],[580C]])*B$4/B$5+B$6</f>
        <v>760</v>
      </c>
      <c r="J1552">
        <f>HEX2DEC(_0811_173439[[#This Row],[4402]])*C$4/C$5+C$6</f>
        <v>37</v>
      </c>
      <c r="K1552">
        <f>HEX2DEC(_0811_173439[[#This Row],[580F]])*D$4/D$5+D$6</f>
        <v>30</v>
      </c>
      <c r="L1552">
        <f>ROUND(HEX2DEC(_0811_173439[[#This Row],[58F0]])*E$4/E$5+E$6,0)</f>
        <v>70</v>
      </c>
      <c r="M1552">
        <f>ROUND(HEX2DEC(_0811_173439[[#This Row],[5805]])*F$4/F$5+F$6,0)</f>
        <v>46</v>
      </c>
      <c r="N1552">
        <f>ROUND(HEX2DEC(_0811_173439[[#This Row],[58DD]])*G$4/G$5+G$6,2)</f>
        <v>-0.03</v>
      </c>
      <c r="P1552">
        <v>760</v>
      </c>
      <c r="Q1552">
        <v>37</v>
      </c>
      <c r="R1552">
        <v>30</v>
      </c>
      <c r="S1552">
        <v>70</v>
      </c>
      <c r="T1552">
        <v>46</v>
      </c>
      <c r="U1552">
        <v>-0.03</v>
      </c>
      <c r="W1552">
        <f>DataLog_T717420_Aug11_4_59_37pm[[#This Row],[RPM '[1/MIN']]]-Table3[[#This Row],[580C]]</f>
        <v>0</v>
      </c>
      <c r="X1552">
        <f>DataLog_T717420_Aug11_4_59_37pm[[#This Row],[OIL TEMP '[Â°C']]]-Table3[[#This Row],[4402]]</f>
        <v>0</v>
      </c>
      <c r="Y1552">
        <f>DataLog_T717420_Aug11_4_59_37pm[[#This Row],[INTAKE TEMP '[Â°C']]]-Table3[[#This Row],[580F]]</f>
        <v>0</v>
      </c>
      <c r="Z1552">
        <f>DataLog_T717420_Aug11_4_59_37pm[[#This Row],[HPFP PRES. '[BAR']]]-Table3[[#This Row],[58F0]]</f>
        <v>0</v>
      </c>
      <c r="AA1552">
        <f>DataLog_T717420_Aug11_4_59_37pm[[#This Row],[COOLANT TEMP '[Â°C']]]-Table3[[#This Row],[5805]]</f>
        <v>0</v>
      </c>
      <c r="AB1552">
        <f>DataLog_T717420_Aug11_4_59_37pm[[#This Row],[BOOST '[BAR']]]-Table3[[#This Row],[58DD]]</f>
        <v>0</v>
      </c>
    </row>
    <row r="1553" spans="2:28" x14ac:dyDescent="0.25">
      <c r="B1553" s="2" t="s">
        <v>189</v>
      </c>
      <c r="C1553" s="2" t="s">
        <v>262</v>
      </c>
      <c r="D1553" s="2" t="s">
        <v>151</v>
      </c>
      <c r="E1553" s="2" t="s">
        <v>93</v>
      </c>
      <c r="F1553" s="2" t="s">
        <v>393</v>
      </c>
      <c r="G1553" s="2" t="s">
        <v>216</v>
      </c>
      <c r="I1553">
        <f>HEX2DEC(_0811_173439[[#This Row],[580C]])*B$4/B$5+B$6</f>
        <v>760</v>
      </c>
      <c r="J1553">
        <f>HEX2DEC(_0811_173439[[#This Row],[4402]])*C$4/C$5+C$6</f>
        <v>37</v>
      </c>
      <c r="K1553">
        <f>HEX2DEC(_0811_173439[[#This Row],[580F]])*D$4/D$5+D$6</f>
        <v>30</v>
      </c>
      <c r="L1553">
        <f>ROUND(HEX2DEC(_0811_173439[[#This Row],[58F0]])*E$4/E$5+E$6,0)</f>
        <v>70</v>
      </c>
      <c r="M1553">
        <f>ROUND(HEX2DEC(_0811_173439[[#This Row],[5805]])*F$4/F$5+F$6,0)</f>
        <v>46</v>
      </c>
      <c r="N1553">
        <f>ROUND(HEX2DEC(_0811_173439[[#This Row],[58DD]])*G$4/G$5+G$6,2)</f>
        <v>-0.03</v>
      </c>
      <c r="P1553">
        <v>760</v>
      </c>
      <c r="Q1553">
        <v>37</v>
      </c>
      <c r="R1553">
        <v>30</v>
      </c>
      <c r="S1553">
        <v>70</v>
      </c>
      <c r="T1553">
        <v>46</v>
      </c>
      <c r="U1553">
        <v>-0.03</v>
      </c>
      <c r="W1553">
        <f>DataLog_T717420_Aug11_4_59_37pm[[#This Row],[RPM '[1/MIN']]]-Table3[[#This Row],[580C]]</f>
        <v>0</v>
      </c>
      <c r="X1553">
        <f>DataLog_T717420_Aug11_4_59_37pm[[#This Row],[OIL TEMP '[Â°C']]]-Table3[[#This Row],[4402]]</f>
        <v>0</v>
      </c>
      <c r="Y1553">
        <f>DataLog_T717420_Aug11_4_59_37pm[[#This Row],[INTAKE TEMP '[Â°C']]]-Table3[[#This Row],[580F]]</f>
        <v>0</v>
      </c>
      <c r="Z1553">
        <f>DataLog_T717420_Aug11_4_59_37pm[[#This Row],[HPFP PRES. '[BAR']]]-Table3[[#This Row],[58F0]]</f>
        <v>0</v>
      </c>
      <c r="AA1553">
        <f>DataLog_T717420_Aug11_4_59_37pm[[#This Row],[COOLANT TEMP '[Â°C']]]-Table3[[#This Row],[5805]]</f>
        <v>0</v>
      </c>
      <c r="AB1553">
        <f>DataLog_T717420_Aug11_4_59_37pm[[#This Row],[BOOST '[BAR']]]-Table3[[#This Row],[58DD]]</f>
        <v>0</v>
      </c>
    </row>
    <row r="1554" spans="2:28" x14ac:dyDescent="0.25">
      <c r="B1554" s="2" t="s">
        <v>189</v>
      </c>
      <c r="C1554" s="2" t="s">
        <v>262</v>
      </c>
      <c r="D1554" s="2" t="s">
        <v>151</v>
      </c>
      <c r="E1554" s="2" t="s">
        <v>127</v>
      </c>
      <c r="F1554" s="2" t="s">
        <v>393</v>
      </c>
      <c r="G1554" s="2" t="s">
        <v>53</v>
      </c>
      <c r="I1554">
        <f>HEX2DEC(_0811_173439[[#This Row],[580C]])*B$4/B$5+B$6</f>
        <v>760</v>
      </c>
      <c r="J1554">
        <f>HEX2DEC(_0811_173439[[#This Row],[4402]])*C$4/C$5+C$6</f>
        <v>37</v>
      </c>
      <c r="K1554">
        <f>HEX2DEC(_0811_173439[[#This Row],[580F]])*D$4/D$5+D$6</f>
        <v>30</v>
      </c>
      <c r="L1554">
        <f>ROUND(HEX2DEC(_0811_173439[[#This Row],[58F0]])*E$4/E$5+E$6,0)</f>
        <v>70</v>
      </c>
      <c r="M1554">
        <f>ROUND(HEX2DEC(_0811_173439[[#This Row],[5805]])*F$4/F$5+F$6,0)</f>
        <v>46</v>
      </c>
      <c r="N1554">
        <f>ROUND(HEX2DEC(_0811_173439[[#This Row],[58DD]])*G$4/G$5+G$6,2)</f>
        <v>-0.03</v>
      </c>
      <c r="P1554">
        <v>760</v>
      </c>
      <c r="Q1554">
        <v>37</v>
      </c>
      <c r="R1554">
        <v>30</v>
      </c>
      <c r="S1554">
        <v>70</v>
      </c>
      <c r="T1554">
        <v>46</v>
      </c>
      <c r="U1554">
        <v>-0.03</v>
      </c>
      <c r="W1554">
        <f>DataLog_T717420_Aug11_4_59_37pm[[#This Row],[RPM '[1/MIN']]]-Table3[[#This Row],[580C]]</f>
        <v>0</v>
      </c>
      <c r="X1554">
        <f>DataLog_T717420_Aug11_4_59_37pm[[#This Row],[OIL TEMP '[Â°C']]]-Table3[[#This Row],[4402]]</f>
        <v>0</v>
      </c>
      <c r="Y1554">
        <f>DataLog_T717420_Aug11_4_59_37pm[[#This Row],[INTAKE TEMP '[Â°C']]]-Table3[[#This Row],[580F]]</f>
        <v>0</v>
      </c>
      <c r="Z1554">
        <f>DataLog_T717420_Aug11_4_59_37pm[[#This Row],[HPFP PRES. '[BAR']]]-Table3[[#This Row],[58F0]]</f>
        <v>0</v>
      </c>
      <c r="AA1554">
        <f>DataLog_T717420_Aug11_4_59_37pm[[#This Row],[COOLANT TEMP '[Â°C']]]-Table3[[#This Row],[5805]]</f>
        <v>0</v>
      </c>
      <c r="AB1554">
        <f>DataLog_T717420_Aug11_4_59_37pm[[#This Row],[BOOST '[BAR']]]-Table3[[#This Row],[58DD]]</f>
        <v>0</v>
      </c>
    </row>
    <row r="1555" spans="2:28" x14ac:dyDescent="0.25">
      <c r="B1555" s="2" t="s">
        <v>189</v>
      </c>
      <c r="C1555" s="2" t="s">
        <v>262</v>
      </c>
      <c r="D1555" s="2" t="s">
        <v>151</v>
      </c>
      <c r="E1555" s="2" t="s">
        <v>153</v>
      </c>
      <c r="F1555" s="2" t="s">
        <v>393</v>
      </c>
      <c r="G1555" s="2" t="s">
        <v>191</v>
      </c>
      <c r="I1555">
        <f>HEX2DEC(_0811_173439[[#This Row],[580C]])*B$4/B$5+B$6</f>
        <v>760</v>
      </c>
      <c r="J1555">
        <f>HEX2DEC(_0811_173439[[#This Row],[4402]])*C$4/C$5+C$6</f>
        <v>37</v>
      </c>
      <c r="K1555">
        <f>HEX2DEC(_0811_173439[[#This Row],[580F]])*D$4/D$5+D$6</f>
        <v>30</v>
      </c>
      <c r="L1555">
        <f>ROUND(HEX2DEC(_0811_173439[[#This Row],[58F0]])*E$4/E$5+E$6,0)</f>
        <v>70</v>
      </c>
      <c r="M1555">
        <f>ROUND(HEX2DEC(_0811_173439[[#This Row],[5805]])*F$4/F$5+F$6,0)</f>
        <v>46</v>
      </c>
      <c r="N1555">
        <f>ROUND(HEX2DEC(_0811_173439[[#This Row],[58DD]])*G$4/G$5+G$6,2)</f>
        <v>-0.03</v>
      </c>
      <c r="P1555">
        <v>760</v>
      </c>
      <c r="Q1555">
        <v>37</v>
      </c>
      <c r="R1555">
        <v>30</v>
      </c>
      <c r="S1555">
        <v>70</v>
      </c>
      <c r="T1555">
        <v>46</v>
      </c>
      <c r="U1555">
        <v>-0.03</v>
      </c>
      <c r="W1555">
        <f>DataLog_T717420_Aug11_4_59_37pm[[#This Row],[RPM '[1/MIN']]]-Table3[[#This Row],[580C]]</f>
        <v>0</v>
      </c>
      <c r="X1555">
        <f>DataLog_T717420_Aug11_4_59_37pm[[#This Row],[OIL TEMP '[Â°C']]]-Table3[[#This Row],[4402]]</f>
        <v>0</v>
      </c>
      <c r="Y1555">
        <f>DataLog_T717420_Aug11_4_59_37pm[[#This Row],[INTAKE TEMP '[Â°C']]]-Table3[[#This Row],[580F]]</f>
        <v>0</v>
      </c>
      <c r="Z1555">
        <f>DataLog_T717420_Aug11_4_59_37pm[[#This Row],[HPFP PRES. '[BAR']]]-Table3[[#This Row],[58F0]]</f>
        <v>0</v>
      </c>
      <c r="AA1555">
        <f>DataLog_T717420_Aug11_4_59_37pm[[#This Row],[COOLANT TEMP '[Â°C']]]-Table3[[#This Row],[5805]]</f>
        <v>0</v>
      </c>
      <c r="AB1555">
        <f>DataLog_T717420_Aug11_4_59_37pm[[#This Row],[BOOST '[BAR']]]-Table3[[#This Row],[58DD]]</f>
        <v>0</v>
      </c>
    </row>
    <row r="1556" spans="2:28" x14ac:dyDescent="0.25">
      <c r="B1556" s="2" t="s">
        <v>189</v>
      </c>
      <c r="C1556" s="2" t="s">
        <v>262</v>
      </c>
      <c r="D1556" s="2" t="s">
        <v>151</v>
      </c>
      <c r="E1556" s="2" t="s">
        <v>127</v>
      </c>
      <c r="F1556" s="2" t="s">
        <v>393</v>
      </c>
      <c r="G1556" s="2" t="s">
        <v>186</v>
      </c>
      <c r="I1556">
        <f>HEX2DEC(_0811_173439[[#This Row],[580C]])*B$4/B$5+B$6</f>
        <v>760</v>
      </c>
      <c r="J1556">
        <f>HEX2DEC(_0811_173439[[#This Row],[4402]])*C$4/C$5+C$6</f>
        <v>37</v>
      </c>
      <c r="K1556">
        <f>HEX2DEC(_0811_173439[[#This Row],[580F]])*D$4/D$5+D$6</f>
        <v>30</v>
      </c>
      <c r="L1556">
        <f>ROUND(HEX2DEC(_0811_173439[[#This Row],[58F0]])*E$4/E$5+E$6,0)</f>
        <v>70</v>
      </c>
      <c r="M1556">
        <f>ROUND(HEX2DEC(_0811_173439[[#This Row],[5805]])*F$4/F$5+F$6,0)</f>
        <v>46</v>
      </c>
      <c r="N1556">
        <f>ROUND(HEX2DEC(_0811_173439[[#This Row],[58DD]])*G$4/G$5+G$6,2)</f>
        <v>-0.03</v>
      </c>
      <c r="P1556">
        <v>760</v>
      </c>
      <c r="Q1556">
        <v>37</v>
      </c>
      <c r="R1556">
        <v>30</v>
      </c>
      <c r="S1556">
        <v>70</v>
      </c>
      <c r="T1556">
        <v>46</v>
      </c>
      <c r="U1556">
        <v>-0.03</v>
      </c>
      <c r="W1556">
        <f>DataLog_T717420_Aug11_4_59_37pm[[#This Row],[RPM '[1/MIN']]]-Table3[[#This Row],[580C]]</f>
        <v>0</v>
      </c>
      <c r="X1556">
        <f>DataLog_T717420_Aug11_4_59_37pm[[#This Row],[OIL TEMP '[Â°C']]]-Table3[[#This Row],[4402]]</f>
        <v>0</v>
      </c>
      <c r="Y1556">
        <f>DataLog_T717420_Aug11_4_59_37pm[[#This Row],[INTAKE TEMP '[Â°C']]]-Table3[[#This Row],[580F]]</f>
        <v>0</v>
      </c>
      <c r="Z1556">
        <f>DataLog_T717420_Aug11_4_59_37pm[[#This Row],[HPFP PRES. '[BAR']]]-Table3[[#This Row],[58F0]]</f>
        <v>0</v>
      </c>
      <c r="AA1556">
        <f>DataLog_T717420_Aug11_4_59_37pm[[#This Row],[COOLANT TEMP '[Â°C']]]-Table3[[#This Row],[5805]]</f>
        <v>0</v>
      </c>
      <c r="AB1556">
        <f>DataLog_T717420_Aug11_4_59_37pm[[#This Row],[BOOST '[BAR']]]-Table3[[#This Row],[58DD]]</f>
        <v>0</v>
      </c>
    </row>
    <row r="1557" spans="2:28" x14ac:dyDescent="0.25">
      <c r="B1557" s="2" t="s">
        <v>189</v>
      </c>
      <c r="C1557" s="2" t="s">
        <v>262</v>
      </c>
      <c r="D1557" s="2" t="s">
        <v>151</v>
      </c>
      <c r="E1557" s="2" t="s">
        <v>165</v>
      </c>
      <c r="F1557" s="2" t="s">
        <v>393</v>
      </c>
      <c r="G1557" s="2" t="s">
        <v>216</v>
      </c>
      <c r="I1557">
        <f>HEX2DEC(_0811_173439[[#This Row],[580C]])*B$4/B$5+B$6</f>
        <v>760</v>
      </c>
      <c r="J1557">
        <f>HEX2DEC(_0811_173439[[#This Row],[4402]])*C$4/C$5+C$6</f>
        <v>37</v>
      </c>
      <c r="K1557">
        <f>HEX2DEC(_0811_173439[[#This Row],[580F]])*D$4/D$5+D$6</f>
        <v>30</v>
      </c>
      <c r="L1557">
        <f>ROUND(HEX2DEC(_0811_173439[[#This Row],[58F0]])*E$4/E$5+E$6,0)</f>
        <v>70</v>
      </c>
      <c r="M1557">
        <f>ROUND(HEX2DEC(_0811_173439[[#This Row],[5805]])*F$4/F$5+F$6,0)</f>
        <v>46</v>
      </c>
      <c r="N1557">
        <f>ROUND(HEX2DEC(_0811_173439[[#This Row],[58DD]])*G$4/G$5+G$6,2)</f>
        <v>-0.03</v>
      </c>
      <c r="P1557">
        <v>760</v>
      </c>
      <c r="Q1557">
        <v>37</v>
      </c>
      <c r="R1557">
        <v>30</v>
      </c>
      <c r="S1557">
        <v>70</v>
      </c>
      <c r="T1557">
        <v>46</v>
      </c>
      <c r="U1557">
        <v>-0.03</v>
      </c>
      <c r="W1557">
        <f>DataLog_T717420_Aug11_4_59_37pm[[#This Row],[RPM '[1/MIN']]]-Table3[[#This Row],[580C]]</f>
        <v>0</v>
      </c>
      <c r="X1557">
        <f>DataLog_T717420_Aug11_4_59_37pm[[#This Row],[OIL TEMP '[Â°C']]]-Table3[[#This Row],[4402]]</f>
        <v>0</v>
      </c>
      <c r="Y1557">
        <f>DataLog_T717420_Aug11_4_59_37pm[[#This Row],[INTAKE TEMP '[Â°C']]]-Table3[[#This Row],[580F]]</f>
        <v>0</v>
      </c>
      <c r="Z1557">
        <f>DataLog_T717420_Aug11_4_59_37pm[[#This Row],[HPFP PRES. '[BAR']]]-Table3[[#This Row],[58F0]]</f>
        <v>0</v>
      </c>
      <c r="AA1557">
        <f>DataLog_T717420_Aug11_4_59_37pm[[#This Row],[COOLANT TEMP '[Â°C']]]-Table3[[#This Row],[5805]]</f>
        <v>0</v>
      </c>
      <c r="AB1557">
        <f>DataLog_T717420_Aug11_4_59_37pm[[#This Row],[BOOST '[BAR']]]-Table3[[#This Row],[58DD]]</f>
        <v>0</v>
      </c>
    </row>
    <row r="1558" spans="2:28" x14ac:dyDescent="0.25">
      <c r="B1558" s="2" t="s">
        <v>189</v>
      </c>
      <c r="C1558" s="2" t="s">
        <v>262</v>
      </c>
      <c r="D1558" s="2" t="s">
        <v>151</v>
      </c>
      <c r="E1558" s="2" t="s">
        <v>127</v>
      </c>
      <c r="F1558" s="2" t="s">
        <v>393</v>
      </c>
      <c r="G1558" s="2" t="s">
        <v>191</v>
      </c>
      <c r="I1558">
        <f>HEX2DEC(_0811_173439[[#This Row],[580C]])*B$4/B$5+B$6</f>
        <v>760</v>
      </c>
      <c r="J1558">
        <f>HEX2DEC(_0811_173439[[#This Row],[4402]])*C$4/C$5+C$6</f>
        <v>37</v>
      </c>
      <c r="K1558">
        <f>HEX2DEC(_0811_173439[[#This Row],[580F]])*D$4/D$5+D$6</f>
        <v>30</v>
      </c>
      <c r="L1558">
        <f>ROUND(HEX2DEC(_0811_173439[[#This Row],[58F0]])*E$4/E$5+E$6,0)</f>
        <v>70</v>
      </c>
      <c r="M1558">
        <f>ROUND(HEX2DEC(_0811_173439[[#This Row],[5805]])*F$4/F$5+F$6,0)</f>
        <v>46</v>
      </c>
      <c r="N1558">
        <f>ROUND(HEX2DEC(_0811_173439[[#This Row],[58DD]])*G$4/G$5+G$6,2)</f>
        <v>-0.03</v>
      </c>
      <c r="P1558">
        <v>760</v>
      </c>
      <c r="Q1558">
        <v>37</v>
      </c>
      <c r="R1558">
        <v>30</v>
      </c>
      <c r="S1558">
        <v>70</v>
      </c>
      <c r="T1558">
        <v>46</v>
      </c>
      <c r="U1558">
        <v>-0.03</v>
      </c>
      <c r="W1558">
        <f>DataLog_T717420_Aug11_4_59_37pm[[#This Row],[RPM '[1/MIN']]]-Table3[[#This Row],[580C]]</f>
        <v>0</v>
      </c>
      <c r="X1558">
        <f>DataLog_T717420_Aug11_4_59_37pm[[#This Row],[OIL TEMP '[Â°C']]]-Table3[[#This Row],[4402]]</f>
        <v>0</v>
      </c>
      <c r="Y1558">
        <f>DataLog_T717420_Aug11_4_59_37pm[[#This Row],[INTAKE TEMP '[Â°C']]]-Table3[[#This Row],[580F]]</f>
        <v>0</v>
      </c>
      <c r="Z1558">
        <f>DataLog_T717420_Aug11_4_59_37pm[[#This Row],[HPFP PRES. '[BAR']]]-Table3[[#This Row],[58F0]]</f>
        <v>0</v>
      </c>
      <c r="AA1558">
        <f>DataLog_T717420_Aug11_4_59_37pm[[#This Row],[COOLANT TEMP '[Â°C']]]-Table3[[#This Row],[5805]]</f>
        <v>0</v>
      </c>
      <c r="AB1558">
        <f>DataLog_T717420_Aug11_4_59_37pm[[#This Row],[BOOST '[BAR']]]-Table3[[#This Row],[58DD]]</f>
        <v>0</v>
      </c>
    </row>
    <row r="1559" spans="2:28" x14ac:dyDescent="0.25">
      <c r="B1559" s="2" t="s">
        <v>189</v>
      </c>
      <c r="C1559" s="2" t="s">
        <v>262</v>
      </c>
      <c r="D1559" s="2" t="s">
        <v>151</v>
      </c>
      <c r="E1559" s="2" t="s">
        <v>172</v>
      </c>
      <c r="F1559" s="2" t="s">
        <v>393</v>
      </c>
      <c r="G1559" s="2" t="s">
        <v>213</v>
      </c>
      <c r="I1559">
        <f>HEX2DEC(_0811_173439[[#This Row],[580C]])*B$4/B$5+B$6</f>
        <v>760</v>
      </c>
      <c r="J1559">
        <f>HEX2DEC(_0811_173439[[#This Row],[4402]])*C$4/C$5+C$6</f>
        <v>37</v>
      </c>
      <c r="K1559">
        <f>HEX2DEC(_0811_173439[[#This Row],[580F]])*D$4/D$5+D$6</f>
        <v>30</v>
      </c>
      <c r="L1559">
        <f>ROUND(HEX2DEC(_0811_173439[[#This Row],[58F0]])*E$4/E$5+E$6,0)</f>
        <v>70</v>
      </c>
      <c r="M1559">
        <f>ROUND(HEX2DEC(_0811_173439[[#This Row],[5805]])*F$4/F$5+F$6,0)</f>
        <v>46</v>
      </c>
      <c r="N1559">
        <f>ROUND(HEX2DEC(_0811_173439[[#This Row],[58DD]])*G$4/G$5+G$6,2)</f>
        <v>-0.03</v>
      </c>
      <c r="P1559">
        <v>760</v>
      </c>
      <c r="Q1559">
        <v>37</v>
      </c>
      <c r="R1559">
        <v>30</v>
      </c>
      <c r="S1559">
        <v>70</v>
      </c>
      <c r="T1559">
        <v>46</v>
      </c>
      <c r="U1559">
        <v>-0.03</v>
      </c>
      <c r="W1559">
        <f>DataLog_T717420_Aug11_4_59_37pm[[#This Row],[RPM '[1/MIN']]]-Table3[[#This Row],[580C]]</f>
        <v>0</v>
      </c>
      <c r="X1559">
        <f>DataLog_T717420_Aug11_4_59_37pm[[#This Row],[OIL TEMP '[Â°C']]]-Table3[[#This Row],[4402]]</f>
        <v>0</v>
      </c>
      <c r="Y1559">
        <f>DataLog_T717420_Aug11_4_59_37pm[[#This Row],[INTAKE TEMP '[Â°C']]]-Table3[[#This Row],[580F]]</f>
        <v>0</v>
      </c>
      <c r="Z1559">
        <f>DataLog_T717420_Aug11_4_59_37pm[[#This Row],[HPFP PRES. '[BAR']]]-Table3[[#This Row],[58F0]]</f>
        <v>0</v>
      </c>
      <c r="AA1559">
        <f>DataLog_T717420_Aug11_4_59_37pm[[#This Row],[COOLANT TEMP '[Â°C']]]-Table3[[#This Row],[5805]]</f>
        <v>0</v>
      </c>
      <c r="AB1559">
        <f>DataLog_T717420_Aug11_4_59_37pm[[#This Row],[BOOST '[BAR']]]-Table3[[#This Row],[58DD]]</f>
        <v>0</v>
      </c>
    </row>
    <row r="1560" spans="2:28" x14ac:dyDescent="0.25">
      <c r="B1560" s="2" t="s">
        <v>189</v>
      </c>
      <c r="C1560" s="2" t="s">
        <v>262</v>
      </c>
      <c r="D1560" s="2" t="s">
        <v>151</v>
      </c>
      <c r="E1560" s="2" t="s">
        <v>162</v>
      </c>
      <c r="F1560" s="2" t="s">
        <v>393</v>
      </c>
      <c r="G1560" s="2" t="s">
        <v>96</v>
      </c>
      <c r="I1560">
        <f>HEX2DEC(_0811_173439[[#This Row],[580C]])*B$4/B$5+B$6</f>
        <v>760</v>
      </c>
      <c r="J1560">
        <f>HEX2DEC(_0811_173439[[#This Row],[4402]])*C$4/C$5+C$6</f>
        <v>37</v>
      </c>
      <c r="K1560">
        <f>HEX2DEC(_0811_173439[[#This Row],[580F]])*D$4/D$5+D$6</f>
        <v>30</v>
      </c>
      <c r="L1560">
        <f>ROUND(HEX2DEC(_0811_173439[[#This Row],[58F0]])*E$4/E$5+E$6,0)</f>
        <v>71</v>
      </c>
      <c r="M1560">
        <f>ROUND(HEX2DEC(_0811_173439[[#This Row],[5805]])*F$4/F$5+F$6,0)</f>
        <v>46</v>
      </c>
      <c r="N1560">
        <f>ROUND(HEX2DEC(_0811_173439[[#This Row],[58DD]])*G$4/G$5+G$6,2)</f>
        <v>-0.03</v>
      </c>
      <c r="P1560">
        <v>760</v>
      </c>
      <c r="Q1560">
        <v>37</v>
      </c>
      <c r="R1560">
        <v>30</v>
      </c>
      <c r="S1560">
        <v>71</v>
      </c>
      <c r="T1560">
        <v>46</v>
      </c>
      <c r="U1560">
        <v>-0.03</v>
      </c>
      <c r="W1560">
        <f>DataLog_T717420_Aug11_4_59_37pm[[#This Row],[RPM '[1/MIN']]]-Table3[[#This Row],[580C]]</f>
        <v>0</v>
      </c>
      <c r="X1560">
        <f>DataLog_T717420_Aug11_4_59_37pm[[#This Row],[OIL TEMP '[Â°C']]]-Table3[[#This Row],[4402]]</f>
        <v>0</v>
      </c>
      <c r="Y1560">
        <f>DataLog_T717420_Aug11_4_59_37pm[[#This Row],[INTAKE TEMP '[Â°C']]]-Table3[[#This Row],[580F]]</f>
        <v>0</v>
      </c>
      <c r="Z1560">
        <f>DataLog_T717420_Aug11_4_59_37pm[[#This Row],[HPFP PRES. '[BAR']]]-Table3[[#This Row],[58F0]]</f>
        <v>0</v>
      </c>
      <c r="AA1560">
        <f>DataLog_T717420_Aug11_4_59_37pm[[#This Row],[COOLANT TEMP '[Â°C']]]-Table3[[#This Row],[5805]]</f>
        <v>0</v>
      </c>
      <c r="AB1560">
        <f>DataLog_T717420_Aug11_4_59_37pm[[#This Row],[BOOST '[BAR']]]-Table3[[#This Row],[58DD]]</f>
        <v>0</v>
      </c>
    </row>
    <row r="1561" spans="2:28" x14ac:dyDescent="0.25">
      <c r="B1561" s="2" t="s">
        <v>189</v>
      </c>
      <c r="C1561" s="2" t="s">
        <v>262</v>
      </c>
      <c r="D1561" s="2" t="s">
        <v>151</v>
      </c>
      <c r="E1561" s="2" t="s">
        <v>152</v>
      </c>
      <c r="F1561" s="2" t="s">
        <v>393</v>
      </c>
      <c r="G1561" s="2" t="s">
        <v>191</v>
      </c>
      <c r="I1561">
        <f>HEX2DEC(_0811_173439[[#This Row],[580C]])*B$4/B$5+B$6</f>
        <v>760</v>
      </c>
      <c r="J1561">
        <f>HEX2DEC(_0811_173439[[#This Row],[4402]])*C$4/C$5+C$6</f>
        <v>37</v>
      </c>
      <c r="K1561">
        <f>HEX2DEC(_0811_173439[[#This Row],[580F]])*D$4/D$5+D$6</f>
        <v>30</v>
      </c>
      <c r="L1561">
        <f>ROUND(HEX2DEC(_0811_173439[[#This Row],[58F0]])*E$4/E$5+E$6,0)</f>
        <v>70</v>
      </c>
      <c r="M1561">
        <f>ROUND(HEX2DEC(_0811_173439[[#This Row],[5805]])*F$4/F$5+F$6,0)</f>
        <v>46</v>
      </c>
      <c r="N1561">
        <f>ROUND(HEX2DEC(_0811_173439[[#This Row],[58DD]])*G$4/G$5+G$6,2)</f>
        <v>-0.03</v>
      </c>
      <c r="P1561">
        <v>760</v>
      </c>
      <c r="Q1561">
        <v>37</v>
      </c>
      <c r="R1561">
        <v>30</v>
      </c>
      <c r="S1561">
        <v>70</v>
      </c>
      <c r="T1561">
        <v>46</v>
      </c>
      <c r="U1561">
        <v>-0.03</v>
      </c>
      <c r="W1561">
        <f>DataLog_T717420_Aug11_4_59_37pm[[#This Row],[RPM '[1/MIN']]]-Table3[[#This Row],[580C]]</f>
        <v>0</v>
      </c>
      <c r="X1561">
        <f>DataLog_T717420_Aug11_4_59_37pm[[#This Row],[OIL TEMP '[Â°C']]]-Table3[[#This Row],[4402]]</f>
        <v>0</v>
      </c>
      <c r="Y1561">
        <f>DataLog_T717420_Aug11_4_59_37pm[[#This Row],[INTAKE TEMP '[Â°C']]]-Table3[[#This Row],[580F]]</f>
        <v>0</v>
      </c>
      <c r="Z1561">
        <f>DataLog_T717420_Aug11_4_59_37pm[[#This Row],[HPFP PRES. '[BAR']]]-Table3[[#This Row],[58F0]]</f>
        <v>0</v>
      </c>
      <c r="AA1561">
        <f>DataLog_T717420_Aug11_4_59_37pm[[#This Row],[COOLANT TEMP '[Â°C']]]-Table3[[#This Row],[5805]]</f>
        <v>0</v>
      </c>
      <c r="AB1561">
        <f>DataLog_T717420_Aug11_4_59_37pm[[#This Row],[BOOST '[BAR']]]-Table3[[#This Row],[58DD]]</f>
        <v>0</v>
      </c>
    </row>
    <row r="1562" spans="2:28" x14ac:dyDescent="0.25">
      <c r="B1562" s="2" t="s">
        <v>189</v>
      </c>
      <c r="C1562" s="2" t="s">
        <v>262</v>
      </c>
      <c r="D1562" s="2" t="s">
        <v>151</v>
      </c>
      <c r="E1562" s="2" t="s">
        <v>93</v>
      </c>
      <c r="F1562" s="2" t="s">
        <v>393</v>
      </c>
      <c r="G1562" s="2" t="s">
        <v>98</v>
      </c>
      <c r="I1562">
        <f>HEX2DEC(_0811_173439[[#This Row],[580C]])*B$4/B$5+B$6</f>
        <v>760</v>
      </c>
      <c r="J1562">
        <f>HEX2DEC(_0811_173439[[#This Row],[4402]])*C$4/C$5+C$6</f>
        <v>37</v>
      </c>
      <c r="K1562">
        <f>HEX2DEC(_0811_173439[[#This Row],[580F]])*D$4/D$5+D$6</f>
        <v>30</v>
      </c>
      <c r="L1562">
        <f>ROUND(HEX2DEC(_0811_173439[[#This Row],[58F0]])*E$4/E$5+E$6,0)</f>
        <v>70</v>
      </c>
      <c r="M1562">
        <f>ROUND(HEX2DEC(_0811_173439[[#This Row],[5805]])*F$4/F$5+F$6,0)</f>
        <v>46</v>
      </c>
      <c r="N1562">
        <f>ROUND(HEX2DEC(_0811_173439[[#This Row],[58DD]])*G$4/G$5+G$6,2)</f>
        <v>-0.03</v>
      </c>
      <c r="P1562">
        <v>760</v>
      </c>
      <c r="Q1562">
        <v>37</v>
      </c>
      <c r="R1562">
        <v>30</v>
      </c>
      <c r="S1562">
        <v>70</v>
      </c>
      <c r="T1562">
        <v>46</v>
      </c>
      <c r="U1562">
        <v>-0.03</v>
      </c>
      <c r="W1562">
        <f>DataLog_T717420_Aug11_4_59_37pm[[#This Row],[RPM '[1/MIN']]]-Table3[[#This Row],[580C]]</f>
        <v>0</v>
      </c>
      <c r="X1562">
        <f>DataLog_T717420_Aug11_4_59_37pm[[#This Row],[OIL TEMP '[Â°C']]]-Table3[[#This Row],[4402]]</f>
        <v>0</v>
      </c>
      <c r="Y1562">
        <f>DataLog_T717420_Aug11_4_59_37pm[[#This Row],[INTAKE TEMP '[Â°C']]]-Table3[[#This Row],[580F]]</f>
        <v>0</v>
      </c>
      <c r="Z1562">
        <f>DataLog_T717420_Aug11_4_59_37pm[[#This Row],[HPFP PRES. '[BAR']]]-Table3[[#This Row],[58F0]]</f>
        <v>0</v>
      </c>
      <c r="AA1562">
        <f>DataLog_T717420_Aug11_4_59_37pm[[#This Row],[COOLANT TEMP '[Â°C']]]-Table3[[#This Row],[5805]]</f>
        <v>0</v>
      </c>
      <c r="AB1562">
        <f>DataLog_T717420_Aug11_4_59_37pm[[#This Row],[BOOST '[BAR']]]-Table3[[#This Row],[58DD]]</f>
        <v>0</v>
      </c>
    </row>
    <row r="1563" spans="2:28" x14ac:dyDescent="0.25">
      <c r="B1563" s="2" t="s">
        <v>189</v>
      </c>
      <c r="C1563" s="2" t="s">
        <v>262</v>
      </c>
      <c r="D1563" s="2" t="s">
        <v>151</v>
      </c>
      <c r="E1563" s="2" t="s">
        <v>170</v>
      </c>
      <c r="F1563" s="2" t="s">
        <v>393</v>
      </c>
      <c r="G1563" s="2" t="s">
        <v>53</v>
      </c>
      <c r="I1563">
        <f>HEX2DEC(_0811_173439[[#This Row],[580C]])*B$4/B$5+B$6</f>
        <v>760</v>
      </c>
      <c r="J1563">
        <f>HEX2DEC(_0811_173439[[#This Row],[4402]])*C$4/C$5+C$6</f>
        <v>37</v>
      </c>
      <c r="K1563">
        <f>HEX2DEC(_0811_173439[[#This Row],[580F]])*D$4/D$5+D$6</f>
        <v>30</v>
      </c>
      <c r="L1563">
        <f>ROUND(HEX2DEC(_0811_173439[[#This Row],[58F0]])*E$4/E$5+E$6,0)</f>
        <v>71</v>
      </c>
      <c r="M1563">
        <f>ROUND(HEX2DEC(_0811_173439[[#This Row],[5805]])*F$4/F$5+F$6,0)</f>
        <v>46</v>
      </c>
      <c r="N1563">
        <f>ROUND(HEX2DEC(_0811_173439[[#This Row],[58DD]])*G$4/G$5+G$6,2)</f>
        <v>-0.03</v>
      </c>
      <c r="P1563">
        <v>760</v>
      </c>
      <c r="Q1563">
        <v>37</v>
      </c>
      <c r="R1563">
        <v>30</v>
      </c>
      <c r="S1563">
        <v>71</v>
      </c>
      <c r="T1563">
        <v>46</v>
      </c>
      <c r="U1563">
        <v>-0.03</v>
      </c>
      <c r="W1563">
        <f>DataLog_T717420_Aug11_4_59_37pm[[#This Row],[RPM '[1/MIN']]]-Table3[[#This Row],[580C]]</f>
        <v>0</v>
      </c>
      <c r="X1563">
        <f>DataLog_T717420_Aug11_4_59_37pm[[#This Row],[OIL TEMP '[Â°C']]]-Table3[[#This Row],[4402]]</f>
        <v>0</v>
      </c>
      <c r="Y1563">
        <f>DataLog_T717420_Aug11_4_59_37pm[[#This Row],[INTAKE TEMP '[Â°C']]]-Table3[[#This Row],[580F]]</f>
        <v>0</v>
      </c>
      <c r="Z1563">
        <f>DataLog_T717420_Aug11_4_59_37pm[[#This Row],[HPFP PRES. '[BAR']]]-Table3[[#This Row],[58F0]]</f>
        <v>0</v>
      </c>
      <c r="AA1563">
        <f>DataLog_T717420_Aug11_4_59_37pm[[#This Row],[COOLANT TEMP '[Â°C']]]-Table3[[#This Row],[5805]]</f>
        <v>0</v>
      </c>
      <c r="AB1563">
        <f>DataLog_T717420_Aug11_4_59_37pm[[#This Row],[BOOST '[BAR']]]-Table3[[#This Row],[58DD]]</f>
        <v>0</v>
      </c>
    </row>
    <row r="1564" spans="2:28" x14ac:dyDescent="0.25">
      <c r="B1564" s="2" t="s">
        <v>189</v>
      </c>
      <c r="C1564" s="2" t="s">
        <v>262</v>
      </c>
      <c r="D1564" s="2" t="s">
        <v>151</v>
      </c>
      <c r="E1564" s="2" t="s">
        <v>170</v>
      </c>
      <c r="F1564" s="2" t="s">
        <v>393</v>
      </c>
      <c r="G1564" s="2" t="s">
        <v>216</v>
      </c>
      <c r="I1564">
        <f>HEX2DEC(_0811_173439[[#This Row],[580C]])*B$4/B$5+B$6</f>
        <v>760</v>
      </c>
      <c r="J1564">
        <f>HEX2DEC(_0811_173439[[#This Row],[4402]])*C$4/C$5+C$6</f>
        <v>37</v>
      </c>
      <c r="K1564">
        <f>HEX2DEC(_0811_173439[[#This Row],[580F]])*D$4/D$5+D$6</f>
        <v>30</v>
      </c>
      <c r="L1564">
        <f>ROUND(HEX2DEC(_0811_173439[[#This Row],[58F0]])*E$4/E$5+E$6,0)</f>
        <v>71</v>
      </c>
      <c r="M1564">
        <f>ROUND(HEX2DEC(_0811_173439[[#This Row],[5805]])*F$4/F$5+F$6,0)</f>
        <v>46</v>
      </c>
      <c r="N1564">
        <f>ROUND(HEX2DEC(_0811_173439[[#This Row],[58DD]])*G$4/G$5+G$6,2)</f>
        <v>-0.03</v>
      </c>
      <c r="P1564">
        <v>760</v>
      </c>
      <c r="Q1564">
        <v>37</v>
      </c>
      <c r="R1564">
        <v>30</v>
      </c>
      <c r="S1564">
        <v>71</v>
      </c>
      <c r="T1564">
        <v>46</v>
      </c>
      <c r="U1564">
        <v>-0.03</v>
      </c>
      <c r="W1564">
        <f>DataLog_T717420_Aug11_4_59_37pm[[#This Row],[RPM '[1/MIN']]]-Table3[[#This Row],[580C]]</f>
        <v>0</v>
      </c>
      <c r="X1564">
        <f>DataLog_T717420_Aug11_4_59_37pm[[#This Row],[OIL TEMP '[Â°C']]]-Table3[[#This Row],[4402]]</f>
        <v>0</v>
      </c>
      <c r="Y1564">
        <f>DataLog_T717420_Aug11_4_59_37pm[[#This Row],[INTAKE TEMP '[Â°C']]]-Table3[[#This Row],[580F]]</f>
        <v>0</v>
      </c>
      <c r="Z1564">
        <f>DataLog_T717420_Aug11_4_59_37pm[[#This Row],[HPFP PRES. '[BAR']]]-Table3[[#This Row],[58F0]]</f>
        <v>0</v>
      </c>
      <c r="AA1564">
        <f>DataLog_T717420_Aug11_4_59_37pm[[#This Row],[COOLANT TEMP '[Â°C']]]-Table3[[#This Row],[5805]]</f>
        <v>0</v>
      </c>
      <c r="AB1564">
        <f>DataLog_T717420_Aug11_4_59_37pm[[#This Row],[BOOST '[BAR']]]-Table3[[#This Row],[58DD]]</f>
        <v>0</v>
      </c>
    </row>
    <row r="1565" spans="2:28" x14ac:dyDescent="0.25">
      <c r="B1565" s="2" t="s">
        <v>189</v>
      </c>
      <c r="C1565" s="2" t="s">
        <v>262</v>
      </c>
      <c r="D1565" s="2" t="s">
        <v>151</v>
      </c>
      <c r="E1565" s="2" t="s">
        <v>93</v>
      </c>
      <c r="F1565" s="2" t="s">
        <v>393</v>
      </c>
      <c r="G1565" s="2" t="s">
        <v>190</v>
      </c>
      <c r="I1565">
        <f>HEX2DEC(_0811_173439[[#This Row],[580C]])*B$4/B$5+B$6</f>
        <v>760</v>
      </c>
      <c r="J1565">
        <f>HEX2DEC(_0811_173439[[#This Row],[4402]])*C$4/C$5+C$6</f>
        <v>37</v>
      </c>
      <c r="K1565">
        <f>HEX2DEC(_0811_173439[[#This Row],[580F]])*D$4/D$5+D$6</f>
        <v>30</v>
      </c>
      <c r="L1565">
        <f>ROUND(HEX2DEC(_0811_173439[[#This Row],[58F0]])*E$4/E$5+E$6,0)</f>
        <v>70</v>
      </c>
      <c r="M1565">
        <f>ROUND(HEX2DEC(_0811_173439[[#This Row],[5805]])*F$4/F$5+F$6,0)</f>
        <v>46</v>
      </c>
      <c r="N1565">
        <f>ROUND(HEX2DEC(_0811_173439[[#This Row],[58DD]])*G$4/G$5+G$6,2)</f>
        <v>-0.03</v>
      </c>
      <c r="P1565">
        <v>760</v>
      </c>
      <c r="Q1565">
        <v>37</v>
      </c>
      <c r="R1565">
        <v>30</v>
      </c>
      <c r="S1565">
        <v>70</v>
      </c>
      <c r="T1565">
        <v>46</v>
      </c>
      <c r="U1565">
        <v>-0.03</v>
      </c>
      <c r="W1565">
        <f>DataLog_T717420_Aug11_4_59_37pm[[#This Row],[RPM '[1/MIN']]]-Table3[[#This Row],[580C]]</f>
        <v>0</v>
      </c>
      <c r="X1565">
        <f>DataLog_T717420_Aug11_4_59_37pm[[#This Row],[OIL TEMP '[Â°C']]]-Table3[[#This Row],[4402]]</f>
        <v>0</v>
      </c>
      <c r="Y1565">
        <f>DataLog_T717420_Aug11_4_59_37pm[[#This Row],[INTAKE TEMP '[Â°C']]]-Table3[[#This Row],[580F]]</f>
        <v>0</v>
      </c>
      <c r="Z1565">
        <f>DataLog_T717420_Aug11_4_59_37pm[[#This Row],[HPFP PRES. '[BAR']]]-Table3[[#This Row],[58F0]]</f>
        <v>0</v>
      </c>
      <c r="AA1565">
        <f>DataLog_T717420_Aug11_4_59_37pm[[#This Row],[COOLANT TEMP '[Â°C']]]-Table3[[#This Row],[5805]]</f>
        <v>0</v>
      </c>
      <c r="AB1565">
        <f>DataLog_T717420_Aug11_4_59_37pm[[#This Row],[BOOST '[BAR']]]-Table3[[#This Row],[58DD]]</f>
        <v>0</v>
      </c>
    </row>
    <row r="1566" spans="2:28" x14ac:dyDescent="0.25">
      <c r="B1566" s="2" t="s">
        <v>189</v>
      </c>
      <c r="C1566" s="2" t="s">
        <v>262</v>
      </c>
      <c r="D1566" s="2" t="s">
        <v>151</v>
      </c>
      <c r="E1566" s="2" t="s">
        <v>166</v>
      </c>
      <c r="F1566" s="2" t="s">
        <v>393</v>
      </c>
      <c r="G1566" s="2" t="s">
        <v>96</v>
      </c>
      <c r="I1566">
        <f>HEX2DEC(_0811_173439[[#This Row],[580C]])*B$4/B$5+B$6</f>
        <v>760</v>
      </c>
      <c r="J1566">
        <f>HEX2DEC(_0811_173439[[#This Row],[4402]])*C$4/C$5+C$6</f>
        <v>37</v>
      </c>
      <c r="K1566">
        <f>HEX2DEC(_0811_173439[[#This Row],[580F]])*D$4/D$5+D$6</f>
        <v>30</v>
      </c>
      <c r="L1566">
        <f>ROUND(HEX2DEC(_0811_173439[[#This Row],[58F0]])*E$4/E$5+E$6,0)</f>
        <v>71</v>
      </c>
      <c r="M1566">
        <f>ROUND(HEX2DEC(_0811_173439[[#This Row],[5805]])*F$4/F$5+F$6,0)</f>
        <v>46</v>
      </c>
      <c r="N1566">
        <f>ROUND(HEX2DEC(_0811_173439[[#This Row],[58DD]])*G$4/G$5+G$6,2)</f>
        <v>-0.03</v>
      </c>
      <c r="P1566">
        <v>760</v>
      </c>
      <c r="Q1566">
        <v>37</v>
      </c>
      <c r="R1566">
        <v>30</v>
      </c>
      <c r="S1566">
        <v>71</v>
      </c>
      <c r="T1566">
        <v>46</v>
      </c>
      <c r="U1566">
        <v>-0.03</v>
      </c>
      <c r="W1566">
        <f>DataLog_T717420_Aug11_4_59_37pm[[#This Row],[RPM '[1/MIN']]]-Table3[[#This Row],[580C]]</f>
        <v>0</v>
      </c>
      <c r="X1566">
        <f>DataLog_T717420_Aug11_4_59_37pm[[#This Row],[OIL TEMP '[Â°C']]]-Table3[[#This Row],[4402]]</f>
        <v>0</v>
      </c>
      <c r="Y1566">
        <f>DataLog_T717420_Aug11_4_59_37pm[[#This Row],[INTAKE TEMP '[Â°C']]]-Table3[[#This Row],[580F]]</f>
        <v>0</v>
      </c>
      <c r="Z1566">
        <f>DataLog_T717420_Aug11_4_59_37pm[[#This Row],[HPFP PRES. '[BAR']]]-Table3[[#This Row],[58F0]]</f>
        <v>0</v>
      </c>
      <c r="AA1566">
        <f>DataLog_T717420_Aug11_4_59_37pm[[#This Row],[COOLANT TEMP '[Â°C']]]-Table3[[#This Row],[5805]]</f>
        <v>0</v>
      </c>
      <c r="AB1566">
        <f>DataLog_T717420_Aug11_4_59_37pm[[#This Row],[BOOST '[BAR']]]-Table3[[#This Row],[58DD]]</f>
        <v>0</v>
      </c>
    </row>
    <row r="1567" spans="2:28" x14ac:dyDescent="0.25">
      <c r="B1567" s="2" t="s">
        <v>189</v>
      </c>
      <c r="C1567" s="2" t="s">
        <v>262</v>
      </c>
      <c r="D1567" s="2" t="s">
        <v>151</v>
      </c>
      <c r="E1567" s="2" t="s">
        <v>218</v>
      </c>
      <c r="F1567" s="2" t="s">
        <v>393</v>
      </c>
      <c r="G1567" s="2" t="s">
        <v>53</v>
      </c>
      <c r="I1567">
        <f>HEX2DEC(_0811_173439[[#This Row],[580C]])*B$4/B$5+B$6</f>
        <v>760</v>
      </c>
      <c r="J1567">
        <f>HEX2DEC(_0811_173439[[#This Row],[4402]])*C$4/C$5+C$6</f>
        <v>37</v>
      </c>
      <c r="K1567">
        <f>HEX2DEC(_0811_173439[[#This Row],[580F]])*D$4/D$5+D$6</f>
        <v>30</v>
      </c>
      <c r="L1567">
        <f>ROUND(HEX2DEC(_0811_173439[[#This Row],[58F0]])*E$4/E$5+E$6,0)</f>
        <v>71</v>
      </c>
      <c r="M1567">
        <f>ROUND(HEX2DEC(_0811_173439[[#This Row],[5805]])*F$4/F$5+F$6,0)</f>
        <v>46</v>
      </c>
      <c r="N1567">
        <f>ROUND(HEX2DEC(_0811_173439[[#This Row],[58DD]])*G$4/G$5+G$6,2)</f>
        <v>-0.03</v>
      </c>
      <c r="P1567">
        <v>760</v>
      </c>
      <c r="Q1567">
        <v>37</v>
      </c>
      <c r="R1567">
        <v>30</v>
      </c>
      <c r="S1567">
        <v>71</v>
      </c>
      <c r="T1567">
        <v>46</v>
      </c>
      <c r="U1567">
        <v>-0.03</v>
      </c>
      <c r="W1567">
        <f>DataLog_T717420_Aug11_4_59_37pm[[#This Row],[RPM '[1/MIN']]]-Table3[[#This Row],[580C]]</f>
        <v>0</v>
      </c>
      <c r="X1567">
        <f>DataLog_T717420_Aug11_4_59_37pm[[#This Row],[OIL TEMP '[Â°C']]]-Table3[[#This Row],[4402]]</f>
        <v>0</v>
      </c>
      <c r="Y1567">
        <f>DataLog_T717420_Aug11_4_59_37pm[[#This Row],[INTAKE TEMP '[Â°C']]]-Table3[[#This Row],[580F]]</f>
        <v>0</v>
      </c>
      <c r="Z1567">
        <f>DataLog_T717420_Aug11_4_59_37pm[[#This Row],[HPFP PRES. '[BAR']]]-Table3[[#This Row],[58F0]]</f>
        <v>0</v>
      </c>
      <c r="AA1567">
        <f>DataLog_T717420_Aug11_4_59_37pm[[#This Row],[COOLANT TEMP '[Â°C']]]-Table3[[#This Row],[5805]]</f>
        <v>0</v>
      </c>
      <c r="AB1567">
        <f>DataLog_T717420_Aug11_4_59_37pm[[#This Row],[BOOST '[BAR']]]-Table3[[#This Row],[58DD]]</f>
        <v>0</v>
      </c>
    </row>
    <row r="1568" spans="2:28" x14ac:dyDescent="0.25">
      <c r="B1568" s="2" t="s">
        <v>189</v>
      </c>
      <c r="C1568" s="2" t="s">
        <v>262</v>
      </c>
      <c r="D1568" s="2" t="s">
        <v>151</v>
      </c>
      <c r="E1568" s="2" t="s">
        <v>93</v>
      </c>
      <c r="F1568" s="2" t="s">
        <v>393</v>
      </c>
      <c r="G1568" s="2" t="s">
        <v>213</v>
      </c>
      <c r="I1568">
        <f>HEX2DEC(_0811_173439[[#This Row],[580C]])*B$4/B$5+B$6</f>
        <v>760</v>
      </c>
      <c r="J1568">
        <f>HEX2DEC(_0811_173439[[#This Row],[4402]])*C$4/C$5+C$6</f>
        <v>37</v>
      </c>
      <c r="K1568">
        <f>HEX2DEC(_0811_173439[[#This Row],[580F]])*D$4/D$5+D$6</f>
        <v>30</v>
      </c>
      <c r="L1568">
        <f>ROUND(HEX2DEC(_0811_173439[[#This Row],[58F0]])*E$4/E$5+E$6,0)</f>
        <v>70</v>
      </c>
      <c r="M1568">
        <f>ROUND(HEX2DEC(_0811_173439[[#This Row],[5805]])*F$4/F$5+F$6,0)</f>
        <v>46</v>
      </c>
      <c r="N1568">
        <f>ROUND(HEX2DEC(_0811_173439[[#This Row],[58DD]])*G$4/G$5+G$6,2)</f>
        <v>-0.03</v>
      </c>
      <c r="P1568">
        <v>760</v>
      </c>
      <c r="Q1568">
        <v>37</v>
      </c>
      <c r="R1568">
        <v>30</v>
      </c>
      <c r="S1568">
        <v>70</v>
      </c>
      <c r="T1568">
        <v>46</v>
      </c>
      <c r="U1568">
        <v>-0.03</v>
      </c>
      <c r="W1568">
        <f>DataLog_T717420_Aug11_4_59_37pm[[#This Row],[RPM '[1/MIN']]]-Table3[[#This Row],[580C]]</f>
        <v>0</v>
      </c>
      <c r="X1568">
        <f>DataLog_T717420_Aug11_4_59_37pm[[#This Row],[OIL TEMP '[Â°C']]]-Table3[[#This Row],[4402]]</f>
        <v>0</v>
      </c>
      <c r="Y1568">
        <f>DataLog_T717420_Aug11_4_59_37pm[[#This Row],[INTAKE TEMP '[Â°C']]]-Table3[[#This Row],[580F]]</f>
        <v>0</v>
      </c>
      <c r="Z1568">
        <f>DataLog_T717420_Aug11_4_59_37pm[[#This Row],[HPFP PRES. '[BAR']]]-Table3[[#This Row],[58F0]]</f>
        <v>0</v>
      </c>
      <c r="AA1568">
        <f>DataLog_T717420_Aug11_4_59_37pm[[#This Row],[COOLANT TEMP '[Â°C']]]-Table3[[#This Row],[5805]]</f>
        <v>0</v>
      </c>
      <c r="AB1568">
        <f>DataLog_T717420_Aug11_4_59_37pm[[#This Row],[BOOST '[BAR']]]-Table3[[#This Row],[58DD]]</f>
        <v>0</v>
      </c>
    </row>
    <row r="1569" spans="2:28" x14ac:dyDescent="0.25">
      <c r="B1569" s="2" t="s">
        <v>189</v>
      </c>
      <c r="C1569" s="2" t="s">
        <v>262</v>
      </c>
      <c r="D1569" s="2" t="s">
        <v>151</v>
      </c>
      <c r="E1569" s="2" t="s">
        <v>122</v>
      </c>
      <c r="F1569" s="2" t="s">
        <v>393</v>
      </c>
      <c r="G1569" s="2" t="s">
        <v>216</v>
      </c>
      <c r="I1569">
        <f>HEX2DEC(_0811_173439[[#This Row],[580C]])*B$4/B$5+B$6</f>
        <v>760</v>
      </c>
      <c r="J1569">
        <f>HEX2DEC(_0811_173439[[#This Row],[4402]])*C$4/C$5+C$6</f>
        <v>37</v>
      </c>
      <c r="K1569">
        <f>HEX2DEC(_0811_173439[[#This Row],[580F]])*D$4/D$5+D$6</f>
        <v>30</v>
      </c>
      <c r="L1569">
        <f>ROUND(HEX2DEC(_0811_173439[[#This Row],[58F0]])*E$4/E$5+E$6,0)</f>
        <v>71</v>
      </c>
      <c r="M1569">
        <f>ROUND(HEX2DEC(_0811_173439[[#This Row],[5805]])*F$4/F$5+F$6,0)</f>
        <v>46</v>
      </c>
      <c r="N1569">
        <f>ROUND(HEX2DEC(_0811_173439[[#This Row],[58DD]])*G$4/G$5+G$6,2)</f>
        <v>-0.03</v>
      </c>
      <c r="P1569">
        <v>760</v>
      </c>
      <c r="Q1569">
        <v>37</v>
      </c>
      <c r="R1569">
        <v>30</v>
      </c>
      <c r="S1569">
        <v>71</v>
      </c>
      <c r="T1569">
        <v>46</v>
      </c>
      <c r="U1569">
        <v>-0.03</v>
      </c>
      <c r="W1569">
        <f>DataLog_T717420_Aug11_4_59_37pm[[#This Row],[RPM '[1/MIN']]]-Table3[[#This Row],[580C]]</f>
        <v>0</v>
      </c>
      <c r="X1569">
        <f>DataLog_T717420_Aug11_4_59_37pm[[#This Row],[OIL TEMP '[Â°C']]]-Table3[[#This Row],[4402]]</f>
        <v>0</v>
      </c>
      <c r="Y1569">
        <f>DataLog_T717420_Aug11_4_59_37pm[[#This Row],[INTAKE TEMP '[Â°C']]]-Table3[[#This Row],[580F]]</f>
        <v>0</v>
      </c>
      <c r="Z1569">
        <f>DataLog_T717420_Aug11_4_59_37pm[[#This Row],[HPFP PRES. '[BAR']]]-Table3[[#This Row],[58F0]]</f>
        <v>0</v>
      </c>
      <c r="AA1569">
        <f>DataLog_T717420_Aug11_4_59_37pm[[#This Row],[COOLANT TEMP '[Â°C']]]-Table3[[#This Row],[5805]]</f>
        <v>0</v>
      </c>
      <c r="AB1569">
        <f>DataLog_T717420_Aug11_4_59_37pm[[#This Row],[BOOST '[BAR']]]-Table3[[#This Row],[58DD]]</f>
        <v>0</v>
      </c>
    </row>
    <row r="1570" spans="2:28" x14ac:dyDescent="0.25">
      <c r="B1570" s="2" t="s">
        <v>189</v>
      </c>
      <c r="C1570" s="2" t="s">
        <v>262</v>
      </c>
      <c r="D1570" s="2" t="s">
        <v>151</v>
      </c>
      <c r="E1570" s="2" t="s">
        <v>154</v>
      </c>
      <c r="F1570" s="2" t="s">
        <v>393</v>
      </c>
      <c r="G1570" s="2" t="s">
        <v>191</v>
      </c>
      <c r="I1570">
        <f>HEX2DEC(_0811_173439[[#This Row],[580C]])*B$4/B$5+B$6</f>
        <v>760</v>
      </c>
      <c r="J1570">
        <f>HEX2DEC(_0811_173439[[#This Row],[4402]])*C$4/C$5+C$6</f>
        <v>37</v>
      </c>
      <c r="K1570">
        <f>HEX2DEC(_0811_173439[[#This Row],[580F]])*D$4/D$5+D$6</f>
        <v>30</v>
      </c>
      <c r="L1570">
        <f>ROUND(HEX2DEC(_0811_173439[[#This Row],[58F0]])*E$4/E$5+E$6,0)</f>
        <v>71</v>
      </c>
      <c r="M1570">
        <f>ROUND(HEX2DEC(_0811_173439[[#This Row],[5805]])*F$4/F$5+F$6,0)</f>
        <v>46</v>
      </c>
      <c r="N1570">
        <f>ROUND(HEX2DEC(_0811_173439[[#This Row],[58DD]])*G$4/G$5+G$6,2)</f>
        <v>-0.03</v>
      </c>
      <c r="P1570">
        <v>760</v>
      </c>
      <c r="Q1570">
        <v>37</v>
      </c>
      <c r="R1570">
        <v>30</v>
      </c>
      <c r="S1570">
        <v>71</v>
      </c>
      <c r="T1570">
        <v>46</v>
      </c>
      <c r="U1570">
        <v>-0.03</v>
      </c>
      <c r="W1570">
        <f>DataLog_T717420_Aug11_4_59_37pm[[#This Row],[RPM '[1/MIN']]]-Table3[[#This Row],[580C]]</f>
        <v>0</v>
      </c>
      <c r="X1570">
        <f>DataLog_T717420_Aug11_4_59_37pm[[#This Row],[OIL TEMP '[Â°C']]]-Table3[[#This Row],[4402]]</f>
        <v>0</v>
      </c>
      <c r="Y1570">
        <f>DataLog_T717420_Aug11_4_59_37pm[[#This Row],[INTAKE TEMP '[Â°C']]]-Table3[[#This Row],[580F]]</f>
        <v>0</v>
      </c>
      <c r="Z1570">
        <f>DataLog_T717420_Aug11_4_59_37pm[[#This Row],[HPFP PRES. '[BAR']]]-Table3[[#This Row],[58F0]]</f>
        <v>0</v>
      </c>
      <c r="AA1570">
        <f>DataLog_T717420_Aug11_4_59_37pm[[#This Row],[COOLANT TEMP '[Â°C']]]-Table3[[#This Row],[5805]]</f>
        <v>0</v>
      </c>
      <c r="AB1570">
        <f>DataLog_T717420_Aug11_4_59_37pm[[#This Row],[BOOST '[BAR']]]-Table3[[#This Row],[58DD]]</f>
        <v>0</v>
      </c>
    </row>
    <row r="1571" spans="2:28" x14ac:dyDescent="0.25">
      <c r="B1571" s="2" t="s">
        <v>189</v>
      </c>
      <c r="C1571" s="2" t="s">
        <v>262</v>
      </c>
      <c r="D1571" s="2" t="s">
        <v>151</v>
      </c>
      <c r="E1571" s="2" t="s">
        <v>157</v>
      </c>
      <c r="F1571" s="2" t="s">
        <v>393</v>
      </c>
      <c r="G1571" s="2" t="s">
        <v>53</v>
      </c>
      <c r="I1571">
        <f>HEX2DEC(_0811_173439[[#This Row],[580C]])*B$4/B$5+B$6</f>
        <v>760</v>
      </c>
      <c r="J1571">
        <f>HEX2DEC(_0811_173439[[#This Row],[4402]])*C$4/C$5+C$6</f>
        <v>37</v>
      </c>
      <c r="K1571">
        <f>HEX2DEC(_0811_173439[[#This Row],[580F]])*D$4/D$5+D$6</f>
        <v>30</v>
      </c>
      <c r="L1571">
        <f>ROUND(HEX2DEC(_0811_173439[[#This Row],[58F0]])*E$4/E$5+E$6,0)</f>
        <v>70</v>
      </c>
      <c r="M1571">
        <f>ROUND(HEX2DEC(_0811_173439[[#This Row],[5805]])*F$4/F$5+F$6,0)</f>
        <v>46</v>
      </c>
      <c r="N1571">
        <f>ROUND(HEX2DEC(_0811_173439[[#This Row],[58DD]])*G$4/G$5+G$6,2)</f>
        <v>-0.03</v>
      </c>
      <c r="P1571">
        <v>760</v>
      </c>
      <c r="Q1571">
        <v>37</v>
      </c>
      <c r="R1571">
        <v>30</v>
      </c>
      <c r="S1571">
        <v>70</v>
      </c>
      <c r="T1571">
        <v>46</v>
      </c>
      <c r="U1571">
        <v>-0.03</v>
      </c>
      <c r="W1571">
        <f>DataLog_T717420_Aug11_4_59_37pm[[#This Row],[RPM '[1/MIN']]]-Table3[[#This Row],[580C]]</f>
        <v>0</v>
      </c>
      <c r="X1571">
        <f>DataLog_T717420_Aug11_4_59_37pm[[#This Row],[OIL TEMP '[Â°C']]]-Table3[[#This Row],[4402]]</f>
        <v>0</v>
      </c>
      <c r="Y1571">
        <f>DataLog_T717420_Aug11_4_59_37pm[[#This Row],[INTAKE TEMP '[Â°C']]]-Table3[[#This Row],[580F]]</f>
        <v>0</v>
      </c>
      <c r="Z1571">
        <f>DataLog_T717420_Aug11_4_59_37pm[[#This Row],[HPFP PRES. '[BAR']]]-Table3[[#This Row],[58F0]]</f>
        <v>0</v>
      </c>
      <c r="AA1571">
        <f>DataLog_T717420_Aug11_4_59_37pm[[#This Row],[COOLANT TEMP '[Â°C']]]-Table3[[#This Row],[5805]]</f>
        <v>0</v>
      </c>
      <c r="AB1571">
        <f>DataLog_T717420_Aug11_4_59_37pm[[#This Row],[BOOST '[BAR']]]-Table3[[#This Row],[58DD]]</f>
        <v>0</v>
      </c>
    </row>
    <row r="1572" spans="2:28" x14ac:dyDescent="0.25">
      <c r="B1572" s="2" t="s">
        <v>189</v>
      </c>
      <c r="C1572" s="2" t="s">
        <v>262</v>
      </c>
      <c r="D1572" s="2" t="s">
        <v>151</v>
      </c>
      <c r="E1572" s="2" t="s">
        <v>139</v>
      </c>
      <c r="F1572" s="2" t="s">
        <v>393</v>
      </c>
      <c r="G1572" s="2" t="s">
        <v>98</v>
      </c>
      <c r="I1572">
        <f>HEX2DEC(_0811_173439[[#This Row],[580C]])*B$4/B$5+B$6</f>
        <v>760</v>
      </c>
      <c r="J1572">
        <f>HEX2DEC(_0811_173439[[#This Row],[4402]])*C$4/C$5+C$6</f>
        <v>37</v>
      </c>
      <c r="K1572">
        <f>HEX2DEC(_0811_173439[[#This Row],[580F]])*D$4/D$5+D$6</f>
        <v>30</v>
      </c>
      <c r="L1572">
        <f>ROUND(HEX2DEC(_0811_173439[[#This Row],[58F0]])*E$4/E$5+E$6,0)</f>
        <v>71</v>
      </c>
      <c r="M1572">
        <f>ROUND(HEX2DEC(_0811_173439[[#This Row],[5805]])*F$4/F$5+F$6,0)</f>
        <v>46</v>
      </c>
      <c r="N1572">
        <f>ROUND(HEX2DEC(_0811_173439[[#This Row],[58DD]])*G$4/G$5+G$6,2)</f>
        <v>-0.03</v>
      </c>
      <c r="P1572">
        <v>760</v>
      </c>
      <c r="Q1572">
        <v>37</v>
      </c>
      <c r="R1572">
        <v>30</v>
      </c>
      <c r="S1572">
        <v>71</v>
      </c>
      <c r="T1572">
        <v>46</v>
      </c>
      <c r="U1572">
        <v>-0.03</v>
      </c>
      <c r="W1572">
        <f>DataLog_T717420_Aug11_4_59_37pm[[#This Row],[RPM '[1/MIN']]]-Table3[[#This Row],[580C]]</f>
        <v>0</v>
      </c>
      <c r="X1572">
        <f>DataLog_T717420_Aug11_4_59_37pm[[#This Row],[OIL TEMP '[Â°C']]]-Table3[[#This Row],[4402]]</f>
        <v>0</v>
      </c>
      <c r="Y1572">
        <f>DataLog_T717420_Aug11_4_59_37pm[[#This Row],[INTAKE TEMP '[Â°C']]]-Table3[[#This Row],[580F]]</f>
        <v>0</v>
      </c>
      <c r="Z1572">
        <f>DataLog_T717420_Aug11_4_59_37pm[[#This Row],[HPFP PRES. '[BAR']]]-Table3[[#This Row],[58F0]]</f>
        <v>0</v>
      </c>
      <c r="AA1572">
        <f>DataLog_T717420_Aug11_4_59_37pm[[#This Row],[COOLANT TEMP '[Â°C']]]-Table3[[#This Row],[5805]]</f>
        <v>0</v>
      </c>
      <c r="AB1572">
        <f>DataLog_T717420_Aug11_4_59_37pm[[#This Row],[BOOST '[BAR']]]-Table3[[#This Row],[58DD]]</f>
        <v>0</v>
      </c>
    </row>
    <row r="1573" spans="2:28" x14ac:dyDescent="0.25">
      <c r="B1573" s="2" t="s">
        <v>189</v>
      </c>
      <c r="C1573" s="2" t="s">
        <v>262</v>
      </c>
      <c r="D1573" s="2" t="s">
        <v>151</v>
      </c>
      <c r="E1573" s="2" t="s">
        <v>166</v>
      </c>
      <c r="F1573" s="2" t="s">
        <v>393</v>
      </c>
      <c r="G1573" s="2" t="s">
        <v>191</v>
      </c>
      <c r="I1573">
        <f>HEX2DEC(_0811_173439[[#This Row],[580C]])*B$4/B$5+B$6</f>
        <v>760</v>
      </c>
      <c r="J1573">
        <f>HEX2DEC(_0811_173439[[#This Row],[4402]])*C$4/C$5+C$6</f>
        <v>37</v>
      </c>
      <c r="K1573">
        <f>HEX2DEC(_0811_173439[[#This Row],[580F]])*D$4/D$5+D$6</f>
        <v>30</v>
      </c>
      <c r="L1573">
        <f>ROUND(HEX2DEC(_0811_173439[[#This Row],[58F0]])*E$4/E$5+E$6,0)</f>
        <v>71</v>
      </c>
      <c r="M1573">
        <f>ROUND(HEX2DEC(_0811_173439[[#This Row],[5805]])*F$4/F$5+F$6,0)</f>
        <v>46</v>
      </c>
      <c r="N1573">
        <f>ROUND(HEX2DEC(_0811_173439[[#This Row],[58DD]])*G$4/G$5+G$6,2)</f>
        <v>-0.03</v>
      </c>
      <c r="P1573">
        <v>760</v>
      </c>
      <c r="Q1573">
        <v>37</v>
      </c>
      <c r="R1573">
        <v>30</v>
      </c>
      <c r="S1573">
        <v>71</v>
      </c>
      <c r="T1573">
        <v>46</v>
      </c>
      <c r="U1573">
        <v>-0.03</v>
      </c>
      <c r="W1573">
        <f>DataLog_T717420_Aug11_4_59_37pm[[#This Row],[RPM '[1/MIN']]]-Table3[[#This Row],[580C]]</f>
        <v>0</v>
      </c>
      <c r="X1573">
        <f>DataLog_T717420_Aug11_4_59_37pm[[#This Row],[OIL TEMP '[Â°C']]]-Table3[[#This Row],[4402]]</f>
        <v>0</v>
      </c>
      <c r="Y1573">
        <f>DataLog_T717420_Aug11_4_59_37pm[[#This Row],[INTAKE TEMP '[Â°C']]]-Table3[[#This Row],[580F]]</f>
        <v>0</v>
      </c>
      <c r="Z1573">
        <f>DataLog_T717420_Aug11_4_59_37pm[[#This Row],[HPFP PRES. '[BAR']]]-Table3[[#This Row],[58F0]]</f>
        <v>0</v>
      </c>
      <c r="AA1573">
        <f>DataLog_T717420_Aug11_4_59_37pm[[#This Row],[COOLANT TEMP '[Â°C']]]-Table3[[#This Row],[5805]]</f>
        <v>0</v>
      </c>
      <c r="AB1573">
        <f>DataLog_T717420_Aug11_4_59_37pm[[#This Row],[BOOST '[BAR']]]-Table3[[#This Row],[58DD]]</f>
        <v>0</v>
      </c>
    </row>
    <row r="1574" spans="2:28" x14ac:dyDescent="0.25">
      <c r="B1574" s="2" t="s">
        <v>189</v>
      </c>
      <c r="C1574" s="2" t="s">
        <v>262</v>
      </c>
      <c r="D1574" s="2" t="s">
        <v>151</v>
      </c>
      <c r="E1574" s="2" t="s">
        <v>195</v>
      </c>
      <c r="F1574" s="2" t="s">
        <v>393</v>
      </c>
      <c r="G1574" s="2" t="s">
        <v>96</v>
      </c>
      <c r="I1574">
        <f>HEX2DEC(_0811_173439[[#This Row],[580C]])*B$4/B$5+B$6</f>
        <v>760</v>
      </c>
      <c r="J1574">
        <f>HEX2DEC(_0811_173439[[#This Row],[4402]])*C$4/C$5+C$6</f>
        <v>37</v>
      </c>
      <c r="K1574">
        <f>HEX2DEC(_0811_173439[[#This Row],[580F]])*D$4/D$5+D$6</f>
        <v>30</v>
      </c>
      <c r="L1574">
        <f>ROUND(HEX2DEC(_0811_173439[[#This Row],[58F0]])*E$4/E$5+E$6,0)</f>
        <v>70</v>
      </c>
      <c r="M1574">
        <f>ROUND(HEX2DEC(_0811_173439[[#This Row],[5805]])*F$4/F$5+F$6,0)</f>
        <v>46</v>
      </c>
      <c r="N1574">
        <f>ROUND(HEX2DEC(_0811_173439[[#This Row],[58DD]])*G$4/G$5+G$6,2)</f>
        <v>-0.03</v>
      </c>
      <c r="P1574">
        <v>760</v>
      </c>
      <c r="Q1574">
        <v>37</v>
      </c>
      <c r="R1574">
        <v>30</v>
      </c>
      <c r="S1574">
        <v>70</v>
      </c>
      <c r="T1574">
        <v>46</v>
      </c>
      <c r="U1574">
        <v>-0.03</v>
      </c>
      <c r="W1574">
        <f>DataLog_T717420_Aug11_4_59_37pm[[#This Row],[RPM '[1/MIN']]]-Table3[[#This Row],[580C]]</f>
        <v>0</v>
      </c>
      <c r="X1574">
        <f>DataLog_T717420_Aug11_4_59_37pm[[#This Row],[OIL TEMP '[Â°C']]]-Table3[[#This Row],[4402]]</f>
        <v>0</v>
      </c>
      <c r="Y1574">
        <f>DataLog_T717420_Aug11_4_59_37pm[[#This Row],[INTAKE TEMP '[Â°C']]]-Table3[[#This Row],[580F]]</f>
        <v>0</v>
      </c>
      <c r="Z1574">
        <f>DataLog_T717420_Aug11_4_59_37pm[[#This Row],[HPFP PRES. '[BAR']]]-Table3[[#This Row],[58F0]]</f>
        <v>0</v>
      </c>
      <c r="AA1574">
        <f>DataLog_T717420_Aug11_4_59_37pm[[#This Row],[COOLANT TEMP '[Â°C']]]-Table3[[#This Row],[5805]]</f>
        <v>0</v>
      </c>
      <c r="AB1574">
        <f>DataLog_T717420_Aug11_4_59_37pm[[#This Row],[BOOST '[BAR']]]-Table3[[#This Row],[58DD]]</f>
        <v>0</v>
      </c>
    </row>
    <row r="1575" spans="2:28" x14ac:dyDescent="0.25">
      <c r="B1575" s="2" t="s">
        <v>189</v>
      </c>
      <c r="C1575" s="2" t="s">
        <v>262</v>
      </c>
      <c r="D1575" s="2" t="s">
        <v>151</v>
      </c>
      <c r="E1575" s="2" t="s">
        <v>176</v>
      </c>
      <c r="F1575" s="2" t="s">
        <v>393</v>
      </c>
      <c r="G1575" s="2" t="s">
        <v>235</v>
      </c>
      <c r="I1575">
        <f>HEX2DEC(_0811_173439[[#This Row],[580C]])*B$4/B$5+B$6</f>
        <v>760</v>
      </c>
      <c r="J1575">
        <f>HEX2DEC(_0811_173439[[#This Row],[4402]])*C$4/C$5+C$6</f>
        <v>37</v>
      </c>
      <c r="K1575">
        <f>HEX2DEC(_0811_173439[[#This Row],[580F]])*D$4/D$5+D$6</f>
        <v>30</v>
      </c>
      <c r="L1575">
        <f>ROUND(HEX2DEC(_0811_173439[[#This Row],[58F0]])*E$4/E$5+E$6,0)</f>
        <v>70</v>
      </c>
      <c r="M1575">
        <f>ROUND(HEX2DEC(_0811_173439[[#This Row],[5805]])*F$4/F$5+F$6,0)</f>
        <v>46</v>
      </c>
      <c r="N1575">
        <f>ROUND(HEX2DEC(_0811_173439[[#This Row],[58DD]])*G$4/G$5+G$6,2)</f>
        <v>-0.03</v>
      </c>
      <c r="P1575">
        <v>760</v>
      </c>
      <c r="Q1575">
        <v>37</v>
      </c>
      <c r="R1575">
        <v>30</v>
      </c>
      <c r="S1575">
        <v>70</v>
      </c>
      <c r="T1575">
        <v>46</v>
      </c>
      <c r="U1575">
        <v>-0.03</v>
      </c>
      <c r="W1575">
        <f>DataLog_T717420_Aug11_4_59_37pm[[#This Row],[RPM '[1/MIN']]]-Table3[[#This Row],[580C]]</f>
        <v>0</v>
      </c>
      <c r="X1575">
        <f>DataLog_T717420_Aug11_4_59_37pm[[#This Row],[OIL TEMP '[Â°C']]]-Table3[[#This Row],[4402]]</f>
        <v>0</v>
      </c>
      <c r="Y1575">
        <f>DataLog_T717420_Aug11_4_59_37pm[[#This Row],[INTAKE TEMP '[Â°C']]]-Table3[[#This Row],[580F]]</f>
        <v>0</v>
      </c>
      <c r="Z1575">
        <f>DataLog_T717420_Aug11_4_59_37pm[[#This Row],[HPFP PRES. '[BAR']]]-Table3[[#This Row],[58F0]]</f>
        <v>0</v>
      </c>
      <c r="AA1575">
        <f>DataLog_T717420_Aug11_4_59_37pm[[#This Row],[COOLANT TEMP '[Â°C']]]-Table3[[#This Row],[5805]]</f>
        <v>0</v>
      </c>
      <c r="AB1575">
        <f>DataLog_T717420_Aug11_4_59_37pm[[#This Row],[BOOST '[BAR']]]-Table3[[#This Row],[58DD]]</f>
        <v>0</v>
      </c>
    </row>
    <row r="1576" spans="2:28" x14ac:dyDescent="0.25">
      <c r="B1576" s="2" t="s">
        <v>189</v>
      </c>
      <c r="C1576" s="2" t="s">
        <v>262</v>
      </c>
      <c r="D1576" s="2" t="s">
        <v>151</v>
      </c>
      <c r="E1576" s="2" t="s">
        <v>172</v>
      </c>
      <c r="F1576" s="2" t="s">
        <v>393</v>
      </c>
      <c r="G1576" s="2" t="s">
        <v>53</v>
      </c>
      <c r="I1576">
        <f>HEX2DEC(_0811_173439[[#This Row],[580C]])*B$4/B$5+B$6</f>
        <v>760</v>
      </c>
      <c r="J1576">
        <f>HEX2DEC(_0811_173439[[#This Row],[4402]])*C$4/C$5+C$6</f>
        <v>37</v>
      </c>
      <c r="K1576">
        <f>HEX2DEC(_0811_173439[[#This Row],[580F]])*D$4/D$5+D$6</f>
        <v>30</v>
      </c>
      <c r="L1576">
        <f>ROUND(HEX2DEC(_0811_173439[[#This Row],[58F0]])*E$4/E$5+E$6,0)</f>
        <v>70</v>
      </c>
      <c r="M1576">
        <f>ROUND(HEX2DEC(_0811_173439[[#This Row],[5805]])*F$4/F$5+F$6,0)</f>
        <v>46</v>
      </c>
      <c r="N1576">
        <f>ROUND(HEX2DEC(_0811_173439[[#This Row],[58DD]])*G$4/G$5+G$6,2)</f>
        <v>-0.03</v>
      </c>
      <c r="P1576">
        <v>760</v>
      </c>
      <c r="Q1576">
        <v>37</v>
      </c>
      <c r="R1576">
        <v>30</v>
      </c>
      <c r="S1576">
        <v>70</v>
      </c>
      <c r="T1576">
        <v>46</v>
      </c>
      <c r="U1576">
        <v>-0.03</v>
      </c>
      <c r="W1576">
        <f>DataLog_T717420_Aug11_4_59_37pm[[#This Row],[RPM '[1/MIN']]]-Table3[[#This Row],[580C]]</f>
        <v>0</v>
      </c>
      <c r="X1576">
        <f>DataLog_T717420_Aug11_4_59_37pm[[#This Row],[OIL TEMP '[Â°C']]]-Table3[[#This Row],[4402]]</f>
        <v>0</v>
      </c>
      <c r="Y1576">
        <f>DataLog_T717420_Aug11_4_59_37pm[[#This Row],[INTAKE TEMP '[Â°C']]]-Table3[[#This Row],[580F]]</f>
        <v>0</v>
      </c>
      <c r="Z1576">
        <f>DataLog_T717420_Aug11_4_59_37pm[[#This Row],[HPFP PRES. '[BAR']]]-Table3[[#This Row],[58F0]]</f>
        <v>0</v>
      </c>
      <c r="AA1576">
        <f>DataLog_T717420_Aug11_4_59_37pm[[#This Row],[COOLANT TEMP '[Â°C']]]-Table3[[#This Row],[5805]]</f>
        <v>0</v>
      </c>
      <c r="AB1576">
        <f>DataLog_T717420_Aug11_4_59_37pm[[#This Row],[BOOST '[BAR']]]-Table3[[#This Row],[58DD]]</f>
        <v>0</v>
      </c>
    </row>
    <row r="1577" spans="2:28" x14ac:dyDescent="0.25">
      <c r="B1577" s="2" t="s">
        <v>189</v>
      </c>
      <c r="C1577" s="2" t="s">
        <v>262</v>
      </c>
      <c r="D1577" s="2" t="s">
        <v>151</v>
      </c>
      <c r="E1577" s="2" t="s">
        <v>163</v>
      </c>
      <c r="F1577" s="2" t="s">
        <v>393</v>
      </c>
      <c r="G1577" s="2" t="s">
        <v>190</v>
      </c>
      <c r="I1577">
        <f>HEX2DEC(_0811_173439[[#This Row],[580C]])*B$4/B$5+B$6</f>
        <v>760</v>
      </c>
      <c r="J1577">
        <f>HEX2DEC(_0811_173439[[#This Row],[4402]])*C$4/C$5+C$6</f>
        <v>37</v>
      </c>
      <c r="K1577">
        <f>HEX2DEC(_0811_173439[[#This Row],[580F]])*D$4/D$5+D$6</f>
        <v>30</v>
      </c>
      <c r="L1577">
        <f>ROUND(HEX2DEC(_0811_173439[[#This Row],[58F0]])*E$4/E$5+E$6,0)</f>
        <v>70</v>
      </c>
      <c r="M1577">
        <f>ROUND(HEX2DEC(_0811_173439[[#This Row],[5805]])*F$4/F$5+F$6,0)</f>
        <v>46</v>
      </c>
      <c r="N1577">
        <f>ROUND(HEX2DEC(_0811_173439[[#This Row],[58DD]])*G$4/G$5+G$6,2)</f>
        <v>-0.03</v>
      </c>
      <c r="P1577">
        <v>760</v>
      </c>
      <c r="Q1577">
        <v>37</v>
      </c>
      <c r="R1577">
        <v>30</v>
      </c>
      <c r="S1577">
        <v>70</v>
      </c>
      <c r="T1577">
        <v>46</v>
      </c>
      <c r="U1577">
        <v>-0.03</v>
      </c>
      <c r="W1577">
        <f>DataLog_T717420_Aug11_4_59_37pm[[#This Row],[RPM '[1/MIN']]]-Table3[[#This Row],[580C]]</f>
        <v>0</v>
      </c>
      <c r="X1577">
        <f>DataLog_T717420_Aug11_4_59_37pm[[#This Row],[OIL TEMP '[Â°C']]]-Table3[[#This Row],[4402]]</f>
        <v>0</v>
      </c>
      <c r="Y1577">
        <f>DataLog_T717420_Aug11_4_59_37pm[[#This Row],[INTAKE TEMP '[Â°C']]]-Table3[[#This Row],[580F]]</f>
        <v>0</v>
      </c>
      <c r="Z1577">
        <f>DataLog_T717420_Aug11_4_59_37pm[[#This Row],[HPFP PRES. '[BAR']]]-Table3[[#This Row],[58F0]]</f>
        <v>0</v>
      </c>
      <c r="AA1577">
        <f>DataLog_T717420_Aug11_4_59_37pm[[#This Row],[COOLANT TEMP '[Â°C']]]-Table3[[#This Row],[5805]]</f>
        <v>0</v>
      </c>
      <c r="AB1577">
        <f>DataLog_T717420_Aug11_4_59_37pm[[#This Row],[BOOST '[BAR']]]-Table3[[#This Row],[58DD]]</f>
        <v>0</v>
      </c>
    </row>
    <row r="1578" spans="2:28" x14ac:dyDescent="0.25">
      <c r="B1578" s="2" t="s">
        <v>189</v>
      </c>
      <c r="C1578" s="2" t="s">
        <v>262</v>
      </c>
      <c r="D1578" s="2" t="s">
        <v>151</v>
      </c>
      <c r="E1578" s="2" t="s">
        <v>214</v>
      </c>
      <c r="F1578" s="2" t="s">
        <v>393</v>
      </c>
      <c r="G1578" s="2" t="s">
        <v>53</v>
      </c>
      <c r="I1578">
        <f>HEX2DEC(_0811_173439[[#This Row],[580C]])*B$4/B$5+B$6</f>
        <v>760</v>
      </c>
      <c r="J1578">
        <f>HEX2DEC(_0811_173439[[#This Row],[4402]])*C$4/C$5+C$6</f>
        <v>37</v>
      </c>
      <c r="K1578">
        <f>HEX2DEC(_0811_173439[[#This Row],[580F]])*D$4/D$5+D$6</f>
        <v>30</v>
      </c>
      <c r="L1578">
        <f>ROUND(HEX2DEC(_0811_173439[[#This Row],[58F0]])*E$4/E$5+E$6,0)</f>
        <v>70</v>
      </c>
      <c r="M1578">
        <f>ROUND(HEX2DEC(_0811_173439[[#This Row],[5805]])*F$4/F$5+F$6,0)</f>
        <v>46</v>
      </c>
      <c r="N1578">
        <f>ROUND(HEX2DEC(_0811_173439[[#This Row],[58DD]])*G$4/G$5+G$6,2)</f>
        <v>-0.03</v>
      </c>
      <c r="P1578">
        <v>760</v>
      </c>
      <c r="Q1578">
        <v>37</v>
      </c>
      <c r="R1578">
        <v>30</v>
      </c>
      <c r="S1578">
        <v>70</v>
      </c>
      <c r="T1578">
        <v>46</v>
      </c>
      <c r="U1578">
        <v>-0.03</v>
      </c>
      <c r="W1578">
        <f>DataLog_T717420_Aug11_4_59_37pm[[#This Row],[RPM '[1/MIN']]]-Table3[[#This Row],[580C]]</f>
        <v>0</v>
      </c>
      <c r="X1578">
        <f>DataLog_T717420_Aug11_4_59_37pm[[#This Row],[OIL TEMP '[Â°C']]]-Table3[[#This Row],[4402]]</f>
        <v>0</v>
      </c>
      <c r="Y1578">
        <f>DataLog_T717420_Aug11_4_59_37pm[[#This Row],[INTAKE TEMP '[Â°C']]]-Table3[[#This Row],[580F]]</f>
        <v>0</v>
      </c>
      <c r="Z1578">
        <f>DataLog_T717420_Aug11_4_59_37pm[[#This Row],[HPFP PRES. '[BAR']]]-Table3[[#This Row],[58F0]]</f>
        <v>0</v>
      </c>
      <c r="AA1578">
        <f>DataLog_T717420_Aug11_4_59_37pm[[#This Row],[COOLANT TEMP '[Â°C']]]-Table3[[#This Row],[5805]]</f>
        <v>0</v>
      </c>
      <c r="AB1578">
        <f>DataLog_T717420_Aug11_4_59_37pm[[#This Row],[BOOST '[BAR']]]-Table3[[#This Row],[58DD]]</f>
        <v>0</v>
      </c>
    </row>
    <row r="1579" spans="2:28" x14ac:dyDescent="0.25">
      <c r="B1579" s="2" t="s">
        <v>189</v>
      </c>
      <c r="C1579" s="2" t="s">
        <v>262</v>
      </c>
      <c r="D1579" s="2" t="s">
        <v>151</v>
      </c>
      <c r="E1579" s="2" t="s">
        <v>194</v>
      </c>
      <c r="F1579" s="2" t="s">
        <v>393</v>
      </c>
      <c r="G1579" s="2" t="s">
        <v>98</v>
      </c>
      <c r="I1579">
        <f>HEX2DEC(_0811_173439[[#This Row],[580C]])*B$4/B$5+B$6</f>
        <v>760</v>
      </c>
      <c r="J1579">
        <f>HEX2DEC(_0811_173439[[#This Row],[4402]])*C$4/C$5+C$6</f>
        <v>37</v>
      </c>
      <c r="K1579">
        <f>HEX2DEC(_0811_173439[[#This Row],[580F]])*D$4/D$5+D$6</f>
        <v>30</v>
      </c>
      <c r="L1579">
        <f>ROUND(HEX2DEC(_0811_173439[[#This Row],[58F0]])*E$4/E$5+E$6,0)</f>
        <v>70</v>
      </c>
      <c r="M1579">
        <f>ROUND(HEX2DEC(_0811_173439[[#This Row],[5805]])*F$4/F$5+F$6,0)</f>
        <v>46</v>
      </c>
      <c r="N1579">
        <f>ROUND(HEX2DEC(_0811_173439[[#This Row],[58DD]])*G$4/G$5+G$6,2)</f>
        <v>-0.03</v>
      </c>
      <c r="P1579">
        <v>760</v>
      </c>
      <c r="Q1579">
        <v>37</v>
      </c>
      <c r="R1579">
        <v>30</v>
      </c>
      <c r="S1579">
        <v>70</v>
      </c>
      <c r="T1579">
        <v>46</v>
      </c>
      <c r="U1579">
        <v>-0.03</v>
      </c>
      <c r="W1579">
        <f>DataLog_T717420_Aug11_4_59_37pm[[#This Row],[RPM '[1/MIN']]]-Table3[[#This Row],[580C]]</f>
        <v>0</v>
      </c>
      <c r="X1579">
        <f>DataLog_T717420_Aug11_4_59_37pm[[#This Row],[OIL TEMP '[Â°C']]]-Table3[[#This Row],[4402]]</f>
        <v>0</v>
      </c>
      <c r="Y1579">
        <f>DataLog_T717420_Aug11_4_59_37pm[[#This Row],[INTAKE TEMP '[Â°C']]]-Table3[[#This Row],[580F]]</f>
        <v>0</v>
      </c>
      <c r="Z1579">
        <f>DataLog_T717420_Aug11_4_59_37pm[[#This Row],[HPFP PRES. '[BAR']]]-Table3[[#This Row],[58F0]]</f>
        <v>0</v>
      </c>
      <c r="AA1579">
        <f>DataLog_T717420_Aug11_4_59_37pm[[#This Row],[COOLANT TEMP '[Â°C']]]-Table3[[#This Row],[5805]]</f>
        <v>0</v>
      </c>
      <c r="AB1579">
        <f>DataLog_T717420_Aug11_4_59_37pm[[#This Row],[BOOST '[BAR']]]-Table3[[#This Row],[58DD]]</f>
        <v>0</v>
      </c>
    </row>
    <row r="1580" spans="2:28" x14ac:dyDescent="0.25">
      <c r="B1580" s="2" t="s">
        <v>189</v>
      </c>
      <c r="C1580" s="2" t="s">
        <v>262</v>
      </c>
      <c r="D1580" s="2" t="s">
        <v>151</v>
      </c>
      <c r="E1580" s="2" t="s">
        <v>207</v>
      </c>
      <c r="F1580" s="2" t="s">
        <v>393</v>
      </c>
      <c r="G1580" s="2" t="s">
        <v>216</v>
      </c>
      <c r="I1580">
        <f>HEX2DEC(_0811_173439[[#This Row],[580C]])*B$4/B$5+B$6</f>
        <v>760</v>
      </c>
      <c r="J1580">
        <f>HEX2DEC(_0811_173439[[#This Row],[4402]])*C$4/C$5+C$6</f>
        <v>37</v>
      </c>
      <c r="K1580">
        <f>HEX2DEC(_0811_173439[[#This Row],[580F]])*D$4/D$5+D$6</f>
        <v>30</v>
      </c>
      <c r="L1580">
        <f>ROUND(HEX2DEC(_0811_173439[[#This Row],[58F0]])*E$4/E$5+E$6,0)</f>
        <v>70</v>
      </c>
      <c r="M1580">
        <f>ROUND(HEX2DEC(_0811_173439[[#This Row],[5805]])*F$4/F$5+F$6,0)</f>
        <v>46</v>
      </c>
      <c r="N1580">
        <f>ROUND(HEX2DEC(_0811_173439[[#This Row],[58DD]])*G$4/G$5+G$6,2)</f>
        <v>-0.03</v>
      </c>
      <c r="P1580">
        <v>760</v>
      </c>
      <c r="Q1580">
        <v>37</v>
      </c>
      <c r="R1580">
        <v>30</v>
      </c>
      <c r="S1580">
        <v>70</v>
      </c>
      <c r="T1580">
        <v>46</v>
      </c>
      <c r="U1580">
        <v>-0.03</v>
      </c>
      <c r="W1580">
        <f>DataLog_T717420_Aug11_4_59_37pm[[#This Row],[RPM '[1/MIN']]]-Table3[[#This Row],[580C]]</f>
        <v>0</v>
      </c>
      <c r="X1580">
        <f>DataLog_T717420_Aug11_4_59_37pm[[#This Row],[OIL TEMP '[Â°C']]]-Table3[[#This Row],[4402]]</f>
        <v>0</v>
      </c>
      <c r="Y1580">
        <f>DataLog_T717420_Aug11_4_59_37pm[[#This Row],[INTAKE TEMP '[Â°C']]]-Table3[[#This Row],[580F]]</f>
        <v>0</v>
      </c>
      <c r="Z1580">
        <f>DataLog_T717420_Aug11_4_59_37pm[[#This Row],[HPFP PRES. '[BAR']]]-Table3[[#This Row],[58F0]]</f>
        <v>0</v>
      </c>
      <c r="AA1580">
        <f>DataLog_T717420_Aug11_4_59_37pm[[#This Row],[COOLANT TEMP '[Â°C']]]-Table3[[#This Row],[5805]]</f>
        <v>0</v>
      </c>
      <c r="AB1580">
        <f>DataLog_T717420_Aug11_4_59_37pm[[#This Row],[BOOST '[BAR']]]-Table3[[#This Row],[58DD]]</f>
        <v>0</v>
      </c>
    </row>
    <row r="1581" spans="2:28" x14ac:dyDescent="0.25">
      <c r="B1581" s="2" t="s">
        <v>189</v>
      </c>
      <c r="C1581" s="2" t="s">
        <v>262</v>
      </c>
      <c r="D1581" s="2" t="s">
        <v>151</v>
      </c>
      <c r="E1581" s="2" t="s">
        <v>212</v>
      </c>
      <c r="F1581" s="2" t="s">
        <v>393</v>
      </c>
      <c r="G1581" s="2" t="s">
        <v>191</v>
      </c>
      <c r="I1581">
        <f>HEX2DEC(_0811_173439[[#This Row],[580C]])*B$4/B$5+B$6</f>
        <v>760</v>
      </c>
      <c r="J1581">
        <f>HEX2DEC(_0811_173439[[#This Row],[4402]])*C$4/C$5+C$6</f>
        <v>37</v>
      </c>
      <c r="K1581">
        <f>HEX2DEC(_0811_173439[[#This Row],[580F]])*D$4/D$5+D$6</f>
        <v>30</v>
      </c>
      <c r="L1581">
        <f>ROUND(HEX2DEC(_0811_173439[[#This Row],[58F0]])*E$4/E$5+E$6,0)</f>
        <v>69</v>
      </c>
      <c r="M1581">
        <f>ROUND(HEX2DEC(_0811_173439[[#This Row],[5805]])*F$4/F$5+F$6,0)</f>
        <v>46</v>
      </c>
      <c r="N1581">
        <f>ROUND(HEX2DEC(_0811_173439[[#This Row],[58DD]])*G$4/G$5+G$6,2)</f>
        <v>-0.03</v>
      </c>
      <c r="P1581">
        <v>760</v>
      </c>
      <c r="Q1581">
        <v>37</v>
      </c>
      <c r="R1581">
        <v>30</v>
      </c>
      <c r="S1581">
        <v>69</v>
      </c>
      <c r="T1581">
        <v>46</v>
      </c>
      <c r="U1581">
        <v>-0.03</v>
      </c>
      <c r="W1581">
        <f>DataLog_T717420_Aug11_4_59_37pm[[#This Row],[RPM '[1/MIN']]]-Table3[[#This Row],[580C]]</f>
        <v>0</v>
      </c>
      <c r="X1581">
        <f>DataLog_T717420_Aug11_4_59_37pm[[#This Row],[OIL TEMP '[Â°C']]]-Table3[[#This Row],[4402]]</f>
        <v>0</v>
      </c>
      <c r="Y1581">
        <f>DataLog_T717420_Aug11_4_59_37pm[[#This Row],[INTAKE TEMP '[Â°C']]]-Table3[[#This Row],[580F]]</f>
        <v>0</v>
      </c>
      <c r="Z1581">
        <f>DataLog_T717420_Aug11_4_59_37pm[[#This Row],[HPFP PRES. '[BAR']]]-Table3[[#This Row],[58F0]]</f>
        <v>0</v>
      </c>
      <c r="AA1581">
        <f>DataLog_T717420_Aug11_4_59_37pm[[#This Row],[COOLANT TEMP '[Â°C']]]-Table3[[#This Row],[5805]]</f>
        <v>0</v>
      </c>
      <c r="AB1581">
        <f>DataLog_T717420_Aug11_4_59_37pm[[#This Row],[BOOST '[BAR']]]-Table3[[#This Row],[58DD]]</f>
        <v>0</v>
      </c>
    </row>
    <row r="1582" spans="2:28" x14ac:dyDescent="0.25">
      <c r="B1582" s="2" t="s">
        <v>189</v>
      </c>
      <c r="C1582" s="2" t="s">
        <v>262</v>
      </c>
      <c r="D1582" s="2" t="s">
        <v>151</v>
      </c>
      <c r="E1582" s="2" t="s">
        <v>156</v>
      </c>
      <c r="F1582" s="2" t="s">
        <v>393</v>
      </c>
      <c r="G1582" s="2" t="s">
        <v>216</v>
      </c>
      <c r="I1582">
        <f>HEX2DEC(_0811_173439[[#This Row],[580C]])*B$4/B$5+B$6</f>
        <v>760</v>
      </c>
      <c r="J1582">
        <f>HEX2DEC(_0811_173439[[#This Row],[4402]])*C$4/C$5+C$6</f>
        <v>37</v>
      </c>
      <c r="K1582">
        <f>HEX2DEC(_0811_173439[[#This Row],[580F]])*D$4/D$5+D$6</f>
        <v>30</v>
      </c>
      <c r="L1582">
        <f>ROUND(HEX2DEC(_0811_173439[[#This Row],[58F0]])*E$4/E$5+E$6,0)</f>
        <v>70</v>
      </c>
      <c r="M1582">
        <f>ROUND(HEX2DEC(_0811_173439[[#This Row],[5805]])*F$4/F$5+F$6,0)</f>
        <v>46</v>
      </c>
      <c r="N1582">
        <f>ROUND(HEX2DEC(_0811_173439[[#This Row],[58DD]])*G$4/G$5+G$6,2)</f>
        <v>-0.03</v>
      </c>
      <c r="P1582">
        <v>760</v>
      </c>
      <c r="Q1582">
        <v>37</v>
      </c>
      <c r="R1582">
        <v>30</v>
      </c>
      <c r="S1582">
        <v>70</v>
      </c>
      <c r="T1582">
        <v>46</v>
      </c>
      <c r="U1582">
        <v>-0.03</v>
      </c>
      <c r="W1582">
        <f>DataLog_T717420_Aug11_4_59_37pm[[#This Row],[RPM '[1/MIN']]]-Table3[[#This Row],[580C]]</f>
        <v>0</v>
      </c>
      <c r="X1582">
        <f>DataLog_T717420_Aug11_4_59_37pm[[#This Row],[OIL TEMP '[Â°C']]]-Table3[[#This Row],[4402]]</f>
        <v>0</v>
      </c>
      <c r="Y1582">
        <f>DataLog_T717420_Aug11_4_59_37pm[[#This Row],[INTAKE TEMP '[Â°C']]]-Table3[[#This Row],[580F]]</f>
        <v>0</v>
      </c>
      <c r="Z1582">
        <f>DataLog_T717420_Aug11_4_59_37pm[[#This Row],[HPFP PRES. '[BAR']]]-Table3[[#This Row],[58F0]]</f>
        <v>0</v>
      </c>
      <c r="AA1582">
        <f>DataLog_T717420_Aug11_4_59_37pm[[#This Row],[COOLANT TEMP '[Â°C']]]-Table3[[#This Row],[5805]]</f>
        <v>0</v>
      </c>
      <c r="AB1582">
        <f>DataLog_T717420_Aug11_4_59_37pm[[#This Row],[BOOST '[BAR']]]-Table3[[#This Row],[58DD]]</f>
        <v>0</v>
      </c>
    </row>
    <row r="1583" spans="2:28" x14ac:dyDescent="0.25">
      <c r="B1583" s="2" t="s">
        <v>189</v>
      </c>
      <c r="C1583" s="2" t="s">
        <v>262</v>
      </c>
      <c r="D1583" s="2" t="s">
        <v>151</v>
      </c>
      <c r="E1583" s="2" t="s">
        <v>93</v>
      </c>
      <c r="F1583" s="2" t="s">
        <v>393</v>
      </c>
      <c r="G1583" s="2" t="s">
        <v>191</v>
      </c>
      <c r="I1583">
        <f>HEX2DEC(_0811_173439[[#This Row],[580C]])*B$4/B$5+B$6</f>
        <v>760</v>
      </c>
      <c r="J1583">
        <f>HEX2DEC(_0811_173439[[#This Row],[4402]])*C$4/C$5+C$6</f>
        <v>37</v>
      </c>
      <c r="K1583">
        <f>HEX2DEC(_0811_173439[[#This Row],[580F]])*D$4/D$5+D$6</f>
        <v>30</v>
      </c>
      <c r="L1583">
        <f>ROUND(HEX2DEC(_0811_173439[[#This Row],[58F0]])*E$4/E$5+E$6,0)</f>
        <v>70</v>
      </c>
      <c r="M1583">
        <f>ROUND(HEX2DEC(_0811_173439[[#This Row],[5805]])*F$4/F$5+F$6,0)</f>
        <v>46</v>
      </c>
      <c r="N1583">
        <f>ROUND(HEX2DEC(_0811_173439[[#This Row],[58DD]])*G$4/G$5+G$6,2)</f>
        <v>-0.03</v>
      </c>
      <c r="P1583">
        <v>760</v>
      </c>
      <c r="Q1583">
        <v>37</v>
      </c>
      <c r="R1583">
        <v>30</v>
      </c>
      <c r="S1583">
        <v>70</v>
      </c>
      <c r="T1583">
        <v>46</v>
      </c>
      <c r="U1583">
        <v>-0.03</v>
      </c>
      <c r="W1583">
        <f>DataLog_T717420_Aug11_4_59_37pm[[#This Row],[RPM '[1/MIN']]]-Table3[[#This Row],[580C]]</f>
        <v>0</v>
      </c>
      <c r="X1583">
        <f>DataLog_T717420_Aug11_4_59_37pm[[#This Row],[OIL TEMP '[Â°C']]]-Table3[[#This Row],[4402]]</f>
        <v>0</v>
      </c>
      <c r="Y1583">
        <f>DataLog_T717420_Aug11_4_59_37pm[[#This Row],[INTAKE TEMP '[Â°C']]]-Table3[[#This Row],[580F]]</f>
        <v>0</v>
      </c>
      <c r="Z1583">
        <f>DataLog_T717420_Aug11_4_59_37pm[[#This Row],[HPFP PRES. '[BAR']]]-Table3[[#This Row],[58F0]]</f>
        <v>0</v>
      </c>
      <c r="AA1583">
        <f>DataLog_T717420_Aug11_4_59_37pm[[#This Row],[COOLANT TEMP '[Â°C']]]-Table3[[#This Row],[5805]]</f>
        <v>0</v>
      </c>
      <c r="AB1583">
        <f>DataLog_T717420_Aug11_4_59_37pm[[#This Row],[BOOST '[BAR']]]-Table3[[#This Row],[58DD]]</f>
        <v>0</v>
      </c>
    </row>
    <row r="1584" spans="2:28" x14ac:dyDescent="0.25">
      <c r="B1584" s="2" t="s">
        <v>189</v>
      </c>
      <c r="C1584" s="2" t="s">
        <v>262</v>
      </c>
      <c r="D1584" s="2" t="s">
        <v>151</v>
      </c>
      <c r="E1584" s="2" t="s">
        <v>194</v>
      </c>
      <c r="F1584" s="2" t="s">
        <v>393</v>
      </c>
      <c r="G1584" s="2" t="s">
        <v>191</v>
      </c>
      <c r="I1584">
        <f>HEX2DEC(_0811_173439[[#This Row],[580C]])*B$4/B$5+B$6</f>
        <v>760</v>
      </c>
      <c r="J1584">
        <f>HEX2DEC(_0811_173439[[#This Row],[4402]])*C$4/C$5+C$6</f>
        <v>37</v>
      </c>
      <c r="K1584">
        <f>HEX2DEC(_0811_173439[[#This Row],[580F]])*D$4/D$5+D$6</f>
        <v>30</v>
      </c>
      <c r="L1584">
        <f>ROUND(HEX2DEC(_0811_173439[[#This Row],[58F0]])*E$4/E$5+E$6,0)</f>
        <v>70</v>
      </c>
      <c r="M1584">
        <f>ROUND(HEX2DEC(_0811_173439[[#This Row],[5805]])*F$4/F$5+F$6,0)</f>
        <v>46</v>
      </c>
      <c r="N1584">
        <f>ROUND(HEX2DEC(_0811_173439[[#This Row],[58DD]])*G$4/G$5+G$6,2)</f>
        <v>-0.03</v>
      </c>
      <c r="P1584">
        <v>760</v>
      </c>
      <c r="Q1584">
        <v>37</v>
      </c>
      <c r="R1584">
        <v>30</v>
      </c>
      <c r="S1584">
        <v>70</v>
      </c>
      <c r="T1584">
        <v>46</v>
      </c>
      <c r="U1584">
        <v>-0.03</v>
      </c>
      <c r="W1584">
        <f>DataLog_T717420_Aug11_4_59_37pm[[#This Row],[RPM '[1/MIN']]]-Table3[[#This Row],[580C]]</f>
        <v>0</v>
      </c>
      <c r="X1584">
        <f>DataLog_T717420_Aug11_4_59_37pm[[#This Row],[OIL TEMP '[Â°C']]]-Table3[[#This Row],[4402]]</f>
        <v>0</v>
      </c>
      <c r="Y1584">
        <f>DataLog_T717420_Aug11_4_59_37pm[[#This Row],[INTAKE TEMP '[Â°C']]]-Table3[[#This Row],[580F]]</f>
        <v>0</v>
      </c>
      <c r="Z1584">
        <f>DataLog_T717420_Aug11_4_59_37pm[[#This Row],[HPFP PRES. '[BAR']]]-Table3[[#This Row],[58F0]]</f>
        <v>0</v>
      </c>
      <c r="AA1584">
        <f>DataLog_T717420_Aug11_4_59_37pm[[#This Row],[COOLANT TEMP '[Â°C']]]-Table3[[#This Row],[5805]]</f>
        <v>0</v>
      </c>
      <c r="AB1584">
        <f>DataLog_T717420_Aug11_4_59_37pm[[#This Row],[BOOST '[BAR']]]-Table3[[#This Row],[58DD]]</f>
        <v>0</v>
      </c>
    </row>
    <row r="1585" spans="2:28" x14ac:dyDescent="0.25">
      <c r="B1585" s="2" t="s">
        <v>189</v>
      </c>
      <c r="C1585" s="2" t="s">
        <v>262</v>
      </c>
      <c r="D1585" s="2" t="s">
        <v>151</v>
      </c>
      <c r="E1585" s="2" t="s">
        <v>194</v>
      </c>
      <c r="F1585" s="2" t="s">
        <v>393</v>
      </c>
      <c r="G1585" s="2" t="s">
        <v>53</v>
      </c>
      <c r="I1585">
        <f>HEX2DEC(_0811_173439[[#This Row],[580C]])*B$4/B$5+B$6</f>
        <v>760</v>
      </c>
      <c r="J1585">
        <f>HEX2DEC(_0811_173439[[#This Row],[4402]])*C$4/C$5+C$6</f>
        <v>37</v>
      </c>
      <c r="K1585">
        <f>HEX2DEC(_0811_173439[[#This Row],[580F]])*D$4/D$5+D$6</f>
        <v>30</v>
      </c>
      <c r="L1585">
        <f>ROUND(HEX2DEC(_0811_173439[[#This Row],[58F0]])*E$4/E$5+E$6,0)</f>
        <v>70</v>
      </c>
      <c r="M1585">
        <f>ROUND(HEX2DEC(_0811_173439[[#This Row],[5805]])*F$4/F$5+F$6,0)</f>
        <v>46</v>
      </c>
      <c r="N1585">
        <f>ROUND(HEX2DEC(_0811_173439[[#This Row],[58DD]])*G$4/G$5+G$6,2)</f>
        <v>-0.03</v>
      </c>
      <c r="P1585">
        <v>760</v>
      </c>
      <c r="Q1585">
        <v>37</v>
      </c>
      <c r="R1585">
        <v>30</v>
      </c>
      <c r="S1585">
        <v>70</v>
      </c>
      <c r="T1585">
        <v>46</v>
      </c>
      <c r="U1585">
        <v>-0.03</v>
      </c>
      <c r="W1585">
        <f>DataLog_T717420_Aug11_4_59_37pm[[#This Row],[RPM '[1/MIN']]]-Table3[[#This Row],[580C]]</f>
        <v>0</v>
      </c>
      <c r="X1585">
        <f>DataLog_T717420_Aug11_4_59_37pm[[#This Row],[OIL TEMP '[Â°C']]]-Table3[[#This Row],[4402]]</f>
        <v>0</v>
      </c>
      <c r="Y1585">
        <f>DataLog_T717420_Aug11_4_59_37pm[[#This Row],[INTAKE TEMP '[Â°C']]]-Table3[[#This Row],[580F]]</f>
        <v>0</v>
      </c>
      <c r="Z1585">
        <f>DataLog_T717420_Aug11_4_59_37pm[[#This Row],[HPFP PRES. '[BAR']]]-Table3[[#This Row],[58F0]]</f>
        <v>0</v>
      </c>
      <c r="AA1585">
        <f>DataLog_T717420_Aug11_4_59_37pm[[#This Row],[COOLANT TEMP '[Â°C']]]-Table3[[#This Row],[5805]]</f>
        <v>0</v>
      </c>
      <c r="AB1585">
        <f>DataLog_T717420_Aug11_4_59_37pm[[#This Row],[BOOST '[BAR']]]-Table3[[#This Row],[58DD]]</f>
        <v>0</v>
      </c>
    </row>
    <row r="1586" spans="2:28" x14ac:dyDescent="0.25">
      <c r="B1586" s="2" t="s">
        <v>189</v>
      </c>
      <c r="C1586" s="2" t="s">
        <v>262</v>
      </c>
      <c r="D1586" s="2" t="s">
        <v>151</v>
      </c>
      <c r="E1586" s="2" t="s">
        <v>93</v>
      </c>
      <c r="F1586" s="2" t="s">
        <v>393</v>
      </c>
      <c r="G1586" s="2" t="s">
        <v>191</v>
      </c>
      <c r="I1586">
        <f>HEX2DEC(_0811_173439[[#This Row],[580C]])*B$4/B$5+B$6</f>
        <v>760</v>
      </c>
      <c r="J1586">
        <f>HEX2DEC(_0811_173439[[#This Row],[4402]])*C$4/C$5+C$6</f>
        <v>37</v>
      </c>
      <c r="K1586">
        <f>HEX2DEC(_0811_173439[[#This Row],[580F]])*D$4/D$5+D$6</f>
        <v>30</v>
      </c>
      <c r="L1586">
        <f>ROUND(HEX2DEC(_0811_173439[[#This Row],[58F0]])*E$4/E$5+E$6,0)</f>
        <v>70</v>
      </c>
      <c r="M1586">
        <f>ROUND(HEX2DEC(_0811_173439[[#This Row],[5805]])*F$4/F$5+F$6,0)</f>
        <v>46</v>
      </c>
      <c r="N1586">
        <f>ROUND(HEX2DEC(_0811_173439[[#This Row],[58DD]])*G$4/G$5+G$6,2)</f>
        <v>-0.03</v>
      </c>
      <c r="P1586">
        <v>760</v>
      </c>
      <c r="Q1586">
        <v>37</v>
      </c>
      <c r="R1586">
        <v>30</v>
      </c>
      <c r="S1586">
        <v>70</v>
      </c>
      <c r="T1586">
        <v>46</v>
      </c>
      <c r="U1586">
        <v>-0.03</v>
      </c>
      <c r="W1586">
        <f>DataLog_T717420_Aug11_4_59_37pm[[#This Row],[RPM '[1/MIN']]]-Table3[[#This Row],[580C]]</f>
        <v>0</v>
      </c>
      <c r="X1586">
        <f>DataLog_T717420_Aug11_4_59_37pm[[#This Row],[OIL TEMP '[Â°C']]]-Table3[[#This Row],[4402]]</f>
        <v>0</v>
      </c>
      <c r="Y1586">
        <f>DataLog_T717420_Aug11_4_59_37pm[[#This Row],[INTAKE TEMP '[Â°C']]]-Table3[[#This Row],[580F]]</f>
        <v>0</v>
      </c>
      <c r="Z1586">
        <f>DataLog_T717420_Aug11_4_59_37pm[[#This Row],[HPFP PRES. '[BAR']]]-Table3[[#This Row],[58F0]]</f>
        <v>0</v>
      </c>
      <c r="AA1586">
        <f>DataLog_T717420_Aug11_4_59_37pm[[#This Row],[COOLANT TEMP '[Â°C']]]-Table3[[#This Row],[5805]]</f>
        <v>0</v>
      </c>
      <c r="AB1586">
        <f>DataLog_T717420_Aug11_4_59_37pm[[#This Row],[BOOST '[BAR']]]-Table3[[#This Row],[58DD]]</f>
        <v>0</v>
      </c>
    </row>
    <row r="1587" spans="2:28" x14ac:dyDescent="0.25">
      <c r="B1587" s="2" t="s">
        <v>189</v>
      </c>
      <c r="C1587" s="2" t="s">
        <v>262</v>
      </c>
      <c r="D1587" s="2" t="s">
        <v>151</v>
      </c>
      <c r="E1587" s="2" t="s">
        <v>248</v>
      </c>
      <c r="F1587" s="2" t="s">
        <v>393</v>
      </c>
      <c r="G1587" s="2" t="s">
        <v>53</v>
      </c>
      <c r="I1587">
        <f>HEX2DEC(_0811_173439[[#This Row],[580C]])*B$4/B$5+B$6</f>
        <v>760</v>
      </c>
      <c r="J1587">
        <f>HEX2DEC(_0811_173439[[#This Row],[4402]])*C$4/C$5+C$6</f>
        <v>37</v>
      </c>
      <c r="K1587">
        <f>HEX2DEC(_0811_173439[[#This Row],[580F]])*D$4/D$5+D$6</f>
        <v>30</v>
      </c>
      <c r="L1587">
        <f>ROUND(HEX2DEC(_0811_173439[[#This Row],[58F0]])*E$4/E$5+E$6,0)</f>
        <v>70</v>
      </c>
      <c r="M1587">
        <f>ROUND(HEX2DEC(_0811_173439[[#This Row],[5805]])*F$4/F$5+F$6,0)</f>
        <v>46</v>
      </c>
      <c r="N1587">
        <f>ROUND(HEX2DEC(_0811_173439[[#This Row],[58DD]])*G$4/G$5+G$6,2)</f>
        <v>-0.03</v>
      </c>
      <c r="P1587">
        <v>760</v>
      </c>
      <c r="Q1587">
        <v>37</v>
      </c>
      <c r="R1587">
        <v>30</v>
      </c>
      <c r="S1587">
        <v>70</v>
      </c>
      <c r="T1587">
        <v>46</v>
      </c>
      <c r="U1587">
        <v>-0.03</v>
      </c>
      <c r="W1587">
        <f>DataLog_T717420_Aug11_4_59_37pm[[#This Row],[RPM '[1/MIN']]]-Table3[[#This Row],[580C]]</f>
        <v>0</v>
      </c>
      <c r="X1587">
        <f>DataLog_T717420_Aug11_4_59_37pm[[#This Row],[OIL TEMP '[Â°C']]]-Table3[[#This Row],[4402]]</f>
        <v>0</v>
      </c>
      <c r="Y1587">
        <f>DataLog_T717420_Aug11_4_59_37pm[[#This Row],[INTAKE TEMP '[Â°C']]]-Table3[[#This Row],[580F]]</f>
        <v>0</v>
      </c>
      <c r="Z1587">
        <f>DataLog_T717420_Aug11_4_59_37pm[[#This Row],[HPFP PRES. '[BAR']]]-Table3[[#This Row],[58F0]]</f>
        <v>0</v>
      </c>
      <c r="AA1587">
        <f>DataLog_T717420_Aug11_4_59_37pm[[#This Row],[COOLANT TEMP '[Â°C']]]-Table3[[#This Row],[5805]]</f>
        <v>0</v>
      </c>
      <c r="AB1587">
        <f>DataLog_T717420_Aug11_4_59_37pm[[#This Row],[BOOST '[BAR']]]-Table3[[#This Row],[58DD]]</f>
        <v>0</v>
      </c>
    </row>
    <row r="1588" spans="2:28" x14ac:dyDescent="0.25">
      <c r="B1588" s="2" t="s">
        <v>189</v>
      </c>
      <c r="C1588" s="2" t="s">
        <v>262</v>
      </c>
      <c r="D1588" s="2" t="s">
        <v>151</v>
      </c>
      <c r="E1588" s="2" t="s">
        <v>199</v>
      </c>
      <c r="F1588" s="2" t="s">
        <v>393</v>
      </c>
      <c r="G1588" s="2" t="s">
        <v>96</v>
      </c>
      <c r="I1588">
        <f>HEX2DEC(_0811_173439[[#This Row],[580C]])*B$4/B$5+B$6</f>
        <v>760</v>
      </c>
      <c r="J1588">
        <f>HEX2DEC(_0811_173439[[#This Row],[4402]])*C$4/C$5+C$6</f>
        <v>37</v>
      </c>
      <c r="K1588">
        <f>HEX2DEC(_0811_173439[[#This Row],[580F]])*D$4/D$5+D$6</f>
        <v>30</v>
      </c>
      <c r="L1588">
        <f>ROUND(HEX2DEC(_0811_173439[[#This Row],[58F0]])*E$4/E$5+E$6,0)</f>
        <v>70</v>
      </c>
      <c r="M1588">
        <f>ROUND(HEX2DEC(_0811_173439[[#This Row],[5805]])*F$4/F$5+F$6,0)</f>
        <v>46</v>
      </c>
      <c r="N1588">
        <f>ROUND(HEX2DEC(_0811_173439[[#This Row],[58DD]])*G$4/G$5+G$6,2)</f>
        <v>-0.03</v>
      </c>
      <c r="P1588">
        <v>760</v>
      </c>
      <c r="Q1588">
        <v>37</v>
      </c>
      <c r="R1588">
        <v>30</v>
      </c>
      <c r="S1588">
        <v>70</v>
      </c>
      <c r="T1588">
        <v>46</v>
      </c>
      <c r="U1588">
        <v>-0.03</v>
      </c>
      <c r="W1588">
        <f>DataLog_T717420_Aug11_4_59_37pm[[#This Row],[RPM '[1/MIN']]]-Table3[[#This Row],[580C]]</f>
        <v>0</v>
      </c>
      <c r="X1588">
        <f>DataLog_T717420_Aug11_4_59_37pm[[#This Row],[OIL TEMP '[Â°C']]]-Table3[[#This Row],[4402]]</f>
        <v>0</v>
      </c>
      <c r="Y1588">
        <f>DataLog_T717420_Aug11_4_59_37pm[[#This Row],[INTAKE TEMP '[Â°C']]]-Table3[[#This Row],[580F]]</f>
        <v>0</v>
      </c>
      <c r="Z1588">
        <f>DataLog_T717420_Aug11_4_59_37pm[[#This Row],[HPFP PRES. '[BAR']]]-Table3[[#This Row],[58F0]]</f>
        <v>0</v>
      </c>
      <c r="AA1588">
        <f>DataLog_T717420_Aug11_4_59_37pm[[#This Row],[COOLANT TEMP '[Â°C']]]-Table3[[#This Row],[5805]]</f>
        <v>0</v>
      </c>
      <c r="AB1588">
        <f>DataLog_T717420_Aug11_4_59_37pm[[#This Row],[BOOST '[BAR']]]-Table3[[#This Row],[58DD]]</f>
        <v>0</v>
      </c>
    </row>
    <row r="1589" spans="2:28" x14ac:dyDescent="0.25">
      <c r="B1589" s="2" t="s">
        <v>189</v>
      </c>
      <c r="C1589" s="2" t="s">
        <v>262</v>
      </c>
      <c r="D1589" s="2" t="s">
        <v>151</v>
      </c>
      <c r="E1589" s="2" t="s">
        <v>127</v>
      </c>
      <c r="F1589" s="2" t="s">
        <v>393</v>
      </c>
      <c r="G1589" s="2" t="s">
        <v>190</v>
      </c>
      <c r="I1589">
        <f>HEX2DEC(_0811_173439[[#This Row],[580C]])*B$4/B$5+B$6</f>
        <v>760</v>
      </c>
      <c r="J1589">
        <f>HEX2DEC(_0811_173439[[#This Row],[4402]])*C$4/C$5+C$6</f>
        <v>37</v>
      </c>
      <c r="K1589">
        <f>HEX2DEC(_0811_173439[[#This Row],[580F]])*D$4/D$5+D$6</f>
        <v>30</v>
      </c>
      <c r="L1589">
        <f>ROUND(HEX2DEC(_0811_173439[[#This Row],[58F0]])*E$4/E$5+E$6,0)</f>
        <v>70</v>
      </c>
      <c r="M1589">
        <f>ROUND(HEX2DEC(_0811_173439[[#This Row],[5805]])*F$4/F$5+F$6,0)</f>
        <v>46</v>
      </c>
      <c r="N1589">
        <f>ROUND(HEX2DEC(_0811_173439[[#This Row],[58DD]])*G$4/G$5+G$6,2)</f>
        <v>-0.03</v>
      </c>
      <c r="P1589">
        <v>760</v>
      </c>
      <c r="Q1589">
        <v>37</v>
      </c>
      <c r="R1589">
        <v>30</v>
      </c>
      <c r="S1589">
        <v>70</v>
      </c>
      <c r="T1589">
        <v>46</v>
      </c>
      <c r="U1589">
        <v>-0.03</v>
      </c>
      <c r="W1589">
        <f>DataLog_T717420_Aug11_4_59_37pm[[#This Row],[RPM '[1/MIN']]]-Table3[[#This Row],[580C]]</f>
        <v>0</v>
      </c>
      <c r="X1589">
        <f>DataLog_T717420_Aug11_4_59_37pm[[#This Row],[OIL TEMP '[Â°C']]]-Table3[[#This Row],[4402]]</f>
        <v>0</v>
      </c>
      <c r="Y1589">
        <f>DataLog_T717420_Aug11_4_59_37pm[[#This Row],[INTAKE TEMP '[Â°C']]]-Table3[[#This Row],[580F]]</f>
        <v>0</v>
      </c>
      <c r="Z1589">
        <f>DataLog_T717420_Aug11_4_59_37pm[[#This Row],[HPFP PRES. '[BAR']]]-Table3[[#This Row],[58F0]]</f>
        <v>0</v>
      </c>
      <c r="AA1589">
        <f>DataLog_T717420_Aug11_4_59_37pm[[#This Row],[COOLANT TEMP '[Â°C']]]-Table3[[#This Row],[5805]]</f>
        <v>0</v>
      </c>
      <c r="AB1589">
        <f>DataLog_T717420_Aug11_4_59_37pm[[#This Row],[BOOST '[BAR']]]-Table3[[#This Row],[58DD]]</f>
        <v>0</v>
      </c>
    </row>
    <row r="1590" spans="2:28" x14ac:dyDescent="0.25">
      <c r="B1590" s="2" t="s">
        <v>189</v>
      </c>
      <c r="C1590" s="2" t="s">
        <v>262</v>
      </c>
      <c r="D1590" s="2" t="s">
        <v>151</v>
      </c>
      <c r="E1590" s="2" t="s">
        <v>157</v>
      </c>
      <c r="F1590" s="2" t="s">
        <v>393</v>
      </c>
      <c r="G1590" s="2" t="s">
        <v>53</v>
      </c>
      <c r="I1590">
        <f>HEX2DEC(_0811_173439[[#This Row],[580C]])*B$4/B$5+B$6</f>
        <v>760</v>
      </c>
      <c r="J1590">
        <f>HEX2DEC(_0811_173439[[#This Row],[4402]])*C$4/C$5+C$6</f>
        <v>37</v>
      </c>
      <c r="K1590">
        <f>HEX2DEC(_0811_173439[[#This Row],[580F]])*D$4/D$5+D$6</f>
        <v>30</v>
      </c>
      <c r="L1590">
        <f>ROUND(HEX2DEC(_0811_173439[[#This Row],[58F0]])*E$4/E$5+E$6,0)</f>
        <v>70</v>
      </c>
      <c r="M1590">
        <f>ROUND(HEX2DEC(_0811_173439[[#This Row],[5805]])*F$4/F$5+F$6,0)</f>
        <v>46</v>
      </c>
      <c r="N1590">
        <f>ROUND(HEX2DEC(_0811_173439[[#This Row],[58DD]])*G$4/G$5+G$6,2)</f>
        <v>-0.03</v>
      </c>
      <c r="P1590">
        <v>760</v>
      </c>
      <c r="Q1590">
        <v>37</v>
      </c>
      <c r="R1590">
        <v>30</v>
      </c>
      <c r="S1590">
        <v>70</v>
      </c>
      <c r="T1590">
        <v>46</v>
      </c>
      <c r="U1590">
        <v>-0.03</v>
      </c>
      <c r="W1590">
        <f>DataLog_T717420_Aug11_4_59_37pm[[#This Row],[RPM '[1/MIN']]]-Table3[[#This Row],[580C]]</f>
        <v>0</v>
      </c>
      <c r="X1590">
        <f>DataLog_T717420_Aug11_4_59_37pm[[#This Row],[OIL TEMP '[Â°C']]]-Table3[[#This Row],[4402]]</f>
        <v>0</v>
      </c>
      <c r="Y1590">
        <f>DataLog_T717420_Aug11_4_59_37pm[[#This Row],[INTAKE TEMP '[Â°C']]]-Table3[[#This Row],[580F]]</f>
        <v>0</v>
      </c>
      <c r="Z1590">
        <f>DataLog_T717420_Aug11_4_59_37pm[[#This Row],[HPFP PRES. '[BAR']]]-Table3[[#This Row],[58F0]]</f>
        <v>0</v>
      </c>
      <c r="AA1590">
        <f>DataLog_T717420_Aug11_4_59_37pm[[#This Row],[COOLANT TEMP '[Â°C']]]-Table3[[#This Row],[5805]]</f>
        <v>0</v>
      </c>
      <c r="AB1590">
        <f>DataLog_T717420_Aug11_4_59_37pm[[#This Row],[BOOST '[BAR']]]-Table3[[#This Row],[58DD]]</f>
        <v>0</v>
      </c>
    </row>
    <row r="1591" spans="2:28" x14ac:dyDescent="0.25">
      <c r="B1591" s="2" t="s">
        <v>189</v>
      </c>
      <c r="C1591" s="2" t="s">
        <v>262</v>
      </c>
      <c r="D1591" s="2" t="s">
        <v>151</v>
      </c>
      <c r="E1591" s="2" t="s">
        <v>158</v>
      </c>
      <c r="F1591" s="2" t="s">
        <v>393</v>
      </c>
      <c r="G1591" s="2" t="s">
        <v>235</v>
      </c>
      <c r="I1591">
        <f>HEX2DEC(_0811_173439[[#This Row],[580C]])*B$4/B$5+B$6</f>
        <v>760</v>
      </c>
      <c r="J1591">
        <f>HEX2DEC(_0811_173439[[#This Row],[4402]])*C$4/C$5+C$6</f>
        <v>37</v>
      </c>
      <c r="K1591">
        <f>HEX2DEC(_0811_173439[[#This Row],[580F]])*D$4/D$5+D$6</f>
        <v>30</v>
      </c>
      <c r="L1591">
        <f>ROUND(HEX2DEC(_0811_173439[[#This Row],[58F0]])*E$4/E$5+E$6,0)</f>
        <v>70</v>
      </c>
      <c r="M1591">
        <f>ROUND(HEX2DEC(_0811_173439[[#This Row],[5805]])*F$4/F$5+F$6,0)</f>
        <v>46</v>
      </c>
      <c r="N1591">
        <f>ROUND(HEX2DEC(_0811_173439[[#This Row],[58DD]])*G$4/G$5+G$6,2)</f>
        <v>-0.03</v>
      </c>
      <c r="P1591">
        <v>760</v>
      </c>
      <c r="Q1591">
        <v>37</v>
      </c>
      <c r="R1591">
        <v>30</v>
      </c>
      <c r="S1591">
        <v>70</v>
      </c>
      <c r="T1591">
        <v>46</v>
      </c>
      <c r="U1591">
        <v>-0.03</v>
      </c>
      <c r="W1591">
        <f>DataLog_T717420_Aug11_4_59_37pm[[#This Row],[RPM '[1/MIN']]]-Table3[[#This Row],[580C]]</f>
        <v>0</v>
      </c>
      <c r="X1591">
        <f>DataLog_T717420_Aug11_4_59_37pm[[#This Row],[OIL TEMP '[Â°C']]]-Table3[[#This Row],[4402]]</f>
        <v>0</v>
      </c>
      <c r="Y1591">
        <f>DataLog_T717420_Aug11_4_59_37pm[[#This Row],[INTAKE TEMP '[Â°C']]]-Table3[[#This Row],[580F]]</f>
        <v>0</v>
      </c>
      <c r="Z1591">
        <f>DataLog_T717420_Aug11_4_59_37pm[[#This Row],[HPFP PRES. '[BAR']]]-Table3[[#This Row],[58F0]]</f>
        <v>0</v>
      </c>
      <c r="AA1591">
        <f>DataLog_T717420_Aug11_4_59_37pm[[#This Row],[COOLANT TEMP '[Â°C']]]-Table3[[#This Row],[5805]]</f>
        <v>0</v>
      </c>
      <c r="AB1591">
        <f>DataLog_T717420_Aug11_4_59_37pm[[#This Row],[BOOST '[BAR']]]-Table3[[#This Row],[58DD]]</f>
        <v>0</v>
      </c>
    </row>
    <row r="1592" spans="2:28" x14ac:dyDescent="0.25">
      <c r="B1592" s="2" t="s">
        <v>189</v>
      </c>
      <c r="C1592" s="2" t="s">
        <v>262</v>
      </c>
      <c r="D1592" s="2" t="s">
        <v>151</v>
      </c>
      <c r="E1592" s="2" t="s">
        <v>141</v>
      </c>
      <c r="F1592" s="2" t="s">
        <v>393</v>
      </c>
      <c r="G1592" s="2" t="s">
        <v>216</v>
      </c>
      <c r="I1592">
        <f>HEX2DEC(_0811_173439[[#This Row],[580C]])*B$4/B$5+B$6</f>
        <v>760</v>
      </c>
      <c r="J1592">
        <f>HEX2DEC(_0811_173439[[#This Row],[4402]])*C$4/C$5+C$6</f>
        <v>37</v>
      </c>
      <c r="K1592">
        <f>HEX2DEC(_0811_173439[[#This Row],[580F]])*D$4/D$5+D$6</f>
        <v>30</v>
      </c>
      <c r="L1592">
        <f>ROUND(HEX2DEC(_0811_173439[[#This Row],[58F0]])*E$4/E$5+E$6,0)</f>
        <v>70</v>
      </c>
      <c r="M1592">
        <f>ROUND(HEX2DEC(_0811_173439[[#This Row],[5805]])*F$4/F$5+F$6,0)</f>
        <v>46</v>
      </c>
      <c r="N1592">
        <f>ROUND(HEX2DEC(_0811_173439[[#This Row],[58DD]])*G$4/G$5+G$6,2)</f>
        <v>-0.03</v>
      </c>
      <c r="P1592">
        <v>760</v>
      </c>
      <c r="Q1592">
        <v>37</v>
      </c>
      <c r="R1592">
        <v>30</v>
      </c>
      <c r="S1592">
        <v>70</v>
      </c>
      <c r="T1592">
        <v>46</v>
      </c>
      <c r="U1592">
        <v>-0.03</v>
      </c>
      <c r="W1592">
        <f>DataLog_T717420_Aug11_4_59_37pm[[#This Row],[RPM '[1/MIN']]]-Table3[[#This Row],[580C]]</f>
        <v>0</v>
      </c>
      <c r="X1592">
        <f>DataLog_T717420_Aug11_4_59_37pm[[#This Row],[OIL TEMP '[Â°C']]]-Table3[[#This Row],[4402]]</f>
        <v>0</v>
      </c>
      <c r="Y1592">
        <f>DataLog_T717420_Aug11_4_59_37pm[[#This Row],[INTAKE TEMP '[Â°C']]]-Table3[[#This Row],[580F]]</f>
        <v>0</v>
      </c>
      <c r="Z1592">
        <f>DataLog_T717420_Aug11_4_59_37pm[[#This Row],[HPFP PRES. '[BAR']]]-Table3[[#This Row],[58F0]]</f>
        <v>0</v>
      </c>
      <c r="AA1592">
        <f>DataLog_T717420_Aug11_4_59_37pm[[#This Row],[COOLANT TEMP '[Â°C']]]-Table3[[#This Row],[5805]]</f>
        <v>0</v>
      </c>
      <c r="AB1592">
        <f>DataLog_T717420_Aug11_4_59_37pm[[#This Row],[BOOST '[BAR']]]-Table3[[#This Row],[58DD]]</f>
        <v>0</v>
      </c>
    </row>
    <row r="1593" spans="2:28" x14ac:dyDescent="0.25">
      <c r="B1593" s="2" t="s">
        <v>189</v>
      </c>
      <c r="C1593" s="2" t="s">
        <v>262</v>
      </c>
      <c r="D1593" s="2" t="s">
        <v>151</v>
      </c>
      <c r="E1593" s="2" t="s">
        <v>165</v>
      </c>
      <c r="F1593" s="2" t="s">
        <v>393</v>
      </c>
      <c r="G1593" s="2" t="s">
        <v>236</v>
      </c>
      <c r="I1593">
        <f>HEX2DEC(_0811_173439[[#This Row],[580C]])*B$4/B$5+B$6</f>
        <v>760</v>
      </c>
      <c r="J1593">
        <f>HEX2DEC(_0811_173439[[#This Row],[4402]])*C$4/C$5+C$6</f>
        <v>37</v>
      </c>
      <c r="K1593">
        <f>HEX2DEC(_0811_173439[[#This Row],[580F]])*D$4/D$5+D$6</f>
        <v>30</v>
      </c>
      <c r="L1593">
        <f>ROUND(HEX2DEC(_0811_173439[[#This Row],[58F0]])*E$4/E$5+E$6,0)</f>
        <v>70</v>
      </c>
      <c r="M1593">
        <f>ROUND(HEX2DEC(_0811_173439[[#This Row],[5805]])*F$4/F$5+F$6,0)</f>
        <v>46</v>
      </c>
      <c r="N1593">
        <f>ROUND(HEX2DEC(_0811_173439[[#This Row],[58DD]])*G$4/G$5+G$6,2)</f>
        <v>-0.03</v>
      </c>
      <c r="P1593">
        <v>760</v>
      </c>
      <c r="Q1593">
        <v>37</v>
      </c>
      <c r="R1593">
        <v>30</v>
      </c>
      <c r="S1593">
        <v>70</v>
      </c>
      <c r="T1593">
        <v>46</v>
      </c>
      <c r="U1593">
        <v>-0.03</v>
      </c>
      <c r="W1593">
        <f>DataLog_T717420_Aug11_4_59_37pm[[#This Row],[RPM '[1/MIN']]]-Table3[[#This Row],[580C]]</f>
        <v>0</v>
      </c>
      <c r="X1593">
        <f>DataLog_T717420_Aug11_4_59_37pm[[#This Row],[OIL TEMP '[Â°C']]]-Table3[[#This Row],[4402]]</f>
        <v>0</v>
      </c>
      <c r="Y1593">
        <f>DataLog_T717420_Aug11_4_59_37pm[[#This Row],[INTAKE TEMP '[Â°C']]]-Table3[[#This Row],[580F]]</f>
        <v>0</v>
      </c>
      <c r="Z1593">
        <f>DataLog_T717420_Aug11_4_59_37pm[[#This Row],[HPFP PRES. '[BAR']]]-Table3[[#This Row],[58F0]]</f>
        <v>0</v>
      </c>
      <c r="AA1593">
        <f>DataLog_T717420_Aug11_4_59_37pm[[#This Row],[COOLANT TEMP '[Â°C']]]-Table3[[#This Row],[5805]]</f>
        <v>0</v>
      </c>
      <c r="AB1593">
        <f>DataLog_T717420_Aug11_4_59_37pm[[#This Row],[BOOST '[BAR']]]-Table3[[#This Row],[58DD]]</f>
        <v>0</v>
      </c>
    </row>
    <row r="1594" spans="2:28" x14ac:dyDescent="0.25">
      <c r="B1594" s="2" t="s">
        <v>189</v>
      </c>
      <c r="C1594" s="2" t="s">
        <v>262</v>
      </c>
      <c r="D1594" s="2" t="s">
        <v>151</v>
      </c>
      <c r="E1594" s="2" t="s">
        <v>392</v>
      </c>
      <c r="F1594" s="2" t="s">
        <v>393</v>
      </c>
      <c r="G1594" s="2" t="s">
        <v>71</v>
      </c>
      <c r="I1594">
        <f>HEX2DEC(_0811_173439[[#This Row],[580C]])*B$4/B$5+B$6</f>
        <v>760</v>
      </c>
      <c r="J1594">
        <f>HEX2DEC(_0811_173439[[#This Row],[4402]])*C$4/C$5+C$6</f>
        <v>37</v>
      </c>
      <c r="K1594">
        <f>HEX2DEC(_0811_173439[[#This Row],[580F]])*D$4/D$5+D$6</f>
        <v>30</v>
      </c>
      <c r="L1594">
        <f>ROUND(HEX2DEC(_0811_173439[[#This Row],[58F0]])*E$4/E$5+E$6,0)</f>
        <v>70</v>
      </c>
      <c r="M1594">
        <f>ROUND(HEX2DEC(_0811_173439[[#This Row],[5805]])*F$4/F$5+F$6,0)</f>
        <v>46</v>
      </c>
      <c r="N1594">
        <f>ROUND(HEX2DEC(_0811_173439[[#This Row],[58DD]])*G$4/G$5+G$6,2)</f>
        <v>-0.03</v>
      </c>
      <c r="P1594">
        <v>760</v>
      </c>
      <c r="Q1594">
        <v>37</v>
      </c>
      <c r="R1594">
        <v>30</v>
      </c>
      <c r="S1594">
        <v>70</v>
      </c>
      <c r="T1594">
        <v>46</v>
      </c>
      <c r="U1594">
        <v>-0.03</v>
      </c>
      <c r="W1594">
        <f>DataLog_T717420_Aug11_4_59_37pm[[#This Row],[RPM '[1/MIN']]]-Table3[[#This Row],[580C]]</f>
        <v>0</v>
      </c>
      <c r="X1594">
        <f>DataLog_T717420_Aug11_4_59_37pm[[#This Row],[OIL TEMP '[Â°C']]]-Table3[[#This Row],[4402]]</f>
        <v>0</v>
      </c>
      <c r="Y1594">
        <f>DataLog_T717420_Aug11_4_59_37pm[[#This Row],[INTAKE TEMP '[Â°C']]]-Table3[[#This Row],[580F]]</f>
        <v>0</v>
      </c>
      <c r="Z1594">
        <f>DataLog_T717420_Aug11_4_59_37pm[[#This Row],[HPFP PRES. '[BAR']]]-Table3[[#This Row],[58F0]]</f>
        <v>0</v>
      </c>
      <c r="AA1594">
        <f>DataLog_T717420_Aug11_4_59_37pm[[#This Row],[COOLANT TEMP '[Â°C']]]-Table3[[#This Row],[5805]]</f>
        <v>0</v>
      </c>
      <c r="AB1594">
        <f>DataLog_T717420_Aug11_4_59_37pm[[#This Row],[BOOST '[BAR']]]-Table3[[#This Row],[58DD]]</f>
        <v>0</v>
      </c>
    </row>
    <row r="1595" spans="2:28" x14ac:dyDescent="0.25">
      <c r="B1595" s="2" t="s">
        <v>189</v>
      </c>
      <c r="C1595" s="2" t="s">
        <v>262</v>
      </c>
      <c r="D1595" s="2" t="s">
        <v>151</v>
      </c>
      <c r="E1595" s="2" t="s">
        <v>127</v>
      </c>
      <c r="F1595" s="2" t="s">
        <v>393</v>
      </c>
      <c r="G1595" s="2" t="s">
        <v>96</v>
      </c>
      <c r="I1595">
        <f>HEX2DEC(_0811_173439[[#This Row],[580C]])*B$4/B$5+B$6</f>
        <v>760</v>
      </c>
      <c r="J1595">
        <f>HEX2DEC(_0811_173439[[#This Row],[4402]])*C$4/C$5+C$6</f>
        <v>37</v>
      </c>
      <c r="K1595">
        <f>HEX2DEC(_0811_173439[[#This Row],[580F]])*D$4/D$5+D$6</f>
        <v>30</v>
      </c>
      <c r="L1595">
        <f>ROUND(HEX2DEC(_0811_173439[[#This Row],[58F0]])*E$4/E$5+E$6,0)</f>
        <v>70</v>
      </c>
      <c r="M1595">
        <f>ROUND(HEX2DEC(_0811_173439[[#This Row],[5805]])*F$4/F$5+F$6,0)</f>
        <v>46</v>
      </c>
      <c r="N1595">
        <f>ROUND(HEX2DEC(_0811_173439[[#This Row],[58DD]])*G$4/G$5+G$6,2)</f>
        <v>-0.03</v>
      </c>
      <c r="P1595">
        <v>760</v>
      </c>
      <c r="Q1595">
        <v>37</v>
      </c>
      <c r="R1595">
        <v>30</v>
      </c>
      <c r="S1595">
        <v>70</v>
      </c>
      <c r="T1595">
        <v>46</v>
      </c>
      <c r="U1595">
        <v>-0.03</v>
      </c>
      <c r="W1595">
        <f>DataLog_T717420_Aug11_4_59_37pm[[#This Row],[RPM '[1/MIN']]]-Table3[[#This Row],[580C]]</f>
        <v>0</v>
      </c>
      <c r="X1595">
        <f>DataLog_T717420_Aug11_4_59_37pm[[#This Row],[OIL TEMP '[Â°C']]]-Table3[[#This Row],[4402]]</f>
        <v>0</v>
      </c>
      <c r="Y1595">
        <f>DataLog_T717420_Aug11_4_59_37pm[[#This Row],[INTAKE TEMP '[Â°C']]]-Table3[[#This Row],[580F]]</f>
        <v>0</v>
      </c>
      <c r="Z1595">
        <f>DataLog_T717420_Aug11_4_59_37pm[[#This Row],[HPFP PRES. '[BAR']]]-Table3[[#This Row],[58F0]]</f>
        <v>0</v>
      </c>
      <c r="AA1595">
        <f>DataLog_T717420_Aug11_4_59_37pm[[#This Row],[COOLANT TEMP '[Â°C']]]-Table3[[#This Row],[5805]]</f>
        <v>0</v>
      </c>
      <c r="AB1595">
        <f>DataLog_T717420_Aug11_4_59_37pm[[#This Row],[BOOST '[BAR']]]-Table3[[#This Row],[58DD]]</f>
        <v>0</v>
      </c>
    </row>
    <row r="1596" spans="2:28" x14ac:dyDescent="0.25">
      <c r="B1596" s="2" t="s">
        <v>189</v>
      </c>
      <c r="C1596" s="2" t="s">
        <v>262</v>
      </c>
      <c r="D1596" s="2" t="s">
        <v>151</v>
      </c>
      <c r="E1596" s="2" t="s">
        <v>93</v>
      </c>
      <c r="F1596" s="2" t="s">
        <v>393</v>
      </c>
      <c r="G1596" s="2" t="s">
        <v>90</v>
      </c>
      <c r="I1596">
        <f>HEX2DEC(_0811_173439[[#This Row],[580C]])*B$4/B$5+B$6</f>
        <v>760</v>
      </c>
      <c r="J1596">
        <f>HEX2DEC(_0811_173439[[#This Row],[4402]])*C$4/C$5+C$6</f>
        <v>37</v>
      </c>
      <c r="K1596">
        <f>HEX2DEC(_0811_173439[[#This Row],[580F]])*D$4/D$5+D$6</f>
        <v>30</v>
      </c>
      <c r="L1596">
        <f>ROUND(HEX2DEC(_0811_173439[[#This Row],[58F0]])*E$4/E$5+E$6,0)</f>
        <v>70</v>
      </c>
      <c r="M1596">
        <f>ROUND(HEX2DEC(_0811_173439[[#This Row],[5805]])*F$4/F$5+F$6,0)</f>
        <v>46</v>
      </c>
      <c r="N1596">
        <f>ROUND(HEX2DEC(_0811_173439[[#This Row],[58DD]])*G$4/G$5+G$6,2)</f>
        <v>-0.03</v>
      </c>
      <c r="P1596">
        <v>760</v>
      </c>
      <c r="Q1596">
        <v>37</v>
      </c>
      <c r="R1596">
        <v>30</v>
      </c>
      <c r="S1596">
        <v>70</v>
      </c>
      <c r="T1596">
        <v>46</v>
      </c>
      <c r="U1596">
        <v>-0.03</v>
      </c>
      <c r="W1596">
        <f>DataLog_T717420_Aug11_4_59_37pm[[#This Row],[RPM '[1/MIN']]]-Table3[[#This Row],[580C]]</f>
        <v>0</v>
      </c>
      <c r="X1596">
        <f>DataLog_T717420_Aug11_4_59_37pm[[#This Row],[OIL TEMP '[Â°C']]]-Table3[[#This Row],[4402]]</f>
        <v>0</v>
      </c>
      <c r="Y1596">
        <f>DataLog_T717420_Aug11_4_59_37pm[[#This Row],[INTAKE TEMP '[Â°C']]]-Table3[[#This Row],[580F]]</f>
        <v>0</v>
      </c>
      <c r="Z1596">
        <f>DataLog_T717420_Aug11_4_59_37pm[[#This Row],[HPFP PRES. '[BAR']]]-Table3[[#This Row],[58F0]]</f>
        <v>0</v>
      </c>
      <c r="AA1596">
        <f>DataLog_T717420_Aug11_4_59_37pm[[#This Row],[COOLANT TEMP '[Â°C']]]-Table3[[#This Row],[5805]]</f>
        <v>0</v>
      </c>
      <c r="AB1596">
        <f>DataLog_T717420_Aug11_4_59_37pm[[#This Row],[BOOST '[BAR']]]-Table3[[#This Row],[58DD]]</f>
        <v>0</v>
      </c>
    </row>
    <row r="1597" spans="2:28" x14ac:dyDescent="0.25">
      <c r="B1597" s="2" t="s">
        <v>189</v>
      </c>
      <c r="C1597" s="2" t="s">
        <v>262</v>
      </c>
      <c r="D1597" s="2" t="s">
        <v>151</v>
      </c>
      <c r="E1597" s="2" t="s">
        <v>147</v>
      </c>
      <c r="F1597" s="2" t="s">
        <v>393</v>
      </c>
      <c r="G1597" s="2" t="s">
        <v>71</v>
      </c>
      <c r="I1597">
        <f>HEX2DEC(_0811_173439[[#This Row],[580C]])*B$4/B$5+B$6</f>
        <v>760</v>
      </c>
      <c r="J1597">
        <f>HEX2DEC(_0811_173439[[#This Row],[4402]])*C$4/C$5+C$6</f>
        <v>37</v>
      </c>
      <c r="K1597">
        <f>HEX2DEC(_0811_173439[[#This Row],[580F]])*D$4/D$5+D$6</f>
        <v>30</v>
      </c>
      <c r="L1597">
        <f>ROUND(HEX2DEC(_0811_173439[[#This Row],[58F0]])*E$4/E$5+E$6,0)</f>
        <v>71</v>
      </c>
      <c r="M1597">
        <f>ROUND(HEX2DEC(_0811_173439[[#This Row],[5805]])*F$4/F$5+F$6,0)</f>
        <v>46</v>
      </c>
      <c r="N1597">
        <f>ROUND(HEX2DEC(_0811_173439[[#This Row],[58DD]])*G$4/G$5+G$6,2)</f>
        <v>-0.03</v>
      </c>
      <c r="P1597">
        <v>760</v>
      </c>
      <c r="Q1597">
        <v>37</v>
      </c>
      <c r="R1597">
        <v>30</v>
      </c>
      <c r="S1597">
        <v>71</v>
      </c>
      <c r="T1597">
        <v>46</v>
      </c>
      <c r="U1597">
        <v>-0.03</v>
      </c>
      <c r="W1597">
        <f>DataLog_T717420_Aug11_4_59_37pm[[#This Row],[RPM '[1/MIN']]]-Table3[[#This Row],[580C]]</f>
        <v>0</v>
      </c>
      <c r="X1597">
        <f>DataLog_T717420_Aug11_4_59_37pm[[#This Row],[OIL TEMP '[Â°C']]]-Table3[[#This Row],[4402]]</f>
        <v>0</v>
      </c>
      <c r="Y1597">
        <f>DataLog_T717420_Aug11_4_59_37pm[[#This Row],[INTAKE TEMP '[Â°C']]]-Table3[[#This Row],[580F]]</f>
        <v>0</v>
      </c>
      <c r="Z1597">
        <f>DataLog_T717420_Aug11_4_59_37pm[[#This Row],[HPFP PRES. '[BAR']]]-Table3[[#This Row],[58F0]]</f>
        <v>0</v>
      </c>
      <c r="AA1597">
        <f>DataLog_T717420_Aug11_4_59_37pm[[#This Row],[COOLANT TEMP '[Â°C']]]-Table3[[#This Row],[5805]]</f>
        <v>0</v>
      </c>
      <c r="AB1597">
        <f>DataLog_T717420_Aug11_4_59_37pm[[#This Row],[BOOST '[BAR']]]-Table3[[#This Row],[58DD]]</f>
        <v>0</v>
      </c>
    </row>
    <row r="1598" spans="2:28" x14ac:dyDescent="0.25">
      <c r="B1598" s="2" t="s">
        <v>189</v>
      </c>
      <c r="C1598" s="2" t="s">
        <v>262</v>
      </c>
      <c r="D1598" s="2" t="s">
        <v>151</v>
      </c>
      <c r="E1598" s="2" t="s">
        <v>93</v>
      </c>
      <c r="F1598" s="2" t="s">
        <v>393</v>
      </c>
      <c r="G1598" s="2" t="s">
        <v>90</v>
      </c>
      <c r="I1598">
        <f>HEX2DEC(_0811_173439[[#This Row],[580C]])*B$4/B$5+B$6</f>
        <v>760</v>
      </c>
      <c r="J1598">
        <f>HEX2DEC(_0811_173439[[#This Row],[4402]])*C$4/C$5+C$6</f>
        <v>37</v>
      </c>
      <c r="K1598">
        <f>HEX2DEC(_0811_173439[[#This Row],[580F]])*D$4/D$5+D$6</f>
        <v>30</v>
      </c>
      <c r="L1598">
        <f>ROUND(HEX2DEC(_0811_173439[[#This Row],[58F0]])*E$4/E$5+E$6,0)</f>
        <v>70</v>
      </c>
      <c r="M1598">
        <f>ROUND(HEX2DEC(_0811_173439[[#This Row],[5805]])*F$4/F$5+F$6,0)</f>
        <v>46</v>
      </c>
      <c r="N1598">
        <f>ROUND(HEX2DEC(_0811_173439[[#This Row],[58DD]])*G$4/G$5+G$6,2)</f>
        <v>-0.03</v>
      </c>
      <c r="P1598">
        <v>760</v>
      </c>
      <c r="Q1598">
        <v>37</v>
      </c>
      <c r="R1598">
        <v>30</v>
      </c>
      <c r="S1598">
        <v>70</v>
      </c>
      <c r="T1598">
        <v>46</v>
      </c>
      <c r="U1598">
        <v>-0.03</v>
      </c>
      <c r="W1598">
        <f>DataLog_T717420_Aug11_4_59_37pm[[#This Row],[RPM '[1/MIN']]]-Table3[[#This Row],[580C]]</f>
        <v>0</v>
      </c>
      <c r="X1598">
        <f>DataLog_T717420_Aug11_4_59_37pm[[#This Row],[OIL TEMP '[Â°C']]]-Table3[[#This Row],[4402]]</f>
        <v>0</v>
      </c>
      <c r="Y1598">
        <f>DataLog_T717420_Aug11_4_59_37pm[[#This Row],[INTAKE TEMP '[Â°C']]]-Table3[[#This Row],[580F]]</f>
        <v>0</v>
      </c>
      <c r="Z1598">
        <f>DataLog_T717420_Aug11_4_59_37pm[[#This Row],[HPFP PRES. '[BAR']]]-Table3[[#This Row],[58F0]]</f>
        <v>0</v>
      </c>
      <c r="AA1598">
        <f>DataLog_T717420_Aug11_4_59_37pm[[#This Row],[COOLANT TEMP '[Â°C']]]-Table3[[#This Row],[5805]]</f>
        <v>0</v>
      </c>
      <c r="AB1598">
        <f>DataLog_T717420_Aug11_4_59_37pm[[#This Row],[BOOST '[BAR']]]-Table3[[#This Row],[58DD]]</f>
        <v>0</v>
      </c>
    </row>
    <row r="1599" spans="2:28" x14ac:dyDescent="0.25">
      <c r="B1599" s="2" t="s">
        <v>189</v>
      </c>
      <c r="C1599" s="2" t="s">
        <v>262</v>
      </c>
      <c r="D1599" s="2" t="s">
        <v>151</v>
      </c>
      <c r="E1599" s="2" t="s">
        <v>93</v>
      </c>
      <c r="F1599" s="2" t="s">
        <v>393</v>
      </c>
      <c r="G1599" s="2" t="s">
        <v>236</v>
      </c>
      <c r="I1599">
        <f>HEX2DEC(_0811_173439[[#This Row],[580C]])*B$4/B$5+B$6</f>
        <v>760</v>
      </c>
      <c r="J1599">
        <f>HEX2DEC(_0811_173439[[#This Row],[4402]])*C$4/C$5+C$6</f>
        <v>37</v>
      </c>
      <c r="K1599">
        <f>HEX2DEC(_0811_173439[[#This Row],[580F]])*D$4/D$5+D$6</f>
        <v>30</v>
      </c>
      <c r="L1599">
        <f>ROUND(HEX2DEC(_0811_173439[[#This Row],[58F0]])*E$4/E$5+E$6,0)</f>
        <v>70</v>
      </c>
      <c r="M1599">
        <f>ROUND(HEX2DEC(_0811_173439[[#This Row],[5805]])*F$4/F$5+F$6,0)</f>
        <v>46</v>
      </c>
      <c r="N1599">
        <f>ROUND(HEX2DEC(_0811_173439[[#This Row],[58DD]])*G$4/G$5+G$6,2)</f>
        <v>-0.03</v>
      </c>
      <c r="P1599">
        <v>760</v>
      </c>
      <c r="Q1599">
        <v>37</v>
      </c>
      <c r="R1599">
        <v>30</v>
      </c>
      <c r="S1599">
        <v>70</v>
      </c>
      <c r="T1599">
        <v>46</v>
      </c>
      <c r="U1599">
        <v>-0.03</v>
      </c>
      <c r="W1599">
        <f>DataLog_T717420_Aug11_4_59_37pm[[#This Row],[RPM '[1/MIN']]]-Table3[[#This Row],[580C]]</f>
        <v>0</v>
      </c>
      <c r="X1599">
        <f>DataLog_T717420_Aug11_4_59_37pm[[#This Row],[OIL TEMP '[Â°C']]]-Table3[[#This Row],[4402]]</f>
        <v>0</v>
      </c>
      <c r="Y1599">
        <f>DataLog_T717420_Aug11_4_59_37pm[[#This Row],[INTAKE TEMP '[Â°C']]]-Table3[[#This Row],[580F]]</f>
        <v>0</v>
      </c>
      <c r="Z1599">
        <f>DataLog_T717420_Aug11_4_59_37pm[[#This Row],[HPFP PRES. '[BAR']]]-Table3[[#This Row],[58F0]]</f>
        <v>0</v>
      </c>
      <c r="AA1599">
        <f>DataLog_T717420_Aug11_4_59_37pm[[#This Row],[COOLANT TEMP '[Â°C']]]-Table3[[#This Row],[5805]]</f>
        <v>0</v>
      </c>
      <c r="AB1599">
        <f>DataLog_T717420_Aug11_4_59_37pm[[#This Row],[BOOST '[BAR']]]-Table3[[#This Row],[58DD]]</f>
        <v>0</v>
      </c>
    </row>
    <row r="1600" spans="2:28" x14ac:dyDescent="0.25">
      <c r="B1600" s="2" t="s">
        <v>189</v>
      </c>
      <c r="C1600" s="2" t="s">
        <v>262</v>
      </c>
      <c r="D1600" s="2" t="s">
        <v>151</v>
      </c>
      <c r="E1600" s="2" t="s">
        <v>122</v>
      </c>
      <c r="F1600" s="2" t="s">
        <v>393</v>
      </c>
      <c r="G1600" s="2" t="s">
        <v>245</v>
      </c>
      <c r="I1600">
        <f>HEX2DEC(_0811_173439[[#This Row],[580C]])*B$4/B$5+B$6</f>
        <v>760</v>
      </c>
      <c r="J1600">
        <f>HEX2DEC(_0811_173439[[#This Row],[4402]])*C$4/C$5+C$6</f>
        <v>37</v>
      </c>
      <c r="K1600">
        <f>HEX2DEC(_0811_173439[[#This Row],[580F]])*D$4/D$5+D$6</f>
        <v>30</v>
      </c>
      <c r="L1600">
        <f>ROUND(HEX2DEC(_0811_173439[[#This Row],[58F0]])*E$4/E$5+E$6,0)</f>
        <v>71</v>
      </c>
      <c r="M1600">
        <f>ROUND(HEX2DEC(_0811_173439[[#This Row],[5805]])*F$4/F$5+F$6,0)</f>
        <v>46</v>
      </c>
      <c r="N1600">
        <f>ROUND(HEX2DEC(_0811_173439[[#This Row],[58DD]])*G$4/G$5+G$6,2)</f>
        <v>-0.03</v>
      </c>
      <c r="P1600">
        <v>760</v>
      </c>
      <c r="Q1600">
        <v>37</v>
      </c>
      <c r="R1600">
        <v>30</v>
      </c>
      <c r="S1600">
        <v>71</v>
      </c>
      <c r="T1600">
        <v>46</v>
      </c>
      <c r="U1600">
        <v>-0.03</v>
      </c>
      <c r="W1600">
        <f>DataLog_T717420_Aug11_4_59_37pm[[#This Row],[RPM '[1/MIN']]]-Table3[[#This Row],[580C]]</f>
        <v>0</v>
      </c>
      <c r="X1600">
        <f>DataLog_T717420_Aug11_4_59_37pm[[#This Row],[OIL TEMP '[Â°C']]]-Table3[[#This Row],[4402]]</f>
        <v>0</v>
      </c>
      <c r="Y1600">
        <f>DataLog_T717420_Aug11_4_59_37pm[[#This Row],[INTAKE TEMP '[Â°C']]]-Table3[[#This Row],[580F]]</f>
        <v>0</v>
      </c>
      <c r="Z1600">
        <f>DataLog_T717420_Aug11_4_59_37pm[[#This Row],[HPFP PRES. '[BAR']]]-Table3[[#This Row],[58F0]]</f>
        <v>0</v>
      </c>
      <c r="AA1600">
        <f>DataLog_T717420_Aug11_4_59_37pm[[#This Row],[COOLANT TEMP '[Â°C']]]-Table3[[#This Row],[5805]]</f>
        <v>0</v>
      </c>
      <c r="AB1600">
        <f>DataLog_T717420_Aug11_4_59_37pm[[#This Row],[BOOST '[BAR']]]-Table3[[#This Row],[58DD]]</f>
        <v>0</v>
      </c>
    </row>
    <row r="1601" spans="2:28" x14ac:dyDescent="0.25">
      <c r="B1601" s="2" t="s">
        <v>189</v>
      </c>
      <c r="C1601" s="2" t="s">
        <v>262</v>
      </c>
      <c r="D1601" s="2" t="s">
        <v>151</v>
      </c>
      <c r="E1601" s="2" t="s">
        <v>165</v>
      </c>
      <c r="F1601" s="2" t="s">
        <v>393</v>
      </c>
      <c r="G1601" s="2" t="s">
        <v>71</v>
      </c>
      <c r="I1601">
        <f>HEX2DEC(_0811_173439[[#This Row],[580C]])*B$4/B$5+B$6</f>
        <v>760</v>
      </c>
      <c r="J1601">
        <f>HEX2DEC(_0811_173439[[#This Row],[4402]])*C$4/C$5+C$6</f>
        <v>37</v>
      </c>
      <c r="K1601">
        <f>HEX2DEC(_0811_173439[[#This Row],[580F]])*D$4/D$5+D$6</f>
        <v>30</v>
      </c>
      <c r="L1601">
        <f>ROUND(HEX2DEC(_0811_173439[[#This Row],[58F0]])*E$4/E$5+E$6,0)</f>
        <v>70</v>
      </c>
      <c r="M1601">
        <f>ROUND(HEX2DEC(_0811_173439[[#This Row],[5805]])*F$4/F$5+F$6,0)</f>
        <v>46</v>
      </c>
      <c r="N1601">
        <f>ROUND(HEX2DEC(_0811_173439[[#This Row],[58DD]])*G$4/G$5+G$6,2)</f>
        <v>-0.03</v>
      </c>
      <c r="P1601">
        <v>760</v>
      </c>
      <c r="Q1601">
        <v>37</v>
      </c>
      <c r="R1601">
        <v>30</v>
      </c>
      <c r="S1601">
        <v>70</v>
      </c>
      <c r="T1601">
        <v>46</v>
      </c>
      <c r="U1601">
        <v>-0.03</v>
      </c>
      <c r="W1601">
        <f>DataLog_T717420_Aug11_4_59_37pm[[#This Row],[RPM '[1/MIN']]]-Table3[[#This Row],[580C]]</f>
        <v>0</v>
      </c>
      <c r="X1601">
        <f>DataLog_T717420_Aug11_4_59_37pm[[#This Row],[OIL TEMP '[Â°C']]]-Table3[[#This Row],[4402]]</f>
        <v>0</v>
      </c>
      <c r="Y1601">
        <f>DataLog_T717420_Aug11_4_59_37pm[[#This Row],[INTAKE TEMP '[Â°C']]]-Table3[[#This Row],[580F]]</f>
        <v>0</v>
      </c>
      <c r="Z1601">
        <f>DataLog_T717420_Aug11_4_59_37pm[[#This Row],[HPFP PRES. '[BAR']]]-Table3[[#This Row],[58F0]]</f>
        <v>0</v>
      </c>
      <c r="AA1601">
        <f>DataLog_T717420_Aug11_4_59_37pm[[#This Row],[COOLANT TEMP '[Â°C']]]-Table3[[#This Row],[5805]]</f>
        <v>0</v>
      </c>
      <c r="AB1601">
        <f>DataLog_T717420_Aug11_4_59_37pm[[#This Row],[BOOST '[BAR']]]-Table3[[#This Row],[58DD]]</f>
        <v>0</v>
      </c>
    </row>
    <row r="1602" spans="2:28" x14ac:dyDescent="0.25">
      <c r="B1602" s="2" t="s">
        <v>189</v>
      </c>
      <c r="C1602" s="2" t="s">
        <v>262</v>
      </c>
      <c r="D1602" s="2" t="s">
        <v>151</v>
      </c>
      <c r="E1602" s="2" t="s">
        <v>93</v>
      </c>
      <c r="F1602" s="2" t="s">
        <v>393</v>
      </c>
      <c r="G1602" s="2" t="s">
        <v>255</v>
      </c>
      <c r="I1602">
        <f>HEX2DEC(_0811_173439[[#This Row],[580C]])*B$4/B$5+B$6</f>
        <v>760</v>
      </c>
      <c r="J1602">
        <f>HEX2DEC(_0811_173439[[#This Row],[4402]])*C$4/C$5+C$6</f>
        <v>37</v>
      </c>
      <c r="K1602">
        <f>HEX2DEC(_0811_173439[[#This Row],[580F]])*D$4/D$5+D$6</f>
        <v>30</v>
      </c>
      <c r="L1602">
        <f>ROUND(HEX2DEC(_0811_173439[[#This Row],[58F0]])*E$4/E$5+E$6,0)</f>
        <v>70</v>
      </c>
      <c r="M1602">
        <f>ROUND(HEX2DEC(_0811_173439[[#This Row],[5805]])*F$4/F$5+F$6,0)</f>
        <v>46</v>
      </c>
      <c r="N1602">
        <f>ROUND(HEX2DEC(_0811_173439[[#This Row],[58DD]])*G$4/G$5+G$6,2)</f>
        <v>-0.03</v>
      </c>
      <c r="P1602">
        <v>760</v>
      </c>
      <c r="Q1602">
        <v>37</v>
      </c>
      <c r="R1602">
        <v>30</v>
      </c>
      <c r="S1602">
        <v>70</v>
      </c>
      <c r="T1602">
        <v>46</v>
      </c>
      <c r="U1602">
        <v>-0.03</v>
      </c>
      <c r="W1602">
        <f>DataLog_T717420_Aug11_4_59_37pm[[#This Row],[RPM '[1/MIN']]]-Table3[[#This Row],[580C]]</f>
        <v>0</v>
      </c>
      <c r="X1602">
        <f>DataLog_T717420_Aug11_4_59_37pm[[#This Row],[OIL TEMP '[Â°C']]]-Table3[[#This Row],[4402]]</f>
        <v>0</v>
      </c>
      <c r="Y1602">
        <f>DataLog_T717420_Aug11_4_59_37pm[[#This Row],[INTAKE TEMP '[Â°C']]]-Table3[[#This Row],[580F]]</f>
        <v>0</v>
      </c>
      <c r="Z1602">
        <f>DataLog_T717420_Aug11_4_59_37pm[[#This Row],[HPFP PRES. '[BAR']]]-Table3[[#This Row],[58F0]]</f>
        <v>0</v>
      </c>
      <c r="AA1602">
        <f>DataLog_T717420_Aug11_4_59_37pm[[#This Row],[COOLANT TEMP '[Â°C']]]-Table3[[#This Row],[5805]]</f>
        <v>0</v>
      </c>
      <c r="AB1602">
        <f>DataLog_T717420_Aug11_4_59_37pm[[#This Row],[BOOST '[BAR']]]-Table3[[#This Row],[58DD]]</f>
        <v>0</v>
      </c>
    </row>
    <row r="1603" spans="2:28" x14ac:dyDescent="0.25">
      <c r="B1603" s="2" t="s">
        <v>189</v>
      </c>
      <c r="C1603" s="2" t="s">
        <v>262</v>
      </c>
      <c r="D1603" s="2" t="s">
        <v>151</v>
      </c>
      <c r="E1603" s="2" t="s">
        <v>152</v>
      </c>
      <c r="F1603" s="2" t="s">
        <v>393</v>
      </c>
      <c r="G1603" s="2" t="s">
        <v>216</v>
      </c>
      <c r="I1603">
        <f>HEX2DEC(_0811_173439[[#This Row],[580C]])*B$4/B$5+B$6</f>
        <v>760</v>
      </c>
      <c r="J1603">
        <f>HEX2DEC(_0811_173439[[#This Row],[4402]])*C$4/C$5+C$6</f>
        <v>37</v>
      </c>
      <c r="K1603">
        <f>HEX2DEC(_0811_173439[[#This Row],[580F]])*D$4/D$5+D$6</f>
        <v>30</v>
      </c>
      <c r="L1603">
        <f>ROUND(HEX2DEC(_0811_173439[[#This Row],[58F0]])*E$4/E$5+E$6,0)</f>
        <v>70</v>
      </c>
      <c r="M1603">
        <f>ROUND(HEX2DEC(_0811_173439[[#This Row],[5805]])*F$4/F$5+F$6,0)</f>
        <v>46</v>
      </c>
      <c r="N1603">
        <f>ROUND(HEX2DEC(_0811_173439[[#This Row],[58DD]])*G$4/G$5+G$6,2)</f>
        <v>-0.03</v>
      </c>
      <c r="P1603">
        <v>760</v>
      </c>
      <c r="Q1603">
        <v>37</v>
      </c>
      <c r="R1603">
        <v>30</v>
      </c>
      <c r="S1603">
        <v>70</v>
      </c>
      <c r="T1603">
        <v>46</v>
      </c>
      <c r="U1603">
        <v>-0.03</v>
      </c>
      <c r="W1603">
        <f>DataLog_T717420_Aug11_4_59_37pm[[#This Row],[RPM '[1/MIN']]]-Table3[[#This Row],[580C]]</f>
        <v>0</v>
      </c>
      <c r="X1603">
        <f>DataLog_T717420_Aug11_4_59_37pm[[#This Row],[OIL TEMP '[Â°C']]]-Table3[[#This Row],[4402]]</f>
        <v>0</v>
      </c>
      <c r="Y1603">
        <f>DataLog_T717420_Aug11_4_59_37pm[[#This Row],[INTAKE TEMP '[Â°C']]]-Table3[[#This Row],[580F]]</f>
        <v>0</v>
      </c>
      <c r="Z1603">
        <f>DataLog_T717420_Aug11_4_59_37pm[[#This Row],[HPFP PRES. '[BAR']]]-Table3[[#This Row],[58F0]]</f>
        <v>0</v>
      </c>
      <c r="AA1603">
        <f>DataLog_T717420_Aug11_4_59_37pm[[#This Row],[COOLANT TEMP '[Â°C']]]-Table3[[#This Row],[5805]]</f>
        <v>0</v>
      </c>
      <c r="AB1603">
        <f>DataLog_T717420_Aug11_4_59_37pm[[#This Row],[BOOST '[BAR']]]-Table3[[#This Row],[58DD]]</f>
        <v>0</v>
      </c>
    </row>
    <row r="1604" spans="2:28" x14ac:dyDescent="0.25">
      <c r="B1604" s="2" t="s">
        <v>189</v>
      </c>
      <c r="C1604" s="2" t="s">
        <v>262</v>
      </c>
      <c r="D1604" s="2" t="s">
        <v>151</v>
      </c>
      <c r="E1604" s="2" t="s">
        <v>218</v>
      </c>
      <c r="F1604" s="2" t="s">
        <v>393</v>
      </c>
      <c r="G1604" s="2" t="s">
        <v>71</v>
      </c>
      <c r="I1604">
        <f>HEX2DEC(_0811_173439[[#This Row],[580C]])*B$4/B$5+B$6</f>
        <v>760</v>
      </c>
      <c r="J1604">
        <f>HEX2DEC(_0811_173439[[#This Row],[4402]])*C$4/C$5+C$6</f>
        <v>37</v>
      </c>
      <c r="K1604">
        <f>HEX2DEC(_0811_173439[[#This Row],[580F]])*D$4/D$5+D$6</f>
        <v>30</v>
      </c>
      <c r="L1604">
        <f>ROUND(HEX2DEC(_0811_173439[[#This Row],[58F0]])*E$4/E$5+E$6,0)</f>
        <v>71</v>
      </c>
      <c r="M1604">
        <f>ROUND(HEX2DEC(_0811_173439[[#This Row],[5805]])*F$4/F$5+F$6,0)</f>
        <v>46</v>
      </c>
      <c r="N1604">
        <f>ROUND(HEX2DEC(_0811_173439[[#This Row],[58DD]])*G$4/G$5+G$6,2)</f>
        <v>-0.03</v>
      </c>
      <c r="P1604">
        <v>760</v>
      </c>
      <c r="Q1604">
        <v>37</v>
      </c>
      <c r="R1604">
        <v>30</v>
      </c>
      <c r="S1604">
        <v>71</v>
      </c>
      <c r="T1604">
        <v>46</v>
      </c>
      <c r="U1604">
        <v>-0.03</v>
      </c>
      <c r="W1604">
        <f>DataLog_T717420_Aug11_4_59_37pm[[#This Row],[RPM '[1/MIN']]]-Table3[[#This Row],[580C]]</f>
        <v>0</v>
      </c>
      <c r="X1604">
        <f>DataLog_T717420_Aug11_4_59_37pm[[#This Row],[OIL TEMP '[Â°C']]]-Table3[[#This Row],[4402]]</f>
        <v>0</v>
      </c>
      <c r="Y1604">
        <f>DataLog_T717420_Aug11_4_59_37pm[[#This Row],[INTAKE TEMP '[Â°C']]]-Table3[[#This Row],[580F]]</f>
        <v>0</v>
      </c>
      <c r="Z1604">
        <f>DataLog_T717420_Aug11_4_59_37pm[[#This Row],[HPFP PRES. '[BAR']]]-Table3[[#This Row],[58F0]]</f>
        <v>0</v>
      </c>
      <c r="AA1604">
        <f>DataLog_T717420_Aug11_4_59_37pm[[#This Row],[COOLANT TEMP '[Â°C']]]-Table3[[#This Row],[5805]]</f>
        <v>0</v>
      </c>
      <c r="AB1604">
        <f>DataLog_T717420_Aug11_4_59_37pm[[#This Row],[BOOST '[BAR']]]-Table3[[#This Row],[58DD]]</f>
        <v>0</v>
      </c>
    </row>
    <row r="1605" spans="2:28" x14ac:dyDescent="0.25">
      <c r="B1605" s="2" t="s">
        <v>189</v>
      </c>
      <c r="C1605" s="2" t="s">
        <v>262</v>
      </c>
      <c r="D1605" s="2" t="s">
        <v>151</v>
      </c>
      <c r="E1605" s="2" t="s">
        <v>126</v>
      </c>
      <c r="F1605" s="2" t="s">
        <v>393</v>
      </c>
      <c r="G1605" s="2" t="s">
        <v>90</v>
      </c>
      <c r="I1605">
        <f>HEX2DEC(_0811_173439[[#This Row],[580C]])*B$4/B$5+B$6</f>
        <v>760</v>
      </c>
      <c r="J1605">
        <f>HEX2DEC(_0811_173439[[#This Row],[4402]])*C$4/C$5+C$6</f>
        <v>37</v>
      </c>
      <c r="K1605">
        <f>HEX2DEC(_0811_173439[[#This Row],[580F]])*D$4/D$5+D$6</f>
        <v>30</v>
      </c>
      <c r="L1605">
        <f>ROUND(HEX2DEC(_0811_173439[[#This Row],[58F0]])*E$4/E$5+E$6,0)</f>
        <v>71</v>
      </c>
      <c r="M1605">
        <f>ROUND(HEX2DEC(_0811_173439[[#This Row],[5805]])*F$4/F$5+F$6,0)</f>
        <v>46</v>
      </c>
      <c r="N1605">
        <f>ROUND(HEX2DEC(_0811_173439[[#This Row],[58DD]])*G$4/G$5+G$6,2)</f>
        <v>-0.03</v>
      </c>
      <c r="P1605">
        <v>760</v>
      </c>
      <c r="Q1605">
        <v>37</v>
      </c>
      <c r="R1605">
        <v>30</v>
      </c>
      <c r="S1605">
        <v>71</v>
      </c>
      <c r="T1605">
        <v>46</v>
      </c>
      <c r="U1605">
        <v>-0.03</v>
      </c>
      <c r="W1605">
        <f>DataLog_T717420_Aug11_4_59_37pm[[#This Row],[RPM '[1/MIN']]]-Table3[[#This Row],[580C]]</f>
        <v>0</v>
      </c>
      <c r="X1605">
        <f>DataLog_T717420_Aug11_4_59_37pm[[#This Row],[OIL TEMP '[Â°C']]]-Table3[[#This Row],[4402]]</f>
        <v>0</v>
      </c>
      <c r="Y1605">
        <f>DataLog_T717420_Aug11_4_59_37pm[[#This Row],[INTAKE TEMP '[Â°C']]]-Table3[[#This Row],[580F]]</f>
        <v>0</v>
      </c>
      <c r="Z1605">
        <f>DataLog_T717420_Aug11_4_59_37pm[[#This Row],[HPFP PRES. '[BAR']]]-Table3[[#This Row],[58F0]]</f>
        <v>0</v>
      </c>
      <c r="AA1605">
        <f>DataLog_T717420_Aug11_4_59_37pm[[#This Row],[COOLANT TEMP '[Â°C']]]-Table3[[#This Row],[5805]]</f>
        <v>0</v>
      </c>
      <c r="AB1605">
        <f>DataLog_T717420_Aug11_4_59_37pm[[#This Row],[BOOST '[BAR']]]-Table3[[#This Row],[58DD]]</f>
        <v>0</v>
      </c>
    </row>
    <row r="1606" spans="2:28" x14ac:dyDescent="0.25">
      <c r="B1606" s="2" t="s">
        <v>189</v>
      </c>
      <c r="C1606" s="2" t="s">
        <v>262</v>
      </c>
      <c r="D1606" s="2" t="s">
        <v>151</v>
      </c>
      <c r="E1606" s="2" t="s">
        <v>93</v>
      </c>
      <c r="F1606" s="2" t="s">
        <v>393</v>
      </c>
      <c r="G1606" s="2" t="s">
        <v>96</v>
      </c>
      <c r="I1606">
        <f>HEX2DEC(_0811_173439[[#This Row],[580C]])*B$4/B$5+B$6</f>
        <v>760</v>
      </c>
      <c r="J1606">
        <f>HEX2DEC(_0811_173439[[#This Row],[4402]])*C$4/C$5+C$6</f>
        <v>37</v>
      </c>
      <c r="K1606">
        <f>HEX2DEC(_0811_173439[[#This Row],[580F]])*D$4/D$5+D$6</f>
        <v>30</v>
      </c>
      <c r="L1606">
        <f>ROUND(HEX2DEC(_0811_173439[[#This Row],[58F0]])*E$4/E$5+E$6,0)</f>
        <v>70</v>
      </c>
      <c r="M1606">
        <f>ROUND(HEX2DEC(_0811_173439[[#This Row],[5805]])*F$4/F$5+F$6,0)</f>
        <v>46</v>
      </c>
      <c r="N1606">
        <f>ROUND(HEX2DEC(_0811_173439[[#This Row],[58DD]])*G$4/G$5+G$6,2)</f>
        <v>-0.03</v>
      </c>
      <c r="P1606">
        <v>760</v>
      </c>
      <c r="Q1606">
        <v>37</v>
      </c>
      <c r="R1606">
        <v>30</v>
      </c>
      <c r="S1606">
        <v>70</v>
      </c>
      <c r="T1606">
        <v>46</v>
      </c>
      <c r="U1606">
        <v>-0.03</v>
      </c>
      <c r="W1606">
        <f>DataLog_T717420_Aug11_4_59_37pm[[#This Row],[RPM '[1/MIN']]]-Table3[[#This Row],[580C]]</f>
        <v>0</v>
      </c>
      <c r="X1606">
        <f>DataLog_T717420_Aug11_4_59_37pm[[#This Row],[OIL TEMP '[Â°C']]]-Table3[[#This Row],[4402]]</f>
        <v>0</v>
      </c>
      <c r="Y1606">
        <f>DataLog_T717420_Aug11_4_59_37pm[[#This Row],[INTAKE TEMP '[Â°C']]]-Table3[[#This Row],[580F]]</f>
        <v>0</v>
      </c>
      <c r="Z1606">
        <f>DataLog_T717420_Aug11_4_59_37pm[[#This Row],[HPFP PRES. '[BAR']]]-Table3[[#This Row],[58F0]]</f>
        <v>0</v>
      </c>
      <c r="AA1606">
        <f>DataLog_T717420_Aug11_4_59_37pm[[#This Row],[COOLANT TEMP '[Â°C']]]-Table3[[#This Row],[5805]]</f>
        <v>0</v>
      </c>
      <c r="AB1606">
        <f>DataLog_T717420_Aug11_4_59_37pm[[#This Row],[BOOST '[BAR']]]-Table3[[#This Row],[58DD]]</f>
        <v>0</v>
      </c>
    </row>
    <row r="1607" spans="2:28" x14ac:dyDescent="0.25">
      <c r="B1607" s="2" t="s">
        <v>189</v>
      </c>
      <c r="C1607" s="2" t="s">
        <v>262</v>
      </c>
      <c r="D1607" s="2" t="s">
        <v>151</v>
      </c>
      <c r="E1607" s="2" t="s">
        <v>198</v>
      </c>
      <c r="F1607" s="2" t="s">
        <v>393</v>
      </c>
      <c r="G1607" s="2" t="s">
        <v>190</v>
      </c>
      <c r="I1607">
        <f>HEX2DEC(_0811_173439[[#This Row],[580C]])*B$4/B$5+B$6</f>
        <v>760</v>
      </c>
      <c r="J1607">
        <f>HEX2DEC(_0811_173439[[#This Row],[4402]])*C$4/C$5+C$6</f>
        <v>37</v>
      </c>
      <c r="K1607">
        <f>HEX2DEC(_0811_173439[[#This Row],[580F]])*D$4/D$5+D$6</f>
        <v>30</v>
      </c>
      <c r="L1607">
        <f>ROUND(HEX2DEC(_0811_173439[[#This Row],[58F0]])*E$4/E$5+E$6,0)</f>
        <v>70</v>
      </c>
      <c r="M1607">
        <f>ROUND(HEX2DEC(_0811_173439[[#This Row],[5805]])*F$4/F$5+F$6,0)</f>
        <v>46</v>
      </c>
      <c r="N1607">
        <f>ROUND(HEX2DEC(_0811_173439[[#This Row],[58DD]])*G$4/G$5+G$6,2)</f>
        <v>-0.03</v>
      </c>
      <c r="P1607">
        <v>760</v>
      </c>
      <c r="Q1607">
        <v>37</v>
      </c>
      <c r="R1607">
        <v>30</v>
      </c>
      <c r="S1607">
        <v>70</v>
      </c>
      <c r="T1607">
        <v>46</v>
      </c>
      <c r="U1607">
        <v>-0.03</v>
      </c>
      <c r="W1607">
        <f>DataLog_T717420_Aug11_4_59_37pm[[#This Row],[RPM '[1/MIN']]]-Table3[[#This Row],[580C]]</f>
        <v>0</v>
      </c>
      <c r="X1607">
        <f>DataLog_T717420_Aug11_4_59_37pm[[#This Row],[OIL TEMP '[Â°C']]]-Table3[[#This Row],[4402]]</f>
        <v>0</v>
      </c>
      <c r="Y1607">
        <f>DataLog_T717420_Aug11_4_59_37pm[[#This Row],[INTAKE TEMP '[Â°C']]]-Table3[[#This Row],[580F]]</f>
        <v>0</v>
      </c>
      <c r="Z1607">
        <f>DataLog_T717420_Aug11_4_59_37pm[[#This Row],[HPFP PRES. '[BAR']]]-Table3[[#This Row],[58F0]]</f>
        <v>0</v>
      </c>
      <c r="AA1607">
        <f>DataLog_T717420_Aug11_4_59_37pm[[#This Row],[COOLANT TEMP '[Â°C']]]-Table3[[#This Row],[5805]]</f>
        <v>0</v>
      </c>
      <c r="AB1607">
        <f>DataLog_T717420_Aug11_4_59_37pm[[#This Row],[BOOST '[BAR']]]-Table3[[#This Row],[58DD]]</f>
        <v>0</v>
      </c>
    </row>
    <row r="1608" spans="2:28" x14ac:dyDescent="0.25">
      <c r="B1608" s="2" t="s">
        <v>189</v>
      </c>
      <c r="C1608" s="2" t="s">
        <v>262</v>
      </c>
      <c r="D1608" s="2" t="s">
        <v>151</v>
      </c>
      <c r="E1608" s="2" t="s">
        <v>152</v>
      </c>
      <c r="F1608" s="2" t="s">
        <v>393</v>
      </c>
      <c r="G1608" s="2" t="s">
        <v>71</v>
      </c>
      <c r="I1608">
        <f>HEX2DEC(_0811_173439[[#This Row],[580C]])*B$4/B$5+B$6</f>
        <v>760</v>
      </c>
      <c r="J1608">
        <f>HEX2DEC(_0811_173439[[#This Row],[4402]])*C$4/C$5+C$6</f>
        <v>37</v>
      </c>
      <c r="K1608">
        <f>HEX2DEC(_0811_173439[[#This Row],[580F]])*D$4/D$5+D$6</f>
        <v>30</v>
      </c>
      <c r="L1608">
        <f>ROUND(HEX2DEC(_0811_173439[[#This Row],[58F0]])*E$4/E$5+E$6,0)</f>
        <v>70</v>
      </c>
      <c r="M1608">
        <f>ROUND(HEX2DEC(_0811_173439[[#This Row],[5805]])*F$4/F$5+F$6,0)</f>
        <v>46</v>
      </c>
      <c r="N1608">
        <f>ROUND(HEX2DEC(_0811_173439[[#This Row],[58DD]])*G$4/G$5+G$6,2)</f>
        <v>-0.03</v>
      </c>
      <c r="P1608">
        <v>760</v>
      </c>
      <c r="Q1608">
        <v>37</v>
      </c>
      <c r="R1608">
        <v>30</v>
      </c>
      <c r="S1608">
        <v>70</v>
      </c>
      <c r="T1608">
        <v>46</v>
      </c>
      <c r="U1608">
        <v>-0.03</v>
      </c>
      <c r="W1608">
        <f>DataLog_T717420_Aug11_4_59_37pm[[#This Row],[RPM '[1/MIN']]]-Table3[[#This Row],[580C]]</f>
        <v>0</v>
      </c>
      <c r="X1608">
        <f>DataLog_T717420_Aug11_4_59_37pm[[#This Row],[OIL TEMP '[Â°C']]]-Table3[[#This Row],[4402]]</f>
        <v>0</v>
      </c>
      <c r="Y1608">
        <f>DataLog_T717420_Aug11_4_59_37pm[[#This Row],[INTAKE TEMP '[Â°C']]]-Table3[[#This Row],[580F]]</f>
        <v>0</v>
      </c>
      <c r="Z1608">
        <f>DataLog_T717420_Aug11_4_59_37pm[[#This Row],[HPFP PRES. '[BAR']]]-Table3[[#This Row],[58F0]]</f>
        <v>0</v>
      </c>
      <c r="AA1608">
        <f>DataLog_T717420_Aug11_4_59_37pm[[#This Row],[COOLANT TEMP '[Â°C']]]-Table3[[#This Row],[5805]]</f>
        <v>0</v>
      </c>
      <c r="AB1608">
        <f>DataLog_T717420_Aug11_4_59_37pm[[#This Row],[BOOST '[BAR']]]-Table3[[#This Row],[58DD]]</f>
        <v>0</v>
      </c>
    </row>
    <row r="1609" spans="2:28" x14ac:dyDescent="0.25">
      <c r="B1609" s="2" t="s">
        <v>189</v>
      </c>
      <c r="C1609" s="2" t="s">
        <v>262</v>
      </c>
      <c r="D1609" s="2" t="s">
        <v>151</v>
      </c>
      <c r="E1609" s="2" t="s">
        <v>150</v>
      </c>
      <c r="F1609" s="2" t="s">
        <v>393</v>
      </c>
      <c r="G1609" s="2" t="s">
        <v>255</v>
      </c>
      <c r="I1609">
        <f>HEX2DEC(_0811_173439[[#This Row],[580C]])*B$4/B$5+B$6</f>
        <v>760</v>
      </c>
      <c r="J1609">
        <f>HEX2DEC(_0811_173439[[#This Row],[4402]])*C$4/C$5+C$6</f>
        <v>37</v>
      </c>
      <c r="K1609">
        <f>HEX2DEC(_0811_173439[[#This Row],[580F]])*D$4/D$5+D$6</f>
        <v>30</v>
      </c>
      <c r="L1609">
        <f>ROUND(HEX2DEC(_0811_173439[[#This Row],[58F0]])*E$4/E$5+E$6,0)</f>
        <v>70</v>
      </c>
      <c r="M1609">
        <f>ROUND(HEX2DEC(_0811_173439[[#This Row],[5805]])*F$4/F$5+F$6,0)</f>
        <v>46</v>
      </c>
      <c r="N1609">
        <f>ROUND(HEX2DEC(_0811_173439[[#This Row],[58DD]])*G$4/G$5+G$6,2)</f>
        <v>-0.03</v>
      </c>
      <c r="P1609">
        <v>760</v>
      </c>
      <c r="Q1609">
        <v>37</v>
      </c>
      <c r="R1609">
        <v>30</v>
      </c>
      <c r="S1609">
        <v>70</v>
      </c>
      <c r="T1609">
        <v>46</v>
      </c>
      <c r="U1609">
        <v>-0.03</v>
      </c>
      <c r="W1609">
        <f>DataLog_T717420_Aug11_4_59_37pm[[#This Row],[RPM '[1/MIN']]]-Table3[[#This Row],[580C]]</f>
        <v>0</v>
      </c>
      <c r="X1609">
        <f>DataLog_T717420_Aug11_4_59_37pm[[#This Row],[OIL TEMP '[Â°C']]]-Table3[[#This Row],[4402]]</f>
        <v>0</v>
      </c>
      <c r="Y1609">
        <f>DataLog_T717420_Aug11_4_59_37pm[[#This Row],[INTAKE TEMP '[Â°C']]]-Table3[[#This Row],[580F]]</f>
        <v>0</v>
      </c>
      <c r="Z1609">
        <f>DataLog_T717420_Aug11_4_59_37pm[[#This Row],[HPFP PRES. '[BAR']]]-Table3[[#This Row],[58F0]]</f>
        <v>0</v>
      </c>
      <c r="AA1609">
        <f>DataLog_T717420_Aug11_4_59_37pm[[#This Row],[COOLANT TEMP '[Â°C']]]-Table3[[#This Row],[5805]]</f>
        <v>0</v>
      </c>
      <c r="AB1609">
        <f>DataLog_T717420_Aug11_4_59_37pm[[#This Row],[BOOST '[BAR']]]-Table3[[#This Row],[58DD]]</f>
        <v>0</v>
      </c>
    </row>
    <row r="1610" spans="2:28" x14ac:dyDescent="0.25">
      <c r="B1610" s="2" t="s">
        <v>189</v>
      </c>
      <c r="C1610" s="2" t="s">
        <v>262</v>
      </c>
      <c r="D1610" s="2" t="s">
        <v>151</v>
      </c>
      <c r="E1610" s="2" t="s">
        <v>221</v>
      </c>
      <c r="F1610" s="2" t="s">
        <v>393</v>
      </c>
      <c r="G1610" s="2" t="s">
        <v>71</v>
      </c>
      <c r="I1610">
        <f>HEX2DEC(_0811_173439[[#This Row],[580C]])*B$4/B$5+B$6</f>
        <v>760</v>
      </c>
      <c r="J1610">
        <f>HEX2DEC(_0811_173439[[#This Row],[4402]])*C$4/C$5+C$6</f>
        <v>37</v>
      </c>
      <c r="K1610">
        <f>HEX2DEC(_0811_173439[[#This Row],[580F]])*D$4/D$5+D$6</f>
        <v>30</v>
      </c>
      <c r="L1610">
        <f>ROUND(HEX2DEC(_0811_173439[[#This Row],[58F0]])*E$4/E$5+E$6,0)</f>
        <v>70</v>
      </c>
      <c r="M1610">
        <f>ROUND(HEX2DEC(_0811_173439[[#This Row],[5805]])*F$4/F$5+F$6,0)</f>
        <v>46</v>
      </c>
      <c r="N1610">
        <f>ROUND(HEX2DEC(_0811_173439[[#This Row],[58DD]])*G$4/G$5+G$6,2)</f>
        <v>-0.03</v>
      </c>
      <c r="P1610">
        <v>760</v>
      </c>
      <c r="Q1610">
        <v>37</v>
      </c>
      <c r="R1610">
        <v>30</v>
      </c>
      <c r="S1610">
        <v>70</v>
      </c>
      <c r="T1610">
        <v>46</v>
      </c>
      <c r="U1610">
        <v>-0.03</v>
      </c>
      <c r="W1610">
        <f>DataLog_T717420_Aug11_4_59_37pm[[#This Row],[RPM '[1/MIN']]]-Table3[[#This Row],[580C]]</f>
        <v>0</v>
      </c>
      <c r="X1610">
        <f>DataLog_T717420_Aug11_4_59_37pm[[#This Row],[OIL TEMP '[Â°C']]]-Table3[[#This Row],[4402]]</f>
        <v>0</v>
      </c>
      <c r="Y1610">
        <f>DataLog_T717420_Aug11_4_59_37pm[[#This Row],[INTAKE TEMP '[Â°C']]]-Table3[[#This Row],[580F]]</f>
        <v>0</v>
      </c>
      <c r="Z1610">
        <f>DataLog_T717420_Aug11_4_59_37pm[[#This Row],[HPFP PRES. '[BAR']]]-Table3[[#This Row],[58F0]]</f>
        <v>0</v>
      </c>
      <c r="AA1610">
        <f>DataLog_T717420_Aug11_4_59_37pm[[#This Row],[COOLANT TEMP '[Â°C']]]-Table3[[#This Row],[5805]]</f>
        <v>0</v>
      </c>
      <c r="AB1610">
        <f>DataLog_T717420_Aug11_4_59_37pm[[#This Row],[BOOST '[BAR']]]-Table3[[#This Row],[58DD]]</f>
        <v>0</v>
      </c>
    </row>
    <row r="1611" spans="2:28" x14ac:dyDescent="0.25">
      <c r="B1611" s="2" t="s">
        <v>189</v>
      </c>
      <c r="C1611" s="2" t="s">
        <v>262</v>
      </c>
      <c r="D1611" s="2" t="s">
        <v>151</v>
      </c>
      <c r="E1611" s="2" t="s">
        <v>125</v>
      </c>
      <c r="F1611" s="2" t="s">
        <v>393</v>
      </c>
      <c r="G1611" s="2" t="s">
        <v>96</v>
      </c>
      <c r="I1611">
        <f>HEX2DEC(_0811_173439[[#This Row],[580C]])*B$4/B$5+B$6</f>
        <v>760</v>
      </c>
      <c r="J1611">
        <f>HEX2DEC(_0811_173439[[#This Row],[4402]])*C$4/C$5+C$6</f>
        <v>37</v>
      </c>
      <c r="K1611">
        <f>HEX2DEC(_0811_173439[[#This Row],[580F]])*D$4/D$5+D$6</f>
        <v>30</v>
      </c>
      <c r="L1611">
        <f>ROUND(HEX2DEC(_0811_173439[[#This Row],[58F0]])*E$4/E$5+E$6,0)</f>
        <v>70</v>
      </c>
      <c r="M1611">
        <f>ROUND(HEX2DEC(_0811_173439[[#This Row],[5805]])*F$4/F$5+F$6,0)</f>
        <v>46</v>
      </c>
      <c r="N1611">
        <f>ROUND(HEX2DEC(_0811_173439[[#This Row],[58DD]])*G$4/G$5+G$6,2)</f>
        <v>-0.03</v>
      </c>
      <c r="P1611">
        <v>760</v>
      </c>
      <c r="Q1611">
        <v>37</v>
      </c>
      <c r="R1611">
        <v>30</v>
      </c>
      <c r="S1611">
        <v>70</v>
      </c>
      <c r="T1611">
        <v>46</v>
      </c>
      <c r="U1611">
        <v>-0.03</v>
      </c>
      <c r="W1611">
        <f>DataLog_T717420_Aug11_4_59_37pm[[#This Row],[RPM '[1/MIN']]]-Table3[[#This Row],[580C]]</f>
        <v>0</v>
      </c>
      <c r="X1611">
        <f>DataLog_T717420_Aug11_4_59_37pm[[#This Row],[OIL TEMP '[Â°C']]]-Table3[[#This Row],[4402]]</f>
        <v>0</v>
      </c>
      <c r="Y1611">
        <f>DataLog_T717420_Aug11_4_59_37pm[[#This Row],[INTAKE TEMP '[Â°C']]]-Table3[[#This Row],[580F]]</f>
        <v>0</v>
      </c>
      <c r="Z1611">
        <f>DataLog_T717420_Aug11_4_59_37pm[[#This Row],[HPFP PRES. '[BAR']]]-Table3[[#This Row],[58F0]]</f>
        <v>0</v>
      </c>
      <c r="AA1611">
        <f>DataLog_T717420_Aug11_4_59_37pm[[#This Row],[COOLANT TEMP '[Â°C']]]-Table3[[#This Row],[5805]]</f>
        <v>0</v>
      </c>
      <c r="AB1611">
        <f>DataLog_T717420_Aug11_4_59_37pm[[#This Row],[BOOST '[BAR']]]-Table3[[#This Row],[58DD]]</f>
        <v>0</v>
      </c>
    </row>
    <row r="1612" spans="2:28" x14ac:dyDescent="0.25">
      <c r="B1612" s="2" t="s">
        <v>189</v>
      </c>
      <c r="C1612" s="2" t="s">
        <v>262</v>
      </c>
      <c r="D1612" s="2" t="s">
        <v>151</v>
      </c>
      <c r="E1612" s="2" t="s">
        <v>118</v>
      </c>
      <c r="F1612" s="2" t="s">
        <v>393</v>
      </c>
      <c r="G1612" s="2" t="s">
        <v>191</v>
      </c>
      <c r="I1612">
        <f>HEX2DEC(_0811_173439[[#This Row],[580C]])*B$4/B$5+B$6</f>
        <v>760</v>
      </c>
      <c r="J1612">
        <f>HEX2DEC(_0811_173439[[#This Row],[4402]])*C$4/C$5+C$6</f>
        <v>37</v>
      </c>
      <c r="K1612">
        <f>HEX2DEC(_0811_173439[[#This Row],[580F]])*D$4/D$5+D$6</f>
        <v>30</v>
      </c>
      <c r="L1612">
        <f>ROUND(HEX2DEC(_0811_173439[[#This Row],[58F0]])*E$4/E$5+E$6,0)</f>
        <v>70</v>
      </c>
      <c r="M1612">
        <f>ROUND(HEX2DEC(_0811_173439[[#This Row],[5805]])*F$4/F$5+F$6,0)</f>
        <v>46</v>
      </c>
      <c r="N1612">
        <f>ROUND(HEX2DEC(_0811_173439[[#This Row],[58DD]])*G$4/G$5+G$6,2)</f>
        <v>-0.03</v>
      </c>
      <c r="P1612">
        <v>760</v>
      </c>
      <c r="Q1612">
        <v>37</v>
      </c>
      <c r="R1612">
        <v>30</v>
      </c>
      <c r="S1612">
        <v>70</v>
      </c>
      <c r="T1612">
        <v>46</v>
      </c>
      <c r="U1612">
        <v>-0.03</v>
      </c>
      <c r="W1612">
        <f>DataLog_T717420_Aug11_4_59_37pm[[#This Row],[RPM '[1/MIN']]]-Table3[[#This Row],[580C]]</f>
        <v>0</v>
      </c>
      <c r="X1612">
        <f>DataLog_T717420_Aug11_4_59_37pm[[#This Row],[OIL TEMP '[Â°C']]]-Table3[[#This Row],[4402]]</f>
        <v>0</v>
      </c>
      <c r="Y1612">
        <f>DataLog_T717420_Aug11_4_59_37pm[[#This Row],[INTAKE TEMP '[Â°C']]]-Table3[[#This Row],[580F]]</f>
        <v>0</v>
      </c>
      <c r="Z1612">
        <f>DataLog_T717420_Aug11_4_59_37pm[[#This Row],[HPFP PRES. '[BAR']]]-Table3[[#This Row],[58F0]]</f>
        <v>0</v>
      </c>
      <c r="AA1612">
        <f>DataLog_T717420_Aug11_4_59_37pm[[#This Row],[COOLANT TEMP '[Â°C']]]-Table3[[#This Row],[5805]]</f>
        <v>0</v>
      </c>
      <c r="AB1612">
        <f>DataLog_T717420_Aug11_4_59_37pm[[#This Row],[BOOST '[BAR']]]-Table3[[#This Row],[58DD]]</f>
        <v>0</v>
      </c>
    </row>
    <row r="1613" spans="2:28" x14ac:dyDescent="0.25">
      <c r="B1613" s="2" t="s">
        <v>189</v>
      </c>
      <c r="C1613" s="2" t="s">
        <v>262</v>
      </c>
      <c r="D1613" s="2" t="s">
        <v>151</v>
      </c>
      <c r="E1613" s="2" t="s">
        <v>177</v>
      </c>
      <c r="F1613" s="2" t="s">
        <v>393</v>
      </c>
      <c r="G1613" s="2" t="s">
        <v>71</v>
      </c>
      <c r="I1613">
        <f>HEX2DEC(_0811_173439[[#This Row],[580C]])*B$4/B$5+B$6</f>
        <v>760</v>
      </c>
      <c r="J1613">
        <f>HEX2DEC(_0811_173439[[#This Row],[4402]])*C$4/C$5+C$6</f>
        <v>37</v>
      </c>
      <c r="K1613">
        <f>HEX2DEC(_0811_173439[[#This Row],[580F]])*D$4/D$5+D$6</f>
        <v>30</v>
      </c>
      <c r="L1613">
        <f>ROUND(HEX2DEC(_0811_173439[[#This Row],[58F0]])*E$4/E$5+E$6,0)</f>
        <v>71</v>
      </c>
      <c r="M1613">
        <f>ROUND(HEX2DEC(_0811_173439[[#This Row],[5805]])*F$4/F$5+F$6,0)</f>
        <v>46</v>
      </c>
      <c r="N1613">
        <f>ROUND(HEX2DEC(_0811_173439[[#This Row],[58DD]])*G$4/G$5+G$6,2)</f>
        <v>-0.03</v>
      </c>
      <c r="P1613">
        <v>760</v>
      </c>
      <c r="Q1613">
        <v>37</v>
      </c>
      <c r="R1613">
        <v>30</v>
      </c>
      <c r="S1613">
        <v>71</v>
      </c>
      <c r="T1613">
        <v>46</v>
      </c>
      <c r="U1613">
        <v>-0.03</v>
      </c>
      <c r="W1613">
        <f>DataLog_T717420_Aug11_4_59_37pm[[#This Row],[RPM '[1/MIN']]]-Table3[[#This Row],[580C]]</f>
        <v>0</v>
      </c>
      <c r="X1613">
        <f>DataLog_T717420_Aug11_4_59_37pm[[#This Row],[OIL TEMP '[Â°C']]]-Table3[[#This Row],[4402]]</f>
        <v>0</v>
      </c>
      <c r="Y1613">
        <f>DataLog_T717420_Aug11_4_59_37pm[[#This Row],[INTAKE TEMP '[Â°C']]]-Table3[[#This Row],[580F]]</f>
        <v>0</v>
      </c>
      <c r="Z1613">
        <f>DataLog_T717420_Aug11_4_59_37pm[[#This Row],[HPFP PRES. '[BAR']]]-Table3[[#This Row],[58F0]]</f>
        <v>0</v>
      </c>
      <c r="AA1613">
        <f>DataLog_T717420_Aug11_4_59_37pm[[#This Row],[COOLANT TEMP '[Â°C']]]-Table3[[#This Row],[5805]]</f>
        <v>0</v>
      </c>
      <c r="AB1613">
        <f>DataLog_T717420_Aug11_4_59_37pm[[#This Row],[BOOST '[BAR']]]-Table3[[#This Row],[58DD]]</f>
        <v>0</v>
      </c>
    </row>
    <row r="1614" spans="2:28" x14ac:dyDescent="0.25">
      <c r="B1614" s="2" t="s">
        <v>189</v>
      </c>
      <c r="C1614" s="2" t="s">
        <v>262</v>
      </c>
      <c r="D1614" s="2" t="s">
        <v>151</v>
      </c>
      <c r="E1614" s="2" t="s">
        <v>127</v>
      </c>
      <c r="F1614" s="2" t="s">
        <v>393</v>
      </c>
      <c r="G1614" s="2" t="s">
        <v>96</v>
      </c>
      <c r="I1614">
        <f>HEX2DEC(_0811_173439[[#This Row],[580C]])*B$4/B$5+B$6</f>
        <v>760</v>
      </c>
      <c r="J1614">
        <f>HEX2DEC(_0811_173439[[#This Row],[4402]])*C$4/C$5+C$6</f>
        <v>37</v>
      </c>
      <c r="K1614">
        <f>HEX2DEC(_0811_173439[[#This Row],[580F]])*D$4/D$5+D$6</f>
        <v>30</v>
      </c>
      <c r="L1614">
        <f>ROUND(HEX2DEC(_0811_173439[[#This Row],[58F0]])*E$4/E$5+E$6,0)</f>
        <v>70</v>
      </c>
      <c r="M1614">
        <f>ROUND(HEX2DEC(_0811_173439[[#This Row],[5805]])*F$4/F$5+F$6,0)</f>
        <v>46</v>
      </c>
      <c r="N1614">
        <f>ROUND(HEX2DEC(_0811_173439[[#This Row],[58DD]])*G$4/G$5+G$6,2)</f>
        <v>-0.03</v>
      </c>
      <c r="P1614">
        <v>760</v>
      </c>
      <c r="Q1614">
        <v>37</v>
      </c>
      <c r="R1614">
        <v>30</v>
      </c>
      <c r="S1614">
        <v>70</v>
      </c>
      <c r="T1614">
        <v>46</v>
      </c>
      <c r="U1614">
        <v>-0.03</v>
      </c>
      <c r="W1614">
        <f>DataLog_T717420_Aug11_4_59_37pm[[#This Row],[RPM '[1/MIN']]]-Table3[[#This Row],[580C]]</f>
        <v>0</v>
      </c>
      <c r="X1614">
        <f>DataLog_T717420_Aug11_4_59_37pm[[#This Row],[OIL TEMP '[Â°C']]]-Table3[[#This Row],[4402]]</f>
        <v>0</v>
      </c>
      <c r="Y1614">
        <f>DataLog_T717420_Aug11_4_59_37pm[[#This Row],[INTAKE TEMP '[Â°C']]]-Table3[[#This Row],[580F]]</f>
        <v>0</v>
      </c>
      <c r="Z1614">
        <f>DataLog_T717420_Aug11_4_59_37pm[[#This Row],[HPFP PRES. '[BAR']]]-Table3[[#This Row],[58F0]]</f>
        <v>0</v>
      </c>
      <c r="AA1614">
        <f>DataLog_T717420_Aug11_4_59_37pm[[#This Row],[COOLANT TEMP '[Â°C']]]-Table3[[#This Row],[5805]]</f>
        <v>0</v>
      </c>
      <c r="AB1614">
        <f>DataLog_T717420_Aug11_4_59_37pm[[#This Row],[BOOST '[BAR']]]-Table3[[#This Row],[58DD]]</f>
        <v>0</v>
      </c>
    </row>
    <row r="1615" spans="2:28" x14ac:dyDescent="0.25">
      <c r="B1615" s="2" t="s">
        <v>189</v>
      </c>
      <c r="C1615" s="2" t="s">
        <v>262</v>
      </c>
      <c r="D1615" s="2" t="s">
        <v>151</v>
      </c>
      <c r="E1615" s="2" t="s">
        <v>93</v>
      </c>
      <c r="F1615" s="2" t="s">
        <v>393</v>
      </c>
      <c r="G1615" s="2" t="s">
        <v>258</v>
      </c>
      <c r="I1615">
        <f>HEX2DEC(_0811_173439[[#This Row],[580C]])*B$4/B$5+B$6</f>
        <v>760</v>
      </c>
      <c r="J1615">
        <f>HEX2DEC(_0811_173439[[#This Row],[4402]])*C$4/C$5+C$6</f>
        <v>37</v>
      </c>
      <c r="K1615">
        <f>HEX2DEC(_0811_173439[[#This Row],[580F]])*D$4/D$5+D$6</f>
        <v>30</v>
      </c>
      <c r="L1615">
        <f>ROUND(HEX2DEC(_0811_173439[[#This Row],[58F0]])*E$4/E$5+E$6,0)</f>
        <v>70</v>
      </c>
      <c r="M1615">
        <f>ROUND(HEX2DEC(_0811_173439[[#This Row],[5805]])*F$4/F$5+F$6,0)</f>
        <v>46</v>
      </c>
      <c r="N1615">
        <f>ROUND(HEX2DEC(_0811_173439[[#This Row],[58DD]])*G$4/G$5+G$6,2)</f>
        <v>-0.03</v>
      </c>
      <c r="P1615">
        <v>760</v>
      </c>
      <c r="Q1615">
        <v>37</v>
      </c>
      <c r="R1615">
        <v>30</v>
      </c>
      <c r="S1615">
        <v>70</v>
      </c>
      <c r="T1615">
        <v>46</v>
      </c>
      <c r="U1615">
        <v>-0.03</v>
      </c>
      <c r="W1615">
        <f>DataLog_T717420_Aug11_4_59_37pm[[#This Row],[RPM '[1/MIN']]]-Table3[[#This Row],[580C]]</f>
        <v>0</v>
      </c>
      <c r="X1615">
        <f>DataLog_T717420_Aug11_4_59_37pm[[#This Row],[OIL TEMP '[Â°C']]]-Table3[[#This Row],[4402]]</f>
        <v>0</v>
      </c>
      <c r="Y1615">
        <f>DataLog_T717420_Aug11_4_59_37pm[[#This Row],[INTAKE TEMP '[Â°C']]]-Table3[[#This Row],[580F]]</f>
        <v>0</v>
      </c>
      <c r="Z1615">
        <f>DataLog_T717420_Aug11_4_59_37pm[[#This Row],[HPFP PRES. '[BAR']]]-Table3[[#This Row],[58F0]]</f>
        <v>0</v>
      </c>
      <c r="AA1615">
        <f>DataLog_T717420_Aug11_4_59_37pm[[#This Row],[COOLANT TEMP '[Â°C']]]-Table3[[#This Row],[5805]]</f>
        <v>0</v>
      </c>
      <c r="AB1615">
        <f>DataLog_T717420_Aug11_4_59_37pm[[#This Row],[BOOST '[BAR']]]-Table3[[#This Row],[58DD]]</f>
        <v>0</v>
      </c>
    </row>
    <row r="1616" spans="2:28" x14ac:dyDescent="0.25">
      <c r="B1616" s="2" t="s">
        <v>189</v>
      </c>
      <c r="C1616" s="2" t="s">
        <v>262</v>
      </c>
      <c r="D1616" s="2" t="s">
        <v>151</v>
      </c>
      <c r="E1616" s="2" t="s">
        <v>159</v>
      </c>
      <c r="F1616" s="2" t="s">
        <v>393</v>
      </c>
      <c r="G1616" s="2" t="s">
        <v>258</v>
      </c>
      <c r="I1616">
        <f>HEX2DEC(_0811_173439[[#This Row],[580C]])*B$4/B$5+B$6</f>
        <v>760</v>
      </c>
      <c r="J1616">
        <f>HEX2DEC(_0811_173439[[#This Row],[4402]])*C$4/C$5+C$6</f>
        <v>37</v>
      </c>
      <c r="K1616">
        <f>HEX2DEC(_0811_173439[[#This Row],[580F]])*D$4/D$5+D$6</f>
        <v>30</v>
      </c>
      <c r="L1616">
        <f>ROUND(HEX2DEC(_0811_173439[[#This Row],[58F0]])*E$4/E$5+E$6,0)</f>
        <v>70</v>
      </c>
      <c r="M1616">
        <f>ROUND(HEX2DEC(_0811_173439[[#This Row],[5805]])*F$4/F$5+F$6,0)</f>
        <v>46</v>
      </c>
      <c r="N1616">
        <f>ROUND(HEX2DEC(_0811_173439[[#This Row],[58DD]])*G$4/G$5+G$6,2)</f>
        <v>-0.03</v>
      </c>
      <c r="P1616">
        <v>760</v>
      </c>
      <c r="Q1616">
        <v>37</v>
      </c>
      <c r="R1616">
        <v>30</v>
      </c>
      <c r="S1616">
        <v>70</v>
      </c>
      <c r="T1616">
        <v>46</v>
      </c>
      <c r="U1616">
        <v>-0.03</v>
      </c>
      <c r="W1616">
        <f>DataLog_T717420_Aug11_4_59_37pm[[#This Row],[RPM '[1/MIN']]]-Table3[[#This Row],[580C]]</f>
        <v>0</v>
      </c>
      <c r="X1616">
        <f>DataLog_T717420_Aug11_4_59_37pm[[#This Row],[OIL TEMP '[Â°C']]]-Table3[[#This Row],[4402]]</f>
        <v>0</v>
      </c>
      <c r="Y1616">
        <f>DataLog_T717420_Aug11_4_59_37pm[[#This Row],[INTAKE TEMP '[Â°C']]]-Table3[[#This Row],[580F]]</f>
        <v>0</v>
      </c>
      <c r="Z1616">
        <f>DataLog_T717420_Aug11_4_59_37pm[[#This Row],[HPFP PRES. '[BAR']]]-Table3[[#This Row],[58F0]]</f>
        <v>0</v>
      </c>
      <c r="AA1616">
        <f>DataLog_T717420_Aug11_4_59_37pm[[#This Row],[COOLANT TEMP '[Â°C']]]-Table3[[#This Row],[5805]]</f>
        <v>0</v>
      </c>
      <c r="AB1616">
        <f>DataLog_T717420_Aug11_4_59_37pm[[#This Row],[BOOST '[BAR']]]-Table3[[#This Row],[58DD]]</f>
        <v>0</v>
      </c>
    </row>
    <row r="1617" spans="2:28" x14ac:dyDescent="0.25">
      <c r="B1617" s="2" t="s">
        <v>189</v>
      </c>
      <c r="C1617" s="2" t="s">
        <v>262</v>
      </c>
      <c r="D1617" s="2" t="s">
        <v>151</v>
      </c>
      <c r="E1617" s="2" t="s">
        <v>93</v>
      </c>
      <c r="F1617" s="2" t="s">
        <v>393</v>
      </c>
      <c r="G1617" s="2" t="s">
        <v>216</v>
      </c>
      <c r="I1617">
        <f>HEX2DEC(_0811_173439[[#This Row],[580C]])*B$4/B$5+B$6</f>
        <v>760</v>
      </c>
      <c r="J1617">
        <f>HEX2DEC(_0811_173439[[#This Row],[4402]])*C$4/C$5+C$6</f>
        <v>37</v>
      </c>
      <c r="K1617">
        <f>HEX2DEC(_0811_173439[[#This Row],[580F]])*D$4/D$5+D$6</f>
        <v>30</v>
      </c>
      <c r="L1617">
        <f>ROUND(HEX2DEC(_0811_173439[[#This Row],[58F0]])*E$4/E$5+E$6,0)</f>
        <v>70</v>
      </c>
      <c r="M1617">
        <f>ROUND(HEX2DEC(_0811_173439[[#This Row],[5805]])*F$4/F$5+F$6,0)</f>
        <v>46</v>
      </c>
      <c r="N1617">
        <f>ROUND(HEX2DEC(_0811_173439[[#This Row],[58DD]])*G$4/G$5+G$6,2)</f>
        <v>-0.03</v>
      </c>
      <c r="P1617">
        <v>760</v>
      </c>
      <c r="Q1617">
        <v>37</v>
      </c>
      <c r="R1617">
        <v>30</v>
      </c>
      <c r="S1617">
        <v>70</v>
      </c>
      <c r="T1617">
        <v>46</v>
      </c>
      <c r="U1617">
        <v>-0.03</v>
      </c>
      <c r="W1617">
        <f>DataLog_T717420_Aug11_4_59_37pm[[#This Row],[RPM '[1/MIN']]]-Table3[[#This Row],[580C]]</f>
        <v>0</v>
      </c>
      <c r="X1617">
        <f>DataLog_T717420_Aug11_4_59_37pm[[#This Row],[OIL TEMP '[Â°C']]]-Table3[[#This Row],[4402]]</f>
        <v>0</v>
      </c>
      <c r="Y1617">
        <f>DataLog_T717420_Aug11_4_59_37pm[[#This Row],[INTAKE TEMP '[Â°C']]]-Table3[[#This Row],[580F]]</f>
        <v>0</v>
      </c>
      <c r="Z1617">
        <f>DataLog_T717420_Aug11_4_59_37pm[[#This Row],[HPFP PRES. '[BAR']]]-Table3[[#This Row],[58F0]]</f>
        <v>0</v>
      </c>
      <c r="AA1617">
        <f>DataLog_T717420_Aug11_4_59_37pm[[#This Row],[COOLANT TEMP '[Â°C']]]-Table3[[#This Row],[5805]]</f>
        <v>0</v>
      </c>
      <c r="AB1617">
        <f>DataLog_T717420_Aug11_4_59_37pm[[#This Row],[BOOST '[BAR']]]-Table3[[#This Row],[58DD]]</f>
        <v>0</v>
      </c>
    </row>
    <row r="1618" spans="2:28" x14ac:dyDescent="0.25">
      <c r="B1618" s="2" t="s">
        <v>189</v>
      </c>
      <c r="C1618" s="2" t="s">
        <v>262</v>
      </c>
      <c r="D1618" s="2" t="s">
        <v>151</v>
      </c>
      <c r="E1618" s="2" t="s">
        <v>149</v>
      </c>
      <c r="F1618" s="2" t="s">
        <v>393</v>
      </c>
      <c r="G1618" s="2" t="s">
        <v>190</v>
      </c>
      <c r="I1618">
        <f>HEX2DEC(_0811_173439[[#This Row],[580C]])*B$4/B$5+B$6</f>
        <v>760</v>
      </c>
      <c r="J1618">
        <f>HEX2DEC(_0811_173439[[#This Row],[4402]])*C$4/C$5+C$6</f>
        <v>37</v>
      </c>
      <c r="K1618">
        <f>HEX2DEC(_0811_173439[[#This Row],[580F]])*D$4/D$5+D$6</f>
        <v>30</v>
      </c>
      <c r="L1618">
        <f>ROUND(HEX2DEC(_0811_173439[[#This Row],[58F0]])*E$4/E$5+E$6,0)</f>
        <v>70</v>
      </c>
      <c r="M1618">
        <f>ROUND(HEX2DEC(_0811_173439[[#This Row],[5805]])*F$4/F$5+F$6,0)</f>
        <v>46</v>
      </c>
      <c r="N1618">
        <f>ROUND(HEX2DEC(_0811_173439[[#This Row],[58DD]])*G$4/G$5+G$6,2)</f>
        <v>-0.03</v>
      </c>
      <c r="P1618">
        <v>760</v>
      </c>
      <c r="Q1618">
        <v>37</v>
      </c>
      <c r="R1618">
        <v>30</v>
      </c>
      <c r="S1618">
        <v>70</v>
      </c>
      <c r="T1618">
        <v>46</v>
      </c>
      <c r="U1618">
        <v>-0.03</v>
      </c>
      <c r="W1618">
        <f>DataLog_T717420_Aug11_4_59_37pm[[#This Row],[RPM '[1/MIN']]]-Table3[[#This Row],[580C]]</f>
        <v>0</v>
      </c>
      <c r="X1618">
        <f>DataLog_T717420_Aug11_4_59_37pm[[#This Row],[OIL TEMP '[Â°C']]]-Table3[[#This Row],[4402]]</f>
        <v>0</v>
      </c>
      <c r="Y1618">
        <f>DataLog_T717420_Aug11_4_59_37pm[[#This Row],[INTAKE TEMP '[Â°C']]]-Table3[[#This Row],[580F]]</f>
        <v>0</v>
      </c>
      <c r="Z1618">
        <f>DataLog_T717420_Aug11_4_59_37pm[[#This Row],[HPFP PRES. '[BAR']]]-Table3[[#This Row],[58F0]]</f>
        <v>0</v>
      </c>
      <c r="AA1618">
        <f>DataLog_T717420_Aug11_4_59_37pm[[#This Row],[COOLANT TEMP '[Â°C']]]-Table3[[#This Row],[5805]]</f>
        <v>0</v>
      </c>
      <c r="AB1618">
        <f>DataLog_T717420_Aug11_4_59_37pm[[#This Row],[BOOST '[BAR']]]-Table3[[#This Row],[58DD]]</f>
        <v>0</v>
      </c>
    </row>
    <row r="1619" spans="2:28" x14ac:dyDescent="0.25">
      <c r="B1619" s="2" t="s">
        <v>189</v>
      </c>
      <c r="C1619" s="2" t="s">
        <v>262</v>
      </c>
      <c r="D1619" s="2" t="s">
        <v>151</v>
      </c>
      <c r="E1619" s="2" t="s">
        <v>93</v>
      </c>
      <c r="F1619" s="2" t="s">
        <v>393</v>
      </c>
      <c r="G1619" s="2" t="s">
        <v>96</v>
      </c>
      <c r="I1619">
        <f>HEX2DEC(_0811_173439[[#This Row],[580C]])*B$4/B$5+B$6</f>
        <v>760</v>
      </c>
      <c r="J1619">
        <f>HEX2DEC(_0811_173439[[#This Row],[4402]])*C$4/C$5+C$6</f>
        <v>37</v>
      </c>
      <c r="K1619">
        <f>HEX2DEC(_0811_173439[[#This Row],[580F]])*D$4/D$5+D$6</f>
        <v>30</v>
      </c>
      <c r="L1619">
        <f>ROUND(HEX2DEC(_0811_173439[[#This Row],[58F0]])*E$4/E$5+E$6,0)</f>
        <v>70</v>
      </c>
      <c r="M1619">
        <f>ROUND(HEX2DEC(_0811_173439[[#This Row],[5805]])*F$4/F$5+F$6,0)</f>
        <v>46</v>
      </c>
      <c r="N1619">
        <f>ROUND(HEX2DEC(_0811_173439[[#This Row],[58DD]])*G$4/G$5+G$6,2)</f>
        <v>-0.03</v>
      </c>
      <c r="P1619">
        <v>760</v>
      </c>
      <c r="Q1619">
        <v>37</v>
      </c>
      <c r="R1619">
        <v>30</v>
      </c>
      <c r="S1619">
        <v>70</v>
      </c>
      <c r="T1619">
        <v>46</v>
      </c>
      <c r="U1619">
        <v>-0.03</v>
      </c>
      <c r="W1619">
        <f>DataLog_T717420_Aug11_4_59_37pm[[#This Row],[RPM '[1/MIN']]]-Table3[[#This Row],[580C]]</f>
        <v>0</v>
      </c>
      <c r="X1619">
        <f>DataLog_T717420_Aug11_4_59_37pm[[#This Row],[OIL TEMP '[Â°C']]]-Table3[[#This Row],[4402]]</f>
        <v>0</v>
      </c>
      <c r="Y1619">
        <f>DataLog_T717420_Aug11_4_59_37pm[[#This Row],[INTAKE TEMP '[Â°C']]]-Table3[[#This Row],[580F]]</f>
        <v>0</v>
      </c>
      <c r="Z1619">
        <f>DataLog_T717420_Aug11_4_59_37pm[[#This Row],[HPFP PRES. '[BAR']]]-Table3[[#This Row],[58F0]]</f>
        <v>0</v>
      </c>
      <c r="AA1619">
        <f>DataLog_T717420_Aug11_4_59_37pm[[#This Row],[COOLANT TEMP '[Â°C']]]-Table3[[#This Row],[5805]]</f>
        <v>0</v>
      </c>
      <c r="AB1619">
        <f>DataLog_T717420_Aug11_4_59_37pm[[#This Row],[BOOST '[BAR']]]-Table3[[#This Row],[58DD]]</f>
        <v>0</v>
      </c>
    </row>
    <row r="1620" spans="2:28" x14ac:dyDescent="0.25">
      <c r="B1620" s="2" t="s">
        <v>189</v>
      </c>
      <c r="C1620" s="2" t="s">
        <v>262</v>
      </c>
      <c r="D1620" s="2" t="s">
        <v>151</v>
      </c>
      <c r="E1620" s="2" t="s">
        <v>137</v>
      </c>
      <c r="F1620" s="2" t="s">
        <v>393</v>
      </c>
      <c r="G1620" s="2" t="s">
        <v>71</v>
      </c>
      <c r="I1620">
        <f>HEX2DEC(_0811_173439[[#This Row],[580C]])*B$4/B$5+B$6</f>
        <v>760</v>
      </c>
      <c r="J1620">
        <f>HEX2DEC(_0811_173439[[#This Row],[4402]])*C$4/C$5+C$6</f>
        <v>37</v>
      </c>
      <c r="K1620">
        <f>HEX2DEC(_0811_173439[[#This Row],[580F]])*D$4/D$5+D$6</f>
        <v>30</v>
      </c>
      <c r="L1620">
        <f>ROUND(HEX2DEC(_0811_173439[[#This Row],[58F0]])*E$4/E$5+E$6,0)</f>
        <v>70</v>
      </c>
      <c r="M1620">
        <f>ROUND(HEX2DEC(_0811_173439[[#This Row],[5805]])*F$4/F$5+F$6,0)</f>
        <v>46</v>
      </c>
      <c r="N1620">
        <f>ROUND(HEX2DEC(_0811_173439[[#This Row],[58DD]])*G$4/G$5+G$6,2)</f>
        <v>-0.03</v>
      </c>
      <c r="P1620">
        <v>760</v>
      </c>
      <c r="Q1620">
        <v>37</v>
      </c>
      <c r="R1620">
        <v>30</v>
      </c>
      <c r="S1620">
        <v>70</v>
      </c>
      <c r="T1620">
        <v>46</v>
      </c>
      <c r="U1620">
        <v>-0.03</v>
      </c>
      <c r="W1620">
        <f>DataLog_T717420_Aug11_4_59_37pm[[#This Row],[RPM '[1/MIN']]]-Table3[[#This Row],[580C]]</f>
        <v>0</v>
      </c>
      <c r="X1620">
        <f>DataLog_T717420_Aug11_4_59_37pm[[#This Row],[OIL TEMP '[Â°C']]]-Table3[[#This Row],[4402]]</f>
        <v>0</v>
      </c>
      <c r="Y1620">
        <f>DataLog_T717420_Aug11_4_59_37pm[[#This Row],[INTAKE TEMP '[Â°C']]]-Table3[[#This Row],[580F]]</f>
        <v>0</v>
      </c>
      <c r="Z1620">
        <f>DataLog_T717420_Aug11_4_59_37pm[[#This Row],[HPFP PRES. '[BAR']]]-Table3[[#This Row],[58F0]]</f>
        <v>0</v>
      </c>
      <c r="AA1620">
        <f>DataLog_T717420_Aug11_4_59_37pm[[#This Row],[COOLANT TEMP '[Â°C']]]-Table3[[#This Row],[5805]]</f>
        <v>0</v>
      </c>
      <c r="AB1620">
        <f>DataLog_T717420_Aug11_4_59_37pm[[#This Row],[BOOST '[BAR']]]-Table3[[#This Row],[58DD]]</f>
        <v>0</v>
      </c>
    </row>
    <row r="1621" spans="2:28" x14ac:dyDescent="0.25">
      <c r="B1621" s="2" t="s">
        <v>189</v>
      </c>
      <c r="C1621" s="2" t="s">
        <v>262</v>
      </c>
      <c r="D1621" s="2" t="s">
        <v>151</v>
      </c>
      <c r="E1621" s="2" t="s">
        <v>93</v>
      </c>
      <c r="F1621" s="2" t="s">
        <v>393</v>
      </c>
      <c r="G1621" s="2" t="s">
        <v>236</v>
      </c>
      <c r="I1621">
        <f>HEX2DEC(_0811_173439[[#This Row],[580C]])*B$4/B$5+B$6</f>
        <v>760</v>
      </c>
      <c r="J1621">
        <f>HEX2DEC(_0811_173439[[#This Row],[4402]])*C$4/C$5+C$6</f>
        <v>37</v>
      </c>
      <c r="K1621">
        <f>HEX2DEC(_0811_173439[[#This Row],[580F]])*D$4/D$5+D$6</f>
        <v>30</v>
      </c>
      <c r="L1621">
        <f>ROUND(HEX2DEC(_0811_173439[[#This Row],[58F0]])*E$4/E$5+E$6,0)</f>
        <v>70</v>
      </c>
      <c r="M1621">
        <f>ROUND(HEX2DEC(_0811_173439[[#This Row],[5805]])*F$4/F$5+F$6,0)</f>
        <v>46</v>
      </c>
      <c r="N1621">
        <f>ROUND(HEX2DEC(_0811_173439[[#This Row],[58DD]])*G$4/G$5+G$6,2)</f>
        <v>-0.03</v>
      </c>
      <c r="P1621">
        <v>760</v>
      </c>
      <c r="Q1621">
        <v>37</v>
      </c>
      <c r="R1621">
        <v>30</v>
      </c>
      <c r="S1621">
        <v>70</v>
      </c>
      <c r="T1621">
        <v>46</v>
      </c>
      <c r="U1621">
        <v>-0.03</v>
      </c>
      <c r="W1621">
        <f>DataLog_T717420_Aug11_4_59_37pm[[#This Row],[RPM '[1/MIN']]]-Table3[[#This Row],[580C]]</f>
        <v>0</v>
      </c>
      <c r="X1621">
        <f>DataLog_T717420_Aug11_4_59_37pm[[#This Row],[OIL TEMP '[Â°C']]]-Table3[[#This Row],[4402]]</f>
        <v>0</v>
      </c>
      <c r="Y1621">
        <f>DataLog_T717420_Aug11_4_59_37pm[[#This Row],[INTAKE TEMP '[Â°C']]]-Table3[[#This Row],[580F]]</f>
        <v>0</v>
      </c>
      <c r="Z1621">
        <f>DataLog_T717420_Aug11_4_59_37pm[[#This Row],[HPFP PRES. '[BAR']]]-Table3[[#This Row],[58F0]]</f>
        <v>0</v>
      </c>
      <c r="AA1621">
        <f>DataLog_T717420_Aug11_4_59_37pm[[#This Row],[COOLANT TEMP '[Â°C']]]-Table3[[#This Row],[5805]]</f>
        <v>0</v>
      </c>
      <c r="AB1621">
        <f>DataLog_T717420_Aug11_4_59_37pm[[#This Row],[BOOST '[BAR']]]-Table3[[#This Row],[58DD]]</f>
        <v>0</v>
      </c>
    </row>
    <row r="1622" spans="2:28" x14ac:dyDescent="0.25">
      <c r="B1622" s="2" t="s">
        <v>189</v>
      </c>
      <c r="C1622" s="2" t="s">
        <v>262</v>
      </c>
      <c r="D1622" s="2" t="s">
        <v>151</v>
      </c>
      <c r="E1622" s="2" t="s">
        <v>93</v>
      </c>
      <c r="F1622" s="2" t="s">
        <v>393</v>
      </c>
      <c r="G1622" s="2" t="s">
        <v>96</v>
      </c>
      <c r="I1622">
        <f>HEX2DEC(_0811_173439[[#This Row],[580C]])*B$4/B$5+B$6</f>
        <v>760</v>
      </c>
      <c r="J1622">
        <f>HEX2DEC(_0811_173439[[#This Row],[4402]])*C$4/C$5+C$6</f>
        <v>37</v>
      </c>
      <c r="K1622">
        <f>HEX2DEC(_0811_173439[[#This Row],[580F]])*D$4/D$5+D$6</f>
        <v>30</v>
      </c>
      <c r="L1622">
        <f>ROUND(HEX2DEC(_0811_173439[[#This Row],[58F0]])*E$4/E$5+E$6,0)</f>
        <v>70</v>
      </c>
      <c r="M1622">
        <f>ROUND(HEX2DEC(_0811_173439[[#This Row],[5805]])*F$4/F$5+F$6,0)</f>
        <v>46</v>
      </c>
      <c r="N1622">
        <f>ROUND(HEX2DEC(_0811_173439[[#This Row],[58DD]])*G$4/G$5+G$6,2)</f>
        <v>-0.03</v>
      </c>
      <c r="P1622">
        <v>760</v>
      </c>
      <c r="Q1622">
        <v>37</v>
      </c>
      <c r="R1622">
        <v>30</v>
      </c>
      <c r="S1622">
        <v>70</v>
      </c>
      <c r="T1622">
        <v>46</v>
      </c>
      <c r="U1622">
        <v>-0.03</v>
      </c>
      <c r="W1622">
        <f>DataLog_T717420_Aug11_4_59_37pm[[#This Row],[RPM '[1/MIN']]]-Table3[[#This Row],[580C]]</f>
        <v>0</v>
      </c>
      <c r="X1622">
        <f>DataLog_T717420_Aug11_4_59_37pm[[#This Row],[OIL TEMP '[Â°C']]]-Table3[[#This Row],[4402]]</f>
        <v>0</v>
      </c>
      <c r="Y1622">
        <f>DataLog_T717420_Aug11_4_59_37pm[[#This Row],[INTAKE TEMP '[Â°C']]]-Table3[[#This Row],[580F]]</f>
        <v>0</v>
      </c>
      <c r="Z1622">
        <f>DataLog_T717420_Aug11_4_59_37pm[[#This Row],[HPFP PRES. '[BAR']]]-Table3[[#This Row],[58F0]]</f>
        <v>0</v>
      </c>
      <c r="AA1622">
        <f>DataLog_T717420_Aug11_4_59_37pm[[#This Row],[COOLANT TEMP '[Â°C']]]-Table3[[#This Row],[5805]]</f>
        <v>0</v>
      </c>
      <c r="AB1622">
        <f>DataLog_T717420_Aug11_4_59_37pm[[#This Row],[BOOST '[BAR']]]-Table3[[#This Row],[58DD]]</f>
        <v>0</v>
      </c>
    </row>
    <row r="1623" spans="2:28" x14ac:dyDescent="0.25">
      <c r="B1623" s="2" t="s">
        <v>189</v>
      </c>
      <c r="C1623" s="2" t="s">
        <v>262</v>
      </c>
      <c r="D1623" s="2" t="s">
        <v>151</v>
      </c>
      <c r="E1623" s="2" t="s">
        <v>155</v>
      </c>
      <c r="F1623" s="2" t="s">
        <v>393</v>
      </c>
      <c r="G1623" s="2" t="s">
        <v>191</v>
      </c>
      <c r="I1623">
        <f>HEX2DEC(_0811_173439[[#This Row],[580C]])*B$4/B$5+B$6</f>
        <v>760</v>
      </c>
      <c r="J1623">
        <f>HEX2DEC(_0811_173439[[#This Row],[4402]])*C$4/C$5+C$6</f>
        <v>37</v>
      </c>
      <c r="K1623">
        <f>HEX2DEC(_0811_173439[[#This Row],[580F]])*D$4/D$5+D$6</f>
        <v>30</v>
      </c>
      <c r="L1623">
        <f>ROUND(HEX2DEC(_0811_173439[[#This Row],[58F0]])*E$4/E$5+E$6,0)</f>
        <v>70</v>
      </c>
      <c r="M1623">
        <f>ROUND(HEX2DEC(_0811_173439[[#This Row],[5805]])*F$4/F$5+F$6,0)</f>
        <v>46</v>
      </c>
      <c r="N1623">
        <f>ROUND(HEX2DEC(_0811_173439[[#This Row],[58DD]])*G$4/G$5+G$6,2)</f>
        <v>-0.03</v>
      </c>
      <c r="P1623">
        <v>760</v>
      </c>
      <c r="Q1623">
        <v>37</v>
      </c>
      <c r="R1623">
        <v>30</v>
      </c>
      <c r="S1623">
        <v>70</v>
      </c>
      <c r="T1623">
        <v>46</v>
      </c>
      <c r="U1623">
        <v>-0.03</v>
      </c>
      <c r="W1623">
        <f>DataLog_T717420_Aug11_4_59_37pm[[#This Row],[RPM '[1/MIN']]]-Table3[[#This Row],[580C]]</f>
        <v>0</v>
      </c>
      <c r="X1623">
        <f>DataLog_T717420_Aug11_4_59_37pm[[#This Row],[OIL TEMP '[Â°C']]]-Table3[[#This Row],[4402]]</f>
        <v>0</v>
      </c>
      <c r="Y1623">
        <f>DataLog_T717420_Aug11_4_59_37pm[[#This Row],[INTAKE TEMP '[Â°C']]]-Table3[[#This Row],[580F]]</f>
        <v>0</v>
      </c>
      <c r="Z1623">
        <f>DataLog_T717420_Aug11_4_59_37pm[[#This Row],[HPFP PRES. '[BAR']]]-Table3[[#This Row],[58F0]]</f>
        <v>0</v>
      </c>
      <c r="AA1623">
        <f>DataLog_T717420_Aug11_4_59_37pm[[#This Row],[COOLANT TEMP '[Â°C']]]-Table3[[#This Row],[5805]]</f>
        <v>0</v>
      </c>
      <c r="AB1623">
        <f>DataLog_T717420_Aug11_4_59_37pm[[#This Row],[BOOST '[BAR']]]-Table3[[#This Row],[58DD]]</f>
        <v>0</v>
      </c>
    </row>
    <row r="1624" spans="2:28" x14ac:dyDescent="0.25">
      <c r="B1624" s="2" t="s">
        <v>189</v>
      </c>
      <c r="C1624" s="2" t="s">
        <v>262</v>
      </c>
      <c r="D1624" s="2" t="s">
        <v>151</v>
      </c>
      <c r="E1624" s="2" t="s">
        <v>207</v>
      </c>
      <c r="F1624" s="2" t="s">
        <v>393</v>
      </c>
      <c r="G1624" s="2" t="s">
        <v>190</v>
      </c>
      <c r="I1624">
        <f>HEX2DEC(_0811_173439[[#This Row],[580C]])*B$4/B$5+B$6</f>
        <v>760</v>
      </c>
      <c r="J1624">
        <f>HEX2DEC(_0811_173439[[#This Row],[4402]])*C$4/C$5+C$6</f>
        <v>37</v>
      </c>
      <c r="K1624">
        <f>HEX2DEC(_0811_173439[[#This Row],[580F]])*D$4/D$5+D$6</f>
        <v>30</v>
      </c>
      <c r="L1624">
        <f>ROUND(HEX2DEC(_0811_173439[[#This Row],[58F0]])*E$4/E$5+E$6,0)</f>
        <v>70</v>
      </c>
      <c r="M1624">
        <f>ROUND(HEX2DEC(_0811_173439[[#This Row],[5805]])*F$4/F$5+F$6,0)</f>
        <v>46</v>
      </c>
      <c r="N1624">
        <f>ROUND(HEX2DEC(_0811_173439[[#This Row],[58DD]])*G$4/G$5+G$6,2)</f>
        <v>-0.03</v>
      </c>
      <c r="P1624">
        <v>760</v>
      </c>
      <c r="Q1624">
        <v>37</v>
      </c>
      <c r="R1624">
        <v>30</v>
      </c>
      <c r="S1624">
        <v>70</v>
      </c>
      <c r="T1624">
        <v>46</v>
      </c>
      <c r="U1624">
        <v>-0.03</v>
      </c>
      <c r="W1624">
        <f>DataLog_T717420_Aug11_4_59_37pm[[#This Row],[RPM '[1/MIN']]]-Table3[[#This Row],[580C]]</f>
        <v>0</v>
      </c>
      <c r="X1624">
        <f>DataLog_T717420_Aug11_4_59_37pm[[#This Row],[OIL TEMP '[Â°C']]]-Table3[[#This Row],[4402]]</f>
        <v>0</v>
      </c>
      <c r="Y1624">
        <f>DataLog_T717420_Aug11_4_59_37pm[[#This Row],[INTAKE TEMP '[Â°C']]]-Table3[[#This Row],[580F]]</f>
        <v>0</v>
      </c>
      <c r="Z1624">
        <f>DataLog_T717420_Aug11_4_59_37pm[[#This Row],[HPFP PRES. '[BAR']]]-Table3[[#This Row],[58F0]]</f>
        <v>0</v>
      </c>
      <c r="AA1624">
        <f>DataLog_T717420_Aug11_4_59_37pm[[#This Row],[COOLANT TEMP '[Â°C']]]-Table3[[#This Row],[5805]]</f>
        <v>0</v>
      </c>
      <c r="AB1624">
        <f>DataLog_T717420_Aug11_4_59_37pm[[#This Row],[BOOST '[BAR']]]-Table3[[#This Row],[58DD]]</f>
        <v>0</v>
      </c>
    </row>
    <row r="1625" spans="2:28" x14ac:dyDescent="0.25">
      <c r="B1625" s="2" t="s">
        <v>189</v>
      </c>
      <c r="C1625" s="2" t="s">
        <v>262</v>
      </c>
      <c r="D1625" s="2" t="s">
        <v>151</v>
      </c>
      <c r="E1625" s="2" t="s">
        <v>157</v>
      </c>
      <c r="F1625" s="2" t="s">
        <v>393</v>
      </c>
      <c r="G1625" s="2" t="s">
        <v>53</v>
      </c>
      <c r="I1625">
        <f>HEX2DEC(_0811_173439[[#This Row],[580C]])*B$4/B$5+B$6</f>
        <v>760</v>
      </c>
      <c r="J1625">
        <f>HEX2DEC(_0811_173439[[#This Row],[4402]])*C$4/C$5+C$6</f>
        <v>37</v>
      </c>
      <c r="K1625">
        <f>HEX2DEC(_0811_173439[[#This Row],[580F]])*D$4/D$5+D$6</f>
        <v>30</v>
      </c>
      <c r="L1625">
        <f>ROUND(HEX2DEC(_0811_173439[[#This Row],[58F0]])*E$4/E$5+E$6,0)</f>
        <v>70</v>
      </c>
      <c r="M1625">
        <f>ROUND(HEX2DEC(_0811_173439[[#This Row],[5805]])*F$4/F$5+F$6,0)</f>
        <v>46</v>
      </c>
      <c r="N1625">
        <f>ROUND(HEX2DEC(_0811_173439[[#This Row],[58DD]])*G$4/G$5+G$6,2)</f>
        <v>-0.03</v>
      </c>
      <c r="P1625">
        <v>760</v>
      </c>
      <c r="Q1625">
        <v>37</v>
      </c>
      <c r="R1625">
        <v>30</v>
      </c>
      <c r="S1625">
        <v>70</v>
      </c>
      <c r="T1625">
        <v>46</v>
      </c>
      <c r="U1625">
        <v>-0.03</v>
      </c>
      <c r="W1625">
        <f>DataLog_T717420_Aug11_4_59_37pm[[#This Row],[RPM '[1/MIN']]]-Table3[[#This Row],[580C]]</f>
        <v>0</v>
      </c>
      <c r="X1625">
        <f>DataLog_T717420_Aug11_4_59_37pm[[#This Row],[OIL TEMP '[Â°C']]]-Table3[[#This Row],[4402]]</f>
        <v>0</v>
      </c>
      <c r="Y1625">
        <f>DataLog_T717420_Aug11_4_59_37pm[[#This Row],[INTAKE TEMP '[Â°C']]]-Table3[[#This Row],[580F]]</f>
        <v>0</v>
      </c>
      <c r="Z1625">
        <f>DataLog_T717420_Aug11_4_59_37pm[[#This Row],[HPFP PRES. '[BAR']]]-Table3[[#This Row],[58F0]]</f>
        <v>0</v>
      </c>
      <c r="AA1625">
        <f>DataLog_T717420_Aug11_4_59_37pm[[#This Row],[COOLANT TEMP '[Â°C']]]-Table3[[#This Row],[5805]]</f>
        <v>0</v>
      </c>
      <c r="AB1625">
        <f>DataLog_T717420_Aug11_4_59_37pm[[#This Row],[BOOST '[BAR']]]-Table3[[#This Row],[58DD]]</f>
        <v>0</v>
      </c>
    </row>
    <row r="1626" spans="2:28" x14ac:dyDescent="0.25">
      <c r="B1626" s="2" t="s">
        <v>189</v>
      </c>
      <c r="C1626" s="2" t="s">
        <v>262</v>
      </c>
      <c r="D1626" s="2" t="s">
        <v>151</v>
      </c>
      <c r="E1626" s="2" t="s">
        <v>93</v>
      </c>
      <c r="F1626" s="2" t="s">
        <v>393</v>
      </c>
      <c r="G1626" s="2" t="s">
        <v>71</v>
      </c>
      <c r="I1626">
        <f>HEX2DEC(_0811_173439[[#This Row],[580C]])*B$4/B$5+B$6</f>
        <v>760</v>
      </c>
      <c r="J1626">
        <f>HEX2DEC(_0811_173439[[#This Row],[4402]])*C$4/C$5+C$6</f>
        <v>37</v>
      </c>
      <c r="K1626">
        <f>HEX2DEC(_0811_173439[[#This Row],[580F]])*D$4/D$5+D$6</f>
        <v>30</v>
      </c>
      <c r="L1626">
        <f>ROUND(HEX2DEC(_0811_173439[[#This Row],[58F0]])*E$4/E$5+E$6,0)</f>
        <v>70</v>
      </c>
      <c r="M1626">
        <f>ROUND(HEX2DEC(_0811_173439[[#This Row],[5805]])*F$4/F$5+F$6,0)</f>
        <v>46</v>
      </c>
      <c r="N1626">
        <f>ROUND(HEX2DEC(_0811_173439[[#This Row],[58DD]])*G$4/G$5+G$6,2)</f>
        <v>-0.03</v>
      </c>
      <c r="P1626">
        <v>760</v>
      </c>
      <c r="Q1626">
        <v>37</v>
      </c>
      <c r="R1626">
        <v>30</v>
      </c>
      <c r="S1626">
        <v>70</v>
      </c>
      <c r="T1626">
        <v>46</v>
      </c>
      <c r="U1626">
        <v>-0.03</v>
      </c>
      <c r="W1626">
        <f>DataLog_T717420_Aug11_4_59_37pm[[#This Row],[RPM '[1/MIN']]]-Table3[[#This Row],[580C]]</f>
        <v>0</v>
      </c>
      <c r="X1626">
        <f>DataLog_T717420_Aug11_4_59_37pm[[#This Row],[OIL TEMP '[Â°C']]]-Table3[[#This Row],[4402]]</f>
        <v>0</v>
      </c>
      <c r="Y1626">
        <f>DataLog_T717420_Aug11_4_59_37pm[[#This Row],[INTAKE TEMP '[Â°C']]]-Table3[[#This Row],[580F]]</f>
        <v>0</v>
      </c>
      <c r="Z1626">
        <f>DataLog_T717420_Aug11_4_59_37pm[[#This Row],[HPFP PRES. '[BAR']]]-Table3[[#This Row],[58F0]]</f>
        <v>0</v>
      </c>
      <c r="AA1626">
        <f>DataLog_T717420_Aug11_4_59_37pm[[#This Row],[COOLANT TEMP '[Â°C']]]-Table3[[#This Row],[5805]]</f>
        <v>0</v>
      </c>
      <c r="AB1626">
        <f>DataLog_T717420_Aug11_4_59_37pm[[#This Row],[BOOST '[BAR']]]-Table3[[#This Row],[58DD]]</f>
        <v>0</v>
      </c>
    </row>
    <row r="1627" spans="2:28" x14ac:dyDescent="0.25">
      <c r="B1627" s="2" t="s">
        <v>189</v>
      </c>
      <c r="C1627" s="2" t="s">
        <v>262</v>
      </c>
      <c r="D1627" s="2" t="s">
        <v>151</v>
      </c>
      <c r="E1627" s="2" t="s">
        <v>93</v>
      </c>
      <c r="F1627" s="2" t="s">
        <v>393</v>
      </c>
      <c r="G1627" s="2" t="s">
        <v>190</v>
      </c>
      <c r="I1627">
        <f>HEX2DEC(_0811_173439[[#This Row],[580C]])*B$4/B$5+B$6</f>
        <v>760</v>
      </c>
      <c r="J1627">
        <f>HEX2DEC(_0811_173439[[#This Row],[4402]])*C$4/C$5+C$6</f>
        <v>37</v>
      </c>
      <c r="K1627">
        <f>HEX2DEC(_0811_173439[[#This Row],[580F]])*D$4/D$5+D$6</f>
        <v>30</v>
      </c>
      <c r="L1627">
        <f>ROUND(HEX2DEC(_0811_173439[[#This Row],[58F0]])*E$4/E$5+E$6,0)</f>
        <v>70</v>
      </c>
      <c r="M1627">
        <f>ROUND(HEX2DEC(_0811_173439[[#This Row],[5805]])*F$4/F$5+F$6,0)</f>
        <v>46</v>
      </c>
      <c r="N1627">
        <f>ROUND(HEX2DEC(_0811_173439[[#This Row],[58DD]])*G$4/G$5+G$6,2)</f>
        <v>-0.03</v>
      </c>
      <c r="P1627">
        <v>760</v>
      </c>
      <c r="Q1627">
        <v>37</v>
      </c>
      <c r="R1627">
        <v>30</v>
      </c>
      <c r="S1627">
        <v>70</v>
      </c>
      <c r="T1627">
        <v>46</v>
      </c>
      <c r="U1627">
        <v>-0.03</v>
      </c>
      <c r="W1627">
        <f>DataLog_T717420_Aug11_4_59_37pm[[#This Row],[RPM '[1/MIN']]]-Table3[[#This Row],[580C]]</f>
        <v>0</v>
      </c>
      <c r="X1627">
        <f>DataLog_T717420_Aug11_4_59_37pm[[#This Row],[OIL TEMP '[Â°C']]]-Table3[[#This Row],[4402]]</f>
        <v>0</v>
      </c>
      <c r="Y1627">
        <f>DataLog_T717420_Aug11_4_59_37pm[[#This Row],[INTAKE TEMP '[Â°C']]]-Table3[[#This Row],[580F]]</f>
        <v>0</v>
      </c>
      <c r="Z1627">
        <f>DataLog_T717420_Aug11_4_59_37pm[[#This Row],[HPFP PRES. '[BAR']]]-Table3[[#This Row],[58F0]]</f>
        <v>0</v>
      </c>
      <c r="AA1627">
        <f>DataLog_T717420_Aug11_4_59_37pm[[#This Row],[COOLANT TEMP '[Â°C']]]-Table3[[#This Row],[5805]]</f>
        <v>0</v>
      </c>
      <c r="AB1627">
        <f>DataLog_T717420_Aug11_4_59_37pm[[#This Row],[BOOST '[BAR']]]-Table3[[#This Row],[58DD]]</f>
        <v>0</v>
      </c>
    </row>
    <row r="1628" spans="2:28" x14ac:dyDescent="0.25">
      <c r="B1628" s="2" t="s">
        <v>189</v>
      </c>
      <c r="C1628" s="2" t="s">
        <v>262</v>
      </c>
      <c r="D1628" s="2" t="s">
        <v>151</v>
      </c>
      <c r="E1628" s="2" t="s">
        <v>135</v>
      </c>
      <c r="F1628" s="2" t="s">
        <v>393</v>
      </c>
      <c r="G1628" s="2" t="s">
        <v>98</v>
      </c>
      <c r="I1628">
        <f>HEX2DEC(_0811_173439[[#This Row],[580C]])*B$4/B$5+B$6</f>
        <v>760</v>
      </c>
      <c r="J1628">
        <f>HEX2DEC(_0811_173439[[#This Row],[4402]])*C$4/C$5+C$6</f>
        <v>37</v>
      </c>
      <c r="K1628">
        <f>HEX2DEC(_0811_173439[[#This Row],[580F]])*D$4/D$5+D$6</f>
        <v>30</v>
      </c>
      <c r="L1628">
        <f>ROUND(HEX2DEC(_0811_173439[[#This Row],[58F0]])*E$4/E$5+E$6,0)</f>
        <v>71</v>
      </c>
      <c r="M1628">
        <f>ROUND(HEX2DEC(_0811_173439[[#This Row],[5805]])*F$4/F$5+F$6,0)</f>
        <v>46</v>
      </c>
      <c r="N1628">
        <f>ROUND(HEX2DEC(_0811_173439[[#This Row],[58DD]])*G$4/G$5+G$6,2)</f>
        <v>-0.03</v>
      </c>
      <c r="P1628">
        <v>760</v>
      </c>
      <c r="Q1628">
        <v>37</v>
      </c>
      <c r="R1628">
        <v>30</v>
      </c>
      <c r="S1628">
        <v>71</v>
      </c>
      <c r="T1628">
        <v>46</v>
      </c>
      <c r="U1628">
        <v>-0.03</v>
      </c>
      <c r="W1628">
        <f>DataLog_T717420_Aug11_4_59_37pm[[#This Row],[RPM '[1/MIN']]]-Table3[[#This Row],[580C]]</f>
        <v>0</v>
      </c>
      <c r="X1628">
        <f>DataLog_T717420_Aug11_4_59_37pm[[#This Row],[OIL TEMP '[Â°C']]]-Table3[[#This Row],[4402]]</f>
        <v>0</v>
      </c>
      <c r="Y1628">
        <f>DataLog_T717420_Aug11_4_59_37pm[[#This Row],[INTAKE TEMP '[Â°C']]]-Table3[[#This Row],[580F]]</f>
        <v>0</v>
      </c>
      <c r="Z1628">
        <f>DataLog_T717420_Aug11_4_59_37pm[[#This Row],[HPFP PRES. '[BAR']]]-Table3[[#This Row],[58F0]]</f>
        <v>0</v>
      </c>
      <c r="AA1628">
        <f>DataLog_T717420_Aug11_4_59_37pm[[#This Row],[COOLANT TEMP '[Â°C']]]-Table3[[#This Row],[5805]]</f>
        <v>0</v>
      </c>
      <c r="AB1628">
        <f>DataLog_T717420_Aug11_4_59_37pm[[#This Row],[BOOST '[BAR']]]-Table3[[#This Row],[58DD]]</f>
        <v>0</v>
      </c>
    </row>
    <row r="1629" spans="2:28" x14ac:dyDescent="0.25">
      <c r="B1629" s="2" t="s">
        <v>189</v>
      </c>
      <c r="C1629" s="2" t="s">
        <v>262</v>
      </c>
      <c r="D1629" s="2" t="s">
        <v>151</v>
      </c>
      <c r="E1629" s="2" t="s">
        <v>127</v>
      </c>
      <c r="F1629" s="2" t="s">
        <v>393</v>
      </c>
      <c r="G1629" s="2" t="s">
        <v>213</v>
      </c>
      <c r="I1629">
        <f>HEX2DEC(_0811_173439[[#This Row],[580C]])*B$4/B$5+B$6</f>
        <v>760</v>
      </c>
      <c r="J1629">
        <f>HEX2DEC(_0811_173439[[#This Row],[4402]])*C$4/C$5+C$6</f>
        <v>37</v>
      </c>
      <c r="K1629">
        <f>HEX2DEC(_0811_173439[[#This Row],[580F]])*D$4/D$5+D$6</f>
        <v>30</v>
      </c>
      <c r="L1629">
        <f>ROUND(HEX2DEC(_0811_173439[[#This Row],[58F0]])*E$4/E$5+E$6,0)</f>
        <v>70</v>
      </c>
      <c r="M1629">
        <f>ROUND(HEX2DEC(_0811_173439[[#This Row],[5805]])*F$4/F$5+F$6,0)</f>
        <v>46</v>
      </c>
      <c r="N1629">
        <f>ROUND(HEX2DEC(_0811_173439[[#This Row],[58DD]])*G$4/G$5+G$6,2)</f>
        <v>-0.03</v>
      </c>
      <c r="P1629">
        <v>760</v>
      </c>
      <c r="Q1629">
        <v>37</v>
      </c>
      <c r="R1629">
        <v>30</v>
      </c>
      <c r="S1629">
        <v>70</v>
      </c>
      <c r="T1629">
        <v>46</v>
      </c>
      <c r="U1629">
        <v>-0.03</v>
      </c>
      <c r="W1629">
        <f>DataLog_T717420_Aug11_4_59_37pm[[#This Row],[RPM '[1/MIN']]]-Table3[[#This Row],[580C]]</f>
        <v>0</v>
      </c>
      <c r="X1629">
        <f>DataLog_T717420_Aug11_4_59_37pm[[#This Row],[OIL TEMP '[Â°C']]]-Table3[[#This Row],[4402]]</f>
        <v>0</v>
      </c>
      <c r="Y1629">
        <f>DataLog_T717420_Aug11_4_59_37pm[[#This Row],[INTAKE TEMP '[Â°C']]]-Table3[[#This Row],[580F]]</f>
        <v>0</v>
      </c>
      <c r="Z1629">
        <f>DataLog_T717420_Aug11_4_59_37pm[[#This Row],[HPFP PRES. '[BAR']]]-Table3[[#This Row],[58F0]]</f>
        <v>0</v>
      </c>
      <c r="AA1629">
        <f>DataLog_T717420_Aug11_4_59_37pm[[#This Row],[COOLANT TEMP '[Â°C']]]-Table3[[#This Row],[5805]]</f>
        <v>0</v>
      </c>
      <c r="AB1629">
        <f>DataLog_T717420_Aug11_4_59_37pm[[#This Row],[BOOST '[BAR']]]-Table3[[#This Row],[58DD]]</f>
        <v>0</v>
      </c>
    </row>
    <row r="1630" spans="2:28" x14ac:dyDescent="0.25">
      <c r="B1630" s="2" t="s">
        <v>189</v>
      </c>
      <c r="C1630" s="2" t="s">
        <v>262</v>
      </c>
      <c r="D1630" s="2" t="s">
        <v>151</v>
      </c>
      <c r="E1630" s="2" t="s">
        <v>93</v>
      </c>
      <c r="F1630" s="2" t="s">
        <v>393</v>
      </c>
      <c r="G1630" s="2" t="s">
        <v>213</v>
      </c>
      <c r="I1630">
        <f>HEX2DEC(_0811_173439[[#This Row],[580C]])*B$4/B$5+B$6</f>
        <v>760</v>
      </c>
      <c r="J1630">
        <f>HEX2DEC(_0811_173439[[#This Row],[4402]])*C$4/C$5+C$6</f>
        <v>37</v>
      </c>
      <c r="K1630">
        <f>HEX2DEC(_0811_173439[[#This Row],[580F]])*D$4/D$5+D$6</f>
        <v>30</v>
      </c>
      <c r="L1630">
        <f>ROUND(HEX2DEC(_0811_173439[[#This Row],[58F0]])*E$4/E$5+E$6,0)</f>
        <v>70</v>
      </c>
      <c r="M1630">
        <f>ROUND(HEX2DEC(_0811_173439[[#This Row],[5805]])*F$4/F$5+F$6,0)</f>
        <v>46</v>
      </c>
      <c r="N1630">
        <f>ROUND(HEX2DEC(_0811_173439[[#This Row],[58DD]])*G$4/G$5+G$6,2)</f>
        <v>-0.03</v>
      </c>
      <c r="P1630">
        <v>760</v>
      </c>
      <c r="Q1630">
        <v>37</v>
      </c>
      <c r="R1630">
        <v>30</v>
      </c>
      <c r="S1630">
        <v>70</v>
      </c>
      <c r="T1630">
        <v>46</v>
      </c>
      <c r="U1630">
        <v>-0.03</v>
      </c>
      <c r="W1630">
        <f>DataLog_T717420_Aug11_4_59_37pm[[#This Row],[RPM '[1/MIN']]]-Table3[[#This Row],[580C]]</f>
        <v>0</v>
      </c>
      <c r="X1630">
        <f>DataLog_T717420_Aug11_4_59_37pm[[#This Row],[OIL TEMP '[Â°C']]]-Table3[[#This Row],[4402]]</f>
        <v>0</v>
      </c>
      <c r="Y1630">
        <f>DataLog_T717420_Aug11_4_59_37pm[[#This Row],[INTAKE TEMP '[Â°C']]]-Table3[[#This Row],[580F]]</f>
        <v>0</v>
      </c>
      <c r="Z1630">
        <f>DataLog_T717420_Aug11_4_59_37pm[[#This Row],[HPFP PRES. '[BAR']]]-Table3[[#This Row],[58F0]]</f>
        <v>0</v>
      </c>
      <c r="AA1630">
        <f>DataLog_T717420_Aug11_4_59_37pm[[#This Row],[COOLANT TEMP '[Â°C']]]-Table3[[#This Row],[5805]]</f>
        <v>0</v>
      </c>
      <c r="AB1630">
        <f>DataLog_T717420_Aug11_4_59_37pm[[#This Row],[BOOST '[BAR']]]-Table3[[#This Row],[58DD]]</f>
        <v>0</v>
      </c>
    </row>
    <row r="1631" spans="2:28" x14ac:dyDescent="0.25">
      <c r="B1631" s="2" t="s">
        <v>189</v>
      </c>
      <c r="C1631" s="2" t="s">
        <v>262</v>
      </c>
      <c r="D1631" s="2" t="s">
        <v>151</v>
      </c>
      <c r="E1631" s="2" t="s">
        <v>162</v>
      </c>
      <c r="F1631" s="2" t="s">
        <v>393</v>
      </c>
      <c r="G1631" s="2" t="s">
        <v>71</v>
      </c>
      <c r="I1631">
        <f>HEX2DEC(_0811_173439[[#This Row],[580C]])*B$4/B$5+B$6</f>
        <v>760</v>
      </c>
      <c r="J1631">
        <f>HEX2DEC(_0811_173439[[#This Row],[4402]])*C$4/C$5+C$6</f>
        <v>37</v>
      </c>
      <c r="K1631">
        <f>HEX2DEC(_0811_173439[[#This Row],[580F]])*D$4/D$5+D$6</f>
        <v>30</v>
      </c>
      <c r="L1631">
        <f>ROUND(HEX2DEC(_0811_173439[[#This Row],[58F0]])*E$4/E$5+E$6,0)</f>
        <v>71</v>
      </c>
      <c r="M1631">
        <f>ROUND(HEX2DEC(_0811_173439[[#This Row],[5805]])*F$4/F$5+F$6,0)</f>
        <v>46</v>
      </c>
      <c r="N1631">
        <f>ROUND(HEX2DEC(_0811_173439[[#This Row],[58DD]])*G$4/G$5+G$6,2)</f>
        <v>-0.03</v>
      </c>
      <c r="P1631">
        <v>760</v>
      </c>
      <c r="Q1631">
        <v>37</v>
      </c>
      <c r="R1631">
        <v>30</v>
      </c>
      <c r="S1631">
        <v>71</v>
      </c>
      <c r="T1631">
        <v>46</v>
      </c>
      <c r="U1631">
        <v>-0.03</v>
      </c>
      <c r="W1631">
        <f>DataLog_T717420_Aug11_4_59_37pm[[#This Row],[RPM '[1/MIN']]]-Table3[[#This Row],[580C]]</f>
        <v>0</v>
      </c>
      <c r="X1631">
        <f>DataLog_T717420_Aug11_4_59_37pm[[#This Row],[OIL TEMP '[Â°C']]]-Table3[[#This Row],[4402]]</f>
        <v>0</v>
      </c>
      <c r="Y1631">
        <f>DataLog_T717420_Aug11_4_59_37pm[[#This Row],[INTAKE TEMP '[Â°C']]]-Table3[[#This Row],[580F]]</f>
        <v>0</v>
      </c>
      <c r="Z1631">
        <f>DataLog_T717420_Aug11_4_59_37pm[[#This Row],[HPFP PRES. '[BAR']]]-Table3[[#This Row],[58F0]]</f>
        <v>0</v>
      </c>
      <c r="AA1631">
        <f>DataLog_T717420_Aug11_4_59_37pm[[#This Row],[COOLANT TEMP '[Â°C']]]-Table3[[#This Row],[5805]]</f>
        <v>0</v>
      </c>
      <c r="AB1631">
        <f>DataLog_T717420_Aug11_4_59_37pm[[#This Row],[BOOST '[BAR']]]-Table3[[#This Row],[58DD]]</f>
        <v>0</v>
      </c>
    </row>
    <row r="1632" spans="2:28" x14ac:dyDescent="0.25">
      <c r="B1632" s="2" t="s">
        <v>189</v>
      </c>
      <c r="C1632" s="2" t="s">
        <v>262</v>
      </c>
      <c r="D1632" s="2" t="s">
        <v>151</v>
      </c>
      <c r="E1632" s="2" t="s">
        <v>207</v>
      </c>
      <c r="F1632" s="2" t="s">
        <v>393</v>
      </c>
      <c r="G1632" s="2" t="s">
        <v>190</v>
      </c>
      <c r="I1632">
        <f>HEX2DEC(_0811_173439[[#This Row],[580C]])*B$4/B$5+B$6</f>
        <v>760</v>
      </c>
      <c r="J1632">
        <f>HEX2DEC(_0811_173439[[#This Row],[4402]])*C$4/C$5+C$6</f>
        <v>37</v>
      </c>
      <c r="K1632">
        <f>HEX2DEC(_0811_173439[[#This Row],[580F]])*D$4/D$5+D$6</f>
        <v>30</v>
      </c>
      <c r="L1632">
        <f>ROUND(HEX2DEC(_0811_173439[[#This Row],[58F0]])*E$4/E$5+E$6,0)</f>
        <v>70</v>
      </c>
      <c r="M1632">
        <f>ROUND(HEX2DEC(_0811_173439[[#This Row],[5805]])*F$4/F$5+F$6,0)</f>
        <v>46</v>
      </c>
      <c r="N1632">
        <f>ROUND(HEX2DEC(_0811_173439[[#This Row],[58DD]])*G$4/G$5+G$6,2)</f>
        <v>-0.03</v>
      </c>
      <c r="P1632">
        <v>760</v>
      </c>
      <c r="Q1632">
        <v>37</v>
      </c>
      <c r="R1632">
        <v>30</v>
      </c>
      <c r="S1632">
        <v>70</v>
      </c>
      <c r="T1632">
        <v>46</v>
      </c>
      <c r="U1632">
        <v>-0.03</v>
      </c>
      <c r="W1632">
        <f>DataLog_T717420_Aug11_4_59_37pm[[#This Row],[RPM '[1/MIN']]]-Table3[[#This Row],[580C]]</f>
        <v>0</v>
      </c>
      <c r="X1632">
        <f>DataLog_T717420_Aug11_4_59_37pm[[#This Row],[OIL TEMP '[Â°C']]]-Table3[[#This Row],[4402]]</f>
        <v>0</v>
      </c>
      <c r="Y1632">
        <f>DataLog_T717420_Aug11_4_59_37pm[[#This Row],[INTAKE TEMP '[Â°C']]]-Table3[[#This Row],[580F]]</f>
        <v>0</v>
      </c>
      <c r="Z1632">
        <f>DataLog_T717420_Aug11_4_59_37pm[[#This Row],[HPFP PRES. '[BAR']]]-Table3[[#This Row],[58F0]]</f>
        <v>0</v>
      </c>
      <c r="AA1632">
        <f>DataLog_T717420_Aug11_4_59_37pm[[#This Row],[COOLANT TEMP '[Â°C']]]-Table3[[#This Row],[5805]]</f>
        <v>0</v>
      </c>
      <c r="AB1632">
        <f>DataLog_T717420_Aug11_4_59_37pm[[#This Row],[BOOST '[BAR']]]-Table3[[#This Row],[58DD]]</f>
        <v>0</v>
      </c>
    </row>
    <row r="1633" spans="2:28" x14ac:dyDescent="0.25">
      <c r="B1633" s="2" t="s">
        <v>189</v>
      </c>
      <c r="C1633" s="2" t="s">
        <v>262</v>
      </c>
      <c r="D1633" s="2" t="s">
        <v>151</v>
      </c>
      <c r="E1633" s="2" t="s">
        <v>127</v>
      </c>
      <c r="F1633" s="2" t="s">
        <v>393</v>
      </c>
      <c r="G1633" s="2" t="s">
        <v>53</v>
      </c>
      <c r="I1633">
        <f>HEX2DEC(_0811_173439[[#This Row],[580C]])*B$4/B$5+B$6</f>
        <v>760</v>
      </c>
      <c r="J1633">
        <f>HEX2DEC(_0811_173439[[#This Row],[4402]])*C$4/C$5+C$6</f>
        <v>37</v>
      </c>
      <c r="K1633">
        <f>HEX2DEC(_0811_173439[[#This Row],[580F]])*D$4/D$5+D$6</f>
        <v>30</v>
      </c>
      <c r="L1633">
        <f>ROUND(HEX2DEC(_0811_173439[[#This Row],[58F0]])*E$4/E$5+E$6,0)</f>
        <v>70</v>
      </c>
      <c r="M1633">
        <f>ROUND(HEX2DEC(_0811_173439[[#This Row],[5805]])*F$4/F$5+F$6,0)</f>
        <v>46</v>
      </c>
      <c r="N1633">
        <f>ROUND(HEX2DEC(_0811_173439[[#This Row],[58DD]])*G$4/G$5+G$6,2)</f>
        <v>-0.03</v>
      </c>
      <c r="P1633">
        <v>760</v>
      </c>
      <c r="Q1633">
        <v>37</v>
      </c>
      <c r="R1633">
        <v>30</v>
      </c>
      <c r="S1633">
        <v>70</v>
      </c>
      <c r="T1633">
        <v>46</v>
      </c>
      <c r="U1633">
        <v>-0.03</v>
      </c>
      <c r="W1633">
        <f>DataLog_T717420_Aug11_4_59_37pm[[#This Row],[RPM '[1/MIN']]]-Table3[[#This Row],[580C]]</f>
        <v>0</v>
      </c>
      <c r="X1633">
        <f>DataLog_T717420_Aug11_4_59_37pm[[#This Row],[OIL TEMP '[Â°C']]]-Table3[[#This Row],[4402]]</f>
        <v>0</v>
      </c>
      <c r="Y1633">
        <f>DataLog_T717420_Aug11_4_59_37pm[[#This Row],[INTAKE TEMP '[Â°C']]]-Table3[[#This Row],[580F]]</f>
        <v>0</v>
      </c>
      <c r="Z1633">
        <f>DataLog_T717420_Aug11_4_59_37pm[[#This Row],[HPFP PRES. '[BAR']]]-Table3[[#This Row],[58F0]]</f>
        <v>0</v>
      </c>
      <c r="AA1633">
        <f>DataLog_T717420_Aug11_4_59_37pm[[#This Row],[COOLANT TEMP '[Â°C']]]-Table3[[#This Row],[5805]]</f>
        <v>0</v>
      </c>
      <c r="AB1633">
        <f>DataLog_T717420_Aug11_4_59_37pm[[#This Row],[BOOST '[BAR']]]-Table3[[#This Row],[58DD]]</f>
        <v>0</v>
      </c>
    </row>
    <row r="1634" spans="2:28" x14ac:dyDescent="0.25">
      <c r="B1634" s="2" t="s">
        <v>189</v>
      </c>
      <c r="C1634" s="2" t="s">
        <v>262</v>
      </c>
      <c r="D1634" s="2" t="s">
        <v>151</v>
      </c>
      <c r="E1634" s="2" t="s">
        <v>121</v>
      </c>
      <c r="F1634" s="2" t="s">
        <v>393</v>
      </c>
      <c r="G1634" s="2" t="s">
        <v>96</v>
      </c>
      <c r="I1634">
        <f>HEX2DEC(_0811_173439[[#This Row],[580C]])*B$4/B$5+B$6</f>
        <v>760</v>
      </c>
      <c r="J1634">
        <f>HEX2DEC(_0811_173439[[#This Row],[4402]])*C$4/C$5+C$6</f>
        <v>37</v>
      </c>
      <c r="K1634">
        <f>HEX2DEC(_0811_173439[[#This Row],[580F]])*D$4/D$5+D$6</f>
        <v>30</v>
      </c>
      <c r="L1634">
        <f>ROUND(HEX2DEC(_0811_173439[[#This Row],[58F0]])*E$4/E$5+E$6,0)</f>
        <v>71</v>
      </c>
      <c r="M1634">
        <f>ROUND(HEX2DEC(_0811_173439[[#This Row],[5805]])*F$4/F$5+F$6,0)</f>
        <v>46</v>
      </c>
      <c r="N1634">
        <f>ROUND(HEX2DEC(_0811_173439[[#This Row],[58DD]])*G$4/G$5+G$6,2)</f>
        <v>-0.03</v>
      </c>
      <c r="P1634">
        <v>760</v>
      </c>
      <c r="Q1634">
        <v>37</v>
      </c>
      <c r="R1634">
        <v>30</v>
      </c>
      <c r="S1634">
        <v>71</v>
      </c>
      <c r="T1634">
        <v>46</v>
      </c>
      <c r="U1634">
        <v>-0.03</v>
      </c>
      <c r="W1634">
        <f>DataLog_T717420_Aug11_4_59_37pm[[#This Row],[RPM '[1/MIN']]]-Table3[[#This Row],[580C]]</f>
        <v>0</v>
      </c>
      <c r="X1634">
        <f>DataLog_T717420_Aug11_4_59_37pm[[#This Row],[OIL TEMP '[Â°C']]]-Table3[[#This Row],[4402]]</f>
        <v>0</v>
      </c>
      <c r="Y1634">
        <f>DataLog_T717420_Aug11_4_59_37pm[[#This Row],[INTAKE TEMP '[Â°C']]]-Table3[[#This Row],[580F]]</f>
        <v>0</v>
      </c>
      <c r="Z1634">
        <f>DataLog_T717420_Aug11_4_59_37pm[[#This Row],[HPFP PRES. '[BAR']]]-Table3[[#This Row],[58F0]]</f>
        <v>0</v>
      </c>
      <c r="AA1634">
        <f>DataLog_T717420_Aug11_4_59_37pm[[#This Row],[COOLANT TEMP '[Â°C']]]-Table3[[#This Row],[5805]]</f>
        <v>0</v>
      </c>
      <c r="AB1634">
        <f>DataLog_T717420_Aug11_4_59_37pm[[#This Row],[BOOST '[BAR']]]-Table3[[#This Row],[58DD]]</f>
        <v>0</v>
      </c>
    </row>
    <row r="1635" spans="2:28" x14ac:dyDescent="0.25">
      <c r="B1635" s="2" t="s">
        <v>189</v>
      </c>
      <c r="C1635" s="2" t="s">
        <v>262</v>
      </c>
      <c r="D1635" s="2" t="s">
        <v>151</v>
      </c>
      <c r="E1635" s="2" t="s">
        <v>93</v>
      </c>
      <c r="F1635" s="2" t="s">
        <v>393</v>
      </c>
      <c r="G1635" s="2" t="s">
        <v>191</v>
      </c>
      <c r="I1635">
        <f>HEX2DEC(_0811_173439[[#This Row],[580C]])*B$4/B$5+B$6</f>
        <v>760</v>
      </c>
      <c r="J1635">
        <f>HEX2DEC(_0811_173439[[#This Row],[4402]])*C$4/C$5+C$6</f>
        <v>37</v>
      </c>
      <c r="K1635">
        <f>HEX2DEC(_0811_173439[[#This Row],[580F]])*D$4/D$5+D$6</f>
        <v>30</v>
      </c>
      <c r="L1635">
        <f>ROUND(HEX2DEC(_0811_173439[[#This Row],[58F0]])*E$4/E$5+E$6,0)</f>
        <v>70</v>
      </c>
      <c r="M1635">
        <f>ROUND(HEX2DEC(_0811_173439[[#This Row],[5805]])*F$4/F$5+F$6,0)</f>
        <v>46</v>
      </c>
      <c r="N1635">
        <f>ROUND(HEX2DEC(_0811_173439[[#This Row],[58DD]])*G$4/G$5+G$6,2)</f>
        <v>-0.03</v>
      </c>
      <c r="P1635">
        <v>760</v>
      </c>
      <c r="Q1635">
        <v>37</v>
      </c>
      <c r="R1635">
        <v>30</v>
      </c>
      <c r="S1635">
        <v>70</v>
      </c>
      <c r="T1635">
        <v>46</v>
      </c>
      <c r="U1635">
        <v>-0.03</v>
      </c>
      <c r="W1635">
        <f>DataLog_T717420_Aug11_4_59_37pm[[#This Row],[RPM '[1/MIN']]]-Table3[[#This Row],[580C]]</f>
        <v>0</v>
      </c>
      <c r="X1635">
        <f>DataLog_T717420_Aug11_4_59_37pm[[#This Row],[OIL TEMP '[Â°C']]]-Table3[[#This Row],[4402]]</f>
        <v>0</v>
      </c>
      <c r="Y1635">
        <f>DataLog_T717420_Aug11_4_59_37pm[[#This Row],[INTAKE TEMP '[Â°C']]]-Table3[[#This Row],[580F]]</f>
        <v>0</v>
      </c>
      <c r="Z1635">
        <f>DataLog_T717420_Aug11_4_59_37pm[[#This Row],[HPFP PRES. '[BAR']]]-Table3[[#This Row],[58F0]]</f>
        <v>0</v>
      </c>
      <c r="AA1635">
        <f>DataLog_T717420_Aug11_4_59_37pm[[#This Row],[COOLANT TEMP '[Â°C']]]-Table3[[#This Row],[5805]]</f>
        <v>0</v>
      </c>
      <c r="AB1635">
        <f>DataLog_T717420_Aug11_4_59_37pm[[#This Row],[BOOST '[BAR']]]-Table3[[#This Row],[58DD]]</f>
        <v>0</v>
      </c>
    </row>
    <row r="1636" spans="2:28" x14ac:dyDescent="0.25">
      <c r="B1636" s="2" t="s">
        <v>189</v>
      </c>
      <c r="C1636" s="2" t="s">
        <v>262</v>
      </c>
      <c r="D1636" s="2" t="s">
        <v>151</v>
      </c>
      <c r="E1636" s="2" t="s">
        <v>93</v>
      </c>
      <c r="F1636" s="2" t="s">
        <v>393</v>
      </c>
      <c r="G1636" s="2" t="s">
        <v>236</v>
      </c>
      <c r="I1636">
        <f>HEX2DEC(_0811_173439[[#This Row],[580C]])*B$4/B$5+B$6</f>
        <v>760</v>
      </c>
      <c r="J1636">
        <f>HEX2DEC(_0811_173439[[#This Row],[4402]])*C$4/C$5+C$6</f>
        <v>37</v>
      </c>
      <c r="K1636">
        <f>HEX2DEC(_0811_173439[[#This Row],[580F]])*D$4/D$5+D$6</f>
        <v>30</v>
      </c>
      <c r="L1636">
        <f>ROUND(HEX2DEC(_0811_173439[[#This Row],[58F0]])*E$4/E$5+E$6,0)</f>
        <v>70</v>
      </c>
      <c r="M1636">
        <f>ROUND(HEX2DEC(_0811_173439[[#This Row],[5805]])*F$4/F$5+F$6,0)</f>
        <v>46</v>
      </c>
      <c r="N1636">
        <f>ROUND(HEX2DEC(_0811_173439[[#This Row],[58DD]])*G$4/G$5+G$6,2)</f>
        <v>-0.03</v>
      </c>
      <c r="P1636">
        <v>760</v>
      </c>
      <c r="Q1636">
        <v>37</v>
      </c>
      <c r="R1636">
        <v>30</v>
      </c>
      <c r="S1636">
        <v>70</v>
      </c>
      <c r="T1636">
        <v>46</v>
      </c>
      <c r="U1636">
        <v>-0.03</v>
      </c>
      <c r="W1636">
        <f>DataLog_T717420_Aug11_4_59_37pm[[#This Row],[RPM '[1/MIN']]]-Table3[[#This Row],[580C]]</f>
        <v>0</v>
      </c>
      <c r="X1636">
        <f>DataLog_T717420_Aug11_4_59_37pm[[#This Row],[OIL TEMP '[Â°C']]]-Table3[[#This Row],[4402]]</f>
        <v>0</v>
      </c>
      <c r="Y1636">
        <f>DataLog_T717420_Aug11_4_59_37pm[[#This Row],[INTAKE TEMP '[Â°C']]]-Table3[[#This Row],[580F]]</f>
        <v>0</v>
      </c>
      <c r="Z1636">
        <f>DataLog_T717420_Aug11_4_59_37pm[[#This Row],[HPFP PRES. '[BAR']]]-Table3[[#This Row],[58F0]]</f>
        <v>0</v>
      </c>
      <c r="AA1636">
        <f>DataLog_T717420_Aug11_4_59_37pm[[#This Row],[COOLANT TEMP '[Â°C']]]-Table3[[#This Row],[5805]]</f>
        <v>0</v>
      </c>
      <c r="AB1636">
        <f>DataLog_T717420_Aug11_4_59_37pm[[#This Row],[BOOST '[BAR']]]-Table3[[#This Row],[58DD]]</f>
        <v>0</v>
      </c>
    </row>
    <row r="1637" spans="2:28" x14ac:dyDescent="0.25">
      <c r="B1637" s="2" t="s">
        <v>189</v>
      </c>
      <c r="C1637" s="2" t="s">
        <v>262</v>
      </c>
      <c r="D1637" s="2" t="s">
        <v>151</v>
      </c>
      <c r="E1637" s="2" t="s">
        <v>122</v>
      </c>
      <c r="F1637" s="2" t="s">
        <v>393</v>
      </c>
      <c r="G1637" s="2" t="s">
        <v>53</v>
      </c>
      <c r="I1637">
        <f>HEX2DEC(_0811_173439[[#This Row],[580C]])*B$4/B$5+B$6</f>
        <v>760</v>
      </c>
      <c r="J1637">
        <f>HEX2DEC(_0811_173439[[#This Row],[4402]])*C$4/C$5+C$6</f>
        <v>37</v>
      </c>
      <c r="K1637">
        <f>HEX2DEC(_0811_173439[[#This Row],[580F]])*D$4/D$5+D$6</f>
        <v>30</v>
      </c>
      <c r="L1637">
        <f>ROUND(HEX2DEC(_0811_173439[[#This Row],[58F0]])*E$4/E$5+E$6,0)</f>
        <v>71</v>
      </c>
      <c r="M1637">
        <f>ROUND(HEX2DEC(_0811_173439[[#This Row],[5805]])*F$4/F$5+F$6,0)</f>
        <v>46</v>
      </c>
      <c r="N1637">
        <f>ROUND(HEX2DEC(_0811_173439[[#This Row],[58DD]])*G$4/G$5+G$6,2)</f>
        <v>-0.03</v>
      </c>
      <c r="P1637">
        <v>760</v>
      </c>
      <c r="Q1637">
        <v>37</v>
      </c>
      <c r="R1637">
        <v>30</v>
      </c>
      <c r="S1637">
        <v>71</v>
      </c>
      <c r="T1637">
        <v>46</v>
      </c>
      <c r="U1637">
        <v>-0.03</v>
      </c>
      <c r="W1637">
        <f>DataLog_T717420_Aug11_4_59_37pm[[#This Row],[RPM '[1/MIN']]]-Table3[[#This Row],[580C]]</f>
        <v>0</v>
      </c>
      <c r="X1637">
        <f>DataLog_T717420_Aug11_4_59_37pm[[#This Row],[OIL TEMP '[Â°C']]]-Table3[[#This Row],[4402]]</f>
        <v>0</v>
      </c>
      <c r="Y1637">
        <f>DataLog_T717420_Aug11_4_59_37pm[[#This Row],[INTAKE TEMP '[Â°C']]]-Table3[[#This Row],[580F]]</f>
        <v>0</v>
      </c>
      <c r="Z1637">
        <f>DataLog_T717420_Aug11_4_59_37pm[[#This Row],[HPFP PRES. '[BAR']]]-Table3[[#This Row],[58F0]]</f>
        <v>0</v>
      </c>
      <c r="AA1637">
        <f>DataLog_T717420_Aug11_4_59_37pm[[#This Row],[COOLANT TEMP '[Â°C']]]-Table3[[#This Row],[5805]]</f>
        <v>0</v>
      </c>
      <c r="AB1637">
        <f>DataLog_T717420_Aug11_4_59_37pm[[#This Row],[BOOST '[BAR']]]-Table3[[#This Row],[58DD]]</f>
        <v>0</v>
      </c>
    </row>
    <row r="1638" spans="2:28" x14ac:dyDescent="0.25">
      <c r="B1638" s="2" t="s">
        <v>189</v>
      </c>
      <c r="C1638" s="2" t="s">
        <v>262</v>
      </c>
      <c r="D1638" s="2" t="s">
        <v>151</v>
      </c>
      <c r="E1638" s="2" t="s">
        <v>130</v>
      </c>
      <c r="F1638" s="2" t="s">
        <v>393</v>
      </c>
      <c r="G1638" s="2" t="s">
        <v>216</v>
      </c>
      <c r="I1638">
        <f>HEX2DEC(_0811_173439[[#This Row],[580C]])*B$4/B$5+B$6</f>
        <v>760</v>
      </c>
      <c r="J1638">
        <f>HEX2DEC(_0811_173439[[#This Row],[4402]])*C$4/C$5+C$6</f>
        <v>37</v>
      </c>
      <c r="K1638">
        <f>HEX2DEC(_0811_173439[[#This Row],[580F]])*D$4/D$5+D$6</f>
        <v>30</v>
      </c>
      <c r="L1638">
        <f>ROUND(HEX2DEC(_0811_173439[[#This Row],[58F0]])*E$4/E$5+E$6,0)</f>
        <v>71</v>
      </c>
      <c r="M1638">
        <f>ROUND(HEX2DEC(_0811_173439[[#This Row],[5805]])*F$4/F$5+F$6,0)</f>
        <v>46</v>
      </c>
      <c r="N1638">
        <f>ROUND(HEX2DEC(_0811_173439[[#This Row],[58DD]])*G$4/G$5+G$6,2)</f>
        <v>-0.03</v>
      </c>
      <c r="P1638">
        <v>760</v>
      </c>
      <c r="Q1638">
        <v>37</v>
      </c>
      <c r="R1638">
        <v>30</v>
      </c>
      <c r="S1638">
        <v>71</v>
      </c>
      <c r="T1638">
        <v>46</v>
      </c>
      <c r="U1638">
        <v>-0.03</v>
      </c>
      <c r="W1638">
        <f>DataLog_T717420_Aug11_4_59_37pm[[#This Row],[RPM '[1/MIN']]]-Table3[[#This Row],[580C]]</f>
        <v>0</v>
      </c>
      <c r="X1638">
        <f>DataLog_T717420_Aug11_4_59_37pm[[#This Row],[OIL TEMP '[Â°C']]]-Table3[[#This Row],[4402]]</f>
        <v>0</v>
      </c>
      <c r="Y1638">
        <f>DataLog_T717420_Aug11_4_59_37pm[[#This Row],[INTAKE TEMP '[Â°C']]]-Table3[[#This Row],[580F]]</f>
        <v>0</v>
      </c>
      <c r="Z1638">
        <f>DataLog_T717420_Aug11_4_59_37pm[[#This Row],[HPFP PRES. '[BAR']]]-Table3[[#This Row],[58F0]]</f>
        <v>0</v>
      </c>
      <c r="AA1638">
        <f>DataLog_T717420_Aug11_4_59_37pm[[#This Row],[COOLANT TEMP '[Â°C']]]-Table3[[#This Row],[5805]]</f>
        <v>0</v>
      </c>
      <c r="AB1638">
        <f>DataLog_T717420_Aug11_4_59_37pm[[#This Row],[BOOST '[BAR']]]-Table3[[#This Row],[58DD]]</f>
        <v>0</v>
      </c>
    </row>
    <row r="1639" spans="2:28" x14ac:dyDescent="0.25">
      <c r="B1639" s="2" t="s">
        <v>189</v>
      </c>
      <c r="C1639" s="2" t="s">
        <v>262</v>
      </c>
      <c r="D1639" s="2" t="s">
        <v>151</v>
      </c>
      <c r="E1639" s="2" t="s">
        <v>93</v>
      </c>
      <c r="F1639" s="2" t="s">
        <v>393</v>
      </c>
      <c r="G1639" s="2" t="s">
        <v>236</v>
      </c>
      <c r="I1639">
        <f>HEX2DEC(_0811_173439[[#This Row],[580C]])*B$4/B$5+B$6</f>
        <v>760</v>
      </c>
      <c r="J1639">
        <f>HEX2DEC(_0811_173439[[#This Row],[4402]])*C$4/C$5+C$6</f>
        <v>37</v>
      </c>
      <c r="K1639">
        <f>HEX2DEC(_0811_173439[[#This Row],[580F]])*D$4/D$5+D$6</f>
        <v>30</v>
      </c>
      <c r="L1639">
        <f>ROUND(HEX2DEC(_0811_173439[[#This Row],[58F0]])*E$4/E$5+E$6,0)</f>
        <v>70</v>
      </c>
      <c r="M1639">
        <f>ROUND(HEX2DEC(_0811_173439[[#This Row],[5805]])*F$4/F$5+F$6,0)</f>
        <v>46</v>
      </c>
      <c r="N1639">
        <f>ROUND(HEX2DEC(_0811_173439[[#This Row],[58DD]])*G$4/G$5+G$6,2)</f>
        <v>-0.03</v>
      </c>
      <c r="P1639">
        <v>760</v>
      </c>
      <c r="Q1639">
        <v>37</v>
      </c>
      <c r="R1639">
        <v>30</v>
      </c>
      <c r="S1639">
        <v>70</v>
      </c>
      <c r="T1639">
        <v>46</v>
      </c>
      <c r="U1639">
        <v>-0.03</v>
      </c>
      <c r="W1639">
        <f>DataLog_T717420_Aug11_4_59_37pm[[#This Row],[RPM '[1/MIN']]]-Table3[[#This Row],[580C]]</f>
        <v>0</v>
      </c>
      <c r="X1639">
        <f>DataLog_T717420_Aug11_4_59_37pm[[#This Row],[OIL TEMP '[Â°C']]]-Table3[[#This Row],[4402]]</f>
        <v>0</v>
      </c>
      <c r="Y1639">
        <f>DataLog_T717420_Aug11_4_59_37pm[[#This Row],[INTAKE TEMP '[Â°C']]]-Table3[[#This Row],[580F]]</f>
        <v>0</v>
      </c>
      <c r="Z1639">
        <f>DataLog_T717420_Aug11_4_59_37pm[[#This Row],[HPFP PRES. '[BAR']]]-Table3[[#This Row],[58F0]]</f>
        <v>0</v>
      </c>
      <c r="AA1639">
        <f>DataLog_T717420_Aug11_4_59_37pm[[#This Row],[COOLANT TEMP '[Â°C']]]-Table3[[#This Row],[5805]]</f>
        <v>0</v>
      </c>
      <c r="AB1639">
        <f>DataLog_T717420_Aug11_4_59_37pm[[#This Row],[BOOST '[BAR']]]-Table3[[#This Row],[58DD]]</f>
        <v>0</v>
      </c>
    </row>
    <row r="1640" spans="2:28" x14ac:dyDescent="0.25">
      <c r="B1640" s="2" t="s">
        <v>189</v>
      </c>
      <c r="C1640" s="2" t="s">
        <v>262</v>
      </c>
      <c r="D1640" s="2" t="s">
        <v>151</v>
      </c>
      <c r="E1640" s="2" t="s">
        <v>122</v>
      </c>
      <c r="F1640" s="2" t="s">
        <v>393</v>
      </c>
      <c r="G1640" s="2" t="s">
        <v>53</v>
      </c>
      <c r="I1640">
        <f>HEX2DEC(_0811_173439[[#This Row],[580C]])*B$4/B$5+B$6</f>
        <v>760</v>
      </c>
      <c r="J1640">
        <f>HEX2DEC(_0811_173439[[#This Row],[4402]])*C$4/C$5+C$6</f>
        <v>37</v>
      </c>
      <c r="K1640">
        <f>HEX2DEC(_0811_173439[[#This Row],[580F]])*D$4/D$5+D$6</f>
        <v>30</v>
      </c>
      <c r="L1640">
        <f>ROUND(HEX2DEC(_0811_173439[[#This Row],[58F0]])*E$4/E$5+E$6,0)</f>
        <v>71</v>
      </c>
      <c r="M1640">
        <f>ROUND(HEX2DEC(_0811_173439[[#This Row],[5805]])*F$4/F$5+F$6,0)</f>
        <v>46</v>
      </c>
      <c r="N1640">
        <f>ROUND(HEX2DEC(_0811_173439[[#This Row],[58DD]])*G$4/G$5+G$6,2)</f>
        <v>-0.03</v>
      </c>
      <c r="P1640">
        <v>760</v>
      </c>
      <c r="Q1640">
        <v>37</v>
      </c>
      <c r="R1640">
        <v>30</v>
      </c>
      <c r="S1640">
        <v>71</v>
      </c>
      <c r="T1640">
        <v>46</v>
      </c>
      <c r="U1640">
        <v>-0.03</v>
      </c>
      <c r="W1640">
        <f>DataLog_T717420_Aug11_4_59_37pm[[#This Row],[RPM '[1/MIN']]]-Table3[[#This Row],[580C]]</f>
        <v>0</v>
      </c>
      <c r="X1640">
        <f>DataLog_T717420_Aug11_4_59_37pm[[#This Row],[OIL TEMP '[Â°C']]]-Table3[[#This Row],[4402]]</f>
        <v>0</v>
      </c>
      <c r="Y1640">
        <f>DataLog_T717420_Aug11_4_59_37pm[[#This Row],[INTAKE TEMP '[Â°C']]]-Table3[[#This Row],[580F]]</f>
        <v>0</v>
      </c>
      <c r="Z1640">
        <f>DataLog_T717420_Aug11_4_59_37pm[[#This Row],[HPFP PRES. '[BAR']]]-Table3[[#This Row],[58F0]]</f>
        <v>0</v>
      </c>
      <c r="AA1640">
        <f>DataLog_T717420_Aug11_4_59_37pm[[#This Row],[COOLANT TEMP '[Â°C']]]-Table3[[#This Row],[5805]]</f>
        <v>0</v>
      </c>
      <c r="AB1640">
        <f>DataLog_T717420_Aug11_4_59_37pm[[#This Row],[BOOST '[BAR']]]-Table3[[#This Row],[58DD]]</f>
        <v>0</v>
      </c>
    </row>
    <row r="1641" spans="2:28" x14ac:dyDescent="0.25">
      <c r="B1641" s="2" t="s">
        <v>189</v>
      </c>
      <c r="C1641" s="2" t="s">
        <v>262</v>
      </c>
      <c r="D1641" s="2" t="s">
        <v>151</v>
      </c>
      <c r="E1641" s="2" t="s">
        <v>177</v>
      </c>
      <c r="F1641" s="2" t="s">
        <v>393</v>
      </c>
      <c r="G1641" s="2" t="s">
        <v>90</v>
      </c>
      <c r="I1641">
        <f>HEX2DEC(_0811_173439[[#This Row],[580C]])*B$4/B$5+B$6</f>
        <v>760</v>
      </c>
      <c r="J1641">
        <f>HEX2DEC(_0811_173439[[#This Row],[4402]])*C$4/C$5+C$6</f>
        <v>37</v>
      </c>
      <c r="K1641">
        <f>HEX2DEC(_0811_173439[[#This Row],[580F]])*D$4/D$5+D$6</f>
        <v>30</v>
      </c>
      <c r="L1641">
        <f>ROUND(HEX2DEC(_0811_173439[[#This Row],[58F0]])*E$4/E$5+E$6,0)</f>
        <v>71</v>
      </c>
      <c r="M1641">
        <f>ROUND(HEX2DEC(_0811_173439[[#This Row],[5805]])*F$4/F$5+F$6,0)</f>
        <v>46</v>
      </c>
      <c r="N1641">
        <f>ROUND(HEX2DEC(_0811_173439[[#This Row],[58DD]])*G$4/G$5+G$6,2)</f>
        <v>-0.03</v>
      </c>
      <c r="P1641">
        <v>760</v>
      </c>
      <c r="Q1641">
        <v>37</v>
      </c>
      <c r="R1641">
        <v>30</v>
      </c>
      <c r="S1641">
        <v>71</v>
      </c>
      <c r="T1641">
        <v>46</v>
      </c>
      <c r="U1641">
        <v>-0.03</v>
      </c>
      <c r="W1641">
        <f>DataLog_T717420_Aug11_4_59_37pm[[#This Row],[RPM '[1/MIN']]]-Table3[[#This Row],[580C]]</f>
        <v>0</v>
      </c>
      <c r="X1641">
        <f>DataLog_T717420_Aug11_4_59_37pm[[#This Row],[OIL TEMP '[Â°C']]]-Table3[[#This Row],[4402]]</f>
        <v>0</v>
      </c>
      <c r="Y1641">
        <f>DataLog_T717420_Aug11_4_59_37pm[[#This Row],[INTAKE TEMP '[Â°C']]]-Table3[[#This Row],[580F]]</f>
        <v>0</v>
      </c>
      <c r="Z1641">
        <f>DataLog_T717420_Aug11_4_59_37pm[[#This Row],[HPFP PRES. '[BAR']]]-Table3[[#This Row],[58F0]]</f>
        <v>0</v>
      </c>
      <c r="AA1641">
        <f>DataLog_T717420_Aug11_4_59_37pm[[#This Row],[COOLANT TEMP '[Â°C']]]-Table3[[#This Row],[5805]]</f>
        <v>0</v>
      </c>
      <c r="AB1641">
        <f>DataLog_T717420_Aug11_4_59_37pm[[#This Row],[BOOST '[BAR']]]-Table3[[#This Row],[58DD]]</f>
        <v>0</v>
      </c>
    </row>
    <row r="1642" spans="2:28" x14ac:dyDescent="0.25">
      <c r="B1642" s="2" t="s">
        <v>189</v>
      </c>
      <c r="C1642" s="2" t="s">
        <v>262</v>
      </c>
      <c r="D1642" s="2" t="s">
        <v>151</v>
      </c>
      <c r="E1642" s="2" t="s">
        <v>172</v>
      </c>
      <c r="F1642" s="2" t="s">
        <v>393</v>
      </c>
      <c r="G1642" s="2" t="s">
        <v>258</v>
      </c>
      <c r="I1642">
        <f>HEX2DEC(_0811_173439[[#This Row],[580C]])*B$4/B$5+B$6</f>
        <v>760</v>
      </c>
      <c r="J1642">
        <f>HEX2DEC(_0811_173439[[#This Row],[4402]])*C$4/C$5+C$6</f>
        <v>37</v>
      </c>
      <c r="K1642">
        <f>HEX2DEC(_0811_173439[[#This Row],[580F]])*D$4/D$5+D$6</f>
        <v>30</v>
      </c>
      <c r="L1642">
        <f>ROUND(HEX2DEC(_0811_173439[[#This Row],[58F0]])*E$4/E$5+E$6,0)</f>
        <v>70</v>
      </c>
      <c r="M1642">
        <f>ROUND(HEX2DEC(_0811_173439[[#This Row],[5805]])*F$4/F$5+F$6,0)</f>
        <v>46</v>
      </c>
      <c r="N1642">
        <f>ROUND(HEX2DEC(_0811_173439[[#This Row],[58DD]])*G$4/G$5+G$6,2)</f>
        <v>-0.03</v>
      </c>
      <c r="P1642">
        <v>760</v>
      </c>
      <c r="Q1642">
        <v>37</v>
      </c>
      <c r="R1642">
        <v>30</v>
      </c>
      <c r="S1642">
        <v>70</v>
      </c>
      <c r="T1642">
        <v>46</v>
      </c>
      <c r="U1642">
        <v>-0.03</v>
      </c>
      <c r="W1642">
        <f>DataLog_T717420_Aug11_4_59_37pm[[#This Row],[RPM '[1/MIN']]]-Table3[[#This Row],[580C]]</f>
        <v>0</v>
      </c>
      <c r="X1642">
        <f>DataLog_T717420_Aug11_4_59_37pm[[#This Row],[OIL TEMP '[Â°C']]]-Table3[[#This Row],[4402]]</f>
        <v>0</v>
      </c>
      <c r="Y1642">
        <f>DataLog_T717420_Aug11_4_59_37pm[[#This Row],[INTAKE TEMP '[Â°C']]]-Table3[[#This Row],[580F]]</f>
        <v>0</v>
      </c>
      <c r="Z1642">
        <f>DataLog_T717420_Aug11_4_59_37pm[[#This Row],[HPFP PRES. '[BAR']]]-Table3[[#This Row],[58F0]]</f>
        <v>0</v>
      </c>
      <c r="AA1642">
        <f>DataLog_T717420_Aug11_4_59_37pm[[#This Row],[COOLANT TEMP '[Â°C']]]-Table3[[#This Row],[5805]]</f>
        <v>0</v>
      </c>
      <c r="AB1642">
        <f>DataLog_T717420_Aug11_4_59_37pm[[#This Row],[BOOST '[BAR']]]-Table3[[#This Row],[58DD]]</f>
        <v>0</v>
      </c>
    </row>
    <row r="1643" spans="2:28" x14ac:dyDescent="0.25">
      <c r="B1643" s="2" t="s">
        <v>189</v>
      </c>
      <c r="C1643" s="2" t="s">
        <v>262</v>
      </c>
      <c r="D1643" s="2" t="s">
        <v>151</v>
      </c>
      <c r="E1643" s="2" t="s">
        <v>157</v>
      </c>
      <c r="F1643" s="2" t="s">
        <v>393</v>
      </c>
      <c r="G1643" s="2" t="s">
        <v>216</v>
      </c>
      <c r="I1643">
        <f>HEX2DEC(_0811_173439[[#This Row],[580C]])*B$4/B$5+B$6</f>
        <v>760</v>
      </c>
      <c r="J1643">
        <f>HEX2DEC(_0811_173439[[#This Row],[4402]])*C$4/C$5+C$6</f>
        <v>37</v>
      </c>
      <c r="K1643">
        <f>HEX2DEC(_0811_173439[[#This Row],[580F]])*D$4/D$5+D$6</f>
        <v>30</v>
      </c>
      <c r="L1643">
        <f>ROUND(HEX2DEC(_0811_173439[[#This Row],[58F0]])*E$4/E$5+E$6,0)</f>
        <v>70</v>
      </c>
      <c r="M1643">
        <f>ROUND(HEX2DEC(_0811_173439[[#This Row],[5805]])*F$4/F$5+F$6,0)</f>
        <v>46</v>
      </c>
      <c r="N1643">
        <f>ROUND(HEX2DEC(_0811_173439[[#This Row],[58DD]])*G$4/G$5+G$6,2)</f>
        <v>-0.03</v>
      </c>
      <c r="P1643">
        <v>760</v>
      </c>
      <c r="Q1643">
        <v>37</v>
      </c>
      <c r="R1643">
        <v>30</v>
      </c>
      <c r="S1643">
        <v>70</v>
      </c>
      <c r="T1643">
        <v>46</v>
      </c>
      <c r="U1643">
        <v>-0.03</v>
      </c>
      <c r="W1643">
        <f>DataLog_T717420_Aug11_4_59_37pm[[#This Row],[RPM '[1/MIN']]]-Table3[[#This Row],[580C]]</f>
        <v>0</v>
      </c>
      <c r="X1643">
        <f>DataLog_T717420_Aug11_4_59_37pm[[#This Row],[OIL TEMP '[Â°C']]]-Table3[[#This Row],[4402]]</f>
        <v>0</v>
      </c>
      <c r="Y1643">
        <f>DataLog_T717420_Aug11_4_59_37pm[[#This Row],[INTAKE TEMP '[Â°C']]]-Table3[[#This Row],[580F]]</f>
        <v>0</v>
      </c>
      <c r="Z1643">
        <f>DataLog_T717420_Aug11_4_59_37pm[[#This Row],[HPFP PRES. '[BAR']]]-Table3[[#This Row],[58F0]]</f>
        <v>0</v>
      </c>
      <c r="AA1643">
        <f>DataLog_T717420_Aug11_4_59_37pm[[#This Row],[COOLANT TEMP '[Â°C']]]-Table3[[#This Row],[5805]]</f>
        <v>0</v>
      </c>
      <c r="AB1643">
        <f>DataLog_T717420_Aug11_4_59_37pm[[#This Row],[BOOST '[BAR']]]-Table3[[#This Row],[58DD]]</f>
        <v>0</v>
      </c>
    </row>
    <row r="1644" spans="2:28" x14ac:dyDescent="0.25">
      <c r="B1644" s="2" t="s">
        <v>189</v>
      </c>
      <c r="C1644" s="2" t="s">
        <v>262</v>
      </c>
      <c r="D1644" s="2" t="s">
        <v>151</v>
      </c>
      <c r="E1644" s="2" t="s">
        <v>394</v>
      </c>
      <c r="F1644" s="2" t="s">
        <v>393</v>
      </c>
      <c r="G1644" s="2" t="s">
        <v>90</v>
      </c>
      <c r="I1644">
        <f>HEX2DEC(_0811_173439[[#This Row],[580C]])*B$4/B$5+B$6</f>
        <v>760</v>
      </c>
      <c r="J1644">
        <f>HEX2DEC(_0811_173439[[#This Row],[4402]])*C$4/C$5+C$6</f>
        <v>37</v>
      </c>
      <c r="K1644">
        <f>HEX2DEC(_0811_173439[[#This Row],[580F]])*D$4/D$5+D$6</f>
        <v>30</v>
      </c>
      <c r="L1644">
        <f>ROUND(HEX2DEC(_0811_173439[[#This Row],[58F0]])*E$4/E$5+E$6,0)</f>
        <v>71</v>
      </c>
      <c r="M1644">
        <f>ROUND(HEX2DEC(_0811_173439[[#This Row],[5805]])*F$4/F$5+F$6,0)</f>
        <v>46</v>
      </c>
      <c r="N1644">
        <f>ROUND(HEX2DEC(_0811_173439[[#This Row],[58DD]])*G$4/G$5+G$6,2)</f>
        <v>-0.03</v>
      </c>
      <c r="P1644">
        <v>760</v>
      </c>
      <c r="Q1644">
        <v>37</v>
      </c>
      <c r="R1644">
        <v>30</v>
      </c>
      <c r="S1644">
        <v>71</v>
      </c>
      <c r="T1644">
        <v>46</v>
      </c>
      <c r="U1644">
        <v>-0.03</v>
      </c>
      <c r="W1644">
        <f>DataLog_T717420_Aug11_4_59_37pm[[#This Row],[RPM '[1/MIN']]]-Table3[[#This Row],[580C]]</f>
        <v>0</v>
      </c>
      <c r="X1644">
        <f>DataLog_T717420_Aug11_4_59_37pm[[#This Row],[OIL TEMP '[Â°C']]]-Table3[[#This Row],[4402]]</f>
        <v>0</v>
      </c>
      <c r="Y1644">
        <f>DataLog_T717420_Aug11_4_59_37pm[[#This Row],[INTAKE TEMP '[Â°C']]]-Table3[[#This Row],[580F]]</f>
        <v>0</v>
      </c>
      <c r="Z1644">
        <f>DataLog_T717420_Aug11_4_59_37pm[[#This Row],[HPFP PRES. '[BAR']]]-Table3[[#This Row],[58F0]]</f>
        <v>0</v>
      </c>
      <c r="AA1644">
        <f>DataLog_T717420_Aug11_4_59_37pm[[#This Row],[COOLANT TEMP '[Â°C']]]-Table3[[#This Row],[5805]]</f>
        <v>0</v>
      </c>
      <c r="AB1644">
        <f>DataLog_T717420_Aug11_4_59_37pm[[#This Row],[BOOST '[BAR']]]-Table3[[#This Row],[58DD]]</f>
        <v>0</v>
      </c>
    </row>
    <row r="1645" spans="2:28" x14ac:dyDescent="0.25">
      <c r="B1645" s="2" t="s">
        <v>189</v>
      </c>
      <c r="C1645" s="2" t="s">
        <v>262</v>
      </c>
      <c r="D1645" s="2" t="s">
        <v>151</v>
      </c>
      <c r="E1645" s="2" t="s">
        <v>150</v>
      </c>
      <c r="F1645" s="2" t="s">
        <v>393</v>
      </c>
      <c r="G1645" s="2" t="s">
        <v>53</v>
      </c>
      <c r="I1645">
        <f>HEX2DEC(_0811_173439[[#This Row],[580C]])*B$4/B$5+B$6</f>
        <v>760</v>
      </c>
      <c r="J1645">
        <f>HEX2DEC(_0811_173439[[#This Row],[4402]])*C$4/C$5+C$6</f>
        <v>37</v>
      </c>
      <c r="K1645">
        <f>HEX2DEC(_0811_173439[[#This Row],[580F]])*D$4/D$5+D$6</f>
        <v>30</v>
      </c>
      <c r="L1645">
        <f>ROUND(HEX2DEC(_0811_173439[[#This Row],[58F0]])*E$4/E$5+E$6,0)</f>
        <v>70</v>
      </c>
      <c r="M1645">
        <f>ROUND(HEX2DEC(_0811_173439[[#This Row],[5805]])*F$4/F$5+F$6,0)</f>
        <v>46</v>
      </c>
      <c r="N1645">
        <f>ROUND(HEX2DEC(_0811_173439[[#This Row],[58DD]])*G$4/G$5+G$6,2)</f>
        <v>-0.03</v>
      </c>
      <c r="P1645">
        <v>760</v>
      </c>
      <c r="Q1645">
        <v>37</v>
      </c>
      <c r="R1645">
        <v>30</v>
      </c>
      <c r="S1645">
        <v>70</v>
      </c>
      <c r="T1645">
        <v>46</v>
      </c>
      <c r="U1645">
        <v>-0.03</v>
      </c>
      <c r="W1645">
        <f>DataLog_T717420_Aug11_4_59_37pm[[#This Row],[RPM '[1/MIN']]]-Table3[[#This Row],[580C]]</f>
        <v>0</v>
      </c>
      <c r="X1645">
        <f>DataLog_T717420_Aug11_4_59_37pm[[#This Row],[OIL TEMP '[Â°C']]]-Table3[[#This Row],[4402]]</f>
        <v>0</v>
      </c>
      <c r="Y1645">
        <f>DataLog_T717420_Aug11_4_59_37pm[[#This Row],[INTAKE TEMP '[Â°C']]]-Table3[[#This Row],[580F]]</f>
        <v>0</v>
      </c>
      <c r="Z1645">
        <f>DataLog_T717420_Aug11_4_59_37pm[[#This Row],[HPFP PRES. '[BAR']]]-Table3[[#This Row],[58F0]]</f>
        <v>0</v>
      </c>
      <c r="AA1645">
        <f>DataLog_T717420_Aug11_4_59_37pm[[#This Row],[COOLANT TEMP '[Â°C']]]-Table3[[#This Row],[5805]]</f>
        <v>0</v>
      </c>
      <c r="AB1645">
        <f>DataLog_T717420_Aug11_4_59_37pm[[#This Row],[BOOST '[BAR']]]-Table3[[#This Row],[58DD]]</f>
        <v>0</v>
      </c>
    </row>
    <row r="1646" spans="2:28" x14ac:dyDescent="0.25">
      <c r="B1646" s="2" t="s">
        <v>189</v>
      </c>
      <c r="C1646" s="2" t="s">
        <v>262</v>
      </c>
      <c r="D1646" s="2" t="s">
        <v>151</v>
      </c>
      <c r="E1646" s="2" t="s">
        <v>127</v>
      </c>
      <c r="F1646" s="2" t="s">
        <v>393</v>
      </c>
      <c r="G1646" s="2" t="s">
        <v>191</v>
      </c>
      <c r="I1646">
        <f>HEX2DEC(_0811_173439[[#This Row],[580C]])*B$4/B$5+B$6</f>
        <v>760</v>
      </c>
      <c r="J1646">
        <f>HEX2DEC(_0811_173439[[#This Row],[4402]])*C$4/C$5+C$6</f>
        <v>37</v>
      </c>
      <c r="K1646">
        <f>HEX2DEC(_0811_173439[[#This Row],[580F]])*D$4/D$5+D$6</f>
        <v>30</v>
      </c>
      <c r="L1646">
        <f>ROUND(HEX2DEC(_0811_173439[[#This Row],[58F0]])*E$4/E$5+E$6,0)</f>
        <v>70</v>
      </c>
      <c r="M1646">
        <f>ROUND(HEX2DEC(_0811_173439[[#This Row],[5805]])*F$4/F$5+F$6,0)</f>
        <v>46</v>
      </c>
      <c r="N1646">
        <f>ROUND(HEX2DEC(_0811_173439[[#This Row],[58DD]])*G$4/G$5+G$6,2)</f>
        <v>-0.03</v>
      </c>
      <c r="P1646">
        <v>760</v>
      </c>
      <c r="Q1646">
        <v>37</v>
      </c>
      <c r="R1646">
        <v>30</v>
      </c>
      <c r="S1646">
        <v>70</v>
      </c>
      <c r="T1646">
        <v>46</v>
      </c>
      <c r="U1646">
        <v>-0.03</v>
      </c>
      <c r="W1646">
        <f>DataLog_T717420_Aug11_4_59_37pm[[#This Row],[RPM '[1/MIN']]]-Table3[[#This Row],[580C]]</f>
        <v>0</v>
      </c>
      <c r="X1646">
        <f>DataLog_T717420_Aug11_4_59_37pm[[#This Row],[OIL TEMP '[Â°C']]]-Table3[[#This Row],[4402]]</f>
        <v>0</v>
      </c>
      <c r="Y1646">
        <f>DataLog_T717420_Aug11_4_59_37pm[[#This Row],[INTAKE TEMP '[Â°C']]]-Table3[[#This Row],[580F]]</f>
        <v>0</v>
      </c>
      <c r="Z1646">
        <f>DataLog_T717420_Aug11_4_59_37pm[[#This Row],[HPFP PRES. '[BAR']]]-Table3[[#This Row],[58F0]]</f>
        <v>0</v>
      </c>
      <c r="AA1646">
        <f>DataLog_T717420_Aug11_4_59_37pm[[#This Row],[COOLANT TEMP '[Â°C']]]-Table3[[#This Row],[5805]]</f>
        <v>0</v>
      </c>
      <c r="AB1646">
        <f>DataLog_T717420_Aug11_4_59_37pm[[#This Row],[BOOST '[BAR']]]-Table3[[#This Row],[58DD]]</f>
        <v>0</v>
      </c>
    </row>
    <row r="1647" spans="2:28" x14ac:dyDescent="0.25">
      <c r="B1647" s="2" t="s">
        <v>189</v>
      </c>
      <c r="C1647" s="2" t="s">
        <v>262</v>
      </c>
      <c r="D1647" s="2" t="s">
        <v>151</v>
      </c>
      <c r="E1647" s="2" t="s">
        <v>150</v>
      </c>
      <c r="F1647" s="2" t="s">
        <v>393</v>
      </c>
      <c r="G1647" s="2" t="s">
        <v>190</v>
      </c>
      <c r="I1647">
        <f>HEX2DEC(_0811_173439[[#This Row],[580C]])*B$4/B$5+B$6</f>
        <v>760</v>
      </c>
      <c r="J1647">
        <f>HEX2DEC(_0811_173439[[#This Row],[4402]])*C$4/C$5+C$6</f>
        <v>37</v>
      </c>
      <c r="K1647">
        <f>HEX2DEC(_0811_173439[[#This Row],[580F]])*D$4/D$5+D$6</f>
        <v>30</v>
      </c>
      <c r="L1647">
        <f>ROUND(HEX2DEC(_0811_173439[[#This Row],[58F0]])*E$4/E$5+E$6,0)</f>
        <v>70</v>
      </c>
      <c r="M1647">
        <f>ROUND(HEX2DEC(_0811_173439[[#This Row],[5805]])*F$4/F$5+F$6,0)</f>
        <v>46</v>
      </c>
      <c r="N1647">
        <f>ROUND(HEX2DEC(_0811_173439[[#This Row],[58DD]])*G$4/G$5+G$6,2)</f>
        <v>-0.03</v>
      </c>
      <c r="P1647">
        <v>760</v>
      </c>
      <c r="Q1647">
        <v>37</v>
      </c>
      <c r="R1647">
        <v>30</v>
      </c>
      <c r="S1647">
        <v>70</v>
      </c>
      <c r="T1647">
        <v>46</v>
      </c>
      <c r="U1647">
        <v>-0.03</v>
      </c>
      <c r="W1647">
        <f>DataLog_T717420_Aug11_4_59_37pm[[#This Row],[RPM '[1/MIN']]]-Table3[[#This Row],[580C]]</f>
        <v>0</v>
      </c>
      <c r="X1647">
        <f>DataLog_T717420_Aug11_4_59_37pm[[#This Row],[OIL TEMP '[Â°C']]]-Table3[[#This Row],[4402]]</f>
        <v>0</v>
      </c>
      <c r="Y1647">
        <f>DataLog_T717420_Aug11_4_59_37pm[[#This Row],[INTAKE TEMP '[Â°C']]]-Table3[[#This Row],[580F]]</f>
        <v>0</v>
      </c>
      <c r="Z1647">
        <f>DataLog_T717420_Aug11_4_59_37pm[[#This Row],[HPFP PRES. '[BAR']]]-Table3[[#This Row],[58F0]]</f>
        <v>0</v>
      </c>
      <c r="AA1647">
        <f>DataLog_T717420_Aug11_4_59_37pm[[#This Row],[COOLANT TEMP '[Â°C']]]-Table3[[#This Row],[5805]]</f>
        <v>0</v>
      </c>
      <c r="AB1647">
        <f>DataLog_T717420_Aug11_4_59_37pm[[#This Row],[BOOST '[BAR']]]-Table3[[#This Row],[58DD]]</f>
        <v>0</v>
      </c>
    </row>
    <row r="1648" spans="2:28" x14ac:dyDescent="0.25">
      <c r="B1648" s="2" t="s">
        <v>189</v>
      </c>
      <c r="C1648" s="2" t="s">
        <v>262</v>
      </c>
      <c r="D1648" s="2" t="s">
        <v>151</v>
      </c>
      <c r="E1648" s="2" t="s">
        <v>207</v>
      </c>
      <c r="F1648" s="2" t="s">
        <v>393</v>
      </c>
      <c r="G1648" s="2" t="s">
        <v>191</v>
      </c>
      <c r="I1648">
        <f>HEX2DEC(_0811_173439[[#This Row],[580C]])*B$4/B$5+B$6</f>
        <v>760</v>
      </c>
      <c r="J1648">
        <f>HEX2DEC(_0811_173439[[#This Row],[4402]])*C$4/C$5+C$6</f>
        <v>37</v>
      </c>
      <c r="K1648">
        <f>HEX2DEC(_0811_173439[[#This Row],[580F]])*D$4/D$5+D$6</f>
        <v>30</v>
      </c>
      <c r="L1648">
        <f>ROUND(HEX2DEC(_0811_173439[[#This Row],[58F0]])*E$4/E$5+E$6,0)</f>
        <v>70</v>
      </c>
      <c r="M1648">
        <f>ROUND(HEX2DEC(_0811_173439[[#This Row],[5805]])*F$4/F$5+F$6,0)</f>
        <v>46</v>
      </c>
      <c r="N1648">
        <f>ROUND(HEX2DEC(_0811_173439[[#This Row],[58DD]])*G$4/G$5+G$6,2)</f>
        <v>-0.03</v>
      </c>
      <c r="P1648">
        <v>760</v>
      </c>
      <c r="Q1648">
        <v>37</v>
      </c>
      <c r="R1648">
        <v>30</v>
      </c>
      <c r="S1648">
        <v>70</v>
      </c>
      <c r="T1648">
        <v>46</v>
      </c>
      <c r="U1648">
        <v>-0.03</v>
      </c>
      <c r="W1648">
        <f>DataLog_T717420_Aug11_4_59_37pm[[#This Row],[RPM '[1/MIN']]]-Table3[[#This Row],[580C]]</f>
        <v>0</v>
      </c>
      <c r="X1648">
        <f>DataLog_T717420_Aug11_4_59_37pm[[#This Row],[OIL TEMP '[Â°C']]]-Table3[[#This Row],[4402]]</f>
        <v>0</v>
      </c>
      <c r="Y1648">
        <f>DataLog_T717420_Aug11_4_59_37pm[[#This Row],[INTAKE TEMP '[Â°C']]]-Table3[[#This Row],[580F]]</f>
        <v>0</v>
      </c>
      <c r="Z1648">
        <f>DataLog_T717420_Aug11_4_59_37pm[[#This Row],[HPFP PRES. '[BAR']]]-Table3[[#This Row],[58F0]]</f>
        <v>0</v>
      </c>
      <c r="AA1648">
        <f>DataLog_T717420_Aug11_4_59_37pm[[#This Row],[COOLANT TEMP '[Â°C']]]-Table3[[#This Row],[5805]]</f>
        <v>0</v>
      </c>
      <c r="AB1648">
        <f>DataLog_T717420_Aug11_4_59_37pm[[#This Row],[BOOST '[BAR']]]-Table3[[#This Row],[58DD]]</f>
        <v>0</v>
      </c>
    </row>
    <row r="1649" spans="2:28" x14ac:dyDescent="0.25">
      <c r="B1649" s="2" t="s">
        <v>189</v>
      </c>
      <c r="C1649" s="2" t="s">
        <v>262</v>
      </c>
      <c r="D1649" s="2" t="s">
        <v>151</v>
      </c>
      <c r="E1649" s="2" t="s">
        <v>142</v>
      </c>
      <c r="F1649" s="2" t="s">
        <v>393</v>
      </c>
      <c r="G1649" s="2" t="s">
        <v>96</v>
      </c>
      <c r="I1649">
        <f>HEX2DEC(_0811_173439[[#This Row],[580C]])*B$4/B$5+B$6</f>
        <v>760</v>
      </c>
      <c r="J1649">
        <f>HEX2DEC(_0811_173439[[#This Row],[4402]])*C$4/C$5+C$6</f>
        <v>37</v>
      </c>
      <c r="K1649">
        <f>HEX2DEC(_0811_173439[[#This Row],[580F]])*D$4/D$5+D$6</f>
        <v>30</v>
      </c>
      <c r="L1649">
        <f>ROUND(HEX2DEC(_0811_173439[[#This Row],[58F0]])*E$4/E$5+E$6,0)</f>
        <v>69</v>
      </c>
      <c r="M1649">
        <f>ROUND(HEX2DEC(_0811_173439[[#This Row],[5805]])*F$4/F$5+F$6,0)</f>
        <v>46</v>
      </c>
      <c r="N1649">
        <f>ROUND(HEX2DEC(_0811_173439[[#This Row],[58DD]])*G$4/G$5+G$6,2)</f>
        <v>-0.03</v>
      </c>
      <c r="P1649">
        <v>760</v>
      </c>
      <c r="Q1649">
        <v>37</v>
      </c>
      <c r="R1649">
        <v>30</v>
      </c>
      <c r="S1649">
        <v>69</v>
      </c>
      <c r="T1649">
        <v>46</v>
      </c>
      <c r="U1649">
        <v>-0.03</v>
      </c>
      <c r="W1649">
        <f>DataLog_T717420_Aug11_4_59_37pm[[#This Row],[RPM '[1/MIN']]]-Table3[[#This Row],[580C]]</f>
        <v>0</v>
      </c>
      <c r="X1649">
        <f>DataLog_T717420_Aug11_4_59_37pm[[#This Row],[OIL TEMP '[Â°C']]]-Table3[[#This Row],[4402]]</f>
        <v>0</v>
      </c>
      <c r="Y1649">
        <f>DataLog_T717420_Aug11_4_59_37pm[[#This Row],[INTAKE TEMP '[Â°C']]]-Table3[[#This Row],[580F]]</f>
        <v>0</v>
      </c>
      <c r="Z1649">
        <f>DataLog_T717420_Aug11_4_59_37pm[[#This Row],[HPFP PRES. '[BAR']]]-Table3[[#This Row],[58F0]]</f>
        <v>0</v>
      </c>
      <c r="AA1649">
        <f>DataLog_T717420_Aug11_4_59_37pm[[#This Row],[COOLANT TEMP '[Â°C']]]-Table3[[#This Row],[5805]]</f>
        <v>0</v>
      </c>
      <c r="AB1649">
        <f>DataLog_T717420_Aug11_4_59_37pm[[#This Row],[BOOST '[BAR']]]-Table3[[#This Row],[58DD]]</f>
        <v>0</v>
      </c>
    </row>
    <row r="1650" spans="2:28" x14ac:dyDescent="0.25">
      <c r="B1650" s="2" t="s">
        <v>189</v>
      </c>
      <c r="C1650" s="2" t="s">
        <v>262</v>
      </c>
      <c r="D1650" s="2" t="s">
        <v>151</v>
      </c>
      <c r="E1650" s="2" t="s">
        <v>214</v>
      </c>
      <c r="F1650" s="2" t="s">
        <v>393</v>
      </c>
      <c r="G1650" s="2" t="s">
        <v>236</v>
      </c>
      <c r="I1650">
        <f>HEX2DEC(_0811_173439[[#This Row],[580C]])*B$4/B$5+B$6</f>
        <v>760</v>
      </c>
      <c r="J1650">
        <f>HEX2DEC(_0811_173439[[#This Row],[4402]])*C$4/C$5+C$6</f>
        <v>37</v>
      </c>
      <c r="K1650">
        <f>HEX2DEC(_0811_173439[[#This Row],[580F]])*D$4/D$5+D$6</f>
        <v>30</v>
      </c>
      <c r="L1650">
        <f>ROUND(HEX2DEC(_0811_173439[[#This Row],[58F0]])*E$4/E$5+E$6,0)</f>
        <v>70</v>
      </c>
      <c r="M1650">
        <f>ROUND(HEX2DEC(_0811_173439[[#This Row],[5805]])*F$4/F$5+F$6,0)</f>
        <v>46</v>
      </c>
      <c r="N1650">
        <f>ROUND(HEX2DEC(_0811_173439[[#This Row],[58DD]])*G$4/G$5+G$6,2)</f>
        <v>-0.03</v>
      </c>
      <c r="P1650">
        <v>760</v>
      </c>
      <c r="Q1650">
        <v>37</v>
      </c>
      <c r="R1650">
        <v>30</v>
      </c>
      <c r="S1650">
        <v>70</v>
      </c>
      <c r="T1650">
        <v>46</v>
      </c>
      <c r="U1650">
        <v>-0.03</v>
      </c>
      <c r="W1650">
        <f>DataLog_T717420_Aug11_4_59_37pm[[#This Row],[RPM '[1/MIN']]]-Table3[[#This Row],[580C]]</f>
        <v>0</v>
      </c>
      <c r="X1650">
        <f>DataLog_T717420_Aug11_4_59_37pm[[#This Row],[OIL TEMP '[Â°C']]]-Table3[[#This Row],[4402]]</f>
        <v>0</v>
      </c>
      <c r="Y1650">
        <f>DataLog_T717420_Aug11_4_59_37pm[[#This Row],[INTAKE TEMP '[Â°C']]]-Table3[[#This Row],[580F]]</f>
        <v>0</v>
      </c>
      <c r="Z1650">
        <f>DataLog_T717420_Aug11_4_59_37pm[[#This Row],[HPFP PRES. '[BAR']]]-Table3[[#This Row],[58F0]]</f>
        <v>0</v>
      </c>
      <c r="AA1650">
        <f>DataLog_T717420_Aug11_4_59_37pm[[#This Row],[COOLANT TEMP '[Â°C']]]-Table3[[#This Row],[5805]]</f>
        <v>0</v>
      </c>
      <c r="AB1650">
        <f>DataLog_T717420_Aug11_4_59_37pm[[#This Row],[BOOST '[BAR']]]-Table3[[#This Row],[58DD]]</f>
        <v>0</v>
      </c>
    </row>
    <row r="1651" spans="2:28" x14ac:dyDescent="0.25">
      <c r="B1651" s="2" t="s">
        <v>189</v>
      </c>
      <c r="C1651" s="2" t="s">
        <v>262</v>
      </c>
      <c r="D1651" s="2" t="s">
        <v>151</v>
      </c>
      <c r="E1651" s="2" t="s">
        <v>248</v>
      </c>
      <c r="F1651" s="2" t="s">
        <v>393</v>
      </c>
      <c r="G1651" s="2" t="s">
        <v>255</v>
      </c>
      <c r="I1651">
        <f>HEX2DEC(_0811_173439[[#This Row],[580C]])*B$4/B$5+B$6</f>
        <v>760</v>
      </c>
      <c r="J1651">
        <f>HEX2DEC(_0811_173439[[#This Row],[4402]])*C$4/C$5+C$6</f>
        <v>37</v>
      </c>
      <c r="K1651">
        <f>HEX2DEC(_0811_173439[[#This Row],[580F]])*D$4/D$5+D$6</f>
        <v>30</v>
      </c>
      <c r="L1651">
        <f>ROUND(HEX2DEC(_0811_173439[[#This Row],[58F0]])*E$4/E$5+E$6,0)</f>
        <v>70</v>
      </c>
      <c r="M1651">
        <f>ROUND(HEX2DEC(_0811_173439[[#This Row],[5805]])*F$4/F$5+F$6,0)</f>
        <v>46</v>
      </c>
      <c r="N1651">
        <f>ROUND(HEX2DEC(_0811_173439[[#This Row],[58DD]])*G$4/G$5+G$6,2)</f>
        <v>-0.03</v>
      </c>
      <c r="P1651">
        <v>760</v>
      </c>
      <c r="Q1651">
        <v>37</v>
      </c>
      <c r="R1651">
        <v>30</v>
      </c>
      <c r="S1651">
        <v>70</v>
      </c>
      <c r="T1651">
        <v>46</v>
      </c>
      <c r="U1651">
        <v>-0.03</v>
      </c>
      <c r="W1651">
        <f>DataLog_T717420_Aug11_4_59_37pm[[#This Row],[RPM '[1/MIN']]]-Table3[[#This Row],[580C]]</f>
        <v>0</v>
      </c>
      <c r="X1651">
        <f>DataLog_T717420_Aug11_4_59_37pm[[#This Row],[OIL TEMP '[Â°C']]]-Table3[[#This Row],[4402]]</f>
        <v>0</v>
      </c>
      <c r="Y1651">
        <f>DataLog_T717420_Aug11_4_59_37pm[[#This Row],[INTAKE TEMP '[Â°C']]]-Table3[[#This Row],[580F]]</f>
        <v>0</v>
      </c>
      <c r="Z1651">
        <f>DataLog_T717420_Aug11_4_59_37pm[[#This Row],[HPFP PRES. '[BAR']]]-Table3[[#This Row],[58F0]]</f>
        <v>0</v>
      </c>
      <c r="AA1651">
        <f>DataLog_T717420_Aug11_4_59_37pm[[#This Row],[COOLANT TEMP '[Â°C']]]-Table3[[#This Row],[5805]]</f>
        <v>0</v>
      </c>
      <c r="AB1651">
        <f>DataLog_T717420_Aug11_4_59_37pm[[#This Row],[BOOST '[BAR']]]-Table3[[#This Row],[58DD]]</f>
        <v>0</v>
      </c>
    </row>
    <row r="1652" spans="2:28" x14ac:dyDescent="0.25">
      <c r="B1652" s="2" t="s">
        <v>189</v>
      </c>
      <c r="C1652" s="2" t="s">
        <v>262</v>
      </c>
      <c r="D1652" s="2" t="s">
        <v>151</v>
      </c>
      <c r="E1652" s="2" t="s">
        <v>389</v>
      </c>
      <c r="F1652" s="2" t="s">
        <v>393</v>
      </c>
      <c r="G1652" s="2" t="s">
        <v>236</v>
      </c>
      <c r="I1652">
        <f>HEX2DEC(_0811_173439[[#This Row],[580C]])*B$4/B$5+B$6</f>
        <v>760</v>
      </c>
      <c r="J1652">
        <f>HEX2DEC(_0811_173439[[#This Row],[4402]])*C$4/C$5+C$6</f>
        <v>37</v>
      </c>
      <c r="K1652">
        <f>HEX2DEC(_0811_173439[[#This Row],[580F]])*D$4/D$5+D$6</f>
        <v>30</v>
      </c>
      <c r="L1652">
        <f>ROUND(HEX2DEC(_0811_173439[[#This Row],[58F0]])*E$4/E$5+E$6,0)</f>
        <v>69</v>
      </c>
      <c r="M1652">
        <f>ROUND(HEX2DEC(_0811_173439[[#This Row],[5805]])*F$4/F$5+F$6,0)</f>
        <v>46</v>
      </c>
      <c r="N1652">
        <f>ROUND(HEX2DEC(_0811_173439[[#This Row],[58DD]])*G$4/G$5+G$6,2)</f>
        <v>-0.03</v>
      </c>
      <c r="P1652">
        <v>760</v>
      </c>
      <c r="Q1652">
        <v>37</v>
      </c>
      <c r="R1652">
        <v>30</v>
      </c>
      <c r="S1652">
        <v>69</v>
      </c>
      <c r="T1652">
        <v>46</v>
      </c>
      <c r="U1652">
        <v>-0.03</v>
      </c>
      <c r="W1652">
        <f>DataLog_T717420_Aug11_4_59_37pm[[#This Row],[RPM '[1/MIN']]]-Table3[[#This Row],[580C]]</f>
        <v>0</v>
      </c>
      <c r="X1652">
        <f>DataLog_T717420_Aug11_4_59_37pm[[#This Row],[OIL TEMP '[Â°C']]]-Table3[[#This Row],[4402]]</f>
        <v>0</v>
      </c>
      <c r="Y1652">
        <f>DataLog_T717420_Aug11_4_59_37pm[[#This Row],[INTAKE TEMP '[Â°C']]]-Table3[[#This Row],[580F]]</f>
        <v>0</v>
      </c>
      <c r="Z1652">
        <f>DataLog_T717420_Aug11_4_59_37pm[[#This Row],[HPFP PRES. '[BAR']]]-Table3[[#This Row],[58F0]]</f>
        <v>0</v>
      </c>
      <c r="AA1652">
        <f>DataLog_T717420_Aug11_4_59_37pm[[#This Row],[COOLANT TEMP '[Â°C']]]-Table3[[#This Row],[5805]]</f>
        <v>0</v>
      </c>
      <c r="AB1652">
        <f>DataLog_T717420_Aug11_4_59_37pm[[#This Row],[BOOST '[BAR']]]-Table3[[#This Row],[58DD]]</f>
        <v>0</v>
      </c>
    </row>
    <row r="1653" spans="2:28" x14ac:dyDescent="0.25">
      <c r="B1653" s="2" t="s">
        <v>189</v>
      </c>
      <c r="C1653" s="2" t="s">
        <v>262</v>
      </c>
      <c r="D1653" s="2" t="s">
        <v>151</v>
      </c>
      <c r="E1653" s="2" t="s">
        <v>159</v>
      </c>
      <c r="F1653" s="2" t="s">
        <v>393</v>
      </c>
      <c r="G1653" s="2" t="s">
        <v>236</v>
      </c>
      <c r="I1653">
        <f>HEX2DEC(_0811_173439[[#This Row],[580C]])*B$4/B$5+B$6</f>
        <v>760</v>
      </c>
      <c r="J1653">
        <f>HEX2DEC(_0811_173439[[#This Row],[4402]])*C$4/C$5+C$6</f>
        <v>37</v>
      </c>
      <c r="K1653">
        <f>HEX2DEC(_0811_173439[[#This Row],[580F]])*D$4/D$5+D$6</f>
        <v>30</v>
      </c>
      <c r="L1653">
        <f>ROUND(HEX2DEC(_0811_173439[[#This Row],[58F0]])*E$4/E$5+E$6,0)</f>
        <v>70</v>
      </c>
      <c r="M1653">
        <f>ROUND(HEX2DEC(_0811_173439[[#This Row],[5805]])*F$4/F$5+F$6,0)</f>
        <v>46</v>
      </c>
      <c r="N1653">
        <f>ROUND(HEX2DEC(_0811_173439[[#This Row],[58DD]])*G$4/G$5+G$6,2)</f>
        <v>-0.03</v>
      </c>
      <c r="P1653">
        <v>760</v>
      </c>
      <c r="Q1653">
        <v>37</v>
      </c>
      <c r="R1653">
        <v>30</v>
      </c>
      <c r="S1653">
        <v>70</v>
      </c>
      <c r="T1653">
        <v>46</v>
      </c>
      <c r="U1653">
        <v>-0.03</v>
      </c>
      <c r="W1653">
        <f>DataLog_T717420_Aug11_4_59_37pm[[#This Row],[RPM '[1/MIN']]]-Table3[[#This Row],[580C]]</f>
        <v>0</v>
      </c>
      <c r="X1653">
        <f>DataLog_T717420_Aug11_4_59_37pm[[#This Row],[OIL TEMP '[Â°C']]]-Table3[[#This Row],[4402]]</f>
        <v>0</v>
      </c>
      <c r="Y1653">
        <f>DataLog_T717420_Aug11_4_59_37pm[[#This Row],[INTAKE TEMP '[Â°C']]]-Table3[[#This Row],[580F]]</f>
        <v>0</v>
      </c>
      <c r="Z1653">
        <f>DataLog_T717420_Aug11_4_59_37pm[[#This Row],[HPFP PRES. '[BAR']]]-Table3[[#This Row],[58F0]]</f>
        <v>0</v>
      </c>
      <c r="AA1653">
        <f>DataLog_T717420_Aug11_4_59_37pm[[#This Row],[COOLANT TEMP '[Â°C']]]-Table3[[#This Row],[5805]]</f>
        <v>0</v>
      </c>
      <c r="AB1653">
        <f>DataLog_T717420_Aug11_4_59_37pm[[#This Row],[BOOST '[BAR']]]-Table3[[#This Row],[58DD]]</f>
        <v>0</v>
      </c>
    </row>
    <row r="1654" spans="2:28" x14ac:dyDescent="0.25">
      <c r="B1654" s="2" t="s">
        <v>189</v>
      </c>
      <c r="C1654" s="2" t="s">
        <v>262</v>
      </c>
      <c r="D1654" s="2" t="s">
        <v>151</v>
      </c>
      <c r="E1654" s="2" t="s">
        <v>127</v>
      </c>
      <c r="F1654" s="2" t="s">
        <v>393</v>
      </c>
      <c r="G1654" s="2" t="s">
        <v>245</v>
      </c>
      <c r="I1654">
        <f>HEX2DEC(_0811_173439[[#This Row],[580C]])*B$4/B$5+B$6</f>
        <v>760</v>
      </c>
      <c r="J1654">
        <f>HEX2DEC(_0811_173439[[#This Row],[4402]])*C$4/C$5+C$6</f>
        <v>37</v>
      </c>
      <c r="K1654">
        <f>HEX2DEC(_0811_173439[[#This Row],[580F]])*D$4/D$5+D$6</f>
        <v>30</v>
      </c>
      <c r="L1654">
        <f>ROUND(HEX2DEC(_0811_173439[[#This Row],[58F0]])*E$4/E$5+E$6,0)</f>
        <v>70</v>
      </c>
      <c r="M1654">
        <f>ROUND(HEX2DEC(_0811_173439[[#This Row],[5805]])*F$4/F$5+F$6,0)</f>
        <v>46</v>
      </c>
      <c r="N1654">
        <f>ROUND(HEX2DEC(_0811_173439[[#This Row],[58DD]])*G$4/G$5+G$6,2)</f>
        <v>-0.03</v>
      </c>
      <c r="P1654">
        <v>760</v>
      </c>
      <c r="Q1654">
        <v>37</v>
      </c>
      <c r="R1654">
        <v>30</v>
      </c>
      <c r="S1654">
        <v>70</v>
      </c>
      <c r="T1654">
        <v>46</v>
      </c>
      <c r="U1654">
        <v>-0.03</v>
      </c>
      <c r="W1654">
        <f>DataLog_T717420_Aug11_4_59_37pm[[#This Row],[RPM '[1/MIN']]]-Table3[[#This Row],[580C]]</f>
        <v>0</v>
      </c>
      <c r="X1654">
        <f>DataLog_T717420_Aug11_4_59_37pm[[#This Row],[OIL TEMP '[Â°C']]]-Table3[[#This Row],[4402]]</f>
        <v>0</v>
      </c>
      <c r="Y1654">
        <f>DataLog_T717420_Aug11_4_59_37pm[[#This Row],[INTAKE TEMP '[Â°C']]]-Table3[[#This Row],[580F]]</f>
        <v>0</v>
      </c>
      <c r="Z1654">
        <f>DataLog_T717420_Aug11_4_59_37pm[[#This Row],[HPFP PRES. '[BAR']]]-Table3[[#This Row],[58F0]]</f>
        <v>0</v>
      </c>
      <c r="AA1654">
        <f>DataLog_T717420_Aug11_4_59_37pm[[#This Row],[COOLANT TEMP '[Â°C']]]-Table3[[#This Row],[5805]]</f>
        <v>0</v>
      </c>
      <c r="AB1654">
        <f>DataLog_T717420_Aug11_4_59_37pm[[#This Row],[BOOST '[BAR']]]-Table3[[#This Row],[58DD]]</f>
        <v>0</v>
      </c>
    </row>
    <row r="1655" spans="2:28" x14ac:dyDescent="0.25">
      <c r="B1655" s="2" t="s">
        <v>189</v>
      </c>
      <c r="C1655" s="2" t="s">
        <v>262</v>
      </c>
      <c r="D1655" s="2" t="s">
        <v>151</v>
      </c>
      <c r="E1655" s="2" t="s">
        <v>388</v>
      </c>
      <c r="F1655" s="2" t="s">
        <v>393</v>
      </c>
      <c r="G1655" s="2" t="s">
        <v>191</v>
      </c>
      <c r="I1655">
        <f>HEX2DEC(_0811_173439[[#This Row],[580C]])*B$4/B$5+B$6</f>
        <v>760</v>
      </c>
      <c r="J1655">
        <f>HEX2DEC(_0811_173439[[#This Row],[4402]])*C$4/C$5+C$6</f>
        <v>37</v>
      </c>
      <c r="K1655">
        <f>HEX2DEC(_0811_173439[[#This Row],[580F]])*D$4/D$5+D$6</f>
        <v>30</v>
      </c>
      <c r="L1655">
        <f>ROUND(HEX2DEC(_0811_173439[[#This Row],[58F0]])*E$4/E$5+E$6,0)</f>
        <v>69</v>
      </c>
      <c r="M1655">
        <f>ROUND(HEX2DEC(_0811_173439[[#This Row],[5805]])*F$4/F$5+F$6,0)</f>
        <v>46</v>
      </c>
      <c r="N1655">
        <f>ROUND(HEX2DEC(_0811_173439[[#This Row],[58DD]])*G$4/G$5+G$6,2)</f>
        <v>-0.03</v>
      </c>
      <c r="P1655">
        <v>760</v>
      </c>
      <c r="Q1655">
        <v>37</v>
      </c>
      <c r="R1655">
        <v>30</v>
      </c>
      <c r="S1655">
        <v>69</v>
      </c>
      <c r="T1655">
        <v>46</v>
      </c>
      <c r="U1655">
        <v>-0.03</v>
      </c>
      <c r="W1655">
        <f>DataLog_T717420_Aug11_4_59_37pm[[#This Row],[RPM '[1/MIN']]]-Table3[[#This Row],[580C]]</f>
        <v>0</v>
      </c>
      <c r="X1655">
        <f>DataLog_T717420_Aug11_4_59_37pm[[#This Row],[OIL TEMP '[Â°C']]]-Table3[[#This Row],[4402]]</f>
        <v>0</v>
      </c>
      <c r="Y1655">
        <f>DataLog_T717420_Aug11_4_59_37pm[[#This Row],[INTAKE TEMP '[Â°C']]]-Table3[[#This Row],[580F]]</f>
        <v>0</v>
      </c>
      <c r="Z1655">
        <f>DataLog_T717420_Aug11_4_59_37pm[[#This Row],[HPFP PRES. '[BAR']]]-Table3[[#This Row],[58F0]]</f>
        <v>0</v>
      </c>
      <c r="AA1655">
        <f>DataLog_T717420_Aug11_4_59_37pm[[#This Row],[COOLANT TEMP '[Â°C']]]-Table3[[#This Row],[5805]]</f>
        <v>0</v>
      </c>
      <c r="AB1655">
        <f>DataLog_T717420_Aug11_4_59_37pm[[#This Row],[BOOST '[BAR']]]-Table3[[#This Row],[58DD]]</f>
        <v>0</v>
      </c>
    </row>
    <row r="1656" spans="2:28" x14ac:dyDescent="0.25">
      <c r="B1656" s="2" t="s">
        <v>189</v>
      </c>
      <c r="C1656" s="2" t="s">
        <v>262</v>
      </c>
      <c r="D1656" s="2" t="s">
        <v>151</v>
      </c>
      <c r="E1656" s="2" t="s">
        <v>159</v>
      </c>
      <c r="F1656" s="2" t="s">
        <v>393</v>
      </c>
      <c r="G1656" s="2" t="s">
        <v>96</v>
      </c>
      <c r="I1656">
        <f>HEX2DEC(_0811_173439[[#This Row],[580C]])*B$4/B$5+B$6</f>
        <v>760</v>
      </c>
      <c r="J1656">
        <f>HEX2DEC(_0811_173439[[#This Row],[4402]])*C$4/C$5+C$6</f>
        <v>37</v>
      </c>
      <c r="K1656">
        <f>HEX2DEC(_0811_173439[[#This Row],[580F]])*D$4/D$5+D$6</f>
        <v>30</v>
      </c>
      <c r="L1656">
        <f>ROUND(HEX2DEC(_0811_173439[[#This Row],[58F0]])*E$4/E$5+E$6,0)</f>
        <v>70</v>
      </c>
      <c r="M1656">
        <f>ROUND(HEX2DEC(_0811_173439[[#This Row],[5805]])*F$4/F$5+F$6,0)</f>
        <v>46</v>
      </c>
      <c r="N1656">
        <f>ROUND(HEX2DEC(_0811_173439[[#This Row],[58DD]])*G$4/G$5+G$6,2)</f>
        <v>-0.03</v>
      </c>
      <c r="P1656">
        <v>760</v>
      </c>
      <c r="Q1656">
        <v>37</v>
      </c>
      <c r="R1656">
        <v>30</v>
      </c>
      <c r="S1656">
        <v>70</v>
      </c>
      <c r="T1656">
        <v>46</v>
      </c>
      <c r="U1656">
        <v>-0.03</v>
      </c>
      <c r="W1656">
        <f>DataLog_T717420_Aug11_4_59_37pm[[#This Row],[RPM '[1/MIN']]]-Table3[[#This Row],[580C]]</f>
        <v>0</v>
      </c>
      <c r="X1656">
        <f>DataLog_T717420_Aug11_4_59_37pm[[#This Row],[OIL TEMP '[Â°C']]]-Table3[[#This Row],[4402]]</f>
        <v>0</v>
      </c>
      <c r="Y1656">
        <f>DataLog_T717420_Aug11_4_59_37pm[[#This Row],[INTAKE TEMP '[Â°C']]]-Table3[[#This Row],[580F]]</f>
        <v>0</v>
      </c>
      <c r="Z1656">
        <f>DataLog_T717420_Aug11_4_59_37pm[[#This Row],[HPFP PRES. '[BAR']]]-Table3[[#This Row],[58F0]]</f>
        <v>0</v>
      </c>
      <c r="AA1656">
        <f>DataLog_T717420_Aug11_4_59_37pm[[#This Row],[COOLANT TEMP '[Â°C']]]-Table3[[#This Row],[5805]]</f>
        <v>0</v>
      </c>
      <c r="AB1656">
        <f>DataLog_T717420_Aug11_4_59_37pm[[#This Row],[BOOST '[BAR']]]-Table3[[#This Row],[58DD]]</f>
        <v>0</v>
      </c>
    </row>
    <row r="1657" spans="2:28" x14ac:dyDescent="0.25">
      <c r="B1657" s="2" t="s">
        <v>189</v>
      </c>
      <c r="C1657" s="2" t="s">
        <v>262</v>
      </c>
      <c r="D1657" s="2" t="s">
        <v>151</v>
      </c>
      <c r="E1657" s="2" t="s">
        <v>141</v>
      </c>
      <c r="F1657" s="2" t="s">
        <v>393</v>
      </c>
      <c r="G1657" s="2" t="s">
        <v>71</v>
      </c>
      <c r="I1657">
        <f>HEX2DEC(_0811_173439[[#This Row],[580C]])*B$4/B$5+B$6</f>
        <v>760</v>
      </c>
      <c r="J1657">
        <f>HEX2DEC(_0811_173439[[#This Row],[4402]])*C$4/C$5+C$6</f>
        <v>37</v>
      </c>
      <c r="K1657">
        <f>HEX2DEC(_0811_173439[[#This Row],[580F]])*D$4/D$5+D$6</f>
        <v>30</v>
      </c>
      <c r="L1657">
        <f>ROUND(HEX2DEC(_0811_173439[[#This Row],[58F0]])*E$4/E$5+E$6,0)</f>
        <v>70</v>
      </c>
      <c r="M1657">
        <f>ROUND(HEX2DEC(_0811_173439[[#This Row],[5805]])*F$4/F$5+F$6,0)</f>
        <v>46</v>
      </c>
      <c r="N1657">
        <f>ROUND(HEX2DEC(_0811_173439[[#This Row],[58DD]])*G$4/G$5+G$6,2)</f>
        <v>-0.03</v>
      </c>
      <c r="P1657">
        <v>760</v>
      </c>
      <c r="Q1657">
        <v>37</v>
      </c>
      <c r="R1657">
        <v>30</v>
      </c>
      <c r="S1657">
        <v>70</v>
      </c>
      <c r="T1657">
        <v>46</v>
      </c>
      <c r="U1657">
        <v>-0.03</v>
      </c>
      <c r="W1657">
        <f>DataLog_T717420_Aug11_4_59_37pm[[#This Row],[RPM '[1/MIN']]]-Table3[[#This Row],[580C]]</f>
        <v>0</v>
      </c>
      <c r="X1657">
        <f>DataLog_T717420_Aug11_4_59_37pm[[#This Row],[OIL TEMP '[Â°C']]]-Table3[[#This Row],[4402]]</f>
        <v>0</v>
      </c>
      <c r="Y1657">
        <f>DataLog_T717420_Aug11_4_59_37pm[[#This Row],[INTAKE TEMP '[Â°C']]]-Table3[[#This Row],[580F]]</f>
        <v>0</v>
      </c>
      <c r="Z1657">
        <f>DataLog_T717420_Aug11_4_59_37pm[[#This Row],[HPFP PRES. '[BAR']]]-Table3[[#This Row],[58F0]]</f>
        <v>0</v>
      </c>
      <c r="AA1657">
        <f>DataLog_T717420_Aug11_4_59_37pm[[#This Row],[COOLANT TEMP '[Â°C']]]-Table3[[#This Row],[5805]]</f>
        <v>0</v>
      </c>
      <c r="AB1657">
        <f>DataLog_T717420_Aug11_4_59_37pm[[#This Row],[BOOST '[BAR']]]-Table3[[#This Row],[58DD]]</f>
        <v>0</v>
      </c>
    </row>
    <row r="1658" spans="2:28" x14ac:dyDescent="0.25">
      <c r="B1658" s="2" t="s">
        <v>189</v>
      </c>
      <c r="C1658" s="2" t="s">
        <v>262</v>
      </c>
      <c r="D1658" s="2" t="s">
        <v>151</v>
      </c>
      <c r="E1658" s="2" t="s">
        <v>138</v>
      </c>
      <c r="F1658" s="2" t="s">
        <v>393</v>
      </c>
      <c r="G1658" s="2" t="s">
        <v>96</v>
      </c>
      <c r="I1658">
        <f>HEX2DEC(_0811_173439[[#This Row],[580C]])*B$4/B$5+B$6</f>
        <v>760</v>
      </c>
      <c r="J1658">
        <f>HEX2DEC(_0811_173439[[#This Row],[4402]])*C$4/C$5+C$6</f>
        <v>37</v>
      </c>
      <c r="K1658">
        <f>HEX2DEC(_0811_173439[[#This Row],[580F]])*D$4/D$5+D$6</f>
        <v>30</v>
      </c>
      <c r="L1658">
        <f>ROUND(HEX2DEC(_0811_173439[[#This Row],[58F0]])*E$4/E$5+E$6,0)</f>
        <v>70</v>
      </c>
      <c r="M1658">
        <f>ROUND(HEX2DEC(_0811_173439[[#This Row],[5805]])*F$4/F$5+F$6,0)</f>
        <v>46</v>
      </c>
      <c r="N1658">
        <f>ROUND(HEX2DEC(_0811_173439[[#This Row],[58DD]])*G$4/G$5+G$6,2)</f>
        <v>-0.03</v>
      </c>
      <c r="P1658">
        <v>760</v>
      </c>
      <c r="Q1658">
        <v>37</v>
      </c>
      <c r="R1658">
        <v>30</v>
      </c>
      <c r="S1658">
        <v>70</v>
      </c>
      <c r="T1658">
        <v>46</v>
      </c>
      <c r="U1658">
        <v>-0.03</v>
      </c>
      <c r="W1658">
        <f>DataLog_T717420_Aug11_4_59_37pm[[#This Row],[RPM '[1/MIN']]]-Table3[[#This Row],[580C]]</f>
        <v>0</v>
      </c>
      <c r="X1658">
        <f>DataLog_T717420_Aug11_4_59_37pm[[#This Row],[OIL TEMP '[Â°C']]]-Table3[[#This Row],[4402]]</f>
        <v>0</v>
      </c>
      <c r="Y1658">
        <f>DataLog_T717420_Aug11_4_59_37pm[[#This Row],[INTAKE TEMP '[Â°C']]]-Table3[[#This Row],[580F]]</f>
        <v>0</v>
      </c>
      <c r="Z1658">
        <f>DataLog_T717420_Aug11_4_59_37pm[[#This Row],[HPFP PRES. '[BAR']]]-Table3[[#This Row],[58F0]]</f>
        <v>0</v>
      </c>
      <c r="AA1658">
        <f>DataLog_T717420_Aug11_4_59_37pm[[#This Row],[COOLANT TEMP '[Â°C']]]-Table3[[#This Row],[5805]]</f>
        <v>0</v>
      </c>
      <c r="AB1658">
        <f>DataLog_T717420_Aug11_4_59_37pm[[#This Row],[BOOST '[BAR']]]-Table3[[#This Row],[58DD]]</f>
        <v>0</v>
      </c>
    </row>
    <row r="1659" spans="2:28" x14ac:dyDescent="0.25">
      <c r="B1659" s="2" t="s">
        <v>189</v>
      </c>
      <c r="C1659" s="2" t="s">
        <v>262</v>
      </c>
      <c r="D1659" s="2" t="s">
        <v>151</v>
      </c>
      <c r="E1659" s="2" t="s">
        <v>199</v>
      </c>
      <c r="F1659" s="2" t="s">
        <v>393</v>
      </c>
      <c r="G1659" s="2" t="s">
        <v>236</v>
      </c>
      <c r="I1659">
        <f>HEX2DEC(_0811_173439[[#This Row],[580C]])*B$4/B$5+B$6</f>
        <v>760</v>
      </c>
      <c r="J1659">
        <f>HEX2DEC(_0811_173439[[#This Row],[4402]])*C$4/C$5+C$6</f>
        <v>37</v>
      </c>
      <c r="K1659">
        <f>HEX2DEC(_0811_173439[[#This Row],[580F]])*D$4/D$5+D$6</f>
        <v>30</v>
      </c>
      <c r="L1659">
        <f>ROUND(HEX2DEC(_0811_173439[[#This Row],[58F0]])*E$4/E$5+E$6,0)</f>
        <v>70</v>
      </c>
      <c r="M1659">
        <f>ROUND(HEX2DEC(_0811_173439[[#This Row],[5805]])*F$4/F$5+F$6,0)</f>
        <v>46</v>
      </c>
      <c r="N1659">
        <f>ROUND(HEX2DEC(_0811_173439[[#This Row],[58DD]])*G$4/G$5+G$6,2)</f>
        <v>-0.03</v>
      </c>
      <c r="P1659">
        <v>760</v>
      </c>
      <c r="Q1659">
        <v>37</v>
      </c>
      <c r="R1659">
        <v>30</v>
      </c>
      <c r="S1659">
        <v>70</v>
      </c>
      <c r="T1659">
        <v>46</v>
      </c>
      <c r="U1659">
        <v>-0.03</v>
      </c>
      <c r="W1659">
        <f>DataLog_T717420_Aug11_4_59_37pm[[#This Row],[RPM '[1/MIN']]]-Table3[[#This Row],[580C]]</f>
        <v>0</v>
      </c>
      <c r="X1659">
        <f>DataLog_T717420_Aug11_4_59_37pm[[#This Row],[OIL TEMP '[Â°C']]]-Table3[[#This Row],[4402]]</f>
        <v>0</v>
      </c>
      <c r="Y1659">
        <f>DataLog_T717420_Aug11_4_59_37pm[[#This Row],[INTAKE TEMP '[Â°C']]]-Table3[[#This Row],[580F]]</f>
        <v>0</v>
      </c>
      <c r="Z1659">
        <f>DataLog_T717420_Aug11_4_59_37pm[[#This Row],[HPFP PRES. '[BAR']]]-Table3[[#This Row],[58F0]]</f>
        <v>0</v>
      </c>
      <c r="AA1659">
        <f>DataLog_T717420_Aug11_4_59_37pm[[#This Row],[COOLANT TEMP '[Â°C']]]-Table3[[#This Row],[5805]]</f>
        <v>0</v>
      </c>
      <c r="AB1659">
        <f>DataLog_T717420_Aug11_4_59_37pm[[#This Row],[BOOST '[BAR']]]-Table3[[#This Row],[58DD]]</f>
        <v>0</v>
      </c>
    </row>
    <row r="1660" spans="2:28" x14ac:dyDescent="0.25">
      <c r="B1660" s="2" t="s">
        <v>189</v>
      </c>
      <c r="C1660" s="2" t="s">
        <v>262</v>
      </c>
      <c r="D1660" s="2" t="s">
        <v>151</v>
      </c>
      <c r="E1660" s="2" t="s">
        <v>93</v>
      </c>
      <c r="F1660" s="2" t="s">
        <v>393</v>
      </c>
      <c r="G1660" s="2" t="s">
        <v>53</v>
      </c>
      <c r="I1660">
        <f>HEX2DEC(_0811_173439[[#This Row],[580C]])*B$4/B$5+B$6</f>
        <v>760</v>
      </c>
      <c r="J1660">
        <f>HEX2DEC(_0811_173439[[#This Row],[4402]])*C$4/C$5+C$6</f>
        <v>37</v>
      </c>
      <c r="K1660">
        <f>HEX2DEC(_0811_173439[[#This Row],[580F]])*D$4/D$5+D$6</f>
        <v>30</v>
      </c>
      <c r="L1660">
        <f>ROUND(HEX2DEC(_0811_173439[[#This Row],[58F0]])*E$4/E$5+E$6,0)</f>
        <v>70</v>
      </c>
      <c r="M1660">
        <f>ROUND(HEX2DEC(_0811_173439[[#This Row],[5805]])*F$4/F$5+F$6,0)</f>
        <v>46</v>
      </c>
      <c r="N1660">
        <f>ROUND(HEX2DEC(_0811_173439[[#This Row],[58DD]])*G$4/G$5+G$6,2)</f>
        <v>-0.03</v>
      </c>
      <c r="P1660">
        <v>760</v>
      </c>
      <c r="Q1660">
        <v>37</v>
      </c>
      <c r="R1660">
        <v>30</v>
      </c>
      <c r="S1660">
        <v>70</v>
      </c>
      <c r="T1660">
        <v>46</v>
      </c>
      <c r="U1660">
        <v>-0.03</v>
      </c>
      <c r="W1660">
        <f>DataLog_T717420_Aug11_4_59_37pm[[#This Row],[RPM '[1/MIN']]]-Table3[[#This Row],[580C]]</f>
        <v>0</v>
      </c>
      <c r="X1660">
        <f>DataLog_T717420_Aug11_4_59_37pm[[#This Row],[OIL TEMP '[Â°C']]]-Table3[[#This Row],[4402]]</f>
        <v>0</v>
      </c>
      <c r="Y1660">
        <f>DataLog_T717420_Aug11_4_59_37pm[[#This Row],[INTAKE TEMP '[Â°C']]]-Table3[[#This Row],[580F]]</f>
        <v>0</v>
      </c>
      <c r="Z1660">
        <f>DataLog_T717420_Aug11_4_59_37pm[[#This Row],[HPFP PRES. '[BAR']]]-Table3[[#This Row],[58F0]]</f>
        <v>0</v>
      </c>
      <c r="AA1660">
        <f>DataLog_T717420_Aug11_4_59_37pm[[#This Row],[COOLANT TEMP '[Â°C']]]-Table3[[#This Row],[5805]]</f>
        <v>0</v>
      </c>
      <c r="AB1660">
        <f>DataLog_T717420_Aug11_4_59_37pm[[#This Row],[BOOST '[BAR']]]-Table3[[#This Row],[58DD]]</f>
        <v>0</v>
      </c>
    </row>
    <row r="1661" spans="2:28" x14ac:dyDescent="0.25">
      <c r="B1661" s="2" t="s">
        <v>189</v>
      </c>
      <c r="C1661" s="2" t="s">
        <v>262</v>
      </c>
      <c r="D1661" s="2" t="s">
        <v>151</v>
      </c>
      <c r="E1661" s="2" t="s">
        <v>194</v>
      </c>
      <c r="F1661" s="2" t="s">
        <v>393</v>
      </c>
      <c r="G1661" s="2" t="s">
        <v>190</v>
      </c>
      <c r="I1661">
        <f>HEX2DEC(_0811_173439[[#This Row],[580C]])*B$4/B$5+B$6</f>
        <v>760</v>
      </c>
      <c r="J1661">
        <f>HEX2DEC(_0811_173439[[#This Row],[4402]])*C$4/C$5+C$6</f>
        <v>37</v>
      </c>
      <c r="K1661">
        <f>HEX2DEC(_0811_173439[[#This Row],[580F]])*D$4/D$5+D$6</f>
        <v>30</v>
      </c>
      <c r="L1661">
        <f>ROUND(HEX2DEC(_0811_173439[[#This Row],[58F0]])*E$4/E$5+E$6,0)</f>
        <v>70</v>
      </c>
      <c r="M1661">
        <f>ROUND(HEX2DEC(_0811_173439[[#This Row],[5805]])*F$4/F$5+F$6,0)</f>
        <v>46</v>
      </c>
      <c r="N1661">
        <f>ROUND(HEX2DEC(_0811_173439[[#This Row],[58DD]])*G$4/G$5+G$6,2)</f>
        <v>-0.03</v>
      </c>
      <c r="P1661">
        <v>760</v>
      </c>
      <c r="Q1661">
        <v>37</v>
      </c>
      <c r="R1661">
        <v>30</v>
      </c>
      <c r="S1661">
        <v>70</v>
      </c>
      <c r="T1661">
        <v>46</v>
      </c>
      <c r="U1661">
        <v>-0.03</v>
      </c>
      <c r="W1661">
        <f>DataLog_T717420_Aug11_4_59_37pm[[#This Row],[RPM '[1/MIN']]]-Table3[[#This Row],[580C]]</f>
        <v>0</v>
      </c>
      <c r="X1661">
        <f>DataLog_T717420_Aug11_4_59_37pm[[#This Row],[OIL TEMP '[Â°C']]]-Table3[[#This Row],[4402]]</f>
        <v>0</v>
      </c>
      <c r="Y1661">
        <f>DataLog_T717420_Aug11_4_59_37pm[[#This Row],[INTAKE TEMP '[Â°C']]]-Table3[[#This Row],[580F]]</f>
        <v>0</v>
      </c>
      <c r="Z1661">
        <f>DataLog_T717420_Aug11_4_59_37pm[[#This Row],[HPFP PRES. '[BAR']]]-Table3[[#This Row],[58F0]]</f>
        <v>0</v>
      </c>
      <c r="AA1661">
        <f>DataLog_T717420_Aug11_4_59_37pm[[#This Row],[COOLANT TEMP '[Â°C']]]-Table3[[#This Row],[5805]]</f>
        <v>0</v>
      </c>
      <c r="AB1661">
        <f>DataLog_T717420_Aug11_4_59_37pm[[#This Row],[BOOST '[BAR']]]-Table3[[#This Row],[58DD]]</f>
        <v>0</v>
      </c>
    </row>
    <row r="1662" spans="2:28" x14ac:dyDescent="0.25">
      <c r="B1662" s="2" t="s">
        <v>189</v>
      </c>
      <c r="C1662" s="2" t="s">
        <v>262</v>
      </c>
      <c r="D1662" s="2" t="s">
        <v>151</v>
      </c>
      <c r="E1662" s="2" t="s">
        <v>93</v>
      </c>
      <c r="F1662" s="2" t="s">
        <v>393</v>
      </c>
      <c r="G1662" s="2" t="s">
        <v>71</v>
      </c>
      <c r="I1662">
        <f>HEX2DEC(_0811_173439[[#This Row],[580C]])*B$4/B$5+B$6</f>
        <v>760</v>
      </c>
      <c r="J1662">
        <f>HEX2DEC(_0811_173439[[#This Row],[4402]])*C$4/C$5+C$6</f>
        <v>37</v>
      </c>
      <c r="K1662">
        <f>HEX2DEC(_0811_173439[[#This Row],[580F]])*D$4/D$5+D$6</f>
        <v>30</v>
      </c>
      <c r="L1662">
        <f>ROUND(HEX2DEC(_0811_173439[[#This Row],[58F0]])*E$4/E$5+E$6,0)</f>
        <v>70</v>
      </c>
      <c r="M1662">
        <f>ROUND(HEX2DEC(_0811_173439[[#This Row],[5805]])*F$4/F$5+F$6,0)</f>
        <v>46</v>
      </c>
      <c r="N1662">
        <f>ROUND(HEX2DEC(_0811_173439[[#This Row],[58DD]])*G$4/G$5+G$6,2)</f>
        <v>-0.03</v>
      </c>
      <c r="P1662">
        <v>760</v>
      </c>
      <c r="Q1662">
        <v>37</v>
      </c>
      <c r="R1662">
        <v>30</v>
      </c>
      <c r="S1662">
        <v>70</v>
      </c>
      <c r="T1662">
        <v>46</v>
      </c>
      <c r="U1662">
        <v>-0.03</v>
      </c>
      <c r="W1662">
        <f>DataLog_T717420_Aug11_4_59_37pm[[#This Row],[RPM '[1/MIN']]]-Table3[[#This Row],[580C]]</f>
        <v>0</v>
      </c>
      <c r="X1662">
        <f>DataLog_T717420_Aug11_4_59_37pm[[#This Row],[OIL TEMP '[Â°C']]]-Table3[[#This Row],[4402]]</f>
        <v>0</v>
      </c>
      <c r="Y1662">
        <f>DataLog_T717420_Aug11_4_59_37pm[[#This Row],[INTAKE TEMP '[Â°C']]]-Table3[[#This Row],[580F]]</f>
        <v>0</v>
      </c>
      <c r="Z1662">
        <f>DataLog_T717420_Aug11_4_59_37pm[[#This Row],[HPFP PRES. '[BAR']]]-Table3[[#This Row],[58F0]]</f>
        <v>0</v>
      </c>
      <c r="AA1662">
        <f>DataLog_T717420_Aug11_4_59_37pm[[#This Row],[COOLANT TEMP '[Â°C']]]-Table3[[#This Row],[5805]]</f>
        <v>0</v>
      </c>
      <c r="AB1662">
        <f>DataLog_T717420_Aug11_4_59_37pm[[#This Row],[BOOST '[BAR']]]-Table3[[#This Row],[58DD]]</f>
        <v>0</v>
      </c>
    </row>
    <row r="1663" spans="2:28" x14ac:dyDescent="0.25">
      <c r="B1663" s="2" t="s">
        <v>189</v>
      </c>
      <c r="C1663" s="2" t="s">
        <v>262</v>
      </c>
      <c r="D1663" s="2" t="s">
        <v>151</v>
      </c>
      <c r="E1663" s="2" t="s">
        <v>122</v>
      </c>
      <c r="F1663" s="2" t="s">
        <v>393</v>
      </c>
      <c r="G1663" s="2" t="s">
        <v>236</v>
      </c>
      <c r="I1663">
        <f>HEX2DEC(_0811_173439[[#This Row],[580C]])*B$4/B$5+B$6</f>
        <v>760</v>
      </c>
      <c r="J1663">
        <f>HEX2DEC(_0811_173439[[#This Row],[4402]])*C$4/C$5+C$6</f>
        <v>37</v>
      </c>
      <c r="K1663">
        <f>HEX2DEC(_0811_173439[[#This Row],[580F]])*D$4/D$5+D$6</f>
        <v>30</v>
      </c>
      <c r="L1663">
        <f>ROUND(HEX2DEC(_0811_173439[[#This Row],[58F0]])*E$4/E$5+E$6,0)</f>
        <v>71</v>
      </c>
      <c r="M1663">
        <f>ROUND(HEX2DEC(_0811_173439[[#This Row],[5805]])*F$4/F$5+F$6,0)</f>
        <v>46</v>
      </c>
      <c r="N1663">
        <f>ROUND(HEX2DEC(_0811_173439[[#This Row],[58DD]])*G$4/G$5+G$6,2)</f>
        <v>-0.03</v>
      </c>
      <c r="P1663">
        <v>760</v>
      </c>
      <c r="Q1663">
        <v>37</v>
      </c>
      <c r="R1663">
        <v>30</v>
      </c>
      <c r="S1663">
        <v>71</v>
      </c>
      <c r="T1663">
        <v>46</v>
      </c>
      <c r="U1663">
        <v>-0.03</v>
      </c>
      <c r="W1663">
        <f>DataLog_T717420_Aug11_4_59_37pm[[#This Row],[RPM '[1/MIN']]]-Table3[[#This Row],[580C]]</f>
        <v>0</v>
      </c>
      <c r="X1663">
        <f>DataLog_T717420_Aug11_4_59_37pm[[#This Row],[OIL TEMP '[Â°C']]]-Table3[[#This Row],[4402]]</f>
        <v>0</v>
      </c>
      <c r="Y1663">
        <f>DataLog_T717420_Aug11_4_59_37pm[[#This Row],[INTAKE TEMP '[Â°C']]]-Table3[[#This Row],[580F]]</f>
        <v>0</v>
      </c>
      <c r="Z1663">
        <f>DataLog_T717420_Aug11_4_59_37pm[[#This Row],[HPFP PRES. '[BAR']]]-Table3[[#This Row],[58F0]]</f>
        <v>0</v>
      </c>
      <c r="AA1663">
        <f>DataLog_T717420_Aug11_4_59_37pm[[#This Row],[COOLANT TEMP '[Â°C']]]-Table3[[#This Row],[5805]]</f>
        <v>0</v>
      </c>
      <c r="AB1663">
        <f>DataLog_T717420_Aug11_4_59_37pm[[#This Row],[BOOST '[BAR']]]-Table3[[#This Row],[58DD]]</f>
        <v>0</v>
      </c>
    </row>
    <row r="1664" spans="2:28" x14ac:dyDescent="0.25">
      <c r="B1664" s="2" t="s">
        <v>189</v>
      </c>
      <c r="C1664" s="2" t="s">
        <v>262</v>
      </c>
      <c r="D1664" s="2" t="s">
        <v>151</v>
      </c>
      <c r="E1664" s="2" t="s">
        <v>134</v>
      </c>
      <c r="F1664" s="2" t="s">
        <v>393</v>
      </c>
      <c r="G1664" s="2" t="s">
        <v>90</v>
      </c>
      <c r="I1664">
        <f>HEX2DEC(_0811_173439[[#This Row],[580C]])*B$4/B$5+B$6</f>
        <v>760</v>
      </c>
      <c r="J1664">
        <f>HEX2DEC(_0811_173439[[#This Row],[4402]])*C$4/C$5+C$6</f>
        <v>37</v>
      </c>
      <c r="K1664">
        <f>HEX2DEC(_0811_173439[[#This Row],[580F]])*D$4/D$5+D$6</f>
        <v>30</v>
      </c>
      <c r="L1664">
        <f>ROUND(HEX2DEC(_0811_173439[[#This Row],[58F0]])*E$4/E$5+E$6,0)</f>
        <v>70</v>
      </c>
      <c r="M1664">
        <f>ROUND(HEX2DEC(_0811_173439[[#This Row],[5805]])*F$4/F$5+F$6,0)</f>
        <v>46</v>
      </c>
      <c r="N1664">
        <f>ROUND(HEX2DEC(_0811_173439[[#This Row],[58DD]])*G$4/G$5+G$6,2)</f>
        <v>-0.03</v>
      </c>
      <c r="P1664">
        <v>760</v>
      </c>
      <c r="Q1664">
        <v>37</v>
      </c>
      <c r="R1664">
        <v>30</v>
      </c>
      <c r="S1664">
        <v>70</v>
      </c>
      <c r="T1664">
        <v>46</v>
      </c>
      <c r="U1664">
        <v>-0.03</v>
      </c>
      <c r="W1664">
        <f>DataLog_T717420_Aug11_4_59_37pm[[#This Row],[RPM '[1/MIN']]]-Table3[[#This Row],[580C]]</f>
        <v>0</v>
      </c>
      <c r="X1664">
        <f>DataLog_T717420_Aug11_4_59_37pm[[#This Row],[OIL TEMP '[Â°C']]]-Table3[[#This Row],[4402]]</f>
        <v>0</v>
      </c>
      <c r="Y1664">
        <f>DataLog_T717420_Aug11_4_59_37pm[[#This Row],[INTAKE TEMP '[Â°C']]]-Table3[[#This Row],[580F]]</f>
        <v>0</v>
      </c>
      <c r="Z1664">
        <f>DataLog_T717420_Aug11_4_59_37pm[[#This Row],[HPFP PRES. '[BAR']]]-Table3[[#This Row],[58F0]]</f>
        <v>0</v>
      </c>
      <c r="AA1664">
        <f>DataLog_T717420_Aug11_4_59_37pm[[#This Row],[COOLANT TEMP '[Â°C']]]-Table3[[#This Row],[5805]]</f>
        <v>0</v>
      </c>
      <c r="AB1664">
        <f>DataLog_T717420_Aug11_4_59_37pm[[#This Row],[BOOST '[BAR']]]-Table3[[#This Row],[58DD]]</f>
        <v>0</v>
      </c>
    </row>
    <row r="1665" spans="2:28" x14ac:dyDescent="0.25">
      <c r="B1665" s="2" t="s">
        <v>189</v>
      </c>
      <c r="C1665" s="2" t="s">
        <v>262</v>
      </c>
      <c r="D1665" s="2" t="s">
        <v>151</v>
      </c>
      <c r="E1665" s="2" t="s">
        <v>93</v>
      </c>
      <c r="F1665" s="2" t="s">
        <v>393</v>
      </c>
      <c r="G1665" s="2" t="s">
        <v>71</v>
      </c>
      <c r="I1665">
        <f>HEX2DEC(_0811_173439[[#This Row],[580C]])*B$4/B$5+B$6</f>
        <v>760</v>
      </c>
      <c r="J1665">
        <f>HEX2DEC(_0811_173439[[#This Row],[4402]])*C$4/C$5+C$6</f>
        <v>37</v>
      </c>
      <c r="K1665">
        <f>HEX2DEC(_0811_173439[[#This Row],[580F]])*D$4/D$5+D$6</f>
        <v>30</v>
      </c>
      <c r="L1665">
        <f>ROUND(HEX2DEC(_0811_173439[[#This Row],[58F0]])*E$4/E$5+E$6,0)</f>
        <v>70</v>
      </c>
      <c r="M1665">
        <f>ROUND(HEX2DEC(_0811_173439[[#This Row],[5805]])*F$4/F$5+F$6,0)</f>
        <v>46</v>
      </c>
      <c r="N1665">
        <f>ROUND(HEX2DEC(_0811_173439[[#This Row],[58DD]])*G$4/G$5+G$6,2)</f>
        <v>-0.03</v>
      </c>
      <c r="P1665">
        <v>760</v>
      </c>
      <c r="Q1665">
        <v>37</v>
      </c>
      <c r="R1665">
        <v>30</v>
      </c>
      <c r="S1665">
        <v>70</v>
      </c>
      <c r="T1665">
        <v>46</v>
      </c>
      <c r="U1665">
        <v>-0.03</v>
      </c>
      <c r="W1665">
        <f>DataLog_T717420_Aug11_4_59_37pm[[#This Row],[RPM '[1/MIN']]]-Table3[[#This Row],[580C]]</f>
        <v>0</v>
      </c>
      <c r="X1665">
        <f>DataLog_T717420_Aug11_4_59_37pm[[#This Row],[OIL TEMP '[Â°C']]]-Table3[[#This Row],[4402]]</f>
        <v>0</v>
      </c>
      <c r="Y1665">
        <f>DataLog_T717420_Aug11_4_59_37pm[[#This Row],[INTAKE TEMP '[Â°C']]]-Table3[[#This Row],[580F]]</f>
        <v>0</v>
      </c>
      <c r="Z1665">
        <f>DataLog_T717420_Aug11_4_59_37pm[[#This Row],[HPFP PRES. '[BAR']]]-Table3[[#This Row],[58F0]]</f>
        <v>0</v>
      </c>
      <c r="AA1665">
        <f>DataLog_T717420_Aug11_4_59_37pm[[#This Row],[COOLANT TEMP '[Â°C']]]-Table3[[#This Row],[5805]]</f>
        <v>0</v>
      </c>
      <c r="AB1665">
        <f>DataLog_T717420_Aug11_4_59_37pm[[#This Row],[BOOST '[BAR']]]-Table3[[#This Row],[58DD]]</f>
        <v>0</v>
      </c>
    </row>
    <row r="1666" spans="2:28" x14ac:dyDescent="0.25">
      <c r="B1666" s="2" t="s">
        <v>189</v>
      </c>
      <c r="C1666" s="2" t="s">
        <v>262</v>
      </c>
      <c r="D1666" s="2" t="s">
        <v>151</v>
      </c>
      <c r="E1666" s="2" t="s">
        <v>93</v>
      </c>
      <c r="F1666" s="2" t="s">
        <v>393</v>
      </c>
      <c r="G1666" s="2" t="s">
        <v>71</v>
      </c>
      <c r="I1666">
        <f>HEX2DEC(_0811_173439[[#This Row],[580C]])*B$4/B$5+B$6</f>
        <v>760</v>
      </c>
      <c r="J1666">
        <f>HEX2DEC(_0811_173439[[#This Row],[4402]])*C$4/C$5+C$6</f>
        <v>37</v>
      </c>
      <c r="K1666">
        <f>HEX2DEC(_0811_173439[[#This Row],[580F]])*D$4/D$5+D$6</f>
        <v>30</v>
      </c>
      <c r="L1666">
        <f>ROUND(HEX2DEC(_0811_173439[[#This Row],[58F0]])*E$4/E$5+E$6,0)</f>
        <v>70</v>
      </c>
      <c r="M1666">
        <f>ROUND(HEX2DEC(_0811_173439[[#This Row],[5805]])*F$4/F$5+F$6,0)</f>
        <v>46</v>
      </c>
      <c r="N1666">
        <f>ROUND(HEX2DEC(_0811_173439[[#This Row],[58DD]])*G$4/G$5+G$6,2)</f>
        <v>-0.03</v>
      </c>
      <c r="P1666">
        <v>760</v>
      </c>
      <c r="Q1666">
        <v>37</v>
      </c>
      <c r="R1666">
        <v>30</v>
      </c>
      <c r="S1666">
        <v>70</v>
      </c>
      <c r="T1666">
        <v>46</v>
      </c>
      <c r="U1666">
        <v>-0.03</v>
      </c>
      <c r="W1666">
        <f>DataLog_T717420_Aug11_4_59_37pm[[#This Row],[RPM '[1/MIN']]]-Table3[[#This Row],[580C]]</f>
        <v>0</v>
      </c>
      <c r="X1666">
        <f>DataLog_T717420_Aug11_4_59_37pm[[#This Row],[OIL TEMP '[Â°C']]]-Table3[[#This Row],[4402]]</f>
        <v>0</v>
      </c>
      <c r="Y1666">
        <f>DataLog_T717420_Aug11_4_59_37pm[[#This Row],[INTAKE TEMP '[Â°C']]]-Table3[[#This Row],[580F]]</f>
        <v>0</v>
      </c>
      <c r="Z1666">
        <f>DataLog_T717420_Aug11_4_59_37pm[[#This Row],[HPFP PRES. '[BAR']]]-Table3[[#This Row],[58F0]]</f>
        <v>0</v>
      </c>
      <c r="AA1666">
        <f>DataLog_T717420_Aug11_4_59_37pm[[#This Row],[COOLANT TEMP '[Â°C']]]-Table3[[#This Row],[5805]]</f>
        <v>0</v>
      </c>
      <c r="AB1666">
        <f>DataLog_T717420_Aug11_4_59_37pm[[#This Row],[BOOST '[BAR']]]-Table3[[#This Row],[58DD]]</f>
        <v>0</v>
      </c>
    </row>
    <row r="1667" spans="2:28" x14ac:dyDescent="0.25">
      <c r="B1667" s="2" t="s">
        <v>189</v>
      </c>
      <c r="C1667" s="2" t="s">
        <v>262</v>
      </c>
      <c r="D1667" s="2" t="s">
        <v>151</v>
      </c>
      <c r="E1667" s="2" t="s">
        <v>257</v>
      </c>
      <c r="F1667" s="2" t="s">
        <v>393</v>
      </c>
      <c r="G1667" s="2" t="s">
        <v>53</v>
      </c>
      <c r="I1667">
        <f>HEX2DEC(_0811_173439[[#This Row],[580C]])*B$4/B$5+B$6</f>
        <v>760</v>
      </c>
      <c r="J1667">
        <f>HEX2DEC(_0811_173439[[#This Row],[4402]])*C$4/C$5+C$6</f>
        <v>37</v>
      </c>
      <c r="K1667">
        <f>HEX2DEC(_0811_173439[[#This Row],[580F]])*D$4/D$5+D$6</f>
        <v>30</v>
      </c>
      <c r="L1667">
        <f>ROUND(HEX2DEC(_0811_173439[[#This Row],[58F0]])*E$4/E$5+E$6,0)</f>
        <v>70</v>
      </c>
      <c r="M1667">
        <f>ROUND(HEX2DEC(_0811_173439[[#This Row],[5805]])*F$4/F$5+F$6,0)</f>
        <v>46</v>
      </c>
      <c r="N1667">
        <f>ROUND(HEX2DEC(_0811_173439[[#This Row],[58DD]])*G$4/G$5+G$6,2)</f>
        <v>-0.03</v>
      </c>
      <c r="P1667">
        <v>760</v>
      </c>
      <c r="Q1667">
        <v>37</v>
      </c>
      <c r="R1667">
        <v>30</v>
      </c>
      <c r="S1667">
        <v>70</v>
      </c>
      <c r="T1667">
        <v>46</v>
      </c>
      <c r="U1667">
        <v>-0.03</v>
      </c>
      <c r="W1667">
        <f>DataLog_T717420_Aug11_4_59_37pm[[#This Row],[RPM '[1/MIN']]]-Table3[[#This Row],[580C]]</f>
        <v>0</v>
      </c>
      <c r="X1667">
        <f>DataLog_T717420_Aug11_4_59_37pm[[#This Row],[OIL TEMP '[Â°C']]]-Table3[[#This Row],[4402]]</f>
        <v>0</v>
      </c>
      <c r="Y1667">
        <f>DataLog_T717420_Aug11_4_59_37pm[[#This Row],[INTAKE TEMP '[Â°C']]]-Table3[[#This Row],[580F]]</f>
        <v>0</v>
      </c>
      <c r="Z1667">
        <f>DataLog_T717420_Aug11_4_59_37pm[[#This Row],[HPFP PRES. '[BAR']]]-Table3[[#This Row],[58F0]]</f>
        <v>0</v>
      </c>
      <c r="AA1667">
        <f>DataLog_T717420_Aug11_4_59_37pm[[#This Row],[COOLANT TEMP '[Â°C']]]-Table3[[#This Row],[5805]]</f>
        <v>0</v>
      </c>
      <c r="AB1667">
        <f>DataLog_T717420_Aug11_4_59_37pm[[#This Row],[BOOST '[BAR']]]-Table3[[#This Row],[58DD]]</f>
        <v>0</v>
      </c>
    </row>
    <row r="1668" spans="2:28" x14ac:dyDescent="0.25">
      <c r="B1668" s="2" t="s">
        <v>189</v>
      </c>
      <c r="C1668" s="2" t="s">
        <v>262</v>
      </c>
      <c r="D1668" s="2" t="s">
        <v>151</v>
      </c>
      <c r="E1668" s="2" t="s">
        <v>127</v>
      </c>
      <c r="F1668" s="2" t="s">
        <v>393</v>
      </c>
      <c r="G1668" s="2" t="s">
        <v>96</v>
      </c>
      <c r="I1668">
        <f>HEX2DEC(_0811_173439[[#This Row],[580C]])*B$4/B$5+B$6</f>
        <v>760</v>
      </c>
      <c r="J1668">
        <f>HEX2DEC(_0811_173439[[#This Row],[4402]])*C$4/C$5+C$6</f>
        <v>37</v>
      </c>
      <c r="K1668">
        <f>HEX2DEC(_0811_173439[[#This Row],[580F]])*D$4/D$5+D$6</f>
        <v>30</v>
      </c>
      <c r="L1668">
        <f>ROUND(HEX2DEC(_0811_173439[[#This Row],[58F0]])*E$4/E$5+E$6,0)</f>
        <v>70</v>
      </c>
      <c r="M1668">
        <f>ROUND(HEX2DEC(_0811_173439[[#This Row],[5805]])*F$4/F$5+F$6,0)</f>
        <v>46</v>
      </c>
      <c r="N1668">
        <f>ROUND(HEX2DEC(_0811_173439[[#This Row],[58DD]])*G$4/G$5+G$6,2)</f>
        <v>-0.03</v>
      </c>
      <c r="P1668">
        <v>760</v>
      </c>
      <c r="Q1668">
        <v>37</v>
      </c>
      <c r="R1668">
        <v>30</v>
      </c>
      <c r="S1668">
        <v>70</v>
      </c>
      <c r="T1668">
        <v>46</v>
      </c>
      <c r="U1668">
        <v>-0.03</v>
      </c>
      <c r="W1668">
        <f>DataLog_T717420_Aug11_4_59_37pm[[#This Row],[RPM '[1/MIN']]]-Table3[[#This Row],[580C]]</f>
        <v>0</v>
      </c>
      <c r="X1668">
        <f>DataLog_T717420_Aug11_4_59_37pm[[#This Row],[OIL TEMP '[Â°C']]]-Table3[[#This Row],[4402]]</f>
        <v>0</v>
      </c>
      <c r="Y1668">
        <f>DataLog_T717420_Aug11_4_59_37pm[[#This Row],[INTAKE TEMP '[Â°C']]]-Table3[[#This Row],[580F]]</f>
        <v>0</v>
      </c>
      <c r="Z1668">
        <f>DataLog_T717420_Aug11_4_59_37pm[[#This Row],[HPFP PRES. '[BAR']]]-Table3[[#This Row],[58F0]]</f>
        <v>0</v>
      </c>
      <c r="AA1668">
        <f>DataLog_T717420_Aug11_4_59_37pm[[#This Row],[COOLANT TEMP '[Â°C']]]-Table3[[#This Row],[5805]]</f>
        <v>0</v>
      </c>
      <c r="AB1668">
        <f>DataLog_T717420_Aug11_4_59_37pm[[#This Row],[BOOST '[BAR']]]-Table3[[#This Row],[58DD]]</f>
        <v>0</v>
      </c>
    </row>
    <row r="1669" spans="2:28" x14ac:dyDescent="0.25">
      <c r="B1669" s="2" t="s">
        <v>189</v>
      </c>
      <c r="C1669" s="2" t="s">
        <v>262</v>
      </c>
      <c r="D1669" s="2" t="s">
        <v>151</v>
      </c>
      <c r="E1669" s="2" t="s">
        <v>221</v>
      </c>
      <c r="F1669" s="2" t="s">
        <v>393</v>
      </c>
      <c r="G1669" s="2" t="s">
        <v>71</v>
      </c>
      <c r="I1669">
        <f>HEX2DEC(_0811_173439[[#This Row],[580C]])*B$4/B$5+B$6</f>
        <v>760</v>
      </c>
      <c r="J1669">
        <f>HEX2DEC(_0811_173439[[#This Row],[4402]])*C$4/C$5+C$6</f>
        <v>37</v>
      </c>
      <c r="K1669">
        <f>HEX2DEC(_0811_173439[[#This Row],[580F]])*D$4/D$5+D$6</f>
        <v>30</v>
      </c>
      <c r="L1669">
        <f>ROUND(HEX2DEC(_0811_173439[[#This Row],[58F0]])*E$4/E$5+E$6,0)</f>
        <v>70</v>
      </c>
      <c r="M1669">
        <f>ROUND(HEX2DEC(_0811_173439[[#This Row],[5805]])*F$4/F$5+F$6,0)</f>
        <v>46</v>
      </c>
      <c r="N1669">
        <f>ROUND(HEX2DEC(_0811_173439[[#This Row],[58DD]])*G$4/G$5+G$6,2)</f>
        <v>-0.03</v>
      </c>
      <c r="P1669">
        <v>760</v>
      </c>
      <c r="Q1669">
        <v>37</v>
      </c>
      <c r="R1669">
        <v>30</v>
      </c>
      <c r="S1669">
        <v>70</v>
      </c>
      <c r="T1669">
        <v>46</v>
      </c>
      <c r="U1669">
        <v>-0.03</v>
      </c>
      <c r="W1669">
        <f>DataLog_T717420_Aug11_4_59_37pm[[#This Row],[RPM '[1/MIN']]]-Table3[[#This Row],[580C]]</f>
        <v>0</v>
      </c>
      <c r="X1669">
        <f>DataLog_T717420_Aug11_4_59_37pm[[#This Row],[OIL TEMP '[Â°C']]]-Table3[[#This Row],[4402]]</f>
        <v>0</v>
      </c>
      <c r="Y1669">
        <f>DataLog_T717420_Aug11_4_59_37pm[[#This Row],[INTAKE TEMP '[Â°C']]]-Table3[[#This Row],[580F]]</f>
        <v>0</v>
      </c>
      <c r="Z1669">
        <f>DataLog_T717420_Aug11_4_59_37pm[[#This Row],[HPFP PRES. '[BAR']]]-Table3[[#This Row],[58F0]]</f>
        <v>0</v>
      </c>
      <c r="AA1669">
        <f>DataLog_T717420_Aug11_4_59_37pm[[#This Row],[COOLANT TEMP '[Â°C']]]-Table3[[#This Row],[5805]]</f>
        <v>0</v>
      </c>
      <c r="AB1669">
        <f>DataLog_T717420_Aug11_4_59_37pm[[#This Row],[BOOST '[BAR']]]-Table3[[#This Row],[58DD]]</f>
        <v>0</v>
      </c>
    </row>
    <row r="1670" spans="2:28" x14ac:dyDescent="0.25">
      <c r="B1670" s="2" t="s">
        <v>189</v>
      </c>
      <c r="C1670" s="2" t="s">
        <v>262</v>
      </c>
      <c r="D1670" s="2" t="s">
        <v>151</v>
      </c>
      <c r="E1670" s="2" t="s">
        <v>165</v>
      </c>
      <c r="F1670" s="2" t="s">
        <v>393</v>
      </c>
      <c r="G1670" s="2" t="s">
        <v>96</v>
      </c>
      <c r="I1670">
        <f>HEX2DEC(_0811_173439[[#This Row],[580C]])*B$4/B$5+B$6</f>
        <v>760</v>
      </c>
      <c r="J1670">
        <f>HEX2DEC(_0811_173439[[#This Row],[4402]])*C$4/C$5+C$6</f>
        <v>37</v>
      </c>
      <c r="K1670">
        <f>HEX2DEC(_0811_173439[[#This Row],[580F]])*D$4/D$5+D$6</f>
        <v>30</v>
      </c>
      <c r="L1670">
        <f>ROUND(HEX2DEC(_0811_173439[[#This Row],[58F0]])*E$4/E$5+E$6,0)</f>
        <v>70</v>
      </c>
      <c r="M1670">
        <f>ROUND(HEX2DEC(_0811_173439[[#This Row],[5805]])*F$4/F$5+F$6,0)</f>
        <v>46</v>
      </c>
      <c r="N1670">
        <f>ROUND(HEX2DEC(_0811_173439[[#This Row],[58DD]])*G$4/G$5+G$6,2)</f>
        <v>-0.03</v>
      </c>
      <c r="P1670">
        <v>760</v>
      </c>
      <c r="Q1670">
        <v>37</v>
      </c>
      <c r="R1670">
        <v>30</v>
      </c>
      <c r="S1670">
        <v>70</v>
      </c>
      <c r="T1670">
        <v>46</v>
      </c>
      <c r="U1670">
        <v>-0.03</v>
      </c>
      <c r="W1670">
        <f>DataLog_T717420_Aug11_4_59_37pm[[#This Row],[RPM '[1/MIN']]]-Table3[[#This Row],[580C]]</f>
        <v>0</v>
      </c>
      <c r="X1670">
        <f>DataLog_T717420_Aug11_4_59_37pm[[#This Row],[OIL TEMP '[Â°C']]]-Table3[[#This Row],[4402]]</f>
        <v>0</v>
      </c>
      <c r="Y1670">
        <f>DataLog_T717420_Aug11_4_59_37pm[[#This Row],[INTAKE TEMP '[Â°C']]]-Table3[[#This Row],[580F]]</f>
        <v>0</v>
      </c>
      <c r="Z1670">
        <f>DataLog_T717420_Aug11_4_59_37pm[[#This Row],[HPFP PRES. '[BAR']]]-Table3[[#This Row],[58F0]]</f>
        <v>0</v>
      </c>
      <c r="AA1670">
        <f>DataLog_T717420_Aug11_4_59_37pm[[#This Row],[COOLANT TEMP '[Â°C']]]-Table3[[#This Row],[5805]]</f>
        <v>0</v>
      </c>
      <c r="AB1670">
        <f>DataLog_T717420_Aug11_4_59_37pm[[#This Row],[BOOST '[BAR']]]-Table3[[#This Row],[58DD]]</f>
        <v>0</v>
      </c>
    </row>
    <row r="1671" spans="2:28" x14ac:dyDescent="0.25">
      <c r="B1671" s="2" t="s">
        <v>189</v>
      </c>
      <c r="C1671" s="2" t="s">
        <v>262</v>
      </c>
      <c r="D1671" s="2" t="s">
        <v>151</v>
      </c>
      <c r="E1671" s="2" t="s">
        <v>165</v>
      </c>
      <c r="F1671" s="2" t="s">
        <v>393</v>
      </c>
      <c r="G1671" s="2" t="s">
        <v>96</v>
      </c>
      <c r="I1671">
        <f>HEX2DEC(_0811_173439[[#This Row],[580C]])*B$4/B$5+B$6</f>
        <v>760</v>
      </c>
      <c r="J1671">
        <f>HEX2DEC(_0811_173439[[#This Row],[4402]])*C$4/C$5+C$6</f>
        <v>37</v>
      </c>
      <c r="K1671">
        <f>HEX2DEC(_0811_173439[[#This Row],[580F]])*D$4/D$5+D$6</f>
        <v>30</v>
      </c>
      <c r="L1671">
        <f>ROUND(HEX2DEC(_0811_173439[[#This Row],[58F0]])*E$4/E$5+E$6,0)</f>
        <v>70</v>
      </c>
      <c r="M1671">
        <f>ROUND(HEX2DEC(_0811_173439[[#This Row],[5805]])*F$4/F$5+F$6,0)</f>
        <v>46</v>
      </c>
      <c r="N1671">
        <f>ROUND(HEX2DEC(_0811_173439[[#This Row],[58DD]])*G$4/G$5+G$6,2)</f>
        <v>-0.03</v>
      </c>
      <c r="P1671">
        <v>760</v>
      </c>
      <c r="Q1671">
        <v>37</v>
      </c>
      <c r="R1671">
        <v>30</v>
      </c>
      <c r="S1671">
        <v>70</v>
      </c>
      <c r="T1671">
        <v>46</v>
      </c>
      <c r="U1671">
        <v>-0.03</v>
      </c>
      <c r="W1671">
        <f>DataLog_T717420_Aug11_4_59_37pm[[#This Row],[RPM '[1/MIN']]]-Table3[[#This Row],[580C]]</f>
        <v>0</v>
      </c>
      <c r="X1671">
        <f>DataLog_T717420_Aug11_4_59_37pm[[#This Row],[OIL TEMP '[Â°C']]]-Table3[[#This Row],[4402]]</f>
        <v>0</v>
      </c>
      <c r="Y1671">
        <f>DataLog_T717420_Aug11_4_59_37pm[[#This Row],[INTAKE TEMP '[Â°C']]]-Table3[[#This Row],[580F]]</f>
        <v>0</v>
      </c>
      <c r="Z1671">
        <f>DataLog_T717420_Aug11_4_59_37pm[[#This Row],[HPFP PRES. '[BAR']]]-Table3[[#This Row],[58F0]]</f>
        <v>0</v>
      </c>
      <c r="AA1671">
        <f>DataLog_T717420_Aug11_4_59_37pm[[#This Row],[COOLANT TEMP '[Â°C']]]-Table3[[#This Row],[5805]]</f>
        <v>0</v>
      </c>
      <c r="AB1671">
        <f>DataLog_T717420_Aug11_4_59_37pm[[#This Row],[BOOST '[BAR']]]-Table3[[#This Row],[58DD]]</f>
        <v>0</v>
      </c>
    </row>
    <row r="1672" spans="2:28" x14ac:dyDescent="0.25">
      <c r="B1672" s="2" t="s">
        <v>189</v>
      </c>
      <c r="C1672" s="2" t="s">
        <v>262</v>
      </c>
      <c r="D1672" s="2" t="s">
        <v>151</v>
      </c>
      <c r="E1672" s="2" t="s">
        <v>93</v>
      </c>
      <c r="F1672" s="2" t="s">
        <v>393</v>
      </c>
      <c r="G1672" s="2" t="s">
        <v>236</v>
      </c>
      <c r="I1672">
        <f>HEX2DEC(_0811_173439[[#This Row],[580C]])*B$4/B$5+B$6</f>
        <v>760</v>
      </c>
      <c r="J1672">
        <f>HEX2DEC(_0811_173439[[#This Row],[4402]])*C$4/C$5+C$6</f>
        <v>37</v>
      </c>
      <c r="K1672">
        <f>HEX2DEC(_0811_173439[[#This Row],[580F]])*D$4/D$5+D$6</f>
        <v>30</v>
      </c>
      <c r="L1672">
        <f>ROUND(HEX2DEC(_0811_173439[[#This Row],[58F0]])*E$4/E$5+E$6,0)</f>
        <v>70</v>
      </c>
      <c r="M1672">
        <f>ROUND(HEX2DEC(_0811_173439[[#This Row],[5805]])*F$4/F$5+F$6,0)</f>
        <v>46</v>
      </c>
      <c r="N1672">
        <f>ROUND(HEX2DEC(_0811_173439[[#This Row],[58DD]])*G$4/G$5+G$6,2)</f>
        <v>-0.03</v>
      </c>
      <c r="P1672">
        <v>760</v>
      </c>
      <c r="Q1672">
        <v>37</v>
      </c>
      <c r="R1672">
        <v>30</v>
      </c>
      <c r="S1672">
        <v>70</v>
      </c>
      <c r="T1672">
        <v>46</v>
      </c>
      <c r="U1672">
        <v>-0.03</v>
      </c>
      <c r="W1672">
        <f>DataLog_T717420_Aug11_4_59_37pm[[#This Row],[RPM '[1/MIN']]]-Table3[[#This Row],[580C]]</f>
        <v>0</v>
      </c>
      <c r="X1672">
        <f>DataLog_T717420_Aug11_4_59_37pm[[#This Row],[OIL TEMP '[Â°C']]]-Table3[[#This Row],[4402]]</f>
        <v>0</v>
      </c>
      <c r="Y1672">
        <f>DataLog_T717420_Aug11_4_59_37pm[[#This Row],[INTAKE TEMP '[Â°C']]]-Table3[[#This Row],[580F]]</f>
        <v>0</v>
      </c>
      <c r="Z1672">
        <f>DataLog_T717420_Aug11_4_59_37pm[[#This Row],[HPFP PRES. '[BAR']]]-Table3[[#This Row],[58F0]]</f>
        <v>0</v>
      </c>
      <c r="AA1672">
        <f>DataLog_T717420_Aug11_4_59_37pm[[#This Row],[COOLANT TEMP '[Â°C']]]-Table3[[#This Row],[5805]]</f>
        <v>0</v>
      </c>
      <c r="AB1672">
        <f>DataLog_T717420_Aug11_4_59_37pm[[#This Row],[BOOST '[BAR']]]-Table3[[#This Row],[58DD]]</f>
        <v>0</v>
      </c>
    </row>
    <row r="1673" spans="2:28" x14ac:dyDescent="0.25">
      <c r="B1673" s="2" t="s">
        <v>189</v>
      </c>
      <c r="C1673" s="2" t="s">
        <v>262</v>
      </c>
      <c r="D1673" s="2" t="s">
        <v>151</v>
      </c>
      <c r="E1673" s="2" t="s">
        <v>162</v>
      </c>
      <c r="F1673" s="2" t="s">
        <v>393</v>
      </c>
      <c r="G1673" s="2" t="s">
        <v>90</v>
      </c>
      <c r="I1673">
        <f>HEX2DEC(_0811_173439[[#This Row],[580C]])*B$4/B$5+B$6</f>
        <v>760</v>
      </c>
      <c r="J1673">
        <f>HEX2DEC(_0811_173439[[#This Row],[4402]])*C$4/C$5+C$6</f>
        <v>37</v>
      </c>
      <c r="K1673">
        <f>HEX2DEC(_0811_173439[[#This Row],[580F]])*D$4/D$5+D$6</f>
        <v>30</v>
      </c>
      <c r="L1673">
        <f>ROUND(HEX2DEC(_0811_173439[[#This Row],[58F0]])*E$4/E$5+E$6,0)</f>
        <v>71</v>
      </c>
      <c r="M1673">
        <f>ROUND(HEX2DEC(_0811_173439[[#This Row],[5805]])*F$4/F$5+F$6,0)</f>
        <v>46</v>
      </c>
      <c r="N1673">
        <f>ROUND(HEX2DEC(_0811_173439[[#This Row],[58DD]])*G$4/G$5+G$6,2)</f>
        <v>-0.03</v>
      </c>
      <c r="P1673">
        <v>760</v>
      </c>
      <c r="Q1673">
        <v>37</v>
      </c>
      <c r="R1673">
        <v>30</v>
      </c>
      <c r="S1673">
        <v>71</v>
      </c>
      <c r="T1673">
        <v>46</v>
      </c>
      <c r="U1673">
        <v>-0.03</v>
      </c>
      <c r="W1673">
        <f>DataLog_T717420_Aug11_4_59_37pm[[#This Row],[RPM '[1/MIN']]]-Table3[[#This Row],[580C]]</f>
        <v>0</v>
      </c>
      <c r="X1673">
        <f>DataLog_T717420_Aug11_4_59_37pm[[#This Row],[OIL TEMP '[Â°C']]]-Table3[[#This Row],[4402]]</f>
        <v>0</v>
      </c>
      <c r="Y1673">
        <f>DataLog_T717420_Aug11_4_59_37pm[[#This Row],[INTAKE TEMP '[Â°C']]]-Table3[[#This Row],[580F]]</f>
        <v>0</v>
      </c>
      <c r="Z1673">
        <f>DataLog_T717420_Aug11_4_59_37pm[[#This Row],[HPFP PRES. '[BAR']]]-Table3[[#This Row],[58F0]]</f>
        <v>0</v>
      </c>
      <c r="AA1673">
        <f>DataLog_T717420_Aug11_4_59_37pm[[#This Row],[COOLANT TEMP '[Â°C']]]-Table3[[#This Row],[5805]]</f>
        <v>0</v>
      </c>
      <c r="AB1673">
        <f>DataLog_T717420_Aug11_4_59_37pm[[#This Row],[BOOST '[BAR']]]-Table3[[#This Row],[58DD]]</f>
        <v>0</v>
      </c>
    </row>
    <row r="1674" spans="2:28" x14ac:dyDescent="0.25">
      <c r="B1674" s="2" t="s">
        <v>189</v>
      </c>
      <c r="C1674" s="2" t="s">
        <v>262</v>
      </c>
      <c r="D1674" s="2" t="s">
        <v>151</v>
      </c>
      <c r="E1674" s="2" t="s">
        <v>127</v>
      </c>
      <c r="F1674" s="2" t="s">
        <v>393</v>
      </c>
      <c r="G1674" s="2" t="s">
        <v>216</v>
      </c>
      <c r="I1674">
        <f>HEX2DEC(_0811_173439[[#This Row],[580C]])*B$4/B$5+B$6</f>
        <v>760</v>
      </c>
      <c r="J1674">
        <f>HEX2DEC(_0811_173439[[#This Row],[4402]])*C$4/C$5+C$6</f>
        <v>37</v>
      </c>
      <c r="K1674">
        <f>HEX2DEC(_0811_173439[[#This Row],[580F]])*D$4/D$5+D$6</f>
        <v>30</v>
      </c>
      <c r="L1674">
        <f>ROUND(HEX2DEC(_0811_173439[[#This Row],[58F0]])*E$4/E$5+E$6,0)</f>
        <v>70</v>
      </c>
      <c r="M1674">
        <f>ROUND(HEX2DEC(_0811_173439[[#This Row],[5805]])*F$4/F$5+F$6,0)</f>
        <v>46</v>
      </c>
      <c r="N1674">
        <f>ROUND(HEX2DEC(_0811_173439[[#This Row],[58DD]])*G$4/G$5+G$6,2)</f>
        <v>-0.03</v>
      </c>
      <c r="P1674">
        <v>760</v>
      </c>
      <c r="Q1674">
        <v>37</v>
      </c>
      <c r="R1674">
        <v>30</v>
      </c>
      <c r="S1674">
        <v>70</v>
      </c>
      <c r="T1674">
        <v>46</v>
      </c>
      <c r="U1674">
        <v>-0.03</v>
      </c>
      <c r="W1674">
        <f>DataLog_T717420_Aug11_4_59_37pm[[#This Row],[RPM '[1/MIN']]]-Table3[[#This Row],[580C]]</f>
        <v>0</v>
      </c>
      <c r="X1674">
        <f>DataLog_T717420_Aug11_4_59_37pm[[#This Row],[OIL TEMP '[Â°C']]]-Table3[[#This Row],[4402]]</f>
        <v>0</v>
      </c>
      <c r="Y1674">
        <f>DataLog_T717420_Aug11_4_59_37pm[[#This Row],[INTAKE TEMP '[Â°C']]]-Table3[[#This Row],[580F]]</f>
        <v>0</v>
      </c>
      <c r="Z1674">
        <f>DataLog_T717420_Aug11_4_59_37pm[[#This Row],[HPFP PRES. '[BAR']]]-Table3[[#This Row],[58F0]]</f>
        <v>0</v>
      </c>
      <c r="AA1674">
        <f>DataLog_T717420_Aug11_4_59_37pm[[#This Row],[COOLANT TEMP '[Â°C']]]-Table3[[#This Row],[5805]]</f>
        <v>0</v>
      </c>
      <c r="AB1674">
        <f>DataLog_T717420_Aug11_4_59_37pm[[#This Row],[BOOST '[BAR']]]-Table3[[#This Row],[58DD]]</f>
        <v>0</v>
      </c>
    </row>
    <row r="1675" spans="2:28" x14ac:dyDescent="0.25">
      <c r="B1675" s="2" t="s">
        <v>189</v>
      </c>
      <c r="C1675" s="2" t="s">
        <v>262</v>
      </c>
      <c r="D1675" s="2" t="s">
        <v>151</v>
      </c>
      <c r="E1675" s="2" t="s">
        <v>93</v>
      </c>
      <c r="F1675" s="2" t="s">
        <v>393</v>
      </c>
      <c r="G1675" s="2" t="s">
        <v>236</v>
      </c>
      <c r="I1675">
        <f>HEX2DEC(_0811_173439[[#This Row],[580C]])*B$4/B$5+B$6</f>
        <v>760</v>
      </c>
      <c r="J1675">
        <f>HEX2DEC(_0811_173439[[#This Row],[4402]])*C$4/C$5+C$6</f>
        <v>37</v>
      </c>
      <c r="K1675">
        <f>HEX2DEC(_0811_173439[[#This Row],[580F]])*D$4/D$5+D$6</f>
        <v>30</v>
      </c>
      <c r="L1675">
        <f>ROUND(HEX2DEC(_0811_173439[[#This Row],[58F0]])*E$4/E$5+E$6,0)</f>
        <v>70</v>
      </c>
      <c r="M1675">
        <f>ROUND(HEX2DEC(_0811_173439[[#This Row],[5805]])*F$4/F$5+F$6,0)</f>
        <v>46</v>
      </c>
      <c r="N1675">
        <f>ROUND(HEX2DEC(_0811_173439[[#This Row],[58DD]])*G$4/G$5+G$6,2)</f>
        <v>-0.03</v>
      </c>
      <c r="P1675">
        <v>760</v>
      </c>
      <c r="Q1675">
        <v>37</v>
      </c>
      <c r="R1675">
        <v>30</v>
      </c>
      <c r="S1675">
        <v>70</v>
      </c>
      <c r="T1675">
        <v>46</v>
      </c>
      <c r="U1675">
        <v>-0.03</v>
      </c>
      <c r="W1675">
        <f>DataLog_T717420_Aug11_4_59_37pm[[#This Row],[RPM '[1/MIN']]]-Table3[[#This Row],[580C]]</f>
        <v>0</v>
      </c>
      <c r="X1675">
        <f>DataLog_T717420_Aug11_4_59_37pm[[#This Row],[OIL TEMP '[Â°C']]]-Table3[[#This Row],[4402]]</f>
        <v>0</v>
      </c>
      <c r="Y1675">
        <f>DataLog_T717420_Aug11_4_59_37pm[[#This Row],[INTAKE TEMP '[Â°C']]]-Table3[[#This Row],[580F]]</f>
        <v>0</v>
      </c>
      <c r="Z1675">
        <f>DataLog_T717420_Aug11_4_59_37pm[[#This Row],[HPFP PRES. '[BAR']]]-Table3[[#This Row],[58F0]]</f>
        <v>0</v>
      </c>
      <c r="AA1675">
        <f>DataLog_T717420_Aug11_4_59_37pm[[#This Row],[COOLANT TEMP '[Â°C']]]-Table3[[#This Row],[5805]]</f>
        <v>0</v>
      </c>
      <c r="AB1675">
        <f>DataLog_T717420_Aug11_4_59_37pm[[#This Row],[BOOST '[BAR']]]-Table3[[#This Row],[58DD]]</f>
        <v>0</v>
      </c>
    </row>
    <row r="1676" spans="2:28" x14ac:dyDescent="0.25">
      <c r="B1676" s="2" t="s">
        <v>189</v>
      </c>
      <c r="C1676" s="2" t="s">
        <v>262</v>
      </c>
      <c r="D1676" s="2" t="s">
        <v>151</v>
      </c>
      <c r="E1676" s="2" t="s">
        <v>122</v>
      </c>
      <c r="F1676" s="2" t="s">
        <v>393</v>
      </c>
      <c r="G1676" s="2" t="s">
        <v>236</v>
      </c>
      <c r="I1676">
        <f>HEX2DEC(_0811_173439[[#This Row],[580C]])*B$4/B$5+B$6</f>
        <v>760</v>
      </c>
      <c r="J1676">
        <f>HEX2DEC(_0811_173439[[#This Row],[4402]])*C$4/C$5+C$6</f>
        <v>37</v>
      </c>
      <c r="K1676">
        <f>HEX2DEC(_0811_173439[[#This Row],[580F]])*D$4/D$5+D$6</f>
        <v>30</v>
      </c>
      <c r="L1676">
        <f>ROUND(HEX2DEC(_0811_173439[[#This Row],[58F0]])*E$4/E$5+E$6,0)</f>
        <v>71</v>
      </c>
      <c r="M1676">
        <f>ROUND(HEX2DEC(_0811_173439[[#This Row],[5805]])*F$4/F$5+F$6,0)</f>
        <v>46</v>
      </c>
      <c r="N1676">
        <f>ROUND(HEX2DEC(_0811_173439[[#This Row],[58DD]])*G$4/G$5+G$6,2)</f>
        <v>-0.03</v>
      </c>
      <c r="P1676">
        <v>760</v>
      </c>
      <c r="Q1676">
        <v>37</v>
      </c>
      <c r="R1676">
        <v>30</v>
      </c>
      <c r="S1676">
        <v>71</v>
      </c>
      <c r="T1676">
        <v>46</v>
      </c>
      <c r="U1676">
        <v>-0.03</v>
      </c>
      <c r="W1676">
        <f>DataLog_T717420_Aug11_4_59_37pm[[#This Row],[RPM '[1/MIN']]]-Table3[[#This Row],[580C]]</f>
        <v>0</v>
      </c>
      <c r="X1676">
        <f>DataLog_T717420_Aug11_4_59_37pm[[#This Row],[OIL TEMP '[Â°C']]]-Table3[[#This Row],[4402]]</f>
        <v>0</v>
      </c>
      <c r="Y1676">
        <f>DataLog_T717420_Aug11_4_59_37pm[[#This Row],[INTAKE TEMP '[Â°C']]]-Table3[[#This Row],[580F]]</f>
        <v>0</v>
      </c>
      <c r="Z1676">
        <f>DataLog_T717420_Aug11_4_59_37pm[[#This Row],[HPFP PRES. '[BAR']]]-Table3[[#This Row],[58F0]]</f>
        <v>0</v>
      </c>
      <c r="AA1676">
        <f>DataLog_T717420_Aug11_4_59_37pm[[#This Row],[COOLANT TEMP '[Â°C']]]-Table3[[#This Row],[5805]]</f>
        <v>0</v>
      </c>
      <c r="AB1676">
        <f>DataLog_T717420_Aug11_4_59_37pm[[#This Row],[BOOST '[BAR']]]-Table3[[#This Row],[58DD]]</f>
        <v>0</v>
      </c>
    </row>
    <row r="1677" spans="2:28" x14ac:dyDescent="0.25">
      <c r="B1677" s="2" t="s">
        <v>189</v>
      </c>
      <c r="C1677" s="2" t="s">
        <v>262</v>
      </c>
      <c r="D1677" s="2" t="s">
        <v>151</v>
      </c>
      <c r="E1677" s="2" t="s">
        <v>129</v>
      </c>
      <c r="F1677" s="2" t="s">
        <v>393</v>
      </c>
      <c r="G1677" s="2" t="s">
        <v>71</v>
      </c>
      <c r="I1677">
        <f>HEX2DEC(_0811_173439[[#This Row],[580C]])*B$4/B$5+B$6</f>
        <v>760</v>
      </c>
      <c r="J1677">
        <f>HEX2DEC(_0811_173439[[#This Row],[4402]])*C$4/C$5+C$6</f>
        <v>37</v>
      </c>
      <c r="K1677">
        <f>HEX2DEC(_0811_173439[[#This Row],[580F]])*D$4/D$5+D$6</f>
        <v>30</v>
      </c>
      <c r="L1677">
        <f>ROUND(HEX2DEC(_0811_173439[[#This Row],[58F0]])*E$4/E$5+E$6,0)</f>
        <v>71</v>
      </c>
      <c r="M1677">
        <f>ROUND(HEX2DEC(_0811_173439[[#This Row],[5805]])*F$4/F$5+F$6,0)</f>
        <v>46</v>
      </c>
      <c r="N1677">
        <f>ROUND(HEX2DEC(_0811_173439[[#This Row],[58DD]])*G$4/G$5+G$6,2)</f>
        <v>-0.03</v>
      </c>
      <c r="P1677">
        <v>760</v>
      </c>
      <c r="Q1677">
        <v>37</v>
      </c>
      <c r="R1677">
        <v>30</v>
      </c>
      <c r="S1677">
        <v>71</v>
      </c>
      <c r="T1677">
        <v>46</v>
      </c>
      <c r="U1677">
        <v>-0.03</v>
      </c>
      <c r="W1677">
        <f>DataLog_T717420_Aug11_4_59_37pm[[#This Row],[RPM '[1/MIN']]]-Table3[[#This Row],[580C]]</f>
        <v>0</v>
      </c>
      <c r="X1677">
        <f>DataLog_T717420_Aug11_4_59_37pm[[#This Row],[OIL TEMP '[Â°C']]]-Table3[[#This Row],[4402]]</f>
        <v>0</v>
      </c>
      <c r="Y1677">
        <f>DataLog_T717420_Aug11_4_59_37pm[[#This Row],[INTAKE TEMP '[Â°C']]]-Table3[[#This Row],[580F]]</f>
        <v>0</v>
      </c>
      <c r="Z1677">
        <f>DataLog_T717420_Aug11_4_59_37pm[[#This Row],[HPFP PRES. '[BAR']]]-Table3[[#This Row],[58F0]]</f>
        <v>0</v>
      </c>
      <c r="AA1677">
        <f>DataLog_T717420_Aug11_4_59_37pm[[#This Row],[COOLANT TEMP '[Â°C']]]-Table3[[#This Row],[5805]]</f>
        <v>0</v>
      </c>
      <c r="AB1677">
        <f>DataLog_T717420_Aug11_4_59_37pm[[#This Row],[BOOST '[BAR']]]-Table3[[#This Row],[58DD]]</f>
        <v>0</v>
      </c>
    </row>
    <row r="1678" spans="2:28" x14ac:dyDescent="0.25">
      <c r="B1678" s="2" t="s">
        <v>189</v>
      </c>
      <c r="C1678" s="2" t="s">
        <v>262</v>
      </c>
      <c r="D1678" s="2" t="s">
        <v>151</v>
      </c>
      <c r="E1678" s="2" t="s">
        <v>118</v>
      </c>
      <c r="F1678" s="2" t="s">
        <v>393</v>
      </c>
      <c r="G1678" s="2" t="s">
        <v>236</v>
      </c>
      <c r="I1678">
        <f>HEX2DEC(_0811_173439[[#This Row],[580C]])*B$4/B$5+B$6</f>
        <v>760</v>
      </c>
      <c r="J1678">
        <f>HEX2DEC(_0811_173439[[#This Row],[4402]])*C$4/C$5+C$6</f>
        <v>37</v>
      </c>
      <c r="K1678">
        <f>HEX2DEC(_0811_173439[[#This Row],[580F]])*D$4/D$5+D$6</f>
        <v>30</v>
      </c>
      <c r="L1678">
        <f>ROUND(HEX2DEC(_0811_173439[[#This Row],[58F0]])*E$4/E$5+E$6,0)</f>
        <v>70</v>
      </c>
      <c r="M1678">
        <f>ROUND(HEX2DEC(_0811_173439[[#This Row],[5805]])*F$4/F$5+F$6,0)</f>
        <v>46</v>
      </c>
      <c r="N1678">
        <f>ROUND(HEX2DEC(_0811_173439[[#This Row],[58DD]])*G$4/G$5+G$6,2)</f>
        <v>-0.03</v>
      </c>
      <c r="P1678">
        <v>760</v>
      </c>
      <c r="Q1678">
        <v>37</v>
      </c>
      <c r="R1678">
        <v>30</v>
      </c>
      <c r="S1678">
        <v>70</v>
      </c>
      <c r="T1678">
        <v>46</v>
      </c>
      <c r="U1678">
        <v>-0.03</v>
      </c>
      <c r="W1678">
        <f>DataLog_T717420_Aug11_4_59_37pm[[#This Row],[RPM '[1/MIN']]]-Table3[[#This Row],[580C]]</f>
        <v>0</v>
      </c>
      <c r="X1678">
        <f>DataLog_T717420_Aug11_4_59_37pm[[#This Row],[OIL TEMP '[Â°C']]]-Table3[[#This Row],[4402]]</f>
        <v>0</v>
      </c>
      <c r="Y1678">
        <f>DataLog_T717420_Aug11_4_59_37pm[[#This Row],[INTAKE TEMP '[Â°C']]]-Table3[[#This Row],[580F]]</f>
        <v>0</v>
      </c>
      <c r="Z1678">
        <f>DataLog_T717420_Aug11_4_59_37pm[[#This Row],[HPFP PRES. '[BAR']]]-Table3[[#This Row],[58F0]]</f>
        <v>0</v>
      </c>
      <c r="AA1678">
        <f>DataLog_T717420_Aug11_4_59_37pm[[#This Row],[COOLANT TEMP '[Â°C']]]-Table3[[#This Row],[5805]]</f>
        <v>0</v>
      </c>
      <c r="AB1678">
        <f>DataLog_T717420_Aug11_4_59_37pm[[#This Row],[BOOST '[BAR']]]-Table3[[#This Row],[58DD]]</f>
        <v>0</v>
      </c>
    </row>
    <row r="1679" spans="2:28" x14ac:dyDescent="0.25">
      <c r="B1679" s="2" t="s">
        <v>189</v>
      </c>
      <c r="C1679" s="2" t="s">
        <v>262</v>
      </c>
      <c r="D1679" s="2" t="s">
        <v>151</v>
      </c>
      <c r="E1679" s="2" t="s">
        <v>123</v>
      </c>
      <c r="F1679" s="2" t="s">
        <v>393</v>
      </c>
      <c r="G1679" s="2" t="s">
        <v>245</v>
      </c>
      <c r="I1679">
        <f>HEX2DEC(_0811_173439[[#This Row],[580C]])*B$4/B$5+B$6</f>
        <v>760</v>
      </c>
      <c r="J1679">
        <f>HEX2DEC(_0811_173439[[#This Row],[4402]])*C$4/C$5+C$6</f>
        <v>37</v>
      </c>
      <c r="K1679">
        <f>HEX2DEC(_0811_173439[[#This Row],[580F]])*D$4/D$5+D$6</f>
        <v>30</v>
      </c>
      <c r="L1679">
        <f>ROUND(HEX2DEC(_0811_173439[[#This Row],[58F0]])*E$4/E$5+E$6,0)</f>
        <v>71</v>
      </c>
      <c r="M1679">
        <f>ROUND(HEX2DEC(_0811_173439[[#This Row],[5805]])*F$4/F$5+F$6,0)</f>
        <v>46</v>
      </c>
      <c r="N1679">
        <f>ROUND(HEX2DEC(_0811_173439[[#This Row],[58DD]])*G$4/G$5+G$6,2)</f>
        <v>-0.03</v>
      </c>
      <c r="P1679">
        <v>760</v>
      </c>
      <c r="Q1679">
        <v>37</v>
      </c>
      <c r="R1679">
        <v>30</v>
      </c>
      <c r="S1679">
        <v>71</v>
      </c>
      <c r="T1679">
        <v>46</v>
      </c>
      <c r="U1679">
        <v>-0.03</v>
      </c>
      <c r="W1679">
        <f>DataLog_T717420_Aug11_4_59_37pm[[#This Row],[RPM '[1/MIN']]]-Table3[[#This Row],[580C]]</f>
        <v>0</v>
      </c>
      <c r="X1679">
        <f>DataLog_T717420_Aug11_4_59_37pm[[#This Row],[OIL TEMP '[Â°C']]]-Table3[[#This Row],[4402]]</f>
        <v>0</v>
      </c>
      <c r="Y1679">
        <f>DataLog_T717420_Aug11_4_59_37pm[[#This Row],[INTAKE TEMP '[Â°C']]]-Table3[[#This Row],[580F]]</f>
        <v>0</v>
      </c>
      <c r="Z1679">
        <f>DataLog_T717420_Aug11_4_59_37pm[[#This Row],[HPFP PRES. '[BAR']]]-Table3[[#This Row],[58F0]]</f>
        <v>0</v>
      </c>
      <c r="AA1679">
        <f>DataLog_T717420_Aug11_4_59_37pm[[#This Row],[COOLANT TEMP '[Â°C']]]-Table3[[#This Row],[5805]]</f>
        <v>0</v>
      </c>
      <c r="AB1679">
        <f>DataLog_T717420_Aug11_4_59_37pm[[#This Row],[BOOST '[BAR']]]-Table3[[#This Row],[58DD]]</f>
        <v>0</v>
      </c>
    </row>
    <row r="1680" spans="2:28" x14ac:dyDescent="0.25">
      <c r="B1680" s="2" t="s">
        <v>189</v>
      </c>
      <c r="C1680" s="2" t="s">
        <v>262</v>
      </c>
      <c r="D1680" s="2" t="s">
        <v>151</v>
      </c>
      <c r="E1680" s="2" t="s">
        <v>154</v>
      </c>
      <c r="F1680" s="2" t="s">
        <v>393</v>
      </c>
      <c r="G1680" s="2" t="s">
        <v>90</v>
      </c>
      <c r="I1680">
        <f>HEX2DEC(_0811_173439[[#This Row],[580C]])*B$4/B$5+B$6</f>
        <v>760</v>
      </c>
      <c r="J1680">
        <f>HEX2DEC(_0811_173439[[#This Row],[4402]])*C$4/C$5+C$6</f>
        <v>37</v>
      </c>
      <c r="K1680">
        <f>HEX2DEC(_0811_173439[[#This Row],[580F]])*D$4/D$5+D$6</f>
        <v>30</v>
      </c>
      <c r="L1680">
        <f>ROUND(HEX2DEC(_0811_173439[[#This Row],[58F0]])*E$4/E$5+E$6,0)</f>
        <v>71</v>
      </c>
      <c r="M1680">
        <f>ROUND(HEX2DEC(_0811_173439[[#This Row],[5805]])*F$4/F$5+F$6,0)</f>
        <v>46</v>
      </c>
      <c r="N1680">
        <f>ROUND(HEX2DEC(_0811_173439[[#This Row],[58DD]])*G$4/G$5+G$6,2)</f>
        <v>-0.03</v>
      </c>
      <c r="P1680">
        <v>760</v>
      </c>
      <c r="Q1680">
        <v>37</v>
      </c>
      <c r="R1680">
        <v>30</v>
      </c>
      <c r="S1680">
        <v>71</v>
      </c>
      <c r="T1680">
        <v>46</v>
      </c>
      <c r="U1680">
        <v>-0.03</v>
      </c>
      <c r="W1680">
        <f>DataLog_T717420_Aug11_4_59_37pm[[#This Row],[RPM '[1/MIN']]]-Table3[[#This Row],[580C]]</f>
        <v>0</v>
      </c>
      <c r="X1680">
        <f>DataLog_T717420_Aug11_4_59_37pm[[#This Row],[OIL TEMP '[Â°C']]]-Table3[[#This Row],[4402]]</f>
        <v>0</v>
      </c>
      <c r="Y1680">
        <f>DataLog_T717420_Aug11_4_59_37pm[[#This Row],[INTAKE TEMP '[Â°C']]]-Table3[[#This Row],[580F]]</f>
        <v>0</v>
      </c>
      <c r="Z1680">
        <f>DataLog_T717420_Aug11_4_59_37pm[[#This Row],[HPFP PRES. '[BAR']]]-Table3[[#This Row],[58F0]]</f>
        <v>0</v>
      </c>
      <c r="AA1680">
        <f>DataLog_T717420_Aug11_4_59_37pm[[#This Row],[COOLANT TEMP '[Â°C']]]-Table3[[#This Row],[5805]]</f>
        <v>0</v>
      </c>
      <c r="AB1680">
        <f>DataLog_T717420_Aug11_4_59_37pm[[#This Row],[BOOST '[BAR']]]-Table3[[#This Row],[58DD]]</f>
        <v>0</v>
      </c>
    </row>
    <row r="1681" spans="2:28" x14ac:dyDescent="0.25">
      <c r="B1681" s="2" t="s">
        <v>189</v>
      </c>
      <c r="C1681" s="2" t="s">
        <v>262</v>
      </c>
      <c r="D1681" s="2" t="s">
        <v>151</v>
      </c>
      <c r="E1681" s="2" t="s">
        <v>195</v>
      </c>
      <c r="F1681" s="2" t="s">
        <v>393</v>
      </c>
      <c r="G1681" s="2" t="s">
        <v>255</v>
      </c>
      <c r="I1681">
        <f>HEX2DEC(_0811_173439[[#This Row],[580C]])*B$4/B$5+B$6</f>
        <v>760</v>
      </c>
      <c r="J1681">
        <f>HEX2DEC(_0811_173439[[#This Row],[4402]])*C$4/C$5+C$6</f>
        <v>37</v>
      </c>
      <c r="K1681">
        <f>HEX2DEC(_0811_173439[[#This Row],[580F]])*D$4/D$5+D$6</f>
        <v>30</v>
      </c>
      <c r="L1681">
        <f>ROUND(HEX2DEC(_0811_173439[[#This Row],[58F0]])*E$4/E$5+E$6,0)</f>
        <v>70</v>
      </c>
      <c r="M1681">
        <f>ROUND(HEX2DEC(_0811_173439[[#This Row],[5805]])*F$4/F$5+F$6,0)</f>
        <v>46</v>
      </c>
      <c r="N1681">
        <f>ROUND(HEX2DEC(_0811_173439[[#This Row],[58DD]])*G$4/G$5+G$6,2)</f>
        <v>-0.03</v>
      </c>
      <c r="P1681">
        <v>760</v>
      </c>
      <c r="Q1681">
        <v>37</v>
      </c>
      <c r="R1681">
        <v>30</v>
      </c>
      <c r="S1681">
        <v>70</v>
      </c>
      <c r="T1681">
        <v>46</v>
      </c>
      <c r="U1681">
        <v>-0.03</v>
      </c>
      <c r="W1681">
        <f>DataLog_T717420_Aug11_4_59_37pm[[#This Row],[RPM '[1/MIN']]]-Table3[[#This Row],[580C]]</f>
        <v>0</v>
      </c>
      <c r="X1681">
        <f>DataLog_T717420_Aug11_4_59_37pm[[#This Row],[OIL TEMP '[Â°C']]]-Table3[[#This Row],[4402]]</f>
        <v>0</v>
      </c>
      <c r="Y1681">
        <f>DataLog_T717420_Aug11_4_59_37pm[[#This Row],[INTAKE TEMP '[Â°C']]]-Table3[[#This Row],[580F]]</f>
        <v>0</v>
      </c>
      <c r="Z1681">
        <f>DataLog_T717420_Aug11_4_59_37pm[[#This Row],[HPFP PRES. '[BAR']]]-Table3[[#This Row],[58F0]]</f>
        <v>0</v>
      </c>
      <c r="AA1681">
        <f>DataLog_T717420_Aug11_4_59_37pm[[#This Row],[COOLANT TEMP '[Â°C']]]-Table3[[#This Row],[5805]]</f>
        <v>0</v>
      </c>
      <c r="AB1681">
        <f>DataLog_T717420_Aug11_4_59_37pm[[#This Row],[BOOST '[BAR']]]-Table3[[#This Row],[58DD]]</f>
        <v>0</v>
      </c>
    </row>
    <row r="1682" spans="2:28" x14ac:dyDescent="0.25">
      <c r="B1682" s="2" t="s">
        <v>189</v>
      </c>
      <c r="C1682" s="2" t="s">
        <v>262</v>
      </c>
      <c r="D1682" s="2" t="s">
        <v>151</v>
      </c>
      <c r="E1682" s="2" t="s">
        <v>207</v>
      </c>
      <c r="F1682" s="2" t="s">
        <v>393</v>
      </c>
      <c r="G1682" s="2" t="s">
        <v>53</v>
      </c>
      <c r="I1682">
        <f>HEX2DEC(_0811_173439[[#This Row],[580C]])*B$4/B$5+B$6</f>
        <v>760</v>
      </c>
      <c r="J1682">
        <f>HEX2DEC(_0811_173439[[#This Row],[4402]])*C$4/C$5+C$6</f>
        <v>37</v>
      </c>
      <c r="K1682">
        <f>HEX2DEC(_0811_173439[[#This Row],[580F]])*D$4/D$5+D$6</f>
        <v>30</v>
      </c>
      <c r="L1682">
        <f>ROUND(HEX2DEC(_0811_173439[[#This Row],[58F0]])*E$4/E$5+E$6,0)</f>
        <v>70</v>
      </c>
      <c r="M1682">
        <f>ROUND(HEX2DEC(_0811_173439[[#This Row],[5805]])*F$4/F$5+F$6,0)</f>
        <v>46</v>
      </c>
      <c r="N1682">
        <f>ROUND(HEX2DEC(_0811_173439[[#This Row],[58DD]])*G$4/G$5+G$6,2)</f>
        <v>-0.03</v>
      </c>
      <c r="P1682">
        <v>760</v>
      </c>
      <c r="Q1682">
        <v>37</v>
      </c>
      <c r="R1682">
        <v>30</v>
      </c>
      <c r="S1682">
        <v>70</v>
      </c>
      <c r="T1682">
        <v>46</v>
      </c>
      <c r="U1682">
        <v>-0.03</v>
      </c>
      <c r="W1682">
        <f>DataLog_T717420_Aug11_4_59_37pm[[#This Row],[RPM '[1/MIN']]]-Table3[[#This Row],[580C]]</f>
        <v>0</v>
      </c>
      <c r="X1682">
        <f>DataLog_T717420_Aug11_4_59_37pm[[#This Row],[OIL TEMP '[Â°C']]]-Table3[[#This Row],[4402]]</f>
        <v>0</v>
      </c>
      <c r="Y1682">
        <f>DataLog_T717420_Aug11_4_59_37pm[[#This Row],[INTAKE TEMP '[Â°C']]]-Table3[[#This Row],[580F]]</f>
        <v>0</v>
      </c>
      <c r="Z1682">
        <f>DataLog_T717420_Aug11_4_59_37pm[[#This Row],[HPFP PRES. '[BAR']]]-Table3[[#This Row],[58F0]]</f>
        <v>0</v>
      </c>
      <c r="AA1682">
        <f>DataLog_T717420_Aug11_4_59_37pm[[#This Row],[COOLANT TEMP '[Â°C']]]-Table3[[#This Row],[5805]]</f>
        <v>0</v>
      </c>
      <c r="AB1682">
        <f>DataLog_T717420_Aug11_4_59_37pm[[#This Row],[BOOST '[BAR']]]-Table3[[#This Row],[58DD]]</f>
        <v>0</v>
      </c>
    </row>
    <row r="1683" spans="2:28" x14ac:dyDescent="0.25">
      <c r="B1683" s="2" t="s">
        <v>189</v>
      </c>
      <c r="C1683" s="2" t="s">
        <v>262</v>
      </c>
      <c r="D1683" s="2" t="s">
        <v>151</v>
      </c>
      <c r="E1683" s="2" t="s">
        <v>125</v>
      </c>
      <c r="F1683" s="2" t="s">
        <v>393</v>
      </c>
      <c r="G1683" s="2" t="s">
        <v>53</v>
      </c>
      <c r="I1683">
        <f>HEX2DEC(_0811_173439[[#This Row],[580C]])*B$4/B$5+B$6</f>
        <v>760</v>
      </c>
      <c r="J1683">
        <f>HEX2DEC(_0811_173439[[#This Row],[4402]])*C$4/C$5+C$6</f>
        <v>37</v>
      </c>
      <c r="K1683">
        <f>HEX2DEC(_0811_173439[[#This Row],[580F]])*D$4/D$5+D$6</f>
        <v>30</v>
      </c>
      <c r="L1683">
        <f>ROUND(HEX2DEC(_0811_173439[[#This Row],[58F0]])*E$4/E$5+E$6,0)</f>
        <v>70</v>
      </c>
      <c r="M1683">
        <f>ROUND(HEX2DEC(_0811_173439[[#This Row],[5805]])*F$4/F$5+F$6,0)</f>
        <v>46</v>
      </c>
      <c r="N1683">
        <f>ROUND(HEX2DEC(_0811_173439[[#This Row],[58DD]])*G$4/G$5+G$6,2)</f>
        <v>-0.03</v>
      </c>
      <c r="P1683">
        <v>760</v>
      </c>
      <c r="Q1683">
        <v>37</v>
      </c>
      <c r="R1683">
        <v>30</v>
      </c>
      <c r="S1683">
        <v>70</v>
      </c>
      <c r="T1683">
        <v>46</v>
      </c>
      <c r="U1683">
        <v>-0.03</v>
      </c>
      <c r="W1683">
        <f>DataLog_T717420_Aug11_4_59_37pm[[#This Row],[RPM '[1/MIN']]]-Table3[[#This Row],[580C]]</f>
        <v>0</v>
      </c>
      <c r="X1683">
        <f>DataLog_T717420_Aug11_4_59_37pm[[#This Row],[OIL TEMP '[Â°C']]]-Table3[[#This Row],[4402]]</f>
        <v>0</v>
      </c>
      <c r="Y1683">
        <f>DataLog_T717420_Aug11_4_59_37pm[[#This Row],[INTAKE TEMP '[Â°C']]]-Table3[[#This Row],[580F]]</f>
        <v>0</v>
      </c>
      <c r="Z1683">
        <f>DataLog_T717420_Aug11_4_59_37pm[[#This Row],[HPFP PRES. '[BAR']]]-Table3[[#This Row],[58F0]]</f>
        <v>0</v>
      </c>
      <c r="AA1683">
        <f>DataLog_T717420_Aug11_4_59_37pm[[#This Row],[COOLANT TEMP '[Â°C']]]-Table3[[#This Row],[5805]]</f>
        <v>0</v>
      </c>
      <c r="AB1683">
        <f>DataLog_T717420_Aug11_4_59_37pm[[#This Row],[BOOST '[BAR']]]-Table3[[#This Row],[58DD]]</f>
        <v>0</v>
      </c>
    </row>
    <row r="1684" spans="2:28" x14ac:dyDescent="0.25">
      <c r="B1684" s="2" t="s">
        <v>189</v>
      </c>
      <c r="C1684" s="2" t="s">
        <v>262</v>
      </c>
      <c r="D1684" s="2" t="s">
        <v>151</v>
      </c>
      <c r="E1684" s="2" t="s">
        <v>148</v>
      </c>
      <c r="F1684" s="2" t="s">
        <v>393</v>
      </c>
      <c r="G1684" s="2" t="s">
        <v>190</v>
      </c>
      <c r="I1684">
        <f>HEX2DEC(_0811_173439[[#This Row],[580C]])*B$4/B$5+B$6</f>
        <v>760</v>
      </c>
      <c r="J1684">
        <f>HEX2DEC(_0811_173439[[#This Row],[4402]])*C$4/C$5+C$6</f>
        <v>37</v>
      </c>
      <c r="K1684">
        <f>HEX2DEC(_0811_173439[[#This Row],[580F]])*D$4/D$5+D$6</f>
        <v>30</v>
      </c>
      <c r="L1684">
        <f>ROUND(HEX2DEC(_0811_173439[[#This Row],[58F0]])*E$4/E$5+E$6,0)</f>
        <v>70</v>
      </c>
      <c r="M1684">
        <f>ROUND(HEX2DEC(_0811_173439[[#This Row],[5805]])*F$4/F$5+F$6,0)</f>
        <v>46</v>
      </c>
      <c r="N1684">
        <f>ROUND(HEX2DEC(_0811_173439[[#This Row],[58DD]])*G$4/G$5+G$6,2)</f>
        <v>-0.03</v>
      </c>
      <c r="P1684">
        <v>760</v>
      </c>
      <c r="Q1684">
        <v>37</v>
      </c>
      <c r="R1684">
        <v>30</v>
      </c>
      <c r="S1684">
        <v>70</v>
      </c>
      <c r="T1684">
        <v>46</v>
      </c>
      <c r="U1684">
        <v>-0.03</v>
      </c>
      <c r="W1684">
        <f>DataLog_T717420_Aug11_4_59_37pm[[#This Row],[RPM '[1/MIN']]]-Table3[[#This Row],[580C]]</f>
        <v>0</v>
      </c>
      <c r="X1684">
        <f>DataLog_T717420_Aug11_4_59_37pm[[#This Row],[OIL TEMP '[Â°C']]]-Table3[[#This Row],[4402]]</f>
        <v>0</v>
      </c>
      <c r="Y1684">
        <f>DataLog_T717420_Aug11_4_59_37pm[[#This Row],[INTAKE TEMP '[Â°C']]]-Table3[[#This Row],[580F]]</f>
        <v>0</v>
      </c>
      <c r="Z1684">
        <f>DataLog_T717420_Aug11_4_59_37pm[[#This Row],[HPFP PRES. '[BAR']]]-Table3[[#This Row],[58F0]]</f>
        <v>0</v>
      </c>
      <c r="AA1684">
        <f>DataLog_T717420_Aug11_4_59_37pm[[#This Row],[COOLANT TEMP '[Â°C']]]-Table3[[#This Row],[5805]]</f>
        <v>0</v>
      </c>
      <c r="AB1684">
        <f>DataLog_T717420_Aug11_4_59_37pm[[#This Row],[BOOST '[BAR']]]-Table3[[#This Row],[58DD]]</f>
        <v>0</v>
      </c>
    </row>
    <row r="1685" spans="2:28" x14ac:dyDescent="0.25">
      <c r="B1685" s="2" t="s">
        <v>189</v>
      </c>
      <c r="C1685" s="2" t="s">
        <v>262</v>
      </c>
      <c r="D1685" s="2" t="s">
        <v>151</v>
      </c>
      <c r="E1685" s="2" t="s">
        <v>222</v>
      </c>
      <c r="F1685" s="2" t="s">
        <v>393</v>
      </c>
      <c r="G1685" s="2" t="s">
        <v>236</v>
      </c>
      <c r="I1685">
        <f>HEX2DEC(_0811_173439[[#This Row],[580C]])*B$4/B$5+B$6</f>
        <v>760</v>
      </c>
      <c r="J1685">
        <f>HEX2DEC(_0811_173439[[#This Row],[4402]])*C$4/C$5+C$6</f>
        <v>37</v>
      </c>
      <c r="K1685">
        <f>HEX2DEC(_0811_173439[[#This Row],[580F]])*D$4/D$5+D$6</f>
        <v>30</v>
      </c>
      <c r="L1685">
        <f>ROUND(HEX2DEC(_0811_173439[[#This Row],[58F0]])*E$4/E$5+E$6,0)</f>
        <v>70</v>
      </c>
      <c r="M1685">
        <f>ROUND(HEX2DEC(_0811_173439[[#This Row],[5805]])*F$4/F$5+F$6,0)</f>
        <v>46</v>
      </c>
      <c r="N1685">
        <f>ROUND(HEX2DEC(_0811_173439[[#This Row],[58DD]])*G$4/G$5+G$6,2)</f>
        <v>-0.03</v>
      </c>
      <c r="P1685">
        <v>760</v>
      </c>
      <c r="Q1685">
        <v>37</v>
      </c>
      <c r="R1685">
        <v>30</v>
      </c>
      <c r="S1685">
        <v>70</v>
      </c>
      <c r="T1685">
        <v>46</v>
      </c>
      <c r="U1685">
        <v>-0.03</v>
      </c>
      <c r="W1685">
        <f>DataLog_T717420_Aug11_4_59_37pm[[#This Row],[RPM '[1/MIN']]]-Table3[[#This Row],[580C]]</f>
        <v>0</v>
      </c>
      <c r="X1685">
        <f>DataLog_T717420_Aug11_4_59_37pm[[#This Row],[OIL TEMP '[Â°C']]]-Table3[[#This Row],[4402]]</f>
        <v>0</v>
      </c>
      <c r="Y1685">
        <f>DataLog_T717420_Aug11_4_59_37pm[[#This Row],[INTAKE TEMP '[Â°C']]]-Table3[[#This Row],[580F]]</f>
        <v>0</v>
      </c>
      <c r="Z1685">
        <f>DataLog_T717420_Aug11_4_59_37pm[[#This Row],[HPFP PRES. '[BAR']]]-Table3[[#This Row],[58F0]]</f>
        <v>0</v>
      </c>
      <c r="AA1685">
        <f>DataLog_T717420_Aug11_4_59_37pm[[#This Row],[COOLANT TEMP '[Â°C']]]-Table3[[#This Row],[5805]]</f>
        <v>0</v>
      </c>
      <c r="AB1685">
        <f>DataLog_T717420_Aug11_4_59_37pm[[#This Row],[BOOST '[BAR']]]-Table3[[#This Row],[58DD]]</f>
        <v>0</v>
      </c>
    </row>
    <row r="1686" spans="2:28" x14ac:dyDescent="0.25">
      <c r="B1686" s="2" t="s">
        <v>189</v>
      </c>
      <c r="C1686" s="2" t="s">
        <v>262</v>
      </c>
      <c r="D1686" s="2" t="s">
        <v>151</v>
      </c>
      <c r="E1686" s="2" t="s">
        <v>194</v>
      </c>
      <c r="F1686" s="2" t="s">
        <v>393</v>
      </c>
      <c r="G1686" s="2" t="s">
        <v>90</v>
      </c>
      <c r="I1686">
        <f>HEX2DEC(_0811_173439[[#This Row],[580C]])*B$4/B$5+B$6</f>
        <v>760</v>
      </c>
      <c r="J1686">
        <f>HEX2DEC(_0811_173439[[#This Row],[4402]])*C$4/C$5+C$6</f>
        <v>37</v>
      </c>
      <c r="K1686">
        <f>HEX2DEC(_0811_173439[[#This Row],[580F]])*D$4/D$5+D$6</f>
        <v>30</v>
      </c>
      <c r="L1686">
        <f>ROUND(HEX2DEC(_0811_173439[[#This Row],[58F0]])*E$4/E$5+E$6,0)</f>
        <v>70</v>
      </c>
      <c r="M1686">
        <f>ROUND(HEX2DEC(_0811_173439[[#This Row],[5805]])*F$4/F$5+F$6,0)</f>
        <v>46</v>
      </c>
      <c r="N1686">
        <f>ROUND(HEX2DEC(_0811_173439[[#This Row],[58DD]])*G$4/G$5+G$6,2)</f>
        <v>-0.03</v>
      </c>
      <c r="P1686">
        <v>760</v>
      </c>
      <c r="Q1686">
        <v>37</v>
      </c>
      <c r="R1686">
        <v>30</v>
      </c>
      <c r="S1686">
        <v>70</v>
      </c>
      <c r="T1686">
        <v>46</v>
      </c>
      <c r="U1686">
        <v>-0.03</v>
      </c>
      <c r="W1686">
        <f>DataLog_T717420_Aug11_4_59_37pm[[#This Row],[RPM '[1/MIN']]]-Table3[[#This Row],[580C]]</f>
        <v>0</v>
      </c>
      <c r="X1686">
        <f>DataLog_T717420_Aug11_4_59_37pm[[#This Row],[OIL TEMP '[Â°C']]]-Table3[[#This Row],[4402]]</f>
        <v>0</v>
      </c>
      <c r="Y1686">
        <f>DataLog_T717420_Aug11_4_59_37pm[[#This Row],[INTAKE TEMP '[Â°C']]]-Table3[[#This Row],[580F]]</f>
        <v>0</v>
      </c>
      <c r="Z1686">
        <f>DataLog_T717420_Aug11_4_59_37pm[[#This Row],[HPFP PRES. '[BAR']]]-Table3[[#This Row],[58F0]]</f>
        <v>0</v>
      </c>
      <c r="AA1686">
        <f>DataLog_T717420_Aug11_4_59_37pm[[#This Row],[COOLANT TEMP '[Â°C']]]-Table3[[#This Row],[5805]]</f>
        <v>0</v>
      </c>
      <c r="AB1686">
        <f>DataLog_T717420_Aug11_4_59_37pm[[#This Row],[BOOST '[BAR']]]-Table3[[#This Row],[58DD]]</f>
        <v>0</v>
      </c>
    </row>
    <row r="1687" spans="2:28" x14ac:dyDescent="0.25">
      <c r="B1687" s="2" t="s">
        <v>189</v>
      </c>
      <c r="C1687" s="2" t="s">
        <v>262</v>
      </c>
      <c r="D1687" s="2" t="s">
        <v>151</v>
      </c>
      <c r="E1687" s="2" t="s">
        <v>163</v>
      </c>
      <c r="F1687" s="2" t="s">
        <v>393</v>
      </c>
      <c r="G1687" s="2" t="s">
        <v>236</v>
      </c>
      <c r="I1687">
        <f>HEX2DEC(_0811_173439[[#This Row],[580C]])*B$4/B$5+B$6</f>
        <v>760</v>
      </c>
      <c r="J1687">
        <f>HEX2DEC(_0811_173439[[#This Row],[4402]])*C$4/C$5+C$6</f>
        <v>37</v>
      </c>
      <c r="K1687">
        <f>HEX2DEC(_0811_173439[[#This Row],[580F]])*D$4/D$5+D$6</f>
        <v>30</v>
      </c>
      <c r="L1687">
        <f>ROUND(HEX2DEC(_0811_173439[[#This Row],[58F0]])*E$4/E$5+E$6,0)</f>
        <v>70</v>
      </c>
      <c r="M1687">
        <f>ROUND(HEX2DEC(_0811_173439[[#This Row],[5805]])*F$4/F$5+F$6,0)</f>
        <v>46</v>
      </c>
      <c r="N1687">
        <f>ROUND(HEX2DEC(_0811_173439[[#This Row],[58DD]])*G$4/G$5+G$6,2)</f>
        <v>-0.03</v>
      </c>
      <c r="P1687">
        <v>760</v>
      </c>
      <c r="Q1687">
        <v>37</v>
      </c>
      <c r="R1687">
        <v>30</v>
      </c>
      <c r="S1687">
        <v>70</v>
      </c>
      <c r="T1687">
        <v>46</v>
      </c>
      <c r="U1687">
        <v>-0.03</v>
      </c>
      <c r="W1687">
        <f>DataLog_T717420_Aug11_4_59_37pm[[#This Row],[RPM '[1/MIN']]]-Table3[[#This Row],[580C]]</f>
        <v>0</v>
      </c>
      <c r="X1687">
        <f>DataLog_T717420_Aug11_4_59_37pm[[#This Row],[OIL TEMP '[Â°C']]]-Table3[[#This Row],[4402]]</f>
        <v>0</v>
      </c>
      <c r="Y1687">
        <f>DataLog_T717420_Aug11_4_59_37pm[[#This Row],[INTAKE TEMP '[Â°C']]]-Table3[[#This Row],[580F]]</f>
        <v>0</v>
      </c>
      <c r="Z1687">
        <f>DataLog_T717420_Aug11_4_59_37pm[[#This Row],[HPFP PRES. '[BAR']]]-Table3[[#This Row],[58F0]]</f>
        <v>0</v>
      </c>
      <c r="AA1687">
        <f>DataLog_T717420_Aug11_4_59_37pm[[#This Row],[COOLANT TEMP '[Â°C']]]-Table3[[#This Row],[5805]]</f>
        <v>0</v>
      </c>
      <c r="AB1687">
        <f>DataLog_T717420_Aug11_4_59_37pm[[#This Row],[BOOST '[BAR']]]-Table3[[#This Row],[58DD]]</f>
        <v>0</v>
      </c>
    </row>
    <row r="1688" spans="2:28" x14ac:dyDescent="0.25">
      <c r="B1688" s="2" t="s">
        <v>189</v>
      </c>
      <c r="C1688" s="2" t="s">
        <v>262</v>
      </c>
      <c r="D1688" s="2" t="s">
        <v>151</v>
      </c>
      <c r="E1688" s="2" t="s">
        <v>224</v>
      </c>
      <c r="F1688" s="2" t="s">
        <v>393</v>
      </c>
      <c r="G1688" s="2" t="s">
        <v>216</v>
      </c>
      <c r="I1688">
        <f>HEX2DEC(_0811_173439[[#This Row],[580C]])*B$4/B$5+B$6</f>
        <v>760</v>
      </c>
      <c r="J1688">
        <f>HEX2DEC(_0811_173439[[#This Row],[4402]])*C$4/C$5+C$6</f>
        <v>37</v>
      </c>
      <c r="K1688">
        <f>HEX2DEC(_0811_173439[[#This Row],[580F]])*D$4/D$5+D$6</f>
        <v>30</v>
      </c>
      <c r="L1688">
        <f>ROUND(HEX2DEC(_0811_173439[[#This Row],[58F0]])*E$4/E$5+E$6,0)</f>
        <v>69</v>
      </c>
      <c r="M1688">
        <f>ROUND(HEX2DEC(_0811_173439[[#This Row],[5805]])*F$4/F$5+F$6,0)</f>
        <v>46</v>
      </c>
      <c r="N1688">
        <f>ROUND(HEX2DEC(_0811_173439[[#This Row],[58DD]])*G$4/G$5+G$6,2)</f>
        <v>-0.03</v>
      </c>
      <c r="P1688">
        <v>760</v>
      </c>
      <c r="Q1688">
        <v>37</v>
      </c>
      <c r="R1688">
        <v>30</v>
      </c>
      <c r="S1688">
        <v>69</v>
      </c>
      <c r="T1688">
        <v>46</v>
      </c>
      <c r="U1688">
        <v>-0.03</v>
      </c>
      <c r="W1688">
        <f>DataLog_T717420_Aug11_4_59_37pm[[#This Row],[RPM '[1/MIN']]]-Table3[[#This Row],[580C]]</f>
        <v>0</v>
      </c>
      <c r="X1688">
        <f>DataLog_T717420_Aug11_4_59_37pm[[#This Row],[OIL TEMP '[Â°C']]]-Table3[[#This Row],[4402]]</f>
        <v>0</v>
      </c>
      <c r="Y1688">
        <f>DataLog_T717420_Aug11_4_59_37pm[[#This Row],[INTAKE TEMP '[Â°C']]]-Table3[[#This Row],[580F]]</f>
        <v>0</v>
      </c>
      <c r="Z1688">
        <f>DataLog_T717420_Aug11_4_59_37pm[[#This Row],[HPFP PRES. '[BAR']]]-Table3[[#This Row],[58F0]]</f>
        <v>0</v>
      </c>
      <c r="AA1688">
        <f>DataLog_T717420_Aug11_4_59_37pm[[#This Row],[COOLANT TEMP '[Â°C']]]-Table3[[#This Row],[5805]]</f>
        <v>0</v>
      </c>
      <c r="AB1688">
        <f>DataLog_T717420_Aug11_4_59_37pm[[#This Row],[BOOST '[BAR']]]-Table3[[#This Row],[58DD]]</f>
        <v>0</v>
      </c>
    </row>
    <row r="1689" spans="2:28" x14ac:dyDescent="0.25">
      <c r="B1689" s="2" t="s">
        <v>189</v>
      </c>
      <c r="C1689" s="2" t="s">
        <v>262</v>
      </c>
      <c r="D1689" s="2" t="s">
        <v>151</v>
      </c>
      <c r="E1689" s="2" t="s">
        <v>194</v>
      </c>
      <c r="F1689" s="2" t="s">
        <v>393</v>
      </c>
      <c r="G1689" s="2" t="s">
        <v>53</v>
      </c>
      <c r="I1689">
        <f>HEX2DEC(_0811_173439[[#This Row],[580C]])*B$4/B$5+B$6</f>
        <v>760</v>
      </c>
      <c r="J1689">
        <f>HEX2DEC(_0811_173439[[#This Row],[4402]])*C$4/C$5+C$6</f>
        <v>37</v>
      </c>
      <c r="K1689">
        <f>HEX2DEC(_0811_173439[[#This Row],[580F]])*D$4/D$5+D$6</f>
        <v>30</v>
      </c>
      <c r="L1689">
        <f>ROUND(HEX2DEC(_0811_173439[[#This Row],[58F0]])*E$4/E$5+E$6,0)</f>
        <v>70</v>
      </c>
      <c r="M1689">
        <f>ROUND(HEX2DEC(_0811_173439[[#This Row],[5805]])*F$4/F$5+F$6,0)</f>
        <v>46</v>
      </c>
      <c r="N1689">
        <f>ROUND(HEX2DEC(_0811_173439[[#This Row],[58DD]])*G$4/G$5+G$6,2)</f>
        <v>-0.03</v>
      </c>
      <c r="P1689">
        <v>760</v>
      </c>
      <c r="Q1689">
        <v>37</v>
      </c>
      <c r="R1689">
        <v>30</v>
      </c>
      <c r="S1689">
        <v>70</v>
      </c>
      <c r="T1689">
        <v>46</v>
      </c>
      <c r="U1689">
        <v>-0.03</v>
      </c>
      <c r="W1689">
        <f>DataLog_T717420_Aug11_4_59_37pm[[#This Row],[RPM '[1/MIN']]]-Table3[[#This Row],[580C]]</f>
        <v>0</v>
      </c>
      <c r="X1689">
        <f>DataLog_T717420_Aug11_4_59_37pm[[#This Row],[OIL TEMP '[Â°C']]]-Table3[[#This Row],[4402]]</f>
        <v>0</v>
      </c>
      <c r="Y1689">
        <f>DataLog_T717420_Aug11_4_59_37pm[[#This Row],[INTAKE TEMP '[Â°C']]]-Table3[[#This Row],[580F]]</f>
        <v>0</v>
      </c>
      <c r="Z1689">
        <f>DataLog_T717420_Aug11_4_59_37pm[[#This Row],[HPFP PRES. '[BAR']]]-Table3[[#This Row],[58F0]]</f>
        <v>0</v>
      </c>
      <c r="AA1689">
        <f>DataLog_T717420_Aug11_4_59_37pm[[#This Row],[COOLANT TEMP '[Â°C']]]-Table3[[#This Row],[5805]]</f>
        <v>0</v>
      </c>
      <c r="AB1689">
        <f>DataLog_T717420_Aug11_4_59_37pm[[#This Row],[BOOST '[BAR']]]-Table3[[#This Row],[58DD]]</f>
        <v>0</v>
      </c>
    </row>
    <row r="1690" spans="2:28" x14ac:dyDescent="0.25">
      <c r="B1690" s="2" t="s">
        <v>189</v>
      </c>
      <c r="C1690" s="2" t="s">
        <v>262</v>
      </c>
      <c r="D1690" s="2" t="s">
        <v>151</v>
      </c>
      <c r="E1690" s="2" t="s">
        <v>93</v>
      </c>
      <c r="F1690" s="2" t="s">
        <v>393</v>
      </c>
      <c r="G1690" s="2" t="s">
        <v>236</v>
      </c>
      <c r="I1690">
        <f>HEX2DEC(_0811_173439[[#This Row],[580C]])*B$4/B$5+B$6</f>
        <v>760</v>
      </c>
      <c r="J1690">
        <f>HEX2DEC(_0811_173439[[#This Row],[4402]])*C$4/C$5+C$6</f>
        <v>37</v>
      </c>
      <c r="K1690">
        <f>HEX2DEC(_0811_173439[[#This Row],[580F]])*D$4/D$5+D$6</f>
        <v>30</v>
      </c>
      <c r="L1690">
        <f>ROUND(HEX2DEC(_0811_173439[[#This Row],[58F0]])*E$4/E$5+E$6,0)</f>
        <v>70</v>
      </c>
      <c r="M1690">
        <f>ROUND(HEX2DEC(_0811_173439[[#This Row],[5805]])*F$4/F$5+F$6,0)</f>
        <v>46</v>
      </c>
      <c r="N1690">
        <f>ROUND(HEX2DEC(_0811_173439[[#This Row],[58DD]])*G$4/G$5+G$6,2)</f>
        <v>-0.03</v>
      </c>
      <c r="P1690">
        <v>760</v>
      </c>
      <c r="Q1690">
        <v>37</v>
      </c>
      <c r="R1690">
        <v>30</v>
      </c>
      <c r="S1690">
        <v>70</v>
      </c>
      <c r="T1690">
        <v>46</v>
      </c>
      <c r="U1690">
        <v>-0.03</v>
      </c>
      <c r="W1690">
        <f>DataLog_T717420_Aug11_4_59_37pm[[#This Row],[RPM '[1/MIN']]]-Table3[[#This Row],[580C]]</f>
        <v>0</v>
      </c>
      <c r="X1690">
        <f>DataLog_T717420_Aug11_4_59_37pm[[#This Row],[OIL TEMP '[Â°C']]]-Table3[[#This Row],[4402]]</f>
        <v>0</v>
      </c>
      <c r="Y1690">
        <f>DataLog_T717420_Aug11_4_59_37pm[[#This Row],[INTAKE TEMP '[Â°C']]]-Table3[[#This Row],[580F]]</f>
        <v>0</v>
      </c>
      <c r="Z1690">
        <f>DataLog_T717420_Aug11_4_59_37pm[[#This Row],[HPFP PRES. '[BAR']]]-Table3[[#This Row],[58F0]]</f>
        <v>0</v>
      </c>
      <c r="AA1690">
        <f>DataLog_T717420_Aug11_4_59_37pm[[#This Row],[COOLANT TEMP '[Â°C']]]-Table3[[#This Row],[5805]]</f>
        <v>0</v>
      </c>
      <c r="AB1690">
        <f>DataLog_T717420_Aug11_4_59_37pm[[#This Row],[BOOST '[BAR']]]-Table3[[#This Row],[58DD]]</f>
        <v>0</v>
      </c>
    </row>
    <row r="1691" spans="2:28" x14ac:dyDescent="0.25">
      <c r="B1691" s="2" t="s">
        <v>189</v>
      </c>
      <c r="C1691" s="2" t="s">
        <v>262</v>
      </c>
      <c r="D1691" s="2" t="s">
        <v>151</v>
      </c>
      <c r="E1691" s="2" t="s">
        <v>198</v>
      </c>
      <c r="F1691" s="2" t="s">
        <v>393</v>
      </c>
      <c r="G1691" s="2" t="s">
        <v>236</v>
      </c>
      <c r="I1691">
        <f>HEX2DEC(_0811_173439[[#This Row],[580C]])*B$4/B$5+B$6</f>
        <v>760</v>
      </c>
      <c r="J1691">
        <f>HEX2DEC(_0811_173439[[#This Row],[4402]])*C$4/C$5+C$6</f>
        <v>37</v>
      </c>
      <c r="K1691">
        <f>HEX2DEC(_0811_173439[[#This Row],[580F]])*D$4/D$5+D$6</f>
        <v>30</v>
      </c>
      <c r="L1691">
        <f>ROUND(HEX2DEC(_0811_173439[[#This Row],[58F0]])*E$4/E$5+E$6,0)</f>
        <v>70</v>
      </c>
      <c r="M1691">
        <f>ROUND(HEX2DEC(_0811_173439[[#This Row],[5805]])*F$4/F$5+F$6,0)</f>
        <v>46</v>
      </c>
      <c r="N1691">
        <f>ROUND(HEX2DEC(_0811_173439[[#This Row],[58DD]])*G$4/G$5+G$6,2)</f>
        <v>-0.03</v>
      </c>
      <c r="P1691">
        <v>760</v>
      </c>
      <c r="Q1691">
        <v>37</v>
      </c>
      <c r="R1691">
        <v>30</v>
      </c>
      <c r="S1691">
        <v>70</v>
      </c>
      <c r="T1691">
        <v>46</v>
      </c>
      <c r="U1691">
        <v>-0.03</v>
      </c>
      <c r="W1691">
        <f>DataLog_T717420_Aug11_4_59_37pm[[#This Row],[RPM '[1/MIN']]]-Table3[[#This Row],[580C]]</f>
        <v>0</v>
      </c>
      <c r="X1691">
        <f>DataLog_T717420_Aug11_4_59_37pm[[#This Row],[OIL TEMP '[Â°C']]]-Table3[[#This Row],[4402]]</f>
        <v>0</v>
      </c>
      <c r="Y1691">
        <f>DataLog_T717420_Aug11_4_59_37pm[[#This Row],[INTAKE TEMP '[Â°C']]]-Table3[[#This Row],[580F]]</f>
        <v>0</v>
      </c>
      <c r="Z1691">
        <f>DataLog_T717420_Aug11_4_59_37pm[[#This Row],[HPFP PRES. '[BAR']]]-Table3[[#This Row],[58F0]]</f>
        <v>0</v>
      </c>
      <c r="AA1691">
        <f>DataLog_T717420_Aug11_4_59_37pm[[#This Row],[COOLANT TEMP '[Â°C']]]-Table3[[#This Row],[5805]]</f>
        <v>0</v>
      </c>
      <c r="AB1691">
        <f>DataLog_T717420_Aug11_4_59_37pm[[#This Row],[BOOST '[BAR']]]-Table3[[#This Row],[58DD]]</f>
        <v>0</v>
      </c>
    </row>
    <row r="1692" spans="2:28" x14ac:dyDescent="0.25">
      <c r="B1692" s="2" t="s">
        <v>189</v>
      </c>
      <c r="C1692" s="2" t="s">
        <v>262</v>
      </c>
      <c r="D1692" s="2" t="s">
        <v>151</v>
      </c>
      <c r="E1692" s="2" t="s">
        <v>198</v>
      </c>
      <c r="F1692" s="2" t="s">
        <v>393</v>
      </c>
      <c r="G1692" s="2" t="s">
        <v>53</v>
      </c>
      <c r="I1692">
        <f>HEX2DEC(_0811_173439[[#This Row],[580C]])*B$4/B$5+B$6</f>
        <v>760</v>
      </c>
      <c r="J1692">
        <f>HEX2DEC(_0811_173439[[#This Row],[4402]])*C$4/C$5+C$6</f>
        <v>37</v>
      </c>
      <c r="K1692">
        <f>HEX2DEC(_0811_173439[[#This Row],[580F]])*D$4/D$5+D$6</f>
        <v>30</v>
      </c>
      <c r="L1692">
        <f>ROUND(HEX2DEC(_0811_173439[[#This Row],[58F0]])*E$4/E$5+E$6,0)</f>
        <v>70</v>
      </c>
      <c r="M1692">
        <f>ROUND(HEX2DEC(_0811_173439[[#This Row],[5805]])*F$4/F$5+F$6,0)</f>
        <v>46</v>
      </c>
      <c r="N1692">
        <f>ROUND(HEX2DEC(_0811_173439[[#This Row],[58DD]])*G$4/G$5+G$6,2)</f>
        <v>-0.03</v>
      </c>
      <c r="P1692">
        <v>760</v>
      </c>
      <c r="Q1692">
        <v>37</v>
      </c>
      <c r="R1692">
        <v>30</v>
      </c>
      <c r="S1692">
        <v>70</v>
      </c>
      <c r="T1692">
        <v>46</v>
      </c>
      <c r="U1692">
        <v>-0.03</v>
      </c>
      <c r="W1692">
        <f>DataLog_T717420_Aug11_4_59_37pm[[#This Row],[RPM '[1/MIN']]]-Table3[[#This Row],[580C]]</f>
        <v>0</v>
      </c>
      <c r="X1692">
        <f>DataLog_T717420_Aug11_4_59_37pm[[#This Row],[OIL TEMP '[Â°C']]]-Table3[[#This Row],[4402]]</f>
        <v>0</v>
      </c>
      <c r="Y1692">
        <f>DataLog_T717420_Aug11_4_59_37pm[[#This Row],[INTAKE TEMP '[Â°C']]]-Table3[[#This Row],[580F]]</f>
        <v>0</v>
      </c>
      <c r="Z1692">
        <f>DataLog_T717420_Aug11_4_59_37pm[[#This Row],[HPFP PRES. '[BAR']]]-Table3[[#This Row],[58F0]]</f>
        <v>0</v>
      </c>
      <c r="AA1692">
        <f>DataLog_T717420_Aug11_4_59_37pm[[#This Row],[COOLANT TEMP '[Â°C']]]-Table3[[#This Row],[5805]]</f>
        <v>0</v>
      </c>
      <c r="AB1692">
        <f>DataLog_T717420_Aug11_4_59_37pm[[#This Row],[BOOST '[BAR']]]-Table3[[#This Row],[58DD]]</f>
        <v>0</v>
      </c>
    </row>
    <row r="1693" spans="2:28" x14ac:dyDescent="0.25">
      <c r="B1693" s="2" t="s">
        <v>189</v>
      </c>
      <c r="C1693" s="2" t="s">
        <v>262</v>
      </c>
      <c r="D1693" s="2" t="s">
        <v>151</v>
      </c>
      <c r="E1693" s="2" t="s">
        <v>157</v>
      </c>
      <c r="F1693" s="2" t="s">
        <v>393</v>
      </c>
      <c r="G1693" s="2" t="s">
        <v>191</v>
      </c>
      <c r="I1693">
        <f>HEX2DEC(_0811_173439[[#This Row],[580C]])*B$4/B$5+B$6</f>
        <v>760</v>
      </c>
      <c r="J1693">
        <f>HEX2DEC(_0811_173439[[#This Row],[4402]])*C$4/C$5+C$6</f>
        <v>37</v>
      </c>
      <c r="K1693">
        <f>HEX2DEC(_0811_173439[[#This Row],[580F]])*D$4/D$5+D$6</f>
        <v>30</v>
      </c>
      <c r="L1693">
        <f>ROUND(HEX2DEC(_0811_173439[[#This Row],[58F0]])*E$4/E$5+E$6,0)</f>
        <v>70</v>
      </c>
      <c r="M1693">
        <f>ROUND(HEX2DEC(_0811_173439[[#This Row],[5805]])*F$4/F$5+F$6,0)</f>
        <v>46</v>
      </c>
      <c r="N1693">
        <f>ROUND(HEX2DEC(_0811_173439[[#This Row],[58DD]])*G$4/G$5+G$6,2)</f>
        <v>-0.03</v>
      </c>
      <c r="P1693">
        <v>760</v>
      </c>
      <c r="Q1693">
        <v>37</v>
      </c>
      <c r="R1693">
        <v>30</v>
      </c>
      <c r="S1693">
        <v>70</v>
      </c>
      <c r="T1693">
        <v>46</v>
      </c>
      <c r="U1693">
        <v>-0.03</v>
      </c>
      <c r="W1693">
        <f>DataLog_T717420_Aug11_4_59_37pm[[#This Row],[RPM '[1/MIN']]]-Table3[[#This Row],[580C]]</f>
        <v>0</v>
      </c>
      <c r="X1693">
        <f>DataLog_T717420_Aug11_4_59_37pm[[#This Row],[OIL TEMP '[Â°C']]]-Table3[[#This Row],[4402]]</f>
        <v>0</v>
      </c>
      <c r="Y1693">
        <f>DataLog_T717420_Aug11_4_59_37pm[[#This Row],[INTAKE TEMP '[Â°C']]]-Table3[[#This Row],[580F]]</f>
        <v>0</v>
      </c>
      <c r="Z1693">
        <f>DataLog_T717420_Aug11_4_59_37pm[[#This Row],[HPFP PRES. '[BAR']]]-Table3[[#This Row],[58F0]]</f>
        <v>0</v>
      </c>
      <c r="AA1693">
        <f>DataLog_T717420_Aug11_4_59_37pm[[#This Row],[COOLANT TEMP '[Â°C']]]-Table3[[#This Row],[5805]]</f>
        <v>0</v>
      </c>
      <c r="AB1693">
        <f>DataLog_T717420_Aug11_4_59_37pm[[#This Row],[BOOST '[BAR']]]-Table3[[#This Row],[58DD]]</f>
        <v>0</v>
      </c>
    </row>
    <row r="1694" spans="2:28" x14ac:dyDescent="0.25">
      <c r="B1694" s="2" t="s">
        <v>189</v>
      </c>
      <c r="C1694" s="2" t="s">
        <v>262</v>
      </c>
      <c r="D1694" s="2" t="s">
        <v>151</v>
      </c>
      <c r="E1694" s="2" t="s">
        <v>215</v>
      </c>
      <c r="F1694" s="2" t="s">
        <v>393</v>
      </c>
      <c r="G1694" s="2" t="s">
        <v>236</v>
      </c>
      <c r="I1694">
        <f>HEX2DEC(_0811_173439[[#This Row],[580C]])*B$4/B$5+B$6</f>
        <v>760</v>
      </c>
      <c r="J1694">
        <f>HEX2DEC(_0811_173439[[#This Row],[4402]])*C$4/C$5+C$6</f>
        <v>37</v>
      </c>
      <c r="K1694">
        <f>HEX2DEC(_0811_173439[[#This Row],[580F]])*D$4/D$5+D$6</f>
        <v>30</v>
      </c>
      <c r="L1694">
        <f>ROUND(HEX2DEC(_0811_173439[[#This Row],[58F0]])*E$4/E$5+E$6,0)</f>
        <v>70</v>
      </c>
      <c r="M1694">
        <f>ROUND(HEX2DEC(_0811_173439[[#This Row],[5805]])*F$4/F$5+F$6,0)</f>
        <v>46</v>
      </c>
      <c r="N1694">
        <f>ROUND(HEX2DEC(_0811_173439[[#This Row],[58DD]])*G$4/G$5+G$6,2)</f>
        <v>-0.03</v>
      </c>
      <c r="P1694">
        <v>760</v>
      </c>
      <c r="Q1694">
        <v>37</v>
      </c>
      <c r="R1694">
        <v>30</v>
      </c>
      <c r="S1694">
        <v>70</v>
      </c>
      <c r="T1694">
        <v>46</v>
      </c>
      <c r="U1694">
        <v>-0.03</v>
      </c>
      <c r="W1694">
        <f>DataLog_T717420_Aug11_4_59_37pm[[#This Row],[RPM '[1/MIN']]]-Table3[[#This Row],[580C]]</f>
        <v>0</v>
      </c>
      <c r="X1694">
        <f>DataLog_T717420_Aug11_4_59_37pm[[#This Row],[OIL TEMP '[Â°C']]]-Table3[[#This Row],[4402]]</f>
        <v>0</v>
      </c>
      <c r="Y1694">
        <f>DataLog_T717420_Aug11_4_59_37pm[[#This Row],[INTAKE TEMP '[Â°C']]]-Table3[[#This Row],[580F]]</f>
        <v>0</v>
      </c>
      <c r="Z1694">
        <f>DataLog_T717420_Aug11_4_59_37pm[[#This Row],[HPFP PRES. '[BAR']]]-Table3[[#This Row],[58F0]]</f>
        <v>0</v>
      </c>
      <c r="AA1694">
        <f>DataLog_T717420_Aug11_4_59_37pm[[#This Row],[COOLANT TEMP '[Â°C']]]-Table3[[#This Row],[5805]]</f>
        <v>0</v>
      </c>
      <c r="AB1694">
        <f>DataLog_T717420_Aug11_4_59_37pm[[#This Row],[BOOST '[BAR']]]-Table3[[#This Row],[58DD]]</f>
        <v>0</v>
      </c>
    </row>
    <row r="1695" spans="2:28" x14ac:dyDescent="0.25">
      <c r="B1695" s="2" t="s">
        <v>189</v>
      </c>
      <c r="C1695" s="2" t="s">
        <v>262</v>
      </c>
      <c r="D1695" s="2" t="s">
        <v>151</v>
      </c>
      <c r="E1695" s="2" t="s">
        <v>159</v>
      </c>
      <c r="F1695" s="2" t="s">
        <v>393</v>
      </c>
      <c r="G1695" s="2" t="s">
        <v>236</v>
      </c>
      <c r="I1695">
        <f>HEX2DEC(_0811_173439[[#This Row],[580C]])*B$4/B$5+B$6</f>
        <v>760</v>
      </c>
      <c r="J1695">
        <f>HEX2DEC(_0811_173439[[#This Row],[4402]])*C$4/C$5+C$6</f>
        <v>37</v>
      </c>
      <c r="K1695">
        <f>HEX2DEC(_0811_173439[[#This Row],[580F]])*D$4/D$5+D$6</f>
        <v>30</v>
      </c>
      <c r="L1695">
        <f>ROUND(HEX2DEC(_0811_173439[[#This Row],[58F0]])*E$4/E$5+E$6,0)</f>
        <v>70</v>
      </c>
      <c r="M1695">
        <f>ROUND(HEX2DEC(_0811_173439[[#This Row],[5805]])*F$4/F$5+F$6,0)</f>
        <v>46</v>
      </c>
      <c r="N1695">
        <f>ROUND(HEX2DEC(_0811_173439[[#This Row],[58DD]])*G$4/G$5+G$6,2)</f>
        <v>-0.03</v>
      </c>
      <c r="P1695">
        <v>760</v>
      </c>
      <c r="Q1695">
        <v>37</v>
      </c>
      <c r="R1695">
        <v>30</v>
      </c>
      <c r="S1695">
        <v>70</v>
      </c>
      <c r="T1695">
        <v>46</v>
      </c>
      <c r="U1695">
        <v>-0.03</v>
      </c>
      <c r="W1695">
        <f>DataLog_T717420_Aug11_4_59_37pm[[#This Row],[RPM '[1/MIN']]]-Table3[[#This Row],[580C]]</f>
        <v>0</v>
      </c>
      <c r="X1695">
        <f>DataLog_T717420_Aug11_4_59_37pm[[#This Row],[OIL TEMP '[Â°C']]]-Table3[[#This Row],[4402]]</f>
        <v>0</v>
      </c>
      <c r="Y1695">
        <f>DataLog_T717420_Aug11_4_59_37pm[[#This Row],[INTAKE TEMP '[Â°C']]]-Table3[[#This Row],[580F]]</f>
        <v>0</v>
      </c>
      <c r="Z1695">
        <f>DataLog_T717420_Aug11_4_59_37pm[[#This Row],[HPFP PRES. '[BAR']]]-Table3[[#This Row],[58F0]]</f>
        <v>0</v>
      </c>
      <c r="AA1695">
        <f>DataLog_T717420_Aug11_4_59_37pm[[#This Row],[COOLANT TEMP '[Â°C']]]-Table3[[#This Row],[5805]]</f>
        <v>0</v>
      </c>
      <c r="AB1695">
        <f>DataLog_T717420_Aug11_4_59_37pm[[#This Row],[BOOST '[BAR']]]-Table3[[#This Row],[58DD]]</f>
        <v>0</v>
      </c>
    </row>
    <row r="1696" spans="2:28" x14ac:dyDescent="0.25">
      <c r="B1696" s="2" t="s">
        <v>189</v>
      </c>
      <c r="C1696" s="2" t="s">
        <v>262</v>
      </c>
      <c r="D1696" s="2" t="s">
        <v>151</v>
      </c>
      <c r="E1696" s="2" t="s">
        <v>127</v>
      </c>
      <c r="F1696" s="2" t="s">
        <v>393</v>
      </c>
      <c r="G1696" s="2" t="s">
        <v>258</v>
      </c>
      <c r="I1696">
        <f>HEX2DEC(_0811_173439[[#This Row],[580C]])*B$4/B$5+B$6</f>
        <v>760</v>
      </c>
      <c r="J1696">
        <f>HEX2DEC(_0811_173439[[#This Row],[4402]])*C$4/C$5+C$6</f>
        <v>37</v>
      </c>
      <c r="K1696">
        <f>HEX2DEC(_0811_173439[[#This Row],[580F]])*D$4/D$5+D$6</f>
        <v>30</v>
      </c>
      <c r="L1696">
        <f>ROUND(HEX2DEC(_0811_173439[[#This Row],[58F0]])*E$4/E$5+E$6,0)</f>
        <v>70</v>
      </c>
      <c r="M1696">
        <f>ROUND(HEX2DEC(_0811_173439[[#This Row],[5805]])*F$4/F$5+F$6,0)</f>
        <v>46</v>
      </c>
      <c r="N1696">
        <f>ROUND(HEX2DEC(_0811_173439[[#This Row],[58DD]])*G$4/G$5+G$6,2)</f>
        <v>-0.03</v>
      </c>
      <c r="P1696">
        <v>760</v>
      </c>
      <c r="Q1696">
        <v>37</v>
      </c>
      <c r="R1696">
        <v>30</v>
      </c>
      <c r="S1696">
        <v>70</v>
      </c>
      <c r="T1696">
        <v>46</v>
      </c>
      <c r="U1696">
        <v>-0.03</v>
      </c>
      <c r="W1696">
        <f>DataLog_T717420_Aug11_4_59_37pm[[#This Row],[RPM '[1/MIN']]]-Table3[[#This Row],[580C]]</f>
        <v>0</v>
      </c>
      <c r="X1696">
        <f>DataLog_T717420_Aug11_4_59_37pm[[#This Row],[OIL TEMP '[Â°C']]]-Table3[[#This Row],[4402]]</f>
        <v>0</v>
      </c>
      <c r="Y1696">
        <f>DataLog_T717420_Aug11_4_59_37pm[[#This Row],[INTAKE TEMP '[Â°C']]]-Table3[[#This Row],[580F]]</f>
        <v>0</v>
      </c>
      <c r="Z1696">
        <f>DataLog_T717420_Aug11_4_59_37pm[[#This Row],[HPFP PRES. '[BAR']]]-Table3[[#This Row],[58F0]]</f>
        <v>0</v>
      </c>
      <c r="AA1696">
        <f>DataLog_T717420_Aug11_4_59_37pm[[#This Row],[COOLANT TEMP '[Â°C']]]-Table3[[#This Row],[5805]]</f>
        <v>0</v>
      </c>
      <c r="AB1696">
        <f>DataLog_T717420_Aug11_4_59_37pm[[#This Row],[BOOST '[BAR']]]-Table3[[#This Row],[58DD]]</f>
        <v>0</v>
      </c>
    </row>
    <row r="1697" spans="2:28" x14ac:dyDescent="0.25">
      <c r="B1697" s="2" t="s">
        <v>189</v>
      </c>
      <c r="C1697" s="2" t="s">
        <v>262</v>
      </c>
      <c r="D1697" s="2" t="s">
        <v>151</v>
      </c>
      <c r="E1697" s="2" t="s">
        <v>249</v>
      </c>
      <c r="F1697" s="2" t="s">
        <v>393</v>
      </c>
      <c r="G1697" s="2" t="s">
        <v>235</v>
      </c>
      <c r="I1697">
        <f>HEX2DEC(_0811_173439[[#This Row],[580C]])*B$4/B$5+B$6</f>
        <v>760</v>
      </c>
      <c r="J1697">
        <f>HEX2DEC(_0811_173439[[#This Row],[4402]])*C$4/C$5+C$6</f>
        <v>37</v>
      </c>
      <c r="K1697">
        <f>HEX2DEC(_0811_173439[[#This Row],[580F]])*D$4/D$5+D$6</f>
        <v>30</v>
      </c>
      <c r="L1697">
        <f>ROUND(HEX2DEC(_0811_173439[[#This Row],[58F0]])*E$4/E$5+E$6,0)</f>
        <v>70</v>
      </c>
      <c r="M1697">
        <f>ROUND(HEX2DEC(_0811_173439[[#This Row],[5805]])*F$4/F$5+F$6,0)</f>
        <v>46</v>
      </c>
      <c r="N1697">
        <f>ROUND(HEX2DEC(_0811_173439[[#This Row],[58DD]])*G$4/G$5+G$6,2)</f>
        <v>-0.03</v>
      </c>
      <c r="P1697">
        <v>760</v>
      </c>
      <c r="Q1697">
        <v>37</v>
      </c>
      <c r="R1697">
        <v>30</v>
      </c>
      <c r="S1697">
        <v>70</v>
      </c>
      <c r="T1697">
        <v>46</v>
      </c>
      <c r="U1697">
        <v>-0.03</v>
      </c>
      <c r="W1697">
        <f>DataLog_T717420_Aug11_4_59_37pm[[#This Row],[RPM '[1/MIN']]]-Table3[[#This Row],[580C]]</f>
        <v>0</v>
      </c>
      <c r="X1697">
        <f>DataLog_T717420_Aug11_4_59_37pm[[#This Row],[OIL TEMP '[Â°C']]]-Table3[[#This Row],[4402]]</f>
        <v>0</v>
      </c>
      <c r="Y1697">
        <f>DataLog_T717420_Aug11_4_59_37pm[[#This Row],[INTAKE TEMP '[Â°C']]]-Table3[[#This Row],[580F]]</f>
        <v>0</v>
      </c>
      <c r="Z1697">
        <f>DataLog_T717420_Aug11_4_59_37pm[[#This Row],[HPFP PRES. '[BAR']]]-Table3[[#This Row],[58F0]]</f>
        <v>0</v>
      </c>
      <c r="AA1697">
        <f>DataLog_T717420_Aug11_4_59_37pm[[#This Row],[COOLANT TEMP '[Â°C']]]-Table3[[#This Row],[5805]]</f>
        <v>0</v>
      </c>
      <c r="AB1697">
        <f>DataLog_T717420_Aug11_4_59_37pm[[#This Row],[BOOST '[BAR']]]-Table3[[#This Row],[58DD]]</f>
        <v>0</v>
      </c>
    </row>
    <row r="1698" spans="2:28" x14ac:dyDescent="0.25">
      <c r="B1698" s="2" t="s">
        <v>189</v>
      </c>
      <c r="C1698" s="2" t="s">
        <v>262</v>
      </c>
      <c r="D1698" s="2" t="s">
        <v>151</v>
      </c>
      <c r="E1698" s="2" t="s">
        <v>159</v>
      </c>
      <c r="F1698" s="2" t="s">
        <v>393</v>
      </c>
      <c r="G1698" s="2" t="s">
        <v>236</v>
      </c>
      <c r="I1698">
        <f>HEX2DEC(_0811_173439[[#This Row],[580C]])*B$4/B$5+B$6</f>
        <v>760</v>
      </c>
      <c r="J1698">
        <f>HEX2DEC(_0811_173439[[#This Row],[4402]])*C$4/C$5+C$6</f>
        <v>37</v>
      </c>
      <c r="K1698">
        <f>HEX2DEC(_0811_173439[[#This Row],[580F]])*D$4/D$5+D$6</f>
        <v>30</v>
      </c>
      <c r="L1698">
        <f>ROUND(HEX2DEC(_0811_173439[[#This Row],[58F0]])*E$4/E$5+E$6,0)</f>
        <v>70</v>
      </c>
      <c r="M1698">
        <f>ROUND(HEX2DEC(_0811_173439[[#This Row],[5805]])*F$4/F$5+F$6,0)</f>
        <v>46</v>
      </c>
      <c r="N1698">
        <f>ROUND(HEX2DEC(_0811_173439[[#This Row],[58DD]])*G$4/G$5+G$6,2)</f>
        <v>-0.03</v>
      </c>
      <c r="P1698">
        <v>760</v>
      </c>
      <c r="Q1698">
        <v>37</v>
      </c>
      <c r="R1698">
        <v>30</v>
      </c>
      <c r="S1698">
        <v>70</v>
      </c>
      <c r="T1698">
        <v>46</v>
      </c>
      <c r="U1698">
        <v>-0.03</v>
      </c>
      <c r="W1698">
        <f>DataLog_T717420_Aug11_4_59_37pm[[#This Row],[RPM '[1/MIN']]]-Table3[[#This Row],[580C]]</f>
        <v>0</v>
      </c>
      <c r="X1698">
        <f>DataLog_T717420_Aug11_4_59_37pm[[#This Row],[OIL TEMP '[Â°C']]]-Table3[[#This Row],[4402]]</f>
        <v>0</v>
      </c>
      <c r="Y1698">
        <f>DataLog_T717420_Aug11_4_59_37pm[[#This Row],[INTAKE TEMP '[Â°C']]]-Table3[[#This Row],[580F]]</f>
        <v>0</v>
      </c>
      <c r="Z1698">
        <f>DataLog_T717420_Aug11_4_59_37pm[[#This Row],[HPFP PRES. '[BAR']]]-Table3[[#This Row],[58F0]]</f>
        <v>0</v>
      </c>
      <c r="AA1698">
        <f>DataLog_T717420_Aug11_4_59_37pm[[#This Row],[COOLANT TEMP '[Â°C']]]-Table3[[#This Row],[5805]]</f>
        <v>0</v>
      </c>
      <c r="AB1698">
        <f>DataLog_T717420_Aug11_4_59_37pm[[#This Row],[BOOST '[BAR']]]-Table3[[#This Row],[58DD]]</f>
        <v>0</v>
      </c>
    </row>
    <row r="1699" spans="2:28" x14ac:dyDescent="0.25">
      <c r="B1699" s="2" t="s">
        <v>189</v>
      </c>
      <c r="C1699" s="2" t="s">
        <v>262</v>
      </c>
      <c r="D1699" s="2" t="s">
        <v>151</v>
      </c>
      <c r="E1699" s="2" t="s">
        <v>127</v>
      </c>
      <c r="F1699" s="2" t="s">
        <v>393</v>
      </c>
      <c r="G1699" s="2" t="s">
        <v>53</v>
      </c>
      <c r="I1699">
        <f>HEX2DEC(_0811_173439[[#This Row],[580C]])*B$4/B$5+B$6</f>
        <v>760</v>
      </c>
      <c r="J1699">
        <f>HEX2DEC(_0811_173439[[#This Row],[4402]])*C$4/C$5+C$6</f>
        <v>37</v>
      </c>
      <c r="K1699">
        <f>HEX2DEC(_0811_173439[[#This Row],[580F]])*D$4/D$5+D$6</f>
        <v>30</v>
      </c>
      <c r="L1699">
        <f>ROUND(HEX2DEC(_0811_173439[[#This Row],[58F0]])*E$4/E$5+E$6,0)</f>
        <v>70</v>
      </c>
      <c r="M1699">
        <f>ROUND(HEX2DEC(_0811_173439[[#This Row],[5805]])*F$4/F$5+F$6,0)</f>
        <v>46</v>
      </c>
      <c r="N1699">
        <f>ROUND(HEX2DEC(_0811_173439[[#This Row],[58DD]])*G$4/G$5+G$6,2)</f>
        <v>-0.03</v>
      </c>
      <c r="P1699">
        <v>760</v>
      </c>
      <c r="Q1699">
        <v>37</v>
      </c>
      <c r="R1699">
        <v>30</v>
      </c>
      <c r="S1699">
        <v>70</v>
      </c>
      <c r="T1699">
        <v>46</v>
      </c>
      <c r="U1699">
        <v>-0.03</v>
      </c>
      <c r="W1699">
        <f>DataLog_T717420_Aug11_4_59_37pm[[#This Row],[RPM '[1/MIN']]]-Table3[[#This Row],[580C]]</f>
        <v>0</v>
      </c>
      <c r="X1699">
        <f>DataLog_T717420_Aug11_4_59_37pm[[#This Row],[OIL TEMP '[Â°C']]]-Table3[[#This Row],[4402]]</f>
        <v>0</v>
      </c>
      <c r="Y1699">
        <f>DataLog_T717420_Aug11_4_59_37pm[[#This Row],[INTAKE TEMP '[Â°C']]]-Table3[[#This Row],[580F]]</f>
        <v>0</v>
      </c>
      <c r="Z1699">
        <f>DataLog_T717420_Aug11_4_59_37pm[[#This Row],[HPFP PRES. '[BAR']]]-Table3[[#This Row],[58F0]]</f>
        <v>0</v>
      </c>
      <c r="AA1699">
        <f>DataLog_T717420_Aug11_4_59_37pm[[#This Row],[COOLANT TEMP '[Â°C']]]-Table3[[#This Row],[5805]]</f>
        <v>0</v>
      </c>
      <c r="AB1699">
        <f>DataLog_T717420_Aug11_4_59_37pm[[#This Row],[BOOST '[BAR']]]-Table3[[#This Row],[58DD]]</f>
        <v>0</v>
      </c>
    </row>
    <row r="1700" spans="2:28" x14ac:dyDescent="0.25">
      <c r="B1700" s="2" t="s">
        <v>189</v>
      </c>
      <c r="C1700" s="2" t="s">
        <v>262</v>
      </c>
      <c r="D1700" s="2" t="s">
        <v>151</v>
      </c>
      <c r="E1700" s="2" t="s">
        <v>157</v>
      </c>
      <c r="F1700" s="2" t="s">
        <v>393</v>
      </c>
      <c r="G1700" s="2" t="s">
        <v>53</v>
      </c>
      <c r="I1700">
        <f>HEX2DEC(_0811_173439[[#This Row],[580C]])*B$4/B$5+B$6</f>
        <v>760</v>
      </c>
      <c r="J1700">
        <f>HEX2DEC(_0811_173439[[#This Row],[4402]])*C$4/C$5+C$6</f>
        <v>37</v>
      </c>
      <c r="K1700">
        <f>HEX2DEC(_0811_173439[[#This Row],[580F]])*D$4/D$5+D$6</f>
        <v>30</v>
      </c>
      <c r="L1700">
        <f>ROUND(HEX2DEC(_0811_173439[[#This Row],[58F0]])*E$4/E$5+E$6,0)</f>
        <v>70</v>
      </c>
      <c r="M1700">
        <f>ROUND(HEX2DEC(_0811_173439[[#This Row],[5805]])*F$4/F$5+F$6,0)</f>
        <v>46</v>
      </c>
      <c r="N1700">
        <f>ROUND(HEX2DEC(_0811_173439[[#This Row],[58DD]])*G$4/G$5+G$6,2)</f>
        <v>-0.03</v>
      </c>
      <c r="P1700">
        <v>760</v>
      </c>
      <c r="Q1700">
        <v>37</v>
      </c>
      <c r="R1700">
        <v>30</v>
      </c>
      <c r="S1700">
        <v>70</v>
      </c>
      <c r="T1700">
        <v>46</v>
      </c>
      <c r="U1700">
        <v>-0.03</v>
      </c>
      <c r="W1700">
        <f>DataLog_T717420_Aug11_4_59_37pm[[#This Row],[RPM '[1/MIN']]]-Table3[[#This Row],[580C]]</f>
        <v>0</v>
      </c>
      <c r="X1700">
        <f>DataLog_T717420_Aug11_4_59_37pm[[#This Row],[OIL TEMP '[Â°C']]]-Table3[[#This Row],[4402]]</f>
        <v>0</v>
      </c>
      <c r="Y1700">
        <f>DataLog_T717420_Aug11_4_59_37pm[[#This Row],[INTAKE TEMP '[Â°C']]]-Table3[[#This Row],[580F]]</f>
        <v>0</v>
      </c>
      <c r="Z1700">
        <f>DataLog_T717420_Aug11_4_59_37pm[[#This Row],[HPFP PRES. '[BAR']]]-Table3[[#This Row],[58F0]]</f>
        <v>0</v>
      </c>
      <c r="AA1700">
        <f>DataLog_T717420_Aug11_4_59_37pm[[#This Row],[COOLANT TEMP '[Â°C']]]-Table3[[#This Row],[5805]]</f>
        <v>0</v>
      </c>
      <c r="AB1700">
        <f>DataLog_T717420_Aug11_4_59_37pm[[#This Row],[BOOST '[BAR']]]-Table3[[#This Row],[58DD]]</f>
        <v>0</v>
      </c>
    </row>
    <row r="1701" spans="2:28" x14ac:dyDescent="0.25">
      <c r="B1701" s="2" t="s">
        <v>189</v>
      </c>
      <c r="C1701" s="2" t="s">
        <v>262</v>
      </c>
      <c r="D1701" s="2" t="s">
        <v>151</v>
      </c>
      <c r="E1701" s="2" t="s">
        <v>123</v>
      </c>
      <c r="F1701" s="2" t="s">
        <v>395</v>
      </c>
      <c r="G1701" s="2" t="s">
        <v>53</v>
      </c>
      <c r="I1701">
        <f>HEX2DEC(_0811_173439[[#This Row],[580C]])*B$4/B$5+B$6</f>
        <v>760</v>
      </c>
      <c r="J1701">
        <f>HEX2DEC(_0811_173439[[#This Row],[4402]])*C$4/C$5+C$6</f>
        <v>37</v>
      </c>
      <c r="K1701">
        <f>HEX2DEC(_0811_173439[[#This Row],[580F]])*D$4/D$5+D$6</f>
        <v>30</v>
      </c>
      <c r="L1701">
        <f>ROUND(HEX2DEC(_0811_173439[[#This Row],[58F0]])*E$4/E$5+E$6,0)</f>
        <v>71</v>
      </c>
      <c r="M1701">
        <f>ROUND(HEX2DEC(_0811_173439[[#This Row],[5805]])*F$4/F$5+F$6,0)</f>
        <v>47</v>
      </c>
      <c r="N1701">
        <f>ROUND(HEX2DEC(_0811_173439[[#This Row],[58DD]])*G$4/G$5+G$6,2)</f>
        <v>-0.03</v>
      </c>
      <c r="P1701">
        <v>760</v>
      </c>
      <c r="Q1701">
        <v>37</v>
      </c>
      <c r="R1701">
        <v>30</v>
      </c>
      <c r="S1701">
        <v>71</v>
      </c>
      <c r="T1701">
        <v>46</v>
      </c>
      <c r="U1701">
        <v>-0.03</v>
      </c>
      <c r="W1701">
        <f>DataLog_T717420_Aug11_4_59_37pm[[#This Row],[RPM '[1/MIN']]]-Table3[[#This Row],[580C]]</f>
        <v>0</v>
      </c>
      <c r="X1701">
        <f>DataLog_T717420_Aug11_4_59_37pm[[#This Row],[OIL TEMP '[Â°C']]]-Table3[[#This Row],[4402]]</f>
        <v>0</v>
      </c>
      <c r="Y1701">
        <f>DataLog_T717420_Aug11_4_59_37pm[[#This Row],[INTAKE TEMP '[Â°C']]]-Table3[[#This Row],[580F]]</f>
        <v>0</v>
      </c>
      <c r="Z1701">
        <f>DataLog_T717420_Aug11_4_59_37pm[[#This Row],[HPFP PRES. '[BAR']]]-Table3[[#This Row],[58F0]]</f>
        <v>0</v>
      </c>
      <c r="AA1701">
        <f>DataLog_T717420_Aug11_4_59_37pm[[#This Row],[COOLANT TEMP '[Â°C']]]-Table3[[#This Row],[5805]]</f>
        <v>-1</v>
      </c>
      <c r="AB1701">
        <f>DataLog_T717420_Aug11_4_59_37pm[[#This Row],[BOOST '[BAR']]]-Table3[[#This Row],[58DD]]</f>
        <v>0</v>
      </c>
    </row>
    <row r="1702" spans="2:28" x14ac:dyDescent="0.25">
      <c r="B1702" s="2" t="s">
        <v>189</v>
      </c>
      <c r="C1702" s="2" t="s">
        <v>262</v>
      </c>
      <c r="D1702" s="2" t="s">
        <v>151</v>
      </c>
      <c r="E1702" s="2" t="s">
        <v>93</v>
      </c>
      <c r="F1702" s="2" t="s">
        <v>395</v>
      </c>
      <c r="G1702" s="2" t="s">
        <v>96</v>
      </c>
      <c r="I1702">
        <f>HEX2DEC(_0811_173439[[#This Row],[580C]])*B$4/B$5+B$6</f>
        <v>760</v>
      </c>
      <c r="J1702">
        <f>HEX2DEC(_0811_173439[[#This Row],[4402]])*C$4/C$5+C$6</f>
        <v>37</v>
      </c>
      <c r="K1702">
        <f>HEX2DEC(_0811_173439[[#This Row],[580F]])*D$4/D$5+D$6</f>
        <v>30</v>
      </c>
      <c r="L1702">
        <f>ROUND(HEX2DEC(_0811_173439[[#This Row],[58F0]])*E$4/E$5+E$6,0)</f>
        <v>70</v>
      </c>
      <c r="M1702">
        <f>ROUND(HEX2DEC(_0811_173439[[#This Row],[5805]])*F$4/F$5+F$6,0)</f>
        <v>47</v>
      </c>
      <c r="N1702">
        <f>ROUND(HEX2DEC(_0811_173439[[#This Row],[58DD]])*G$4/G$5+G$6,2)</f>
        <v>-0.03</v>
      </c>
      <c r="P1702">
        <v>760</v>
      </c>
      <c r="Q1702">
        <v>37</v>
      </c>
      <c r="R1702">
        <v>30</v>
      </c>
      <c r="S1702">
        <v>70</v>
      </c>
      <c r="T1702">
        <v>46</v>
      </c>
      <c r="U1702">
        <v>-0.03</v>
      </c>
      <c r="W1702">
        <f>DataLog_T717420_Aug11_4_59_37pm[[#This Row],[RPM '[1/MIN']]]-Table3[[#This Row],[580C]]</f>
        <v>0</v>
      </c>
      <c r="X1702">
        <f>DataLog_T717420_Aug11_4_59_37pm[[#This Row],[OIL TEMP '[Â°C']]]-Table3[[#This Row],[4402]]</f>
        <v>0</v>
      </c>
      <c r="Y1702">
        <f>DataLog_T717420_Aug11_4_59_37pm[[#This Row],[INTAKE TEMP '[Â°C']]]-Table3[[#This Row],[580F]]</f>
        <v>0</v>
      </c>
      <c r="Z1702">
        <f>DataLog_T717420_Aug11_4_59_37pm[[#This Row],[HPFP PRES. '[BAR']]]-Table3[[#This Row],[58F0]]</f>
        <v>0</v>
      </c>
      <c r="AA1702">
        <f>DataLog_T717420_Aug11_4_59_37pm[[#This Row],[COOLANT TEMP '[Â°C']]]-Table3[[#This Row],[5805]]</f>
        <v>-1</v>
      </c>
      <c r="AB1702">
        <f>DataLog_T717420_Aug11_4_59_37pm[[#This Row],[BOOST '[BAR']]]-Table3[[#This Row],[58DD]]</f>
        <v>0</v>
      </c>
    </row>
    <row r="1703" spans="2:28" x14ac:dyDescent="0.25">
      <c r="B1703" s="2" t="s">
        <v>189</v>
      </c>
      <c r="C1703" s="2" t="s">
        <v>262</v>
      </c>
      <c r="D1703" s="2" t="s">
        <v>151</v>
      </c>
      <c r="E1703" s="2" t="s">
        <v>93</v>
      </c>
      <c r="F1703" s="2" t="s">
        <v>393</v>
      </c>
      <c r="G1703" s="2" t="s">
        <v>90</v>
      </c>
      <c r="I1703">
        <f>HEX2DEC(_0811_173439[[#This Row],[580C]])*B$4/B$5+B$6</f>
        <v>760</v>
      </c>
      <c r="J1703">
        <f>HEX2DEC(_0811_173439[[#This Row],[4402]])*C$4/C$5+C$6</f>
        <v>37</v>
      </c>
      <c r="K1703">
        <f>HEX2DEC(_0811_173439[[#This Row],[580F]])*D$4/D$5+D$6</f>
        <v>30</v>
      </c>
      <c r="L1703">
        <f>ROUND(HEX2DEC(_0811_173439[[#This Row],[58F0]])*E$4/E$5+E$6,0)</f>
        <v>70</v>
      </c>
      <c r="M1703">
        <f>ROUND(HEX2DEC(_0811_173439[[#This Row],[5805]])*F$4/F$5+F$6,0)</f>
        <v>46</v>
      </c>
      <c r="N1703">
        <f>ROUND(HEX2DEC(_0811_173439[[#This Row],[58DD]])*G$4/G$5+G$6,2)</f>
        <v>-0.03</v>
      </c>
      <c r="P1703">
        <v>760</v>
      </c>
      <c r="Q1703">
        <v>37</v>
      </c>
      <c r="R1703">
        <v>30</v>
      </c>
      <c r="S1703">
        <v>70</v>
      </c>
      <c r="T1703">
        <v>46</v>
      </c>
      <c r="U1703">
        <v>-0.03</v>
      </c>
      <c r="W1703">
        <f>DataLog_T717420_Aug11_4_59_37pm[[#This Row],[RPM '[1/MIN']]]-Table3[[#This Row],[580C]]</f>
        <v>0</v>
      </c>
      <c r="X1703">
        <f>DataLog_T717420_Aug11_4_59_37pm[[#This Row],[OIL TEMP '[Â°C']]]-Table3[[#This Row],[4402]]</f>
        <v>0</v>
      </c>
      <c r="Y1703">
        <f>DataLog_T717420_Aug11_4_59_37pm[[#This Row],[INTAKE TEMP '[Â°C']]]-Table3[[#This Row],[580F]]</f>
        <v>0</v>
      </c>
      <c r="Z1703">
        <f>DataLog_T717420_Aug11_4_59_37pm[[#This Row],[HPFP PRES. '[BAR']]]-Table3[[#This Row],[58F0]]</f>
        <v>0</v>
      </c>
      <c r="AA1703">
        <f>DataLog_T717420_Aug11_4_59_37pm[[#This Row],[COOLANT TEMP '[Â°C']]]-Table3[[#This Row],[5805]]</f>
        <v>0</v>
      </c>
      <c r="AB1703">
        <f>DataLog_T717420_Aug11_4_59_37pm[[#This Row],[BOOST '[BAR']]]-Table3[[#This Row],[58DD]]</f>
        <v>0</v>
      </c>
    </row>
    <row r="1704" spans="2:28" x14ac:dyDescent="0.25">
      <c r="B1704" s="2" t="s">
        <v>189</v>
      </c>
      <c r="C1704" s="2" t="s">
        <v>262</v>
      </c>
      <c r="D1704" s="2" t="s">
        <v>151</v>
      </c>
      <c r="E1704" s="2" t="s">
        <v>170</v>
      </c>
      <c r="F1704" s="2" t="s">
        <v>393</v>
      </c>
      <c r="G1704" s="2" t="s">
        <v>236</v>
      </c>
      <c r="I1704">
        <f>HEX2DEC(_0811_173439[[#This Row],[580C]])*B$4/B$5+B$6</f>
        <v>760</v>
      </c>
      <c r="J1704">
        <f>HEX2DEC(_0811_173439[[#This Row],[4402]])*C$4/C$5+C$6</f>
        <v>37</v>
      </c>
      <c r="K1704">
        <f>HEX2DEC(_0811_173439[[#This Row],[580F]])*D$4/D$5+D$6</f>
        <v>30</v>
      </c>
      <c r="L1704">
        <f>ROUND(HEX2DEC(_0811_173439[[#This Row],[58F0]])*E$4/E$5+E$6,0)</f>
        <v>71</v>
      </c>
      <c r="M1704">
        <f>ROUND(HEX2DEC(_0811_173439[[#This Row],[5805]])*F$4/F$5+F$6,0)</f>
        <v>46</v>
      </c>
      <c r="N1704">
        <f>ROUND(HEX2DEC(_0811_173439[[#This Row],[58DD]])*G$4/G$5+G$6,2)</f>
        <v>-0.03</v>
      </c>
      <c r="P1704">
        <v>760</v>
      </c>
      <c r="Q1704">
        <v>37</v>
      </c>
      <c r="R1704">
        <v>30</v>
      </c>
      <c r="S1704">
        <v>71</v>
      </c>
      <c r="T1704">
        <v>46</v>
      </c>
      <c r="U1704">
        <v>-0.03</v>
      </c>
      <c r="W1704">
        <f>DataLog_T717420_Aug11_4_59_37pm[[#This Row],[RPM '[1/MIN']]]-Table3[[#This Row],[580C]]</f>
        <v>0</v>
      </c>
      <c r="X1704">
        <f>DataLog_T717420_Aug11_4_59_37pm[[#This Row],[OIL TEMP '[Â°C']]]-Table3[[#This Row],[4402]]</f>
        <v>0</v>
      </c>
      <c r="Y1704">
        <f>DataLog_T717420_Aug11_4_59_37pm[[#This Row],[INTAKE TEMP '[Â°C']]]-Table3[[#This Row],[580F]]</f>
        <v>0</v>
      </c>
      <c r="Z1704">
        <f>DataLog_T717420_Aug11_4_59_37pm[[#This Row],[HPFP PRES. '[BAR']]]-Table3[[#This Row],[58F0]]</f>
        <v>0</v>
      </c>
      <c r="AA1704">
        <f>DataLog_T717420_Aug11_4_59_37pm[[#This Row],[COOLANT TEMP '[Â°C']]]-Table3[[#This Row],[5805]]</f>
        <v>0</v>
      </c>
      <c r="AB1704">
        <f>DataLog_T717420_Aug11_4_59_37pm[[#This Row],[BOOST '[BAR']]]-Table3[[#This Row],[58DD]]</f>
        <v>0</v>
      </c>
    </row>
    <row r="1705" spans="2:28" x14ac:dyDescent="0.25">
      <c r="B1705" s="2" t="s">
        <v>189</v>
      </c>
      <c r="C1705" s="2" t="s">
        <v>262</v>
      </c>
      <c r="D1705" s="2" t="s">
        <v>151</v>
      </c>
      <c r="E1705" s="2" t="s">
        <v>118</v>
      </c>
      <c r="F1705" s="2" t="s">
        <v>395</v>
      </c>
      <c r="G1705" s="2" t="s">
        <v>190</v>
      </c>
      <c r="I1705">
        <f>HEX2DEC(_0811_173439[[#This Row],[580C]])*B$4/B$5+B$6</f>
        <v>760</v>
      </c>
      <c r="J1705">
        <f>HEX2DEC(_0811_173439[[#This Row],[4402]])*C$4/C$5+C$6</f>
        <v>37</v>
      </c>
      <c r="K1705">
        <f>HEX2DEC(_0811_173439[[#This Row],[580F]])*D$4/D$5+D$6</f>
        <v>30</v>
      </c>
      <c r="L1705">
        <f>ROUND(HEX2DEC(_0811_173439[[#This Row],[58F0]])*E$4/E$5+E$6,0)</f>
        <v>70</v>
      </c>
      <c r="M1705">
        <f>ROUND(HEX2DEC(_0811_173439[[#This Row],[5805]])*F$4/F$5+F$6,0)</f>
        <v>47</v>
      </c>
      <c r="N1705">
        <f>ROUND(HEX2DEC(_0811_173439[[#This Row],[58DD]])*G$4/G$5+G$6,2)</f>
        <v>-0.03</v>
      </c>
      <c r="P1705">
        <v>760</v>
      </c>
      <c r="Q1705">
        <v>37</v>
      </c>
      <c r="R1705">
        <v>30</v>
      </c>
      <c r="S1705">
        <v>70</v>
      </c>
      <c r="T1705">
        <v>46</v>
      </c>
      <c r="U1705">
        <v>-0.03</v>
      </c>
      <c r="W1705">
        <f>DataLog_T717420_Aug11_4_59_37pm[[#This Row],[RPM '[1/MIN']]]-Table3[[#This Row],[580C]]</f>
        <v>0</v>
      </c>
      <c r="X1705">
        <f>DataLog_T717420_Aug11_4_59_37pm[[#This Row],[OIL TEMP '[Â°C']]]-Table3[[#This Row],[4402]]</f>
        <v>0</v>
      </c>
      <c r="Y1705">
        <f>DataLog_T717420_Aug11_4_59_37pm[[#This Row],[INTAKE TEMP '[Â°C']]]-Table3[[#This Row],[580F]]</f>
        <v>0</v>
      </c>
      <c r="Z1705">
        <f>DataLog_T717420_Aug11_4_59_37pm[[#This Row],[HPFP PRES. '[BAR']]]-Table3[[#This Row],[58F0]]</f>
        <v>0</v>
      </c>
      <c r="AA1705">
        <f>DataLog_T717420_Aug11_4_59_37pm[[#This Row],[COOLANT TEMP '[Â°C']]]-Table3[[#This Row],[5805]]</f>
        <v>-1</v>
      </c>
      <c r="AB1705">
        <f>DataLog_T717420_Aug11_4_59_37pm[[#This Row],[BOOST '[BAR']]]-Table3[[#This Row],[58DD]]</f>
        <v>0</v>
      </c>
    </row>
    <row r="1706" spans="2:28" x14ac:dyDescent="0.25">
      <c r="B1706" s="2" t="s">
        <v>189</v>
      </c>
      <c r="C1706" s="2" t="s">
        <v>262</v>
      </c>
      <c r="D1706" s="2" t="s">
        <v>151</v>
      </c>
      <c r="E1706" s="2" t="s">
        <v>93</v>
      </c>
      <c r="F1706" s="2" t="s">
        <v>395</v>
      </c>
      <c r="G1706" s="2" t="s">
        <v>216</v>
      </c>
      <c r="I1706">
        <f>HEX2DEC(_0811_173439[[#This Row],[580C]])*B$4/B$5+B$6</f>
        <v>760</v>
      </c>
      <c r="J1706">
        <f>HEX2DEC(_0811_173439[[#This Row],[4402]])*C$4/C$5+C$6</f>
        <v>37</v>
      </c>
      <c r="K1706">
        <f>HEX2DEC(_0811_173439[[#This Row],[580F]])*D$4/D$5+D$6</f>
        <v>30</v>
      </c>
      <c r="L1706">
        <f>ROUND(HEX2DEC(_0811_173439[[#This Row],[58F0]])*E$4/E$5+E$6,0)</f>
        <v>70</v>
      </c>
      <c r="M1706">
        <f>ROUND(HEX2DEC(_0811_173439[[#This Row],[5805]])*F$4/F$5+F$6,0)</f>
        <v>47</v>
      </c>
      <c r="N1706">
        <f>ROUND(HEX2DEC(_0811_173439[[#This Row],[58DD]])*G$4/G$5+G$6,2)</f>
        <v>-0.03</v>
      </c>
      <c r="P1706">
        <v>760</v>
      </c>
      <c r="Q1706">
        <v>37</v>
      </c>
      <c r="R1706">
        <v>30</v>
      </c>
      <c r="S1706">
        <v>70</v>
      </c>
      <c r="T1706">
        <v>46</v>
      </c>
      <c r="U1706">
        <v>-0.03</v>
      </c>
      <c r="W1706">
        <f>DataLog_T717420_Aug11_4_59_37pm[[#This Row],[RPM '[1/MIN']]]-Table3[[#This Row],[580C]]</f>
        <v>0</v>
      </c>
      <c r="X1706">
        <f>DataLog_T717420_Aug11_4_59_37pm[[#This Row],[OIL TEMP '[Â°C']]]-Table3[[#This Row],[4402]]</f>
        <v>0</v>
      </c>
      <c r="Y1706">
        <f>DataLog_T717420_Aug11_4_59_37pm[[#This Row],[INTAKE TEMP '[Â°C']]]-Table3[[#This Row],[580F]]</f>
        <v>0</v>
      </c>
      <c r="Z1706">
        <f>DataLog_T717420_Aug11_4_59_37pm[[#This Row],[HPFP PRES. '[BAR']]]-Table3[[#This Row],[58F0]]</f>
        <v>0</v>
      </c>
      <c r="AA1706">
        <f>DataLog_T717420_Aug11_4_59_37pm[[#This Row],[COOLANT TEMP '[Â°C']]]-Table3[[#This Row],[5805]]</f>
        <v>-1</v>
      </c>
      <c r="AB1706">
        <f>DataLog_T717420_Aug11_4_59_37pm[[#This Row],[BOOST '[BAR']]]-Table3[[#This Row],[58DD]]</f>
        <v>0</v>
      </c>
    </row>
    <row r="1707" spans="2:28" x14ac:dyDescent="0.25">
      <c r="B1707" s="2" t="s">
        <v>189</v>
      </c>
      <c r="C1707" s="2" t="s">
        <v>262</v>
      </c>
      <c r="D1707" s="2" t="s">
        <v>151</v>
      </c>
      <c r="E1707" s="2" t="s">
        <v>122</v>
      </c>
      <c r="F1707" s="2" t="s">
        <v>395</v>
      </c>
      <c r="G1707" s="2" t="s">
        <v>90</v>
      </c>
      <c r="I1707">
        <f>HEX2DEC(_0811_173439[[#This Row],[580C]])*B$4/B$5+B$6</f>
        <v>760</v>
      </c>
      <c r="J1707">
        <f>HEX2DEC(_0811_173439[[#This Row],[4402]])*C$4/C$5+C$6</f>
        <v>37</v>
      </c>
      <c r="K1707">
        <f>HEX2DEC(_0811_173439[[#This Row],[580F]])*D$4/D$5+D$6</f>
        <v>30</v>
      </c>
      <c r="L1707">
        <f>ROUND(HEX2DEC(_0811_173439[[#This Row],[58F0]])*E$4/E$5+E$6,0)</f>
        <v>71</v>
      </c>
      <c r="M1707">
        <f>ROUND(HEX2DEC(_0811_173439[[#This Row],[5805]])*F$4/F$5+F$6,0)</f>
        <v>47</v>
      </c>
      <c r="N1707">
        <f>ROUND(HEX2DEC(_0811_173439[[#This Row],[58DD]])*G$4/G$5+G$6,2)</f>
        <v>-0.03</v>
      </c>
      <c r="P1707">
        <v>760</v>
      </c>
      <c r="Q1707">
        <v>37</v>
      </c>
      <c r="R1707">
        <v>30</v>
      </c>
      <c r="S1707">
        <v>71</v>
      </c>
      <c r="T1707">
        <v>46</v>
      </c>
      <c r="U1707">
        <v>-0.03</v>
      </c>
      <c r="W1707">
        <f>DataLog_T717420_Aug11_4_59_37pm[[#This Row],[RPM '[1/MIN']]]-Table3[[#This Row],[580C]]</f>
        <v>0</v>
      </c>
      <c r="X1707">
        <f>DataLog_T717420_Aug11_4_59_37pm[[#This Row],[OIL TEMP '[Â°C']]]-Table3[[#This Row],[4402]]</f>
        <v>0</v>
      </c>
      <c r="Y1707">
        <f>DataLog_T717420_Aug11_4_59_37pm[[#This Row],[INTAKE TEMP '[Â°C']]]-Table3[[#This Row],[580F]]</f>
        <v>0</v>
      </c>
      <c r="Z1707">
        <f>DataLog_T717420_Aug11_4_59_37pm[[#This Row],[HPFP PRES. '[BAR']]]-Table3[[#This Row],[58F0]]</f>
        <v>0</v>
      </c>
      <c r="AA1707">
        <f>DataLog_T717420_Aug11_4_59_37pm[[#This Row],[COOLANT TEMP '[Â°C']]]-Table3[[#This Row],[5805]]</f>
        <v>-1</v>
      </c>
      <c r="AB1707">
        <f>DataLog_T717420_Aug11_4_59_37pm[[#This Row],[BOOST '[BAR']]]-Table3[[#This Row],[58DD]]</f>
        <v>0</v>
      </c>
    </row>
    <row r="1708" spans="2:28" x14ac:dyDescent="0.25">
      <c r="B1708" s="2" t="s">
        <v>189</v>
      </c>
      <c r="C1708" s="2" t="s">
        <v>262</v>
      </c>
      <c r="D1708" s="2" t="s">
        <v>151</v>
      </c>
      <c r="E1708" s="2" t="s">
        <v>256</v>
      </c>
      <c r="F1708" s="2" t="s">
        <v>395</v>
      </c>
      <c r="G1708" s="2" t="s">
        <v>53</v>
      </c>
      <c r="I1708">
        <f>HEX2DEC(_0811_173439[[#This Row],[580C]])*B$4/B$5+B$6</f>
        <v>760</v>
      </c>
      <c r="J1708">
        <f>HEX2DEC(_0811_173439[[#This Row],[4402]])*C$4/C$5+C$6</f>
        <v>37</v>
      </c>
      <c r="K1708">
        <f>HEX2DEC(_0811_173439[[#This Row],[580F]])*D$4/D$5+D$6</f>
        <v>30</v>
      </c>
      <c r="L1708">
        <f>ROUND(HEX2DEC(_0811_173439[[#This Row],[58F0]])*E$4/E$5+E$6,0)</f>
        <v>71</v>
      </c>
      <c r="M1708">
        <f>ROUND(HEX2DEC(_0811_173439[[#This Row],[5805]])*F$4/F$5+F$6,0)</f>
        <v>47</v>
      </c>
      <c r="N1708">
        <f>ROUND(HEX2DEC(_0811_173439[[#This Row],[58DD]])*G$4/G$5+G$6,2)</f>
        <v>-0.03</v>
      </c>
      <c r="P1708">
        <v>760</v>
      </c>
      <c r="Q1708">
        <v>37</v>
      </c>
      <c r="R1708">
        <v>30</v>
      </c>
      <c r="S1708">
        <v>71</v>
      </c>
      <c r="T1708">
        <v>46</v>
      </c>
      <c r="U1708">
        <v>-0.03</v>
      </c>
      <c r="W1708">
        <f>DataLog_T717420_Aug11_4_59_37pm[[#This Row],[RPM '[1/MIN']]]-Table3[[#This Row],[580C]]</f>
        <v>0</v>
      </c>
      <c r="X1708">
        <f>DataLog_T717420_Aug11_4_59_37pm[[#This Row],[OIL TEMP '[Â°C']]]-Table3[[#This Row],[4402]]</f>
        <v>0</v>
      </c>
      <c r="Y1708">
        <f>DataLog_T717420_Aug11_4_59_37pm[[#This Row],[INTAKE TEMP '[Â°C']]]-Table3[[#This Row],[580F]]</f>
        <v>0</v>
      </c>
      <c r="Z1708">
        <f>DataLog_T717420_Aug11_4_59_37pm[[#This Row],[HPFP PRES. '[BAR']]]-Table3[[#This Row],[58F0]]</f>
        <v>0</v>
      </c>
      <c r="AA1708">
        <f>DataLog_T717420_Aug11_4_59_37pm[[#This Row],[COOLANT TEMP '[Â°C']]]-Table3[[#This Row],[5805]]</f>
        <v>-1</v>
      </c>
      <c r="AB1708">
        <f>DataLog_T717420_Aug11_4_59_37pm[[#This Row],[BOOST '[BAR']]]-Table3[[#This Row],[58DD]]</f>
        <v>0</v>
      </c>
    </row>
    <row r="1709" spans="2:28" x14ac:dyDescent="0.25">
      <c r="B1709" s="2" t="s">
        <v>189</v>
      </c>
      <c r="C1709" s="2" t="s">
        <v>262</v>
      </c>
      <c r="D1709" s="2" t="s">
        <v>151</v>
      </c>
      <c r="E1709" s="2" t="s">
        <v>93</v>
      </c>
      <c r="F1709" s="2" t="s">
        <v>395</v>
      </c>
      <c r="G1709" s="2" t="s">
        <v>236</v>
      </c>
      <c r="I1709">
        <f>HEX2DEC(_0811_173439[[#This Row],[580C]])*B$4/B$5+B$6</f>
        <v>760</v>
      </c>
      <c r="J1709">
        <f>HEX2DEC(_0811_173439[[#This Row],[4402]])*C$4/C$5+C$6</f>
        <v>37</v>
      </c>
      <c r="K1709">
        <f>HEX2DEC(_0811_173439[[#This Row],[580F]])*D$4/D$5+D$6</f>
        <v>30</v>
      </c>
      <c r="L1709">
        <f>ROUND(HEX2DEC(_0811_173439[[#This Row],[58F0]])*E$4/E$5+E$6,0)</f>
        <v>70</v>
      </c>
      <c r="M1709">
        <f>ROUND(HEX2DEC(_0811_173439[[#This Row],[5805]])*F$4/F$5+F$6,0)</f>
        <v>47</v>
      </c>
      <c r="N1709">
        <f>ROUND(HEX2DEC(_0811_173439[[#This Row],[58DD]])*G$4/G$5+G$6,2)</f>
        <v>-0.03</v>
      </c>
      <c r="P1709">
        <v>760</v>
      </c>
      <c r="Q1709">
        <v>37</v>
      </c>
      <c r="R1709">
        <v>30</v>
      </c>
      <c r="S1709">
        <v>70</v>
      </c>
      <c r="T1709">
        <v>46</v>
      </c>
      <c r="U1709">
        <v>-0.03</v>
      </c>
      <c r="W1709">
        <f>DataLog_T717420_Aug11_4_59_37pm[[#This Row],[RPM '[1/MIN']]]-Table3[[#This Row],[580C]]</f>
        <v>0</v>
      </c>
      <c r="X1709">
        <f>DataLog_T717420_Aug11_4_59_37pm[[#This Row],[OIL TEMP '[Â°C']]]-Table3[[#This Row],[4402]]</f>
        <v>0</v>
      </c>
      <c r="Y1709">
        <f>DataLog_T717420_Aug11_4_59_37pm[[#This Row],[INTAKE TEMP '[Â°C']]]-Table3[[#This Row],[580F]]</f>
        <v>0</v>
      </c>
      <c r="Z1709">
        <f>DataLog_T717420_Aug11_4_59_37pm[[#This Row],[HPFP PRES. '[BAR']]]-Table3[[#This Row],[58F0]]</f>
        <v>0</v>
      </c>
      <c r="AA1709">
        <f>DataLog_T717420_Aug11_4_59_37pm[[#This Row],[COOLANT TEMP '[Â°C']]]-Table3[[#This Row],[5805]]</f>
        <v>-1</v>
      </c>
      <c r="AB1709">
        <f>DataLog_T717420_Aug11_4_59_37pm[[#This Row],[BOOST '[BAR']]]-Table3[[#This Row],[58DD]]</f>
        <v>0</v>
      </c>
    </row>
    <row r="1710" spans="2:28" x14ac:dyDescent="0.25">
      <c r="B1710" s="2" t="s">
        <v>189</v>
      </c>
      <c r="C1710" s="2" t="s">
        <v>262</v>
      </c>
      <c r="D1710" s="2" t="s">
        <v>151</v>
      </c>
      <c r="E1710" s="2" t="s">
        <v>122</v>
      </c>
      <c r="F1710" s="2" t="s">
        <v>395</v>
      </c>
      <c r="G1710" s="2" t="s">
        <v>96</v>
      </c>
      <c r="I1710">
        <f>HEX2DEC(_0811_173439[[#This Row],[580C]])*B$4/B$5+B$6</f>
        <v>760</v>
      </c>
      <c r="J1710">
        <f>HEX2DEC(_0811_173439[[#This Row],[4402]])*C$4/C$5+C$6</f>
        <v>37</v>
      </c>
      <c r="K1710">
        <f>HEX2DEC(_0811_173439[[#This Row],[580F]])*D$4/D$5+D$6</f>
        <v>30</v>
      </c>
      <c r="L1710">
        <f>ROUND(HEX2DEC(_0811_173439[[#This Row],[58F0]])*E$4/E$5+E$6,0)</f>
        <v>71</v>
      </c>
      <c r="M1710">
        <f>ROUND(HEX2DEC(_0811_173439[[#This Row],[5805]])*F$4/F$5+F$6,0)</f>
        <v>47</v>
      </c>
      <c r="N1710">
        <f>ROUND(HEX2DEC(_0811_173439[[#This Row],[58DD]])*G$4/G$5+G$6,2)</f>
        <v>-0.03</v>
      </c>
      <c r="P1710">
        <v>760</v>
      </c>
      <c r="Q1710">
        <v>37</v>
      </c>
      <c r="R1710">
        <v>30</v>
      </c>
      <c r="S1710">
        <v>71</v>
      </c>
      <c r="T1710">
        <v>46</v>
      </c>
      <c r="U1710">
        <v>-0.03</v>
      </c>
      <c r="W1710">
        <f>DataLog_T717420_Aug11_4_59_37pm[[#This Row],[RPM '[1/MIN']]]-Table3[[#This Row],[580C]]</f>
        <v>0</v>
      </c>
      <c r="X1710">
        <f>DataLog_T717420_Aug11_4_59_37pm[[#This Row],[OIL TEMP '[Â°C']]]-Table3[[#This Row],[4402]]</f>
        <v>0</v>
      </c>
      <c r="Y1710">
        <f>DataLog_T717420_Aug11_4_59_37pm[[#This Row],[INTAKE TEMP '[Â°C']]]-Table3[[#This Row],[580F]]</f>
        <v>0</v>
      </c>
      <c r="Z1710">
        <f>DataLog_T717420_Aug11_4_59_37pm[[#This Row],[HPFP PRES. '[BAR']]]-Table3[[#This Row],[58F0]]</f>
        <v>0</v>
      </c>
      <c r="AA1710">
        <f>DataLog_T717420_Aug11_4_59_37pm[[#This Row],[COOLANT TEMP '[Â°C']]]-Table3[[#This Row],[5805]]</f>
        <v>-1</v>
      </c>
      <c r="AB1710">
        <f>DataLog_T717420_Aug11_4_59_37pm[[#This Row],[BOOST '[BAR']]]-Table3[[#This Row],[58DD]]</f>
        <v>0</v>
      </c>
    </row>
    <row r="1711" spans="2:28" x14ac:dyDescent="0.25">
      <c r="B1711" s="2" t="s">
        <v>189</v>
      </c>
      <c r="C1711" s="2" t="s">
        <v>262</v>
      </c>
      <c r="D1711" s="2" t="s">
        <v>151</v>
      </c>
      <c r="E1711" s="2" t="s">
        <v>259</v>
      </c>
      <c r="F1711" s="2" t="s">
        <v>395</v>
      </c>
      <c r="G1711" s="2" t="s">
        <v>90</v>
      </c>
      <c r="I1711">
        <f>HEX2DEC(_0811_173439[[#This Row],[580C]])*B$4/B$5+B$6</f>
        <v>760</v>
      </c>
      <c r="J1711">
        <f>HEX2DEC(_0811_173439[[#This Row],[4402]])*C$4/C$5+C$6</f>
        <v>37</v>
      </c>
      <c r="K1711">
        <f>HEX2DEC(_0811_173439[[#This Row],[580F]])*D$4/D$5+D$6</f>
        <v>30</v>
      </c>
      <c r="L1711">
        <f>ROUND(HEX2DEC(_0811_173439[[#This Row],[58F0]])*E$4/E$5+E$6,0)</f>
        <v>71</v>
      </c>
      <c r="M1711">
        <f>ROUND(HEX2DEC(_0811_173439[[#This Row],[5805]])*F$4/F$5+F$6,0)</f>
        <v>47</v>
      </c>
      <c r="N1711">
        <f>ROUND(HEX2DEC(_0811_173439[[#This Row],[58DD]])*G$4/G$5+G$6,2)</f>
        <v>-0.03</v>
      </c>
      <c r="P1711">
        <v>760</v>
      </c>
      <c r="Q1711">
        <v>37</v>
      </c>
      <c r="R1711">
        <v>30</v>
      </c>
      <c r="S1711">
        <v>71</v>
      </c>
      <c r="T1711">
        <v>46</v>
      </c>
      <c r="U1711">
        <v>-0.03</v>
      </c>
      <c r="W1711">
        <f>DataLog_T717420_Aug11_4_59_37pm[[#This Row],[RPM '[1/MIN']]]-Table3[[#This Row],[580C]]</f>
        <v>0</v>
      </c>
      <c r="X1711">
        <f>DataLog_T717420_Aug11_4_59_37pm[[#This Row],[OIL TEMP '[Â°C']]]-Table3[[#This Row],[4402]]</f>
        <v>0</v>
      </c>
      <c r="Y1711">
        <f>DataLog_T717420_Aug11_4_59_37pm[[#This Row],[INTAKE TEMP '[Â°C']]]-Table3[[#This Row],[580F]]</f>
        <v>0</v>
      </c>
      <c r="Z1711">
        <f>DataLog_T717420_Aug11_4_59_37pm[[#This Row],[HPFP PRES. '[BAR']]]-Table3[[#This Row],[58F0]]</f>
        <v>0</v>
      </c>
      <c r="AA1711">
        <f>DataLog_T717420_Aug11_4_59_37pm[[#This Row],[COOLANT TEMP '[Â°C']]]-Table3[[#This Row],[5805]]</f>
        <v>-1</v>
      </c>
      <c r="AB1711">
        <f>DataLog_T717420_Aug11_4_59_37pm[[#This Row],[BOOST '[BAR']]]-Table3[[#This Row],[58DD]]</f>
        <v>0</v>
      </c>
    </row>
    <row r="1712" spans="2:28" x14ac:dyDescent="0.25">
      <c r="B1712" s="2" t="s">
        <v>189</v>
      </c>
      <c r="C1712" s="2" t="s">
        <v>262</v>
      </c>
      <c r="D1712" s="2" t="s">
        <v>151</v>
      </c>
      <c r="E1712" s="2" t="s">
        <v>157</v>
      </c>
      <c r="F1712" s="2" t="s">
        <v>395</v>
      </c>
      <c r="G1712" s="2" t="s">
        <v>190</v>
      </c>
      <c r="I1712">
        <f>HEX2DEC(_0811_173439[[#This Row],[580C]])*B$4/B$5+B$6</f>
        <v>760</v>
      </c>
      <c r="J1712">
        <f>HEX2DEC(_0811_173439[[#This Row],[4402]])*C$4/C$5+C$6</f>
        <v>37</v>
      </c>
      <c r="K1712">
        <f>HEX2DEC(_0811_173439[[#This Row],[580F]])*D$4/D$5+D$6</f>
        <v>30</v>
      </c>
      <c r="L1712">
        <f>ROUND(HEX2DEC(_0811_173439[[#This Row],[58F0]])*E$4/E$5+E$6,0)</f>
        <v>70</v>
      </c>
      <c r="M1712">
        <f>ROUND(HEX2DEC(_0811_173439[[#This Row],[5805]])*F$4/F$5+F$6,0)</f>
        <v>47</v>
      </c>
      <c r="N1712">
        <f>ROUND(HEX2DEC(_0811_173439[[#This Row],[58DD]])*G$4/G$5+G$6,2)</f>
        <v>-0.03</v>
      </c>
      <c r="P1712">
        <v>760</v>
      </c>
      <c r="Q1712">
        <v>37</v>
      </c>
      <c r="R1712">
        <v>30</v>
      </c>
      <c r="S1712">
        <v>70</v>
      </c>
      <c r="T1712">
        <v>46</v>
      </c>
      <c r="U1712">
        <v>-0.03</v>
      </c>
      <c r="W1712">
        <f>DataLog_T717420_Aug11_4_59_37pm[[#This Row],[RPM '[1/MIN']]]-Table3[[#This Row],[580C]]</f>
        <v>0</v>
      </c>
      <c r="X1712">
        <f>DataLog_T717420_Aug11_4_59_37pm[[#This Row],[OIL TEMP '[Â°C']]]-Table3[[#This Row],[4402]]</f>
        <v>0</v>
      </c>
      <c r="Y1712">
        <f>DataLog_T717420_Aug11_4_59_37pm[[#This Row],[INTAKE TEMP '[Â°C']]]-Table3[[#This Row],[580F]]</f>
        <v>0</v>
      </c>
      <c r="Z1712">
        <f>DataLog_T717420_Aug11_4_59_37pm[[#This Row],[HPFP PRES. '[BAR']]]-Table3[[#This Row],[58F0]]</f>
        <v>0</v>
      </c>
      <c r="AA1712">
        <f>DataLog_T717420_Aug11_4_59_37pm[[#This Row],[COOLANT TEMP '[Â°C']]]-Table3[[#This Row],[5805]]</f>
        <v>-1</v>
      </c>
      <c r="AB1712">
        <f>DataLog_T717420_Aug11_4_59_37pm[[#This Row],[BOOST '[BAR']]]-Table3[[#This Row],[58DD]]</f>
        <v>0</v>
      </c>
    </row>
    <row r="1713" spans="2:28" x14ac:dyDescent="0.25">
      <c r="B1713" s="2" t="s">
        <v>189</v>
      </c>
      <c r="C1713" s="2" t="s">
        <v>262</v>
      </c>
      <c r="D1713" s="2" t="s">
        <v>151</v>
      </c>
      <c r="E1713" s="2" t="s">
        <v>162</v>
      </c>
      <c r="F1713" s="2" t="s">
        <v>395</v>
      </c>
      <c r="G1713" s="2" t="s">
        <v>53</v>
      </c>
      <c r="I1713">
        <f>HEX2DEC(_0811_173439[[#This Row],[580C]])*B$4/B$5+B$6</f>
        <v>760</v>
      </c>
      <c r="J1713">
        <f>HEX2DEC(_0811_173439[[#This Row],[4402]])*C$4/C$5+C$6</f>
        <v>37</v>
      </c>
      <c r="K1713">
        <f>HEX2DEC(_0811_173439[[#This Row],[580F]])*D$4/D$5+D$6</f>
        <v>30</v>
      </c>
      <c r="L1713">
        <f>ROUND(HEX2DEC(_0811_173439[[#This Row],[58F0]])*E$4/E$5+E$6,0)</f>
        <v>71</v>
      </c>
      <c r="M1713">
        <f>ROUND(HEX2DEC(_0811_173439[[#This Row],[5805]])*F$4/F$5+F$6,0)</f>
        <v>47</v>
      </c>
      <c r="N1713">
        <f>ROUND(HEX2DEC(_0811_173439[[#This Row],[58DD]])*G$4/G$5+G$6,2)</f>
        <v>-0.03</v>
      </c>
      <c r="P1713">
        <v>760</v>
      </c>
      <c r="Q1713">
        <v>37</v>
      </c>
      <c r="R1713">
        <v>30</v>
      </c>
      <c r="S1713">
        <v>71</v>
      </c>
      <c r="T1713">
        <v>46</v>
      </c>
      <c r="U1713">
        <v>-0.03</v>
      </c>
      <c r="W1713">
        <f>DataLog_T717420_Aug11_4_59_37pm[[#This Row],[RPM '[1/MIN']]]-Table3[[#This Row],[580C]]</f>
        <v>0</v>
      </c>
      <c r="X1713">
        <f>DataLog_T717420_Aug11_4_59_37pm[[#This Row],[OIL TEMP '[Â°C']]]-Table3[[#This Row],[4402]]</f>
        <v>0</v>
      </c>
      <c r="Y1713">
        <f>DataLog_T717420_Aug11_4_59_37pm[[#This Row],[INTAKE TEMP '[Â°C']]]-Table3[[#This Row],[580F]]</f>
        <v>0</v>
      </c>
      <c r="Z1713">
        <f>DataLog_T717420_Aug11_4_59_37pm[[#This Row],[HPFP PRES. '[BAR']]]-Table3[[#This Row],[58F0]]</f>
        <v>0</v>
      </c>
      <c r="AA1713">
        <f>DataLog_T717420_Aug11_4_59_37pm[[#This Row],[COOLANT TEMP '[Â°C']]]-Table3[[#This Row],[5805]]</f>
        <v>-1</v>
      </c>
      <c r="AB1713">
        <f>DataLog_T717420_Aug11_4_59_37pm[[#This Row],[BOOST '[BAR']]]-Table3[[#This Row],[58DD]]</f>
        <v>0</v>
      </c>
    </row>
    <row r="1714" spans="2:28" x14ac:dyDescent="0.25">
      <c r="B1714" s="2" t="s">
        <v>189</v>
      </c>
      <c r="C1714" s="2" t="s">
        <v>262</v>
      </c>
      <c r="D1714" s="2" t="s">
        <v>151</v>
      </c>
      <c r="E1714" s="2" t="s">
        <v>143</v>
      </c>
      <c r="F1714" s="2" t="s">
        <v>395</v>
      </c>
      <c r="G1714" s="2" t="s">
        <v>191</v>
      </c>
      <c r="I1714">
        <f>HEX2DEC(_0811_173439[[#This Row],[580C]])*B$4/B$5+B$6</f>
        <v>760</v>
      </c>
      <c r="J1714">
        <f>HEX2DEC(_0811_173439[[#This Row],[4402]])*C$4/C$5+C$6</f>
        <v>37</v>
      </c>
      <c r="K1714">
        <f>HEX2DEC(_0811_173439[[#This Row],[580F]])*D$4/D$5+D$6</f>
        <v>30</v>
      </c>
      <c r="L1714">
        <f>ROUND(HEX2DEC(_0811_173439[[#This Row],[58F0]])*E$4/E$5+E$6,0)</f>
        <v>71</v>
      </c>
      <c r="M1714">
        <f>ROUND(HEX2DEC(_0811_173439[[#This Row],[5805]])*F$4/F$5+F$6,0)</f>
        <v>47</v>
      </c>
      <c r="N1714">
        <f>ROUND(HEX2DEC(_0811_173439[[#This Row],[58DD]])*G$4/G$5+G$6,2)</f>
        <v>-0.03</v>
      </c>
      <c r="P1714">
        <v>760</v>
      </c>
      <c r="Q1714">
        <v>37</v>
      </c>
      <c r="R1714">
        <v>30</v>
      </c>
      <c r="S1714">
        <v>71</v>
      </c>
      <c r="T1714">
        <v>46</v>
      </c>
      <c r="U1714">
        <v>-0.03</v>
      </c>
      <c r="W1714">
        <f>DataLog_T717420_Aug11_4_59_37pm[[#This Row],[RPM '[1/MIN']]]-Table3[[#This Row],[580C]]</f>
        <v>0</v>
      </c>
      <c r="X1714">
        <f>DataLog_T717420_Aug11_4_59_37pm[[#This Row],[OIL TEMP '[Â°C']]]-Table3[[#This Row],[4402]]</f>
        <v>0</v>
      </c>
      <c r="Y1714">
        <f>DataLog_T717420_Aug11_4_59_37pm[[#This Row],[INTAKE TEMP '[Â°C']]]-Table3[[#This Row],[580F]]</f>
        <v>0</v>
      </c>
      <c r="Z1714">
        <f>DataLog_T717420_Aug11_4_59_37pm[[#This Row],[HPFP PRES. '[BAR']]]-Table3[[#This Row],[58F0]]</f>
        <v>0</v>
      </c>
      <c r="AA1714">
        <f>DataLog_T717420_Aug11_4_59_37pm[[#This Row],[COOLANT TEMP '[Â°C']]]-Table3[[#This Row],[5805]]</f>
        <v>-1</v>
      </c>
      <c r="AB1714">
        <f>DataLog_T717420_Aug11_4_59_37pm[[#This Row],[BOOST '[BAR']]]-Table3[[#This Row],[58DD]]</f>
        <v>0</v>
      </c>
    </row>
    <row r="1715" spans="2:28" x14ac:dyDescent="0.25">
      <c r="B1715" s="2" t="s">
        <v>189</v>
      </c>
      <c r="C1715" s="2" t="s">
        <v>262</v>
      </c>
      <c r="D1715" s="2" t="s">
        <v>151</v>
      </c>
      <c r="E1715" s="2" t="s">
        <v>221</v>
      </c>
      <c r="F1715" s="2" t="s">
        <v>395</v>
      </c>
      <c r="G1715" s="2" t="s">
        <v>190</v>
      </c>
      <c r="I1715">
        <f>HEX2DEC(_0811_173439[[#This Row],[580C]])*B$4/B$5+B$6</f>
        <v>760</v>
      </c>
      <c r="J1715">
        <f>HEX2DEC(_0811_173439[[#This Row],[4402]])*C$4/C$5+C$6</f>
        <v>37</v>
      </c>
      <c r="K1715">
        <f>HEX2DEC(_0811_173439[[#This Row],[580F]])*D$4/D$5+D$6</f>
        <v>30</v>
      </c>
      <c r="L1715">
        <f>ROUND(HEX2DEC(_0811_173439[[#This Row],[58F0]])*E$4/E$5+E$6,0)</f>
        <v>70</v>
      </c>
      <c r="M1715">
        <f>ROUND(HEX2DEC(_0811_173439[[#This Row],[5805]])*F$4/F$5+F$6,0)</f>
        <v>47</v>
      </c>
      <c r="N1715">
        <f>ROUND(HEX2DEC(_0811_173439[[#This Row],[58DD]])*G$4/G$5+G$6,2)</f>
        <v>-0.03</v>
      </c>
      <c r="P1715">
        <v>760</v>
      </c>
      <c r="Q1715">
        <v>37</v>
      </c>
      <c r="R1715">
        <v>30</v>
      </c>
      <c r="S1715">
        <v>70</v>
      </c>
      <c r="T1715">
        <v>46</v>
      </c>
      <c r="U1715">
        <v>-0.03</v>
      </c>
      <c r="W1715">
        <f>DataLog_T717420_Aug11_4_59_37pm[[#This Row],[RPM '[1/MIN']]]-Table3[[#This Row],[580C]]</f>
        <v>0</v>
      </c>
      <c r="X1715">
        <f>DataLog_T717420_Aug11_4_59_37pm[[#This Row],[OIL TEMP '[Â°C']]]-Table3[[#This Row],[4402]]</f>
        <v>0</v>
      </c>
      <c r="Y1715">
        <f>DataLog_T717420_Aug11_4_59_37pm[[#This Row],[INTAKE TEMP '[Â°C']]]-Table3[[#This Row],[580F]]</f>
        <v>0</v>
      </c>
      <c r="Z1715">
        <f>DataLog_T717420_Aug11_4_59_37pm[[#This Row],[HPFP PRES. '[BAR']]]-Table3[[#This Row],[58F0]]</f>
        <v>0</v>
      </c>
      <c r="AA1715">
        <f>DataLog_T717420_Aug11_4_59_37pm[[#This Row],[COOLANT TEMP '[Â°C']]]-Table3[[#This Row],[5805]]</f>
        <v>-1</v>
      </c>
      <c r="AB1715">
        <f>DataLog_T717420_Aug11_4_59_37pm[[#This Row],[BOOST '[BAR']]]-Table3[[#This Row],[58DD]]</f>
        <v>0</v>
      </c>
    </row>
    <row r="1716" spans="2:28" x14ac:dyDescent="0.25">
      <c r="B1716" s="2" t="s">
        <v>189</v>
      </c>
      <c r="C1716" s="2" t="s">
        <v>262</v>
      </c>
      <c r="D1716" s="2" t="s">
        <v>151</v>
      </c>
      <c r="E1716" s="2" t="s">
        <v>221</v>
      </c>
      <c r="F1716" s="2" t="s">
        <v>395</v>
      </c>
      <c r="G1716" s="2" t="s">
        <v>213</v>
      </c>
      <c r="I1716">
        <f>HEX2DEC(_0811_173439[[#This Row],[580C]])*B$4/B$5+B$6</f>
        <v>760</v>
      </c>
      <c r="J1716">
        <f>HEX2DEC(_0811_173439[[#This Row],[4402]])*C$4/C$5+C$6</f>
        <v>37</v>
      </c>
      <c r="K1716">
        <f>HEX2DEC(_0811_173439[[#This Row],[580F]])*D$4/D$5+D$6</f>
        <v>30</v>
      </c>
      <c r="L1716">
        <f>ROUND(HEX2DEC(_0811_173439[[#This Row],[58F0]])*E$4/E$5+E$6,0)</f>
        <v>70</v>
      </c>
      <c r="M1716">
        <f>ROUND(HEX2DEC(_0811_173439[[#This Row],[5805]])*F$4/F$5+F$6,0)</f>
        <v>47</v>
      </c>
      <c r="N1716">
        <f>ROUND(HEX2DEC(_0811_173439[[#This Row],[58DD]])*G$4/G$5+G$6,2)</f>
        <v>-0.03</v>
      </c>
      <c r="P1716">
        <v>760</v>
      </c>
      <c r="Q1716">
        <v>37</v>
      </c>
      <c r="R1716">
        <v>30</v>
      </c>
      <c r="S1716">
        <v>70</v>
      </c>
      <c r="T1716">
        <v>46</v>
      </c>
      <c r="U1716">
        <v>-0.03</v>
      </c>
      <c r="W1716">
        <f>DataLog_T717420_Aug11_4_59_37pm[[#This Row],[RPM '[1/MIN']]]-Table3[[#This Row],[580C]]</f>
        <v>0</v>
      </c>
      <c r="X1716">
        <f>DataLog_T717420_Aug11_4_59_37pm[[#This Row],[OIL TEMP '[Â°C']]]-Table3[[#This Row],[4402]]</f>
        <v>0</v>
      </c>
      <c r="Y1716">
        <f>DataLog_T717420_Aug11_4_59_37pm[[#This Row],[INTAKE TEMP '[Â°C']]]-Table3[[#This Row],[580F]]</f>
        <v>0</v>
      </c>
      <c r="Z1716">
        <f>DataLog_T717420_Aug11_4_59_37pm[[#This Row],[HPFP PRES. '[BAR']]]-Table3[[#This Row],[58F0]]</f>
        <v>0</v>
      </c>
      <c r="AA1716">
        <f>DataLog_T717420_Aug11_4_59_37pm[[#This Row],[COOLANT TEMP '[Â°C']]]-Table3[[#This Row],[5805]]</f>
        <v>-1</v>
      </c>
      <c r="AB1716">
        <f>DataLog_T717420_Aug11_4_59_37pm[[#This Row],[BOOST '[BAR']]]-Table3[[#This Row],[58DD]]</f>
        <v>0</v>
      </c>
    </row>
    <row r="1717" spans="2:28" x14ac:dyDescent="0.25">
      <c r="B1717" s="2" t="s">
        <v>189</v>
      </c>
      <c r="C1717" s="2" t="s">
        <v>262</v>
      </c>
      <c r="D1717" s="2" t="s">
        <v>151</v>
      </c>
      <c r="E1717" s="2" t="s">
        <v>199</v>
      </c>
      <c r="F1717" s="2" t="s">
        <v>395</v>
      </c>
      <c r="G1717" s="2" t="s">
        <v>191</v>
      </c>
      <c r="I1717">
        <f>HEX2DEC(_0811_173439[[#This Row],[580C]])*B$4/B$5+B$6</f>
        <v>760</v>
      </c>
      <c r="J1717">
        <f>HEX2DEC(_0811_173439[[#This Row],[4402]])*C$4/C$5+C$6</f>
        <v>37</v>
      </c>
      <c r="K1717">
        <f>HEX2DEC(_0811_173439[[#This Row],[580F]])*D$4/D$5+D$6</f>
        <v>30</v>
      </c>
      <c r="L1717">
        <f>ROUND(HEX2DEC(_0811_173439[[#This Row],[58F0]])*E$4/E$5+E$6,0)</f>
        <v>70</v>
      </c>
      <c r="M1717">
        <f>ROUND(HEX2DEC(_0811_173439[[#This Row],[5805]])*F$4/F$5+F$6,0)</f>
        <v>47</v>
      </c>
      <c r="N1717">
        <f>ROUND(HEX2DEC(_0811_173439[[#This Row],[58DD]])*G$4/G$5+G$6,2)</f>
        <v>-0.03</v>
      </c>
      <c r="P1717">
        <v>760</v>
      </c>
      <c r="Q1717">
        <v>37</v>
      </c>
      <c r="R1717">
        <v>30</v>
      </c>
      <c r="S1717">
        <v>70</v>
      </c>
      <c r="T1717">
        <v>46</v>
      </c>
      <c r="U1717">
        <v>-0.03</v>
      </c>
      <c r="W1717">
        <f>DataLog_T717420_Aug11_4_59_37pm[[#This Row],[RPM '[1/MIN']]]-Table3[[#This Row],[580C]]</f>
        <v>0</v>
      </c>
      <c r="X1717">
        <f>DataLog_T717420_Aug11_4_59_37pm[[#This Row],[OIL TEMP '[Â°C']]]-Table3[[#This Row],[4402]]</f>
        <v>0</v>
      </c>
      <c r="Y1717">
        <f>DataLog_T717420_Aug11_4_59_37pm[[#This Row],[INTAKE TEMP '[Â°C']]]-Table3[[#This Row],[580F]]</f>
        <v>0</v>
      </c>
      <c r="Z1717">
        <f>DataLog_T717420_Aug11_4_59_37pm[[#This Row],[HPFP PRES. '[BAR']]]-Table3[[#This Row],[58F0]]</f>
        <v>0</v>
      </c>
      <c r="AA1717">
        <f>DataLog_T717420_Aug11_4_59_37pm[[#This Row],[COOLANT TEMP '[Â°C']]]-Table3[[#This Row],[5805]]</f>
        <v>-1</v>
      </c>
      <c r="AB1717">
        <f>DataLog_T717420_Aug11_4_59_37pm[[#This Row],[BOOST '[BAR']]]-Table3[[#This Row],[58DD]]</f>
        <v>0</v>
      </c>
    </row>
    <row r="1718" spans="2:28" x14ac:dyDescent="0.25">
      <c r="B1718" s="2" t="s">
        <v>189</v>
      </c>
      <c r="C1718" s="2" t="s">
        <v>262</v>
      </c>
      <c r="D1718" s="2" t="s">
        <v>151</v>
      </c>
      <c r="E1718" s="2" t="s">
        <v>195</v>
      </c>
      <c r="F1718" s="2" t="s">
        <v>395</v>
      </c>
      <c r="G1718" s="2" t="s">
        <v>190</v>
      </c>
      <c r="I1718">
        <f>HEX2DEC(_0811_173439[[#This Row],[580C]])*B$4/B$5+B$6</f>
        <v>760</v>
      </c>
      <c r="J1718">
        <f>HEX2DEC(_0811_173439[[#This Row],[4402]])*C$4/C$5+C$6</f>
        <v>37</v>
      </c>
      <c r="K1718">
        <f>HEX2DEC(_0811_173439[[#This Row],[580F]])*D$4/D$5+D$6</f>
        <v>30</v>
      </c>
      <c r="L1718">
        <f>ROUND(HEX2DEC(_0811_173439[[#This Row],[58F0]])*E$4/E$5+E$6,0)</f>
        <v>70</v>
      </c>
      <c r="M1718">
        <f>ROUND(HEX2DEC(_0811_173439[[#This Row],[5805]])*F$4/F$5+F$6,0)</f>
        <v>47</v>
      </c>
      <c r="N1718">
        <f>ROUND(HEX2DEC(_0811_173439[[#This Row],[58DD]])*G$4/G$5+G$6,2)</f>
        <v>-0.03</v>
      </c>
      <c r="P1718">
        <v>760</v>
      </c>
      <c r="Q1718">
        <v>37</v>
      </c>
      <c r="R1718">
        <v>30</v>
      </c>
      <c r="S1718">
        <v>70</v>
      </c>
      <c r="T1718">
        <v>46</v>
      </c>
      <c r="U1718">
        <v>-0.03</v>
      </c>
      <c r="W1718">
        <f>DataLog_T717420_Aug11_4_59_37pm[[#This Row],[RPM '[1/MIN']]]-Table3[[#This Row],[580C]]</f>
        <v>0</v>
      </c>
      <c r="X1718">
        <f>DataLog_T717420_Aug11_4_59_37pm[[#This Row],[OIL TEMP '[Â°C']]]-Table3[[#This Row],[4402]]</f>
        <v>0</v>
      </c>
      <c r="Y1718">
        <f>DataLog_T717420_Aug11_4_59_37pm[[#This Row],[INTAKE TEMP '[Â°C']]]-Table3[[#This Row],[580F]]</f>
        <v>0</v>
      </c>
      <c r="Z1718">
        <f>DataLog_T717420_Aug11_4_59_37pm[[#This Row],[HPFP PRES. '[BAR']]]-Table3[[#This Row],[58F0]]</f>
        <v>0</v>
      </c>
      <c r="AA1718">
        <f>DataLog_T717420_Aug11_4_59_37pm[[#This Row],[COOLANT TEMP '[Â°C']]]-Table3[[#This Row],[5805]]</f>
        <v>-1</v>
      </c>
      <c r="AB1718">
        <f>DataLog_T717420_Aug11_4_59_37pm[[#This Row],[BOOST '[BAR']]]-Table3[[#This Row],[58DD]]</f>
        <v>0</v>
      </c>
    </row>
    <row r="1719" spans="2:28" x14ac:dyDescent="0.25">
      <c r="B1719" s="2" t="s">
        <v>189</v>
      </c>
      <c r="C1719" s="2" t="s">
        <v>262</v>
      </c>
      <c r="D1719" s="2" t="s">
        <v>151</v>
      </c>
      <c r="E1719" s="2" t="s">
        <v>207</v>
      </c>
      <c r="F1719" s="2" t="s">
        <v>395</v>
      </c>
      <c r="G1719" s="2" t="s">
        <v>216</v>
      </c>
      <c r="I1719">
        <f>HEX2DEC(_0811_173439[[#This Row],[580C]])*B$4/B$5+B$6</f>
        <v>760</v>
      </c>
      <c r="J1719">
        <f>HEX2DEC(_0811_173439[[#This Row],[4402]])*C$4/C$5+C$6</f>
        <v>37</v>
      </c>
      <c r="K1719">
        <f>HEX2DEC(_0811_173439[[#This Row],[580F]])*D$4/D$5+D$6</f>
        <v>30</v>
      </c>
      <c r="L1719">
        <f>ROUND(HEX2DEC(_0811_173439[[#This Row],[58F0]])*E$4/E$5+E$6,0)</f>
        <v>70</v>
      </c>
      <c r="M1719">
        <f>ROUND(HEX2DEC(_0811_173439[[#This Row],[5805]])*F$4/F$5+F$6,0)</f>
        <v>47</v>
      </c>
      <c r="N1719">
        <f>ROUND(HEX2DEC(_0811_173439[[#This Row],[58DD]])*G$4/G$5+G$6,2)</f>
        <v>-0.03</v>
      </c>
      <c r="P1719">
        <v>760</v>
      </c>
      <c r="Q1719">
        <v>37</v>
      </c>
      <c r="R1719">
        <v>30</v>
      </c>
      <c r="S1719">
        <v>70</v>
      </c>
      <c r="T1719">
        <v>46</v>
      </c>
      <c r="U1719">
        <v>-0.03</v>
      </c>
      <c r="W1719">
        <f>DataLog_T717420_Aug11_4_59_37pm[[#This Row],[RPM '[1/MIN']]]-Table3[[#This Row],[580C]]</f>
        <v>0</v>
      </c>
      <c r="X1719">
        <f>DataLog_T717420_Aug11_4_59_37pm[[#This Row],[OIL TEMP '[Â°C']]]-Table3[[#This Row],[4402]]</f>
        <v>0</v>
      </c>
      <c r="Y1719">
        <f>DataLog_T717420_Aug11_4_59_37pm[[#This Row],[INTAKE TEMP '[Â°C']]]-Table3[[#This Row],[580F]]</f>
        <v>0</v>
      </c>
      <c r="Z1719">
        <f>DataLog_T717420_Aug11_4_59_37pm[[#This Row],[HPFP PRES. '[BAR']]]-Table3[[#This Row],[58F0]]</f>
        <v>0</v>
      </c>
      <c r="AA1719">
        <f>DataLog_T717420_Aug11_4_59_37pm[[#This Row],[COOLANT TEMP '[Â°C']]]-Table3[[#This Row],[5805]]</f>
        <v>-1</v>
      </c>
      <c r="AB1719">
        <f>DataLog_T717420_Aug11_4_59_37pm[[#This Row],[BOOST '[BAR']]]-Table3[[#This Row],[58DD]]</f>
        <v>0</v>
      </c>
    </row>
    <row r="1720" spans="2:28" x14ac:dyDescent="0.25">
      <c r="B1720" s="2" t="s">
        <v>189</v>
      </c>
      <c r="C1720" s="2" t="s">
        <v>262</v>
      </c>
      <c r="D1720" s="2" t="s">
        <v>151</v>
      </c>
      <c r="E1720" s="2" t="s">
        <v>212</v>
      </c>
      <c r="F1720" s="2" t="s">
        <v>395</v>
      </c>
      <c r="G1720" s="2" t="s">
        <v>191</v>
      </c>
      <c r="I1720">
        <f>HEX2DEC(_0811_173439[[#This Row],[580C]])*B$4/B$5+B$6</f>
        <v>760</v>
      </c>
      <c r="J1720">
        <f>HEX2DEC(_0811_173439[[#This Row],[4402]])*C$4/C$5+C$6</f>
        <v>37</v>
      </c>
      <c r="K1720">
        <f>HEX2DEC(_0811_173439[[#This Row],[580F]])*D$4/D$5+D$6</f>
        <v>30</v>
      </c>
      <c r="L1720">
        <f>ROUND(HEX2DEC(_0811_173439[[#This Row],[58F0]])*E$4/E$5+E$6,0)</f>
        <v>69</v>
      </c>
      <c r="M1720">
        <f>ROUND(HEX2DEC(_0811_173439[[#This Row],[5805]])*F$4/F$5+F$6,0)</f>
        <v>47</v>
      </c>
      <c r="N1720">
        <f>ROUND(HEX2DEC(_0811_173439[[#This Row],[58DD]])*G$4/G$5+G$6,2)</f>
        <v>-0.03</v>
      </c>
      <c r="P1720">
        <v>760</v>
      </c>
      <c r="Q1720">
        <v>37</v>
      </c>
      <c r="R1720">
        <v>30</v>
      </c>
      <c r="S1720">
        <v>69</v>
      </c>
      <c r="T1720">
        <v>46</v>
      </c>
      <c r="U1720">
        <v>-0.03</v>
      </c>
      <c r="W1720">
        <f>DataLog_T717420_Aug11_4_59_37pm[[#This Row],[RPM '[1/MIN']]]-Table3[[#This Row],[580C]]</f>
        <v>0</v>
      </c>
      <c r="X1720">
        <f>DataLog_T717420_Aug11_4_59_37pm[[#This Row],[OIL TEMP '[Â°C']]]-Table3[[#This Row],[4402]]</f>
        <v>0</v>
      </c>
      <c r="Y1720">
        <f>DataLog_T717420_Aug11_4_59_37pm[[#This Row],[INTAKE TEMP '[Â°C']]]-Table3[[#This Row],[580F]]</f>
        <v>0</v>
      </c>
      <c r="Z1720">
        <f>DataLog_T717420_Aug11_4_59_37pm[[#This Row],[HPFP PRES. '[BAR']]]-Table3[[#This Row],[58F0]]</f>
        <v>0</v>
      </c>
      <c r="AA1720">
        <f>DataLog_T717420_Aug11_4_59_37pm[[#This Row],[COOLANT TEMP '[Â°C']]]-Table3[[#This Row],[5805]]</f>
        <v>-1</v>
      </c>
      <c r="AB1720">
        <f>DataLog_T717420_Aug11_4_59_37pm[[#This Row],[BOOST '[BAR']]]-Table3[[#This Row],[58DD]]</f>
        <v>0</v>
      </c>
    </row>
    <row r="1721" spans="2:28" x14ac:dyDescent="0.25">
      <c r="B1721" s="2" t="s">
        <v>189</v>
      </c>
      <c r="C1721" s="2" t="s">
        <v>262</v>
      </c>
      <c r="D1721" s="2" t="s">
        <v>151</v>
      </c>
      <c r="E1721" s="2" t="s">
        <v>159</v>
      </c>
      <c r="F1721" s="2" t="s">
        <v>395</v>
      </c>
      <c r="G1721" s="2" t="s">
        <v>191</v>
      </c>
      <c r="I1721">
        <f>HEX2DEC(_0811_173439[[#This Row],[580C]])*B$4/B$5+B$6</f>
        <v>760</v>
      </c>
      <c r="J1721">
        <f>HEX2DEC(_0811_173439[[#This Row],[4402]])*C$4/C$5+C$6</f>
        <v>37</v>
      </c>
      <c r="K1721">
        <f>HEX2DEC(_0811_173439[[#This Row],[580F]])*D$4/D$5+D$6</f>
        <v>30</v>
      </c>
      <c r="L1721">
        <f>ROUND(HEX2DEC(_0811_173439[[#This Row],[58F0]])*E$4/E$5+E$6,0)</f>
        <v>70</v>
      </c>
      <c r="M1721">
        <f>ROUND(HEX2DEC(_0811_173439[[#This Row],[5805]])*F$4/F$5+F$6,0)</f>
        <v>47</v>
      </c>
      <c r="N1721">
        <f>ROUND(HEX2DEC(_0811_173439[[#This Row],[58DD]])*G$4/G$5+G$6,2)</f>
        <v>-0.03</v>
      </c>
      <c r="P1721">
        <v>760</v>
      </c>
      <c r="Q1721">
        <v>37</v>
      </c>
      <c r="R1721">
        <v>30</v>
      </c>
      <c r="S1721">
        <v>70</v>
      </c>
      <c r="T1721">
        <v>46</v>
      </c>
      <c r="U1721">
        <v>-0.03</v>
      </c>
      <c r="W1721">
        <f>DataLog_T717420_Aug11_4_59_37pm[[#This Row],[RPM '[1/MIN']]]-Table3[[#This Row],[580C]]</f>
        <v>0</v>
      </c>
      <c r="X1721">
        <f>DataLog_T717420_Aug11_4_59_37pm[[#This Row],[OIL TEMP '[Â°C']]]-Table3[[#This Row],[4402]]</f>
        <v>0</v>
      </c>
      <c r="Y1721">
        <f>DataLog_T717420_Aug11_4_59_37pm[[#This Row],[INTAKE TEMP '[Â°C']]]-Table3[[#This Row],[580F]]</f>
        <v>0</v>
      </c>
      <c r="Z1721">
        <f>DataLog_T717420_Aug11_4_59_37pm[[#This Row],[HPFP PRES. '[BAR']]]-Table3[[#This Row],[58F0]]</f>
        <v>0</v>
      </c>
      <c r="AA1721">
        <f>DataLog_T717420_Aug11_4_59_37pm[[#This Row],[COOLANT TEMP '[Â°C']]]-Table3[[#This Row],[5805]]</f>
        <v>-1</v>
      </c>
      <c r="AB1721">
        <f>DataLog_T717420_Aug11_4_59_37pm[[#This Row],[BOOST '[BAR']]]-Table3[[#This Row],[58DD]]</f>
        <v>0</v>
      </c>
    </row>
    <row r="1722" spans="2:28" x14ac:dyDescent="0.25">
      <c r="B1722" s="2" t="s">
        <v>189</v>
      </c>
      <c r="C1722" s="2" t="s">
        <v>262</v>
      </c>
      <c r="D1722" s="2" t="s">
        <v>151</v>
      </c>
      <c r="E1722" s="2" t="s">
        <v>127</v>
      </c>
      <c r="F1722" s="2" t="s">
        <v>395</v>
      </c>
      <c r="G1722" s="2" t="s">
        <v>191</v>
      </c>
      <c r="I1722">
        <f>HEX2DEC(_0811_173439[[#This Row],[580C]])*B$4/B$5+B$6</f>
        <v>760</v>
      </c>
      <c r="J1722">
        <f>HEX2DEC(_0811_173439[[#This Row],[4402]])*C$4/C$5+C$6</f>
        <v>37</v>
      </c>
      <c r="K1722">
        <f>HEX2DEC(_0811_173439[[#This Row],[580F]])*D$4/D$5+D$6</f>
        <v>30</v>
      </c>
      <c r="L1722">
        <f>ROUND(HEX2DEC(_0811_173439[[#This Row],[58F0]])*E$4/E$5+E$6,0)</f>
        <v>70</v>
      </c>
      <c r="M1722">
        <f>ROUND(HEX2DEC(_0811_173439[[#This Row],[5805]])*F$4/F$5+F$6,0)</f>
        <v>47</v>
      </c>
      <c r="N1722">
        <f>ROUND(HEX2DEC(_0811_173439[[#This Row],[58DD]])*G$4/G$5+G$6,2)</f>
        <v>-0.03</v>
      </c>
      <c r="P1722">
        <v>760</v>
      </c>
      <c r="Q1722">
        <v>37</v>
      </c>
      <c r="R1722">
        <v>30</v>
      </c>
      <c r="S1722">
        <v>70</v>
      </c>
      <c r="T1722">
        <v>46</v>
      </c>
      <c r="U1722">
        <v>-0.03</v>
      </c>
      <c r="W1722">
        <f>DataLog_T717420_Aug11_4_59_37pm[[#This Row],[RPM '[1/MIN']]]-Table3[[#This Row],[580C]]</f>
        <v>0</v>
      </c>
      <c r="X1722">
        <f>DataLog_T717420_Aug11_4_59_37pm[[#This Row],[OIL TEMP '[Â°C']]]-Table3[[#This Row],[4402]]</f>
        <v>0</v>
      </c>
      <c r="Y1722">
        <f>DataLog_T717420_Aug11_4_59_37pm[[#This Row],[INTAKE TEMP '[Â°C']]]-Table3[[#This Row],[580F]]</f>
        <v>0</v>
      </c>
      <c r="Z1722">
        <f>DataLog_T717420_Aug11_4_59_37pm[[#This Row],[HPFP PRES. '[BAR']]]-Table3[[#This Row],[58F0]]</f>
        <v>0</v>
      </c>
      <c r="AA1722">
        <f>DataLog_T717420_Aug11_4_59_37pm[[#This Row],[COOLANT TEMP '[Â°C']]]-Table3[[#This Row],[5805]]</f>
        <v>-1</v>
      </c>
      <c r="AB1722">
        <f>DataLog_T717420_Aug11_4_59_37pm[[#This Row],[BOOST '[BAR']]]-Table3[[#This Row],[58DD]]</f>
        <v>0</v>
      </c>
    </row>
    <row r="1723" spans="2:28" x14ac:dyDescent="0.25">
      <c r="B1723" s="2" t="s">
        <v>189</v>
      </c>
      <c r="C1723" s="2" t="s">
        <v>262</v>
      </c>
      <c r="D1723" s="2" t="s">
        <v>151</v>
      </c>
      <c r="E1723" s="2" t="s">
        <v>198</v>
      </c>
      <c r="F1723" s="2" t="s">
        <v>395</v>
      </c>
      <c r="G1723" s="2" t="s">
        <v>53</v>
      </c>
      <c r="I1723">
        <f>HEX2DEC(_0811_173439[[#This Row],[580C]])*B$4/B$5+B$6</f>
        <v>760</v>
      </c>
      <c r="J1723">
        <f>HEX2DEC(_0811_173439[[#This Row],[4402]])*C$4/C$5+C$6</f>
        <v>37</v>
      </c>
      <c r="K1723">
        <f>HEX2DEC(_0811_173439[[#This Row],[580F]])*D$4/D$5+D$6</f>
        <v>30</v>
      </c>
      <c r="L1723">
        <f>ROUND(HEX2DEC(_0811_173439[[#This Row],[58F0]])*E$4/E$5+E$6,0)</f>
        <v>70</v>
      </c>
      <c r="M1723">
        <f>ROUND(HEX2DEC(_0811_173439[[#This Row],[5805]])*F$4/F$5+F$6,0)</f>
        <v>47</v>
      </c>
      <c r="N1723">
        <f>ROUND(HEX2DEC(_0811_173439[[#This Row],[58DD]])*G$4/G$5+G$6,2)</f>
        <v>-0.03</v>
      </c>
      <c r="P1723">
        <v>760</v>
      </c>
      <c r="Q1723">
        <v>37</v>
      </c>
      <c r="R1723">
        <v>30</v>
      </c>
      <c r="S1723">
        <v>70</v>
      </c>
      <c r="T1723">
        <v>46</v>
      </c>
      <c r="U1723">
        <v>-0.03</v>
      </c>
      <c r="W1723">
        <f>DataLog_T717420_Aug11_4_59_37pm[[#This Row],[RPM '[1/MIN']]]-Table3[[#This Row],[580C]]</f>
        <v>0</v>
      </c>
      <c r="X1723">
        <f>DataLog_T717420_Aug11_4_59_37pm[[#This Row],[OIL TEMP '[Â°C']]]-Table3[[#This Row],[4402]]</f>
        <v>0</v>
      </c>
      <c r="Y1723">
        <f>DataLog_T717420_Aug11_4_59_37pm[[#This Row],[INTAKE TEMP '[Â°C']]]-Table3[[#This Row],[580F]]</f>
        <v>0</v>
      </c>
      <c r="Z1723">
        <f>DataLog_T717420_Aug11_4_59_37pm[[#This Row],[HPFP PRES. '[BAR']]]-Table3[[#This Row],[58F0]]</f>
        <v>0</v>
      </c>
      <c r="AA1723">
        <f>DataLog_T717420_Aug11_4_59_37pm[[#This Row],[COOLANT TEMP '[Â°C']]]-Table3[[#This Row],[5805]]</f>
        <v>-1</v>
      </c>
      <c r="AB1723">
        <f>DataLog_T717420_Aug11_4_59_37pm[[#This Row],[BOOST '[BAR']]]-Table3[[#This Row],[58DD]]</f>
        <v>0</v>
      </c>
    </row>
    <row r="1724" spans="2:28" x14ac:dyDescent="0.25">
      <c r="B1724" s="2" t="s">
        <v>189</v>
      </c>
      <c r="C1724" s="2" t="s">
        <v>262</v>
      </c>
      <c r="D1724" s="2" t="s">
        <v>151</v>
      </c>
      <c r="E1724" s="2" t="s">
        <v>156</v>
      </c>
      <c r="F1724" s="2" t="s">
        <v>395</v>
      </c>
      <c r="G1724" s="2" t="s">
        <v>53</v>
      </c>
      <c r="I1724">
        <f>HEX2DEC(_0811_173439[[#This Row],[580C]])*B$4/B$5+B$6</f>
        <v>760</v>
      </c>
      <c r="J1724">
        <f>HEX2DEC(_0811_173439[[#This Row],[4402]])*C$4/C$5+C$6</f>
        <v>37</v>
      </c>
      <c r="K1724">
        <f>HEX2DEC(_0811_173439[[#This Row],[580F]])*D$4/D$5+D$6</f>
        <v>30</v>
      </c>
      <c r="L1724">
        <f>ROUND(HEX2DEC(_0811_173439[[#This Row],[58F0]])*E$4/E$5+E$6,0)</f>
        <v>70</v>
      </c>
      <c r="M1724">
        <f>ROUND(HEX2DEC(_0811_173439[[#This Row],[5805]])*F$4/F$5+F$6,0)</f>
        <v>47</v>
      </c>
      <c r="N1724">
        <f>ROUND(HEX2DEC(_0811_173439[[#This Row],[58DD]])*G$4/G$5+G$6,2)</f>
        <v>-0.03</v>
      </c>
      <c r="P1724">
        <v>760</v>
      </c>
      <c r="Q1724">
        <v>37</v>
      </c>
      <c r="R1724">
        <v>30</v>
      </c>
      <c r="S1724">
        <v>70</v>
      </c>
      <c r="T1724">
        <v>46</v>
      </c>
      <c r="U1724">
        <v>-0.03</v>
      </c>
      <c r="W1724">
        <f>DataLog_T717420_Aug11_4_59_37pm[[#This Row],[RPM '[1/MIN']]]-Table3[[#This Row],[580C]]</f>
        <v>0</v>
      </c>
      <c r="X1724">
        <f>DataLog_T717420_Aug11_4_59_37pm[[#This Row],[OIL TEMP '[Â°C']]]-Table3[[#This Row],[4402]]</f>
        <v>0</v>
      </c>
      <c r="Y1724">
        <f>DataLog_T717420_Aug11_4_59_37pm[[#This Row],[INTAKE TEMP '[Â°C']]]-Table3[[#This Row],[580F]]</f>
        <v>0</v>
      </c>
      <c r="Z1724">
        <f>DataLog_T717420_Aug11_4_59_37pm[[#This Row],[HPFP PRES. '[BAR']]]-Table3[[#This Row],[58F0]]</f>
        <v>0</v>
      </c>
      <c r="AA1724">
        <f>DataLog_T717420_Aug11_4_59_37pm[[#This Row],[COOLANT TEMP '[Â°C']]]-Table3[[#This Row],[5805]]</f>
        <v>-1</v>
      </c>
      <c r="AB1724">
        <f>DataLog_T717420_Aug11_4_59_37pm[[#This Row],[BOOST '[BAR']]]-Table3[[#This Row],[58DD]]</f>
        <v>0</v>
      </c>
    </row>
    <row r="1725" spans="2:28" x14ac:dyDescent="0.25">
      <c r="B1725" s="2" t="s">
        <v>189</v>
      </c>
      <c r="C1725" s="2" t="s">
        <v>262</v>
      </c>
      <c r="D1725" s="2" t="s">
        <v>151</v>
      </c>
      <c r="E1725" s="2" t="s">
        <v>93</v>
      </c>
      <c r="F1725" s="2" t="s">
        <v>395</v>
      </c>
      <c r="G1725" s="2" t="s">
        <v>190</v>
      </c>
      <c r="I1725">
        <f>HEX2DEC(_0811_173439[[#This Row],[580C]])*B$4/B$5+B$6</f>
        <v>760</v>
      </c>
      <c r="J1725">
        <f>HEX2DEC(_0811_173439[[#This Row],[4402]])*C$4/C$5+C$6</f>
        <v>37</v>
      </c>
      <c r="K1725">
        <f>HEX2DEC(_0811_173439[[#This Row],[580F]])*D$4/D$5+D$6</f>
        <v>30</v>
      </c>
      <c r="L1725">
        <f>ROUND(HEX2DEC(_0811_173439[[#This Row],[58F0]])*E$4/E$5+E$6,0)</f>
        <v>70</v>
      </c>
      <c r="M1725">
        <f>ROUND(HEX2DEC(_0811_173439[[#This Row],[5805]])*F$4/F$5+F$6,0)</f>
        <v>47</v>
      </c>
      <c r="N1725">
        <f>ROUND(HEX2DEC(_0811_173439[[#This Row],[58DD]])*G$4/G$5+G$6,2)</f>
        <v>-0.03</v>
      </c>
      <c r="P1725">
        <v>760</v>
      </c>
      <c r="Q1725">
        <v>37</v>
      </c>
      <c r="R1725">
        <v>30</v>
      </c>
      <c r="S1725">
        <v>70</v>
      </c>
      <c r="T1725">
        <v>46</v>
      </c>
      <c r="U1725">
        <v>-0.03</v>
      </c>
      <c r="W1725">
        <f>DataLog_T717420_Aug11_4_59_37pm[[#This Row],[RPM '[1/MIN']]]-Table3[[#This Row],[580C]]</f>
        <v>0</v>
      </c>
      <c r="X1725">
        <f>DataLog_T717420_Aug11_4_59_37pm[[#This Row],[OIL TEMP '[Â°C']]]-Table3[[#This Row],[4402]]</f>
        <v>0</v>
      </c>
      <c r="Y1725">
        <f>DataLog_T717420_Aug11_4_59_37pm[[#This Row],[INTAKE TEMP '[Â°C']]]-Table3[[#This Row],[580F]]</f>
        <v>0</v>
      </c>
      <c r="Z1725">
        <f>DataLog_T717420_Aug11_4_59_37pm[[#This Row],[HPFP PRES. '[BAR']]]-Table3[[#This Row],[58F0]]</f>
        <v>0</v>
      </c>
      <c r="AA1725">
        <f>DataLog_T717420_Aug11_4_59_37pm[[#This Row],[COOLANT TEMP '[Â°C']]]-Table3[[#This Row],[5805]]</f>
        <v>-1</v>
      </c>
      <c r="AB1725">
        <f>DataLog_T717420_Aug11_4_59_37pm[[#This Row],[BOOST '[BAR']]]-Table3[[#This Row],[58DD]]</f>
        <v>0</v>
      </c>
    </row>
    <row r="1726" spans="2:28" x14ac:dyDescent="0.25">
      <c r="B1726" s="2" t="s">
        <v>189</v>
      </c>
      <c r="C1726" s="2" t="s">
        <v>262</v>
      </c>
      <c r="D1726" s="2" t="s">
        <v>151</v>
      </c>
      <c r="E1726" s="2" t="s">
        <v>163</v>
      </c>
      <c r="F1726" s="2" t="s">
        <v>395</v>
      </c>
      <c r="G1726" s="2" t="s">
        <v>191</v>
      </c>
      <c r="I1726">
        <f>HEX2DEC(_0811_173439[[#This Row],[580C]])*B$4/B$5+B$6</f>
        <v>760</v>
      </c>
      <c r="J1726">
        <f>HEX2DEC(_0811_173439[[#This Row],[4402]])*C$4/C$5+C$6</f>
        <v>37</v>
      </c>
      <c r="K1726">
        <f>HEX2DEC(_0811_173439[[#This Row],[580F]])*D$4/D$5+D$6</f>
        <v>30</v>
      </c>
      <c r="L1726">
        <f>ROUND(HEX2DEC(_0811_173439[[#This Row],[58F0]])*E$4/E$5+E$6,0)</f>
        <v>70</v>
      </c>
      <c r="M1726">
        <f>ROUND(HEX2DEC(_0811_173439[[#This Row],[5805]])*F$4/F$5+F$6,0)</f>
        <v>47</v>
      </c>
      <c r="N1726">
        <f>ROUND(HEX2DEC(_0811_173439[[#This Row],[58DD]])*G$4/G$5+G$6,2)</f>
        <v>-0.03</v>
      </c>
      <c r="P1726">
        <v>760</v>
      </c>
      <c r="Q1726">
        <v>37</v>
      </c>
      <c r="R1726">
        <v>30</v>
      </c>
      <c r="S1726">
        <v>70</v>
      </c>
      <c r="T1726">
        <v>46</v>
      </c>
      <c r="U1726">
        <v>-0.03</v>
      </c>
      <c r="W1726">
        <f>DataLog_T717420_Aug11_4_59_37pm[[#This Row],[RPM '[1/MIN']]]-Table3[[#This Row],[580C]]</f>
        <v>0</v>
      </c>
      <c r="X1726">
        <f>DataLog_T717420_Aug11_4_59_37pm[[#This Row],[OIL TEMP '[Â°C']]]-Table3[[#This Row],[4402]]</f>
        <v>0</v>
      </c>
      <c r="Y1726">
        <f>DataLog_T717420_Aug11_4_59_37pm[[#This Row],[INTAKE TEMP '[Â°C']]]-Table3[[#This Row],[580F]]</f>
        <v>0</v>
      </c>
      <c r="Z1726">
        <f>DataLog_T717420_Aug11_4_59_37pm[[#This Row],[HPFP PRES. '[BAR']]]-Table3[[#This Row],[58F0]]</f>
        <v>0</v>
      </c>
      <c r="AA1726">
        <f>DataLog_T717420_Aug11_4_59_37pm[[#This Row],[COOLANT TEMP '[Â°C']]]-Table3[[#This Row],[5805]]</f>
        <v>-1</v>
      </c>
      <c r="AB1726">
        <f>DataLog_T717420_Aug11_4_59_37pm[[#This Row],[BOOST '[BAR']]]-Table3[[#This Row],[58DD]]</f>
        <v>0</v>
      </c>
    </row>
    <row r="1727" spans="2:28" x14ac:dyDescent="0.25">
      <c r="B1727" s="2" t="s">
        <v>189</v>
      </c>
      <c r="C1727" s="2" t="s">
        <v>262</v>
      </c>
      <c r="D1727" s="2" t="s">
        <v>151</v>
      </c>
      <c r="E1727" s="2" t="s">
        <v>159</v>
      </c>
      <c r="F1727" s="2" t="s">
        <v>395</v>
      </c>
      <c r="G1727" s="2" t="s">
        <v>53</v>
      </c>
      <c r="I1727">
        <f>HEX2DEC(_0811_173439[[#This Row],[580C]])*B$4/B$5+B$6</f>
        <v>760</v>
      </c>
      <c r="J1727">
        <f>HEX2DEC(_0811_173439[[#This Row],[4402]])*C$4/C$5+C$6</f>
        <v>37</v>
      </c>
      <c r="K1727">
        <f>HEX2DEC(_0811_173439[[#This Row],[580F]])*D$4/D$5+D$6</f>
        <v>30</v>
      </c>
      <c r="L1727">
        <f>ROUND(HEX2DEC(_0811_173439[[#This Row],[58F0]])*E$4/E$5+E$6,0)</f>
        <v>70</v>
      </c>
      <c r="M1727">
        <f>ROUND(HEX2DEC(_0811_173439[[#This Row],[5805]])*F$4/F$5+F$6,0)</f>
        <v>47</v>
      </c>
      <c r="N1727">
        <f>ROUND(HEX2DEC(_0811_173439[[#This Row],[58DD]])*G$4/G$5+G$6,2)</f>
        <v>-0.03</v>
      </c>
      <c r="P1727">
        <v>760</v>
      </c>
      <c r="Q1727">
        <v>37</v>
      </c>
      <c r="R1727">
        <v>30</v>
      </c>
      <c r="S1727">
        <v>70</v>
      </c>
      <c r="T1727">
        <v>46</v>
      </c>
      <c r="U1727">
        <v>-0.03</v>
      </c>
      <c r="W1727">
        <f>DataLog_T717420_Aug11_4_59_37pm[[#This Row],[RPM '[1/MIN']]]-Table3[[#This Row],[580C]]</f>
        <v>0</v>
      </c>
      <c r="X1727">
        <f>DataLog_T717420_Aug11_4_59_37pm[[#This Row],[OIL TEMP '[Â°C']]]-Table3[[#This Row],[4402]]</f>
        <v>0</v>
      </c>
      <c r="Y1727">
        <f>DataLog_T717420_Aug11_4_59_37pm[[#This Row],[INTAKE TEMP '[Â°C']]]-Table3[[#This Row],[580F]]</f>
        <v>0</v>
      </c>
      <c r="Z1727">
        <f>DataLog_T717420_Aug11_4_59_37pm[[#This Row],[HPFP PRES. '[BAR']]]-Table3[[#This Row],[58F0]]</f>
        <v>0</v>
      </c>
      <c r="AA1727">
        <f>DataLog_T717420_Aug11_4_59_37pm[[#This Row],[COOLANT TEMP '[Â°C']]]-Table3[[#This Row],[5805]]</f>
        <v>-1</v>
      </c>
      <c r="AB1727">
        <f>DataLog_T717420_Aug11_4_59_37pm[[#This Row],[BOOST '[BAR']]]-Table3[[#This Row],[58DD]]</f>
        <v>0</v>
      </c>
    </row>
    <row r="1728" spans="2:28" x14ac:dyDescent="0.25">
      <c r="B1728" s="2" t="s">
        <v>189</v>
      </c>
      <c r="C1728" s="2" t="s">
        <v>262</v>
      </c>
      <c r="D1728" s="2" t="s">
        <v>151</v>
      </c>
      <c r="E1728" s="2" t="s">
        <v>127</v>
      </c>
      <c r="F1728" s="2" t="s">
        <v>395</v>
      </c>
      <c r="G1728" s="2" t="s">
        <v>96</v>
      </c>
      <c r="I1728">
        <f>HEX2DEC(_0811_173439[[#This Row],[580C]])*B$4/B$5+B$6</f>
        <v>760</v>
      </c>
      <c r="J1728">
        <f>HEX2DEC(_0811_173439[[#This Row],[4402]])*C$4/C$5+C$6</f>
        <v>37</v>
      </c>
      <c r="K1728">
        <f>HEX2DEC(_0811_173439[[#This Row],[580F]])*D$4/D$5+D$6</f>
        <v>30</v>
      </c>
      <c r="L1728">
        <f>ROUND(HEX2DEC(_0811_173439[[#This Row],[58F0]])*E$4/E$5+E$6,0)</f>
        <v>70</v>
      </c>
      <c r="M1728">
        <f>ROUND(HEX2DEC(_0811_173439[[#This Row],[5805]])*F$4/F$5+F$6,0)</f>
        <v>47</v>
      </c>
      <c r="N1728">
        <f>ROUND(HEX2DEC(_0811_173439[[#This Row],[58DD]])*G$4/G$5+G$6,2)</f>
        <v>-0.03</v>
      </c>
      <c r="P1728">
        <v>760</v>
      </c>
      <c r="Q1728">
        <v>37</v>
      </c>
      <c r="R1728">
        <v>30</v>
      </c>
      <c r="S1728">
        <v>70</v>
      </c>
      <c r="T1728">
        <v>46</v>
      </c>
      <c r="U1728">
        <v>-0.03</v>
      </c>
      <c r="W1728">
        <f>DataLog_T717420_Aug11_4_59_37pm[[#This Row],[RPM '[1/MIN']]]-Table3[[#This Row],[580C]]</f>
        <v>0</v>
      </c>
      <c r="X1728">
        <f>DataLog_T717420_Aug11_4_59_37pm[[#This Row],[OIL TEMP '[Â°C']]]-Table3[[#This Row],[4402]]</f>
        <v>0</v>
      </c>
      <c r="Y1728">
        <f>DataLog_T717420_Aug11_4_59_37pm[[#This Row],[INTAKE TEMP '[Â°C']]]-Table3[[#This Row],[580F]]</f>
        <v>0</v>
      </c>
      <c r="Z1728">
        <f>DataLog_T717420_Aug11_4_59_37pm[[#This Row],[HPFP PRES. '[BAR']]]-Table3[[#This Row],[58F0]]</f>
        <v>0</v>
      </c>
      <c r="AA1728">
        <f>DataLog_T717420_Aug11_4_59_37pm[[#This Row],[COOLANT TEMP '[Â°C']]]-Table3[[#This Row],[5805]]</f>
        <v>-1</v>
      </c>
      <c r="AB1728">
        <f>DataLog_T717420_Aug11_4_59_37pm[[#This Row],[BOOST '[BAR']]]-Table3[[#This Row],[58DD]]</f>
        <v>0</v>
      </c>
    </row>
    <row r="1729" spans="2:28" x14ac:dyDescent="0.25">
      <c r="B1729" s="2" t="s">
        <v>189</v>
      </c>
      <c r="C1729" s="2" t="s">
        <v>262</v>
      </c>
      <c r="D1729" s="2" t="s">
        <v>151</v>
      </c>
      <c r="E1729" s="2" t="s">
        <v>127</v>
      </c>
      <c r="F1729" s="2" t="s">
        <v>395</v>
      </c>
      <c r="G1729" s="2" t="s">
        <v>191</v>
      </c>
      <c r="I1729">
        <f>HEX2DEC(_0811_173439[[#This Row],[580C]])*B$4/B$5+B$6</f>
        <v>760</v>
      </c>
      <c r="J1729">
        <f>HEX2DEC(_0811_173439[[#This Row],[4402]])*C$4/C$5+C$6</f>
        <v>37</v>
      </c>
      <c r="K1729">
        <f>HEX2DEC(_0811_173439[[#This Row],[580F]])*D$4/D$5+D$6</f>
        <v>30</v>
      </c>
      <c r="L1729">
        <f>ROUND(HEX2DEC(_0811_173439[[#This Row],[58F0]])*E$4/E$5+E$6,0)</f>
        <v>70</v>
      </c>
      <c r="M1729">
        <f>ROUND(HEX2DEC(_0811_173439[[#This Row],[5805]])*F$4/F$5+F$6,0)</f>
        <v>47</v>
      </c>
      <c r="N1729">
        <f>ROUND(HEX2DEC(_0811_173439[[#This Row],[58DD]])*G$4/G$5+G$6,2)</f>
        <v>-0.03</v>
      </c>
      <c r="P1729">
        <v>760</v>
      </c>
      <c r="Q1729">
        <v>37</v>
      </c>
      <c r="R1729">
        <v>30</v>
      </c>
      <c r="S1729">
        <v>70</v>
      </c>
      <c r="T1729">
        <v>46</v>
      </c>
      <c r="U1729">
        <v>-0.03</v>
      </c>
      <c r="W1729">
        <f>DataLog_T717420_Aug11_4_59_37pm[[#This Row],[RPM '[1/MIN']]]-Table3[[#This Row],[580C]]</f>
        <v>0</v>
      </c>
      <c r="X1729">
        <f>DataLog_T717420_Aug11_4_59_37pm[[#This Row],[OIL TEMP '[Â°C']]]-Table3[[#This Row],[4402]]</f>
        <v>0</v>
      </c>
      <c r="Y1729">
        <f>DataLog_T717420_Aug11_4_59_37pm[[#This Row],[INTAKE TEMP '[Â°C']]]-Table3[[#This Row],[580F]]</f>
        <v>0</v>
      </c>
      <c r="Z1729">
        <f>DataLog_T717420_Aug11_4_59_37pm[[#This Row],[HPFP PRES. '[BAR']]]-Table3[[#This Row],[58F0]]</f>
        <v>0</v>
      </c>
      <c r="AA1729">
        <f>DataLog_T717420_Aug11_4_59_37pm[[#This Row],[COOLANT TEMP '[Â°C']]]-Table3[[#This Row],[5805]]</f>
        <v>-1</v>
      </c>
      <c r="AB1729">
        <f>DataLog_T717420_Aug11_4_59_37pm[[#This Row],[BOOST '[BAR']]]-Table3[[#This Row],[58DD]]</f>
        <v>0</v>
      </c>
    </row>
    <row r="1730" spans="2:28" x14ac:dyDescent="0.25">
      <c r="B1730" s="2" t="s">
        <v>189</v>
      </c>
      <c r="C1730" s="2" t="s">
        <v>262</v>
      </c>
      <c r="D1730" s="2" t="s">
        <v>151</v>
      </c>
      <c r="E1730" s="2" t="s">
        <v>222</v>
      </c>
      <c r="F1730" s="2" t="s">
        <v>395</v>
      </c>
      <c r="G1730" s="2" t="s">
        <v>236</v>
      </c>
      <c r="I1730">
        <f>HEX2DEC(_0811_173439[[#This Row],[580C]])*B$4/B$5+B$6</f>
        <v>760</v>
      </c>
      <c r="J1730">
        <f>HEX2DEC(_0811_173439[[#This Row],[4402]])*C$4/C$5+C$6</f>
        <v>37</v>
      </c>
      <c r="K1730">
        <f>HEX2DEC(_0811_173439[[#This Row],[580F]])*D$4/D$5+D$6</f>
        <v>30</v>
      </c>
      <c r="L1730">
        <f>ROUND(HEX2DEC(_0811_173439[[#This Row],[58F0]])*E$4/E$5+E$6,0)</f>
        <v>70</v>
      </c>
      <c r="M1730">
        <f>ROUND(HEX2DEC(_0811_173439[[#This Row],[5805]])*F$4/F$5+F$6,0)</f>
        <v>47</v>
      </c>
      <c r="N1730">
        <f>ROUND(HEX2DEC(_0811_173439[[#This Row],[58DD]])*G$4/G$5+G$6,2)</f>
        <v>-0.03</v>
      </c>
      <c r="P1730">
        <v>760</v>
      </c>
      <c r="Q1730">
        <v>37</v>
      </c>
      <c r="R1730">
        <v>30</v>
      </c>
      <c r="S1730">
        <v>70</v>
      </c>
      <c r="T1730">
        <v>46</v>
      </c>
      <c r="U1730">
        <v>-0.03</v>
      </c>
      <c r="W1730">
        <f>DataLog_T717420_Aug11_4_59_37pm[[#This Row],[RPM '[1/MIN']]]-Table3[[#This Row],[580C]]</f>
        <v>0</v>
      </c>
      <c r="X1730">
        <f>DataLog_T717420_Aug11_4_59_37pm[[#This Row],[OIL TEMP '[Â°C']]]-Table3[[#This Row],[4402]]</f>
        <v>0</v>
      </c>
      <c r="Y1730">
        <f>DataLog_T717420_Aug11_4_59_37pm[[#This Row],[INTAKE TEMP '[Â°C']]]-Table3[[#This Row],[580F]]</f>
        <v>0</v>
      </c>
      <c r="Z1730">
        <f>DataLog_T717420_Aug11_4_59_37pm[[#This Row],[HPFP PRES. '[BAR']]]-Table3[[#This Row],[58F0]]</f>
        <v>0</v>
      </c>
      <c r="AA1730">
        <f>DataLog_T717420_Aug11_4_59_37pm[[#This Row],[COOLANT TEMP '[Â°C']]]-Table3[[#This Row],[5805]]</f>
        <v>-1</v>
      </c>
      <c r="AB1730">
        <f>DataLog_T717420_Aug11_4_59_37pm[[#This Row],[BOOST '[BAR']]]-Table3[[#This Row],[58DD]]</f>
        <v>0</v>
      </c>
    </row>
    <row r="1731" spans="2:28" x14ac:dyDescent="0.25">
      <c r="B1731" s="2" t="s">
        <v>189</v>
      </c>
      <c r="C1731" s="2" t="s">
        <v>262</v>
      </c>
      <c r="D1731" s="2" t="s">
        <v>151</v>
      </c>
      <c r="E1731" s="2" t="s">
        <v>127</v>
      </c>
      <c r="F1731" s="2" t="s">
        <v>395</v>
      </c>
      <c r="G1731" s="2" t="s">
        <v>53</v>
      </c>
      <c r="I1731">
        <f>HEX2DEC(_0811_173439[[#This Row],[580C]])*B$4/B$5+B$6</f>
        <v>760</v>
      </c>
      <c r="J1731">
        <f>HEX2DEC(_0811_173439[[#This Row],[4402]])*C$4/C$5+C$6</f>
        <v>37</v>
      </c>
      <c r="K1731">
        <f>HEX2DEC(_0811_173439[[#This Row],[580F]])*D$4/D$5+D$6</f>
        <v>30</v>
      </c>
      <c r="L1731">
        <f>ROUND(HEX2DEC(_0811_173439[[#This Row],[58F0]])*E$4/E$5+E$6,0)</f>
        <v>70</v>
      </c>
      <c r="M1731">
        <f>ROUND(HEX2DEC(_0811_173439[[#This Row],[5805]])*F$4/F$5+F$6,0)</f>
        <v>47</v>
      </c>
      <c r="N1731">
        <f>ROUND(HEX2DEC(_0811_173439[[#This Row],[58DD]])*G$4/G$5+G$6,2)</f>
        <v>-0.03</v>
      </c>
      <c r="P1731">
        <v>760</v>
      </c>
      <c r="Q1731">
        <v>37</v>
      </c>
      <c r="R1731">
        <v>30</v>
      </c>
      <c r="S1731">
        <v>70</v>
      </c>
      <c r="T1731">
        <v>46</v>
      </c>
      <c r="U1731">
        <v>-0.03</v>
      </c>
      <c r="W1731">
        <f>DataLog_T717420_Aug11_4_59_37pm[[#This Row],[RPM '[1/MIN']]]-Table3[[#This Row],[580C]]</f>
        <v>0</v>
      </c>
      <c r="X1731">
        <f>DataLog_T717420_Aug11_4_59_37pm[[#This Row],[OIL TEMP '[Â°C']]]-Table3[[#This Row],[4402]]</f>
        <v>0</v>
      </c>
      <c r="Y1731">
        <f>DataLog_T717420_Aug11_4_59_37pm[[#This Row],[INTAKE TEMP '[Â°C']]]-Table3[[#This Row],[580F]]</f>
        <v>0</v>
      </c>
      <c r="Z1731">
        <f>DataLog_T717420_Aug11_4_59_37pm[[#This Row],[HPFP PRES. '[BAR']]]-Table3[[#This Row],[58F0]]</f>
        <v>0</v>
      </c>
      <c r="AA1731">
        <f>DataLog_T717420_Aug11_4_59_37pm[[#This Row],[COOLANT TEMP '[Â°C']]]-Table3[[#This Row],[5805]]</f>
        <v>-1</v>
      </c>
      <c r="AB1731">
        <f>DataLog_T717420_Aug11_4_59_37pm[[#This Row],[BOOST '[BAR']]]-Table3[[#This Row],[58DD]]</f>
        <v>0</v>
      </c>
    </row>
    <row r="1732" spans="2:28" x14ac:dyDescent="0.25">
      <c r="B1732" s="2" t="s">
        <v>189</v>
      </c>
      <c r="C1732" s="2" t="s">
        <v>262</v>
      </c>
      <c r="D1732" s="2" t="s">
        <v>151</v>
      </c>
      <c r="E1732" s="2" t="s">
        <v>165</v>
      </c>
      <c r="F1732" s="2" t="s">
        <v>395</v>
      </c>
      <c r="G1732" s="2" t="s">
        <v>190</v>
      </c>
      <c r="I1732">
        <f>HEX2DEC(_0811_173439[[#This Row],[580C]])*B$4/B$5+B$6</f>
        <v>760</v>
      </c>
      <c r="J1732">
        <f>HEX2DEC(_0811_173439[[#This Row],[4402]])*C$4/C$5+C$6</f>
        <v>37</v>
      </c>
      <c r="K1732">
        <f>HEX2DEC(_0811_173439[[#This Row],[580F]])*D$4/D$5+D$6</f>
        <v>30</v>
      </c>
      <c r="L1732">
        <f>ROUND(HEX2DEC(_0811_173439[[#This Row],[58F0]])*E$4/E$5+E$6,0)</f>
        <v>70</v>
      </c>
      <c r="M1732">
        <f>ROUND(HEX2DEC(_0811_173439[[#This Row],[5805]])*F$4/F$5+F$6,0)</f>
        <v>47</v>
      </c>
      <c r="N1732">
        <f>ROUND(HEX2DEC(_0811_173439[[#This Row],[58DD]])*G$4/G$5+G$6,2)</f>
        <v>-0.03</v>
      </c>
      <c r="P1732">
        <v>760</v>
      </c>
      <c r="Q1732">
        <v>37</v>
      </c>
      <c r="R1732">
        <v>30</v>
      </c>
      <c r="S1732">
        <v>70</v>
      </c>
      <c r="T1732">
        <v>46</v>
      </c>
      <c r="U1732">
        <v>-0.03</v>
      </c>
      <c r="W1732">
        <f>DataLog_T717420_Aug11_4_59_37pm[[#This Row],[RPM '[1/MIN']]]-Table3[[#This Row],[580C]]</f>
        <v>0</v>
      </c>
      <c r="X1732">
        <f>DataLog_T717420_Aug11_4_59_37pm[[#This Row],[OIL TEMP '[Â°C']]]-Table3[[#This Row],[4402]]</f>
        <v>0</v>
      </c>
      <c r="Y1732">
        <f>DataLog_T717420_Aug11_4_59_37pm[[#This Row],[INTAKE TEMP '[Â°C']]]-Table3[[#This Row],[580F]]</f>
        <v>0</v>
      </c>
      <c r="Z1732">
        <f>DataLog_T717420_Aug11_4_59_37pm[[#This Row],[HPFP PRES. '[BAR']]]-Table3[[#This Row],[58F0]]</f>
        <v>0</v>
      </c>
      <c r="AA1732">
        <f>DataLog_T717420_Aug11_4_59_37pm[[#This Row],[COOLANT TEMP '[Â°C']]]-Table3[[#This Row],[5805]]</f>
        <v>-1</v>
      </c>
      <c r="AB1732">
        <f>DataLog_T717420_Aug11_4_59_37pm[[#This Row],[BOOST '[BAR']]]-Table3[[#This Row],[58DD]]</f>
        <v>0</v>
      </c>
    </row>
    <row r="1733" spans="2:28" x14ac:dyDescent="0.25">
      <c r="B1733" s="2" t="s">
        <v>189</v>
      </c>
      <c r="C1733" s="2" t="s">
        <v>262</v>
      </c>
      <c r="D1733" s="2" t="s">
        <v>151</v>
      </c>
      <c r="E1733" s="2" t="s">
        <v>176</v>
      </c>
      <c r="F1733" s="2" t="s">
        <v>395</v>
      </c>
      <c r="G1733" s="2" t="s">
        <v>190</v>
      </c>
      <c r="I1733">
        <f>HEX2DEC(_0811_173439[[#This Row],[580C]])*B$4/B$5+B$6</f>
        <v>760</v>
      </c>
      <c r="J1733">
        <f>HEX2DEC(_0811_173439[[#This Row],[4402]])*C$4/C$5+C$6</f>
        <v>37</v>
      </c>
      <c r="K1733">
        <f>HEX2DEC(_0811_173439[[#This Row],[580F]])*D$4/D$5+D$6</f>
        <v>30</v>
      </c>
      <c r="L1733">
        <f>ROUND(HEX2DEC(_0811_173439[[#This Row],[58F0]])*E$4/E$5+E$6,0)</f>
        <v>70</v>
      </c>
      <c r="M1733">
        <f>ROUND(HEX2DEC(_0811_173439[[#This Row],[5805]])*F$4/F$5+F$6,0)</f>
        <v>47</v>
      </c>
      <c r="N1733">
        <f>ROUND(HEX2DEC(_0811_173439[[#This Row],[58DD]])*G$4/G$5+G$6,2)</f>
        <v>-0.03</v>
      </c>
      <c r="P1733">
        <v>760</v>
      </c>
      <c r="Q1733">
        <v>37</v>
      </c>
      <c r="R1733">
        <v>30</v>
      </c>
      <c r="S1733">
        <v>70</v>
      </c>
      <c r="T1733">
        <v>46</v>
      </c>
      <c r="U1733">
        <v>-0.03</v>
      </c>
      <c r="W1733">
        <f>DataLog_T717420_Aug11_4_59_37pm[[#This Row],[RPM '[1/MIN']]]-Table3[[#This Row],[580C]]</f>
        <v>0</v>
      </c>
      <c r="X1733">
        <f>DataLog_T717420_Aug11_4_59_37pm[[#This Row],[OIL TEMP '[Â°C']]]-Table3[[#This Row],[4402]]</f>
        <v>0</v>
      </c>
      <c r="Y1733">
        <f>DataLog_T717420_Aug11_4_59_37pm[[#This Row],[INTAKE TEMP '[Â°C']]]-Table3[[#This Row],[580F]]</f>
        <v>0</v>
      </c>
      <c r="Z1733">
        <f>DataLog_T717420_Aug11_4_59_37pm[[#This Row],[HPFP PRES. '[BAR']]]-Table3[[#This Row],[58F0]]</f>
        <v>0</v>
      </c>
      <c r="AA1733">
        <f>DataLog_T717420_Aug11_4_59_37pm[[#This Row],[COOLANT TEMP '[Â°C']]]-Table3[[#This Row],[5805]]</f>
        <v>-1</v>
      </c>
      <c r="AB1733">
        <f>DataLog_T717420_Aug11_4_59_37pm[[#This Row],[BOOST '[BAR']]]-Table3[[#This Row],[58DD]]</f>
        <v>0</v>
      </c>
    </row>
    <row r="1734" spans="2:28" x14ac:dyDescent="0.25">
      <c r="B1734" s="2" t="s">
        <v>189</v>
      </c>
      <c r="C1734" s="2" t="s">
        <v>262</v>
      </c>
      <c r="D1734" s="2" t="s">
        <v>151</v>
      </c>
      <c r="E1734" s="2" t="s">
        <v>127</v>
      </c>
      <c r="F1734" s="2" t="s">
        <v>395</v>
      </c>
      <c r="G1734" s="2" t="s">
        <v>190</v>
      </c>
      <c r="I1734">
        <f>HEX2DEC(_0811_173439[[#This Row],[580C]])*B$4/B$5+B$6</f>
        <v>760</v>
      </c>
      <c r="J1734">
        <f>HEX2DEC(_0811_173439[[#This Row],[4402]])*C$4/C$5+C$6</f>
        <v>37</v>
      </c>
      <c r="K1734">
        <f>HEX2DEC(_0811_173439[[#This Row],[580F]])*D$4/D$5+D$6</f>
        <v>30</v>
      </c>
      <c r="L1734">
        <f>ROUND(HEX2DEC(_0811_173439[[#This Row],[58F0]])*E$4/E$5+E$6,0)</f>
        <v>70</v>
      </c>
      <c r="M1734">
        <f>ROUND(HEX2DEC(_0811_173439[[#This Row],[5805]])*F$4/F$5+F$6,0)</f>
        <v>47</v>
      </c>
      <c r="N1734">
        <f>ROUND(HEX2DEC(_0811_173439[[#This Row],[58DD]])*G$4/G$5+G$6,2)</f>
        <v>-0.03</v>
      </c>
      <c r="P1734">
        <v>760</v>
      </c>
      <c r="Q1734">
        <v>37</v>
      </c>
      <c r="R1734">
        <v>30</v>
      </c>
      <c r="S1734">
        <v>70</v>
      </c>
      <c r="T1734">
        <v>46</v>
      </c>
      <c r="U1734">
        <v>-0.03</v>
      </c>
      <c r="W1734">
        <f>DataLog_T717420_Aug11_4_59_37pm[[#This Row],[RPM '[1/MIN']]]-Table3[[#This Row],[580C]]</f>
        <v>0</v>
      </c>
      <c r="X1734">
        <f>DataLog_T717420_Aug11_4_59_37pm[[#This Row],[OIL TEMP '[Â°C']]]-Table3[[#This Row],[4402]]</f>
        <v>0</v>
      </c>
      <c r="Y1734">
        <f>DataLog_T717420_Aug11_4_59_37pm[[#This Row],[INTAKE TEMP '[Â°C']]]-Table3[[#This Row],[580F]]</f>
        <v>0</v>
      </c>
      <c r="Z1734">
        <f>DataLog_T717420_Aug11_4_59_37pm[[#This Row],[HPFP PRES. '[BAR']]]-Table3[[#This Row],[58F0]]</f>
        <v>0</v>
      </c>
      <c r="AA1734">
        <f>DataLog_T717420_Aug11_4_59_37pm[[#This Row],[COOLANT TEMP '[Â°C']]]-Table3[[#This Row],[5805]]</f>
        <v>-1</v>
      </c>
      <c r="AB1734">
        <f>DataLog_T717420_Aug11_4_59_37pm[[#This Row],[BOOST '[BAR']]]-Table3[[#This Row],[58DD]]</f>
        <v>0</v>
      </c>
    </row>
    <row r="1735" spans="2:28" x14ac:dyDescent="0.25">
      <c r="B1735" s="2" t="s">
        <v>189</v>
      </c>
      <c r="C1735" s="2" t="s">
        <v>262</v>
      </c>
      <c r="D1735" s="2" t="s">
        <v>151</v>
      </c>
      <c r="E1735" s="2" t="s">
        <v>152</v>
      </c>
      <c r="F1735" s="2" t="s">
        <v>395</v>
      </c>
      <c r="G1735" s="2" t="s">
        <v>71</v>
      </c>
      <c r="I1735">
        <f>HEX2DEC(_0811_173439[[#This Row],[580C]])*B$4/B$5+B$6</f>
        <v>760</v>
      </c>
      <c r="J1735">
        <f>HEX2DEC(_0811_173439[[#This Row],[4402]])*C$4/C$5+C$6</f>
        <v>37</v>
      </c>
      <c r="K1735">
        <f>HEX2DEC(_0811_173439[[#This Row],[580F]])*D$4/D$5+D$6</f>
        <v>30</v>
      </c>
      <c r="L1735">
        <f>ROUND(HEX2DEC(_0811_173439[[#This Row],[58F0]])*E$4/E$5+E$6,0)</f>
        <v>70</v>
      </c>
      <c r="M1735">
        <f>ROUND(HEX2DEC(_0811_173439[[#This Row],[5805]])*F$4/F$5+F$6,0)</f>
        <v>47</v>
      </c>
      <c r="N1735">
        <f>ROUND(HEX2DEC(_0811_173439[[#This Row],[58DD]])*G$4/G$5+G$6,2)</f>
        <v>-0.03</v>
      </c>
      <c r="P1735">
        <v>760</v>
      </c>
      <c r="Q1735">
        <v>37</v>
      </c>
      <c r="R1735">
        <v>30</v>
      </c>
      <c r="S1735">
        <v>70</v>
      </c>
      <c r="T1735">
        <v>46</v>
      </c>
      <c r="U1735">
        <v>-0.03</v>
      </c>
      <c r="W1735">
        <f>DataLog_T717420_Aug11_4_59_37pm[[#This Row],[RPM '[1/MIN']]]-Table3[[#This Row],[580C]]</f>
        <v>0</v>
      </c>
      <c r="X1735">
        <f>DataLog_T717420_Aug11_4_59_37pm[[#This Row],[OIL TEMP '[Â°C']]]-Table3[[#This Row],[4402]]</f>
        <v>0</v>
      </c>
      <c r="Y1735">
        <f>DataLog_T717420_Aug11_4_59_37pm[[#This Row],[INTAKE TEMP '[Â°C']]]-Table3[[#This Row],[580F]]</f>
        <v>0</v>
      </c>
      <c r="Z1735">
        <f>DataLog_T717420_Aug11_4_59_37pm[[#This Row],[HPFP PRES. '[BAR']]]-Table3[[#This Row],[58F0]]</f>
        <v>0</v>
      </c>
      <c r="AA1735">
        <f>DataLog_T717420_Aug11_4_59_37pm[[#This Row],[COOLANT TEMP '[Â°C']]]-Table3[[#This Row],[5805]]</f>
        <v>-1</v>
      </c>
      <c r="AB1735">
        <f>DataLog_T717420_Aug11_4_59_37pm[[#This Row],[BOOST '[BAR']]]-Table3[[#This Row],[58DD]]</f>
        <v>0</v>
      </c>
    </row>
    <row r="1736" spans="2:28" x14ac:dyDescent="0.25">
      <c r="B1736" s="2" t="s">
        <v>189</v>
      </c>
      <c r="C1736" s="2" t="s">
        <v>262</v>
      </c>
      <c r="D1736" s="2" t="s">
        <v>151</v>
      </c>
      <c r="E1736" s="2" t="s">
        <v>132</v>
      </c>
      <c r="F1736" s="2" t="s">
        <v>395</v>
      </c>
      <c r="G1736" s="2" t="s">
        <v>96</v>
      </c>
      <c r="I1736">
        <f>HEX2DEC(_0811_173439[[#This Row],[580C]])*B$4/B$5+B$6</f>
        <v>760</v>
      </c>
      <c r="J1736">
        <f>HEX2DEC(_0811_173439[[#This Row],[4402]])*C$4/C$5+C$6</f>
        <v>37</v>
      </c>
      <c r="K1736">
        <f>HEX2DEC(_0811_173439[[#This Row],[580F]])*D$4/D$5+D$6</f>
        <v>30</v>
      </c>
      <c r="L1736">
        <f>ROUND(HEX2DEC(_0811_173439[[#This Row],[58F0]])*E$4/E$5+E$6,0)</f>
        <v>70</v>
      </c>
      <c r="M1736">
        <f>ROUND(HEX2DEC(_0811_173439[[#This Row],[5805]])*F$4/F$5+F$6,0)</f>
        <v>47</v>
      </c>
      <c r="N1736">
        <f>ROUND(HEX2DEC(_0811_173439[[#This Row],[58DD]])*G$4/G$5+G$6,2)</f>
        <v>-0.03</v>
      </c>
      <c r="P1736">
        <v>760</v>
      </c>
      <c r="Q1736">
        <v>37</v>
      </c>
      <c r="R1736">
        <v>30</v>
      </c>
      <c r="S1736">
        <v>70</v>
      </c>
      <c r="T1736">
        <v>46</v>
      </c>
      <c r="U1736">
        <v>-0.03</v>
      </c>
      <c r="W1736">
        <f>DataLog_T717420_Aug11_4_59_37pm[[#This Row],[RPM '[1/MIN']]]-Table3[[#This Row],[580C]]</f>
        <v>0</v>
      </c>
      <c r="X1736">
        <f>DataLog_T717420_Aug11_4_59_37pm[[#This Row],[OIL TEMP '[Â°C']]]-Table3[[#This Row],[4402]]</f>
        <v>0</v>
      </c>
      <c r="Y1736">
        <f>DataLog_T717420_Aug11_4_59_37pm[[#This Row],[INTAKE TEMP '[Â°C']]]-Table3[[#This Row],[580F]]</f>
        <v>0</v>
      </c>
      <c r="Z1736">
        <f>DataLog_T717420_Aug11_4_59_37pm[[#This Row],[HPFP PRES. '[BAR']]]-Table3[[#This Row],[58F0]]</f>
        <v>0</v>
      </c>
      <c r="AA1736">
        <f>DataLog_T717420_Aug11_4_59_37pm[[#This Row],[COOLANT TEMP '[Â°C']]]-Table3[[#This Row],[5805]]</f>
        <v>-1</v>
      </c>
      <c r="AB1736">
        <f>DataLog_T717420_Aug11_4_59_37pm[[#This Row],[BOOST '[BAR']]]-Table3[[#This Row],[58DD]]</f>
        <v>0</v>
      </c>
    </row>
    <row r="1737" spans="2:28" x14ac:dyDescent="0.25">
      <c r="B1737" s="2" t="s">
        <v>189</v>
      </c>
      <c r="C1737" s="2" t="s">
        <v>262</v>
      </c>
      <c r="D1737" s="2" t="s">
        <v>151</v>
      </c>
      <c r="E1737" s="2" t="s">
        <v>157</v>
      </c>
      <c r="F1737" s="2" t="s">
        <v>395</v>
      </c>
      <c r="G1737" s="2" t="s">
        <v>53</v>
      </c>
      <c r="I1737">
        <f>HEX2DEC(_0811_173439[[#This Row],[580C]])*B$4/B$5+B$6</f>
        <v>760</v>
      </c>
      <c r="J1737">
        <f>HEX2DEC(_0811_173439[[#This Row],[4402]])*C$4/C$5+C$6</f>
        <v>37</v>
      </c>
      <c r="K1737">
        <f>HEX2DEC(_0811_173439[[#This Row],[580F]])*D$4/D$5+D$6</f>
        <v>30</v>
      </c>
      <c r="L1737">
        <f>ROUND(HEX2DEC(_0811_173439[[#This Row],[58F0]])*E$4/E$5+E$6,0)</f>
        <v>70</v>
      </c>
      <c r="M1737">
        <f>ROUND(HEX2DEC(_0811_173439[[#This Row],[5805]])*F$4/F$5+F$6,0)</f>
        <v>47</v>
      </c>
      <c r="N1737">
        <f>ROUND(HEX2DEC(_0811_173439[[#This Row],[58DD]])*G$4/G$5+G$6,2)</f>
        <v>-0.03</v>
      </c>
      <c r="P1737">
        <v>760</v>
      </c>
      <c r="Q1737">
        <v>37</v>
      </c>
      <c r="R1737">
        <v>30</v>
      </c>
      <c r="S1737">
        <v>70</v>
      </c>
      <c r="T1737">
        <v>46</v>
      </c>
      <c r="U1737">
        <v>-0.03</v>
      </c>
      <c r="W1737">
        <f>DataLog_T717420_Aug11_4_59_37pm[[#This Row],[RPM '[1/MIN']]]-Table3[[#This Row],[580C]]</f>
        <v>0</v>
      </c>
      <c r="X1737">
        <f>DataLog_T717420_Aug11_4_59_37pm[[#This Row],[OIL TEMP '[Â°C']]]-Table3[[#This Row],[4402]]</f>
        <v>0</v>
      </c>
      <c r="Y1737">
        <f>DataLog_T717420_Aug11_4_59_37pm[[#This Row],[INTAKE TEMP '[Â°C']]]-Table3[[#This Row],[580F]]</f>
        <v>0</v>
      </c>
      <c r="Z1737">
        <f>DataLog_T717420_Aug11_4_59_37pm[[#This Row],[HPFP PRES. '[BAR']]]-Table3[[#This Row],[58F0]]</f>
        <v>0</v>
      </c>
      <c r="AA1737">
        <f>DataLog_T717420_Aug11_4_59_37pm[[#This Row],[COOLANT TEMP '[Â°C']]]-Table3[[#This Row],[5805]]</f>
        <v>-1</v>
      </c>
      <c r="AB1737">
        <f>DataLog_T717420_Aug11_4_59_37pm[[#This Row],[BOOST '[BAR']]]-Table3[[#This Row],[58DD]]</f>
        <v>0</v>
      </c>
    </row>
    <row r="1738" spans="2:28" x14ac:dyDescent="0.25">
      <c r="B1738" s="2" t="s">
        <v>189</v>
      </c>
      <c r="C1738" s="2" t="s">
        <v>262</v>
      </c>
      <c r="D1738" s="2" t="s">
        <v>151</v>
      </c>
      <c r="E1738" s="2" t="s">
        <v>93</v>
      </c>
      <c r="F1738" s="2" t="s">
        <v>395</v>
      </c>
      <c r="G1738" s="2" t="s">
        <v>96</v>
      </c>
      <c r="I1738">
        <f>HEX2DEC(_0811_173439[[#This Row],[580C]])*B$4/B$5+B$6</f>
        <v>760</v>
      </c>
      <c r="J1738">
        <f>HEX2DEC(_0811_173439[[#This Row],[4402]])*C$4/C$5+C$6</f>
        <v>37</v>
      </c>
      <c r="K1738">
        <f>HEX2DEC(_0811_173439[[#This Row],[580F]])*D$4/D$5+D$6</f>
        <v>30</v>
      </c>
      <c r="L1738">
        <f>ROUND(HEX2DEC(_0811_173439[[#This Row],[58F0]])*E$4/E$5+E$6,0)</f>
        <v>70</v>
      </c>
      <c r="M1738">
        <f>ROUND(HEX2DEC(_0811_173439[[#This Row],[5805]])*F$4/F$5+F$6,0)</f>
        <v>47</v>
      </c>
      <c r="N1738">
        <f>ROUND(HEX2DEC(_0811_173439[[#This Row],[58DD]])*G$4/G$5+G$6,2)</f>
        <v>-0.03</v>
      </c>
      <c r="P1738">
        <v>760</v>
      </c>
      <c r="Q1738">
        <v>37</v>
      </c>
      <c r="R1738">
        <v>30</v>
      </c>
      <c r="S1738">
        <v>70</v>
      </c>
      <c r="T1738">
        <v>46</v>
      </c>
      <c r="U1738">
        <v>-0.03</v>
      </c>
      <c r="W1738">
        <f>DataLog_T717420_Aug11_4_59_37pm[[#This Row],[RPM '[1/MIN']]]-Table3[[#This Row],[580C]]</f>
        <v>0</v>
      </c>
      <c r="X1738">
        <f>DataLog_T717420_Aug11_4_59_37pm[[#This Row],[OIL TEMP '[Â°C']]]-Table3[[#This Row],[4402]]</f>
        <v>0</v>
      </c>
      <c r="Y1738">
        <f>DataLog_T717420_Aug11_4_59_37pm[[#This Row],[INTAKE TEMP '[Â°C']]]-Table3[[#This Row],[580F]]</f>
        <v>0</v>
      </c>
      <c r="Z1738">
        <f>DataLog_T717420_Aug11_4_59_37pm[[#This Row],[HPFP PRES. '[BAR']]]-Table3[[#This Row],[58F0]]</f>
        <v>0</v>
      </c>
      <c r="AA1738">
        <f>DataLog_T717420_Aug11_4_59_37pm[[#This Row],[COOLANT TEMP '[Â°C']]]-Table3[[#This Row],[5805]]</f>
        <v>-1</v>
      </c>
      <c r="AB1738">
        <f>DataLog_T717420_Aug11_4_59_37pm[[#This Row],[BOOST '[BAR']]]-Table3[[#This Row],[58DD]]</f>
        <v>0</v>
      </c>
    </row>
    <row r="1739" spans="2:28" x14ac:dyDescent="0.25">
      <c r="B1739" s="2" t="s">
        <v>189</v>
      </c>
      <c r="C1739" s="2" t="s">
        <v>262</v>
      </c>
      <c r="D1739" s="2" t="s">
        <v>151</v>
      </c>
      <c r="E1739" s="2" t="s">
        <v>147</v>
      </c>
      <c r="F1739" s="2" t="s">
        <v>395</v>
      </c>
      <c r="G1739" s="2" t="s">
        <v>236</v>
      </c>
      <c r="I1739">
        <f>HEX2DEC(_0811_173439[[#This Row],[580C]])*B$4/B$5+B$6</f>
        <v>760</v>
      </c>
      <c r="J1739">
        <f>HEX2DEC(_0811_173439[[#This Row],[4402]])*C$4/C$5+C$6</f>
        <v>37</v>
      </c>
      <c r="K1739">
        <f>HEX2DEC(_0811_173439[[#This Row],[580F]])*D$4/D$5+D$6</f>
        <v>30</v>
      </c>
      <c r="L1739">
        <f>ROUND(HEX2DEC(_0811_173439[[#This Row],[58F0]])*E$4/E$5+E$6,0)</f>
        <v>71</v>
      </c>
      <c r="M1739">
        <f>ROUND(HEX2DEC(_0811_173439[[#This Row],[5805]])*F$4/F$5+F$6,0)</f>
        <v>47</v>
      </c>
      <c r="N1739">
        <f>ROUND(HEX2DEC(_0811_173439[[#This Row],[58DD]])*G$4/G$5+G$6,2)</f>
        <v>-0.03</v>
      </c>
      <c r="P1739">
        <v>760</v>
      </c>
      <c r="Q1739">
        <v>37</v>
      </c>
      <c r="R1739">
        <v>30</v>
      </c>
      <c r="S1739">
        <v>71</v>
      </c>
      <c r="T1739">
        <v>46</v>
      </c>
      <c r="U1739">
        <v>-0.03</v>
      </c>
      <c r="W1739">
        <f>DataLog_T717420_Aug11_4_59_37pm[[#This Row],[RPM '[1/MIN']]]-Table3[[#This Row],[580C]]</f>
        <v>0</v>
      </c>
      <c r="X1739">
        <f>DataLog_T717420_Aug11_4_59_37pm[[#This Row],[OIL TEMP '[Â°C']]]-Table3[[#This Row],[4402]]</f>
        <v>0</v>
      </c>
      <c r="Y1739">
        <f>DataLog_T717420_Aug11_4_59_37pm[[#This Row],[INTAKE TEMP '[Â°C']]]-Table3[[#This Row],[580F]]</f>
        <v>0</v>
      </c>
      <c r="Z1739">
        <f>DataLog_T717420_Aug11_4_59_37pm[[#This Row],[HPFP PRES. '[BAR']]]-Table3[[#This Row],[58F0]]</f>
        <v>0</v>
      </c>
      <c r="AA1739">
        <f>DataLog_T717420_Aug11_4_59_37pm[[#This Row],[COOLANT TEMP '[Â°C']]]-Table3[[#This Row],[5805]]</f>
        <v>-1</v>
      </c>
      <c r="AB1739">
        <f>DataLog_T717420_Aug11_4_59_37pm[[#This Row],[BOOST '[BAR']]]-Table3[[#This Row],[58DD]]</f>
        <v>0</v>
      </c>
    </row>
    <row r="1740" spans="2:28" x14ac:dyDescent="0.25">
      <c r="B1740" s="2" t="s">
        <v>189</v>
      </c>
      <c r="C1740" s="2" t="s">
        <v>262</v>
      </c>
      <c r="D1740" s="2" t="s">
        <v>151</v>
      </c>
      <c r="E1740" s="2" t="s">
        <v>93</v>
      </c>
      <c r="F1740" s="2" t="s">
        <v>395</v>
      </c>
      <c r="G1740" s="2" t="s">
        <v>236</v>
      </c>
      <c r="I1740">
        <f>HEX2DEC(_0811_173439[[#This Row],[580C]])*B$4/B$5+B$6</f>
        <v>760</v>
      </c>
      <c r="J1740">
        <f>HEX2DEC(_0811_173439[[#This Row],[4402]])*C$4/C$5+C$6</f>
        <v>37</v>
      </c>
      <c r="K1740">
        <f>HEX2DEC(_0811_173439[[#This Row],[580F]])*D$4/D$5+D$6</f>
        <v>30</v>
      </c>
      <c r="L1740">
        <f>ROUND(HEX2DEC(_0811_173439[[#This Row],[58F0]])*E$4/E$5+E$6,0)</f>
        <v>70</v>
      </c>
      <c r="M1740">
        <f>ROUND(HEX2DEC(_0811_173439[[#This Row],[5805]])*F$4/F$5+F$6,0)</f>
        <v>47</v>
      </c>
      <c r="N1740">
        <f>ROUND(HEX2DEC(_0811_173439[[#This Row],[58DD]])*G$4/G$5+G$6,2)</f>
        <v>-0.03</v>
      </c>
      <c r="P1740">
        <v>760</v>
      </c>
      <c r="Q1740">
        <v>37</v>
      </c>
      <c r="R1740">
        <v>30</v>
      </c>
      <c r="S1740">
        <v>70</v>
      </c>
      <c r="T1740">
        <v>46</v>
      </c>
      <c r="U1740">
        <v>-0.03</v>
      </c>
      <c r="W1740">
        <f>DataLog_T717420_Aug11_4_59_37pm[[#This Row],[RPM '[1/MIN']]]-Table3[[#This Row],[580C]]</f>
        <v>0</v>
      </c>
      <c r="X1740">
        <f>DataLog_T717420_Aug11_4_59_37pm[[#This Row],[OIL TEMP '[Â°C']]]-Table3[[#This Row],[4402]]</f>
        <v>0</v>
      </c>
      <c r="Y1740">
        <f>DataLog_T717420_Aug11_4_59_37pm[[#This Row],[INTAKE TEMP '[Â°C']]]-Table3[[#This Row],[580F]]</f>
        <v>0</v>
      </c>
      <c r="Z1740">
        <f>DataLog_T717420_Aug11_4_59_37pm[[#This Row],[HPFP PRES. '[BAR']]]-Table3[[#This Row],[58F0]]</f>
        <v>0</v>
      </c>
      <c r="AA1740">
        <f>DataLog_T717420_Aug11_4_59_37pm[[#This Row],[COOLANT TEMP '[Â°C']]]-Table3[[#This Row],[5805]]</f>
        <v>-1</v>
      </c>
      <c r="AB1740">
        <f>DataLog_T717420_Aug11_4_59_37pm[[#This Row],[BOOST '[BAR']]]-Table3[[#This Row],[58DD]]</f>
        <v>0</v>
      </c>
    </row>
    <row r="1741" spans="2:28" x14ac:dyDescent="0.25">
      <c r="B1741" s="2" t="s">
        <v>189</v>
      </c>
      <c r="C1741" s="2" t="s">
        <v>262</v>
      </c>
      <c r="D1741" s="2" t="s">
        <v>151</v>
      </c>
      <c r="E1741" s="2" t="s">
        <v>162</v>
      </c>
      <c r="F1741" s="2" t="s">
        <v>395</v>
      </c>
      <c r="G1741" s="2" t="s">
        <v>258</v>
      </c>
      <c r="I1741">
        <f>HEX2DEC(_0811_173439[[#This Row],[580C]])*B$4/B$5+B$6</f>
        <v>760</v>
      </c>
      <c r="J1741">
        <f>HEX2DEC(_0811_173439[[#This Row],[4402]])*C$4/C$5+C$6</f>
        <v>37</v>
      </c>
      <c r="K1741">
        <f>HEX2DEC(_0811_173439[[#This Row],[580F]])*D$4/D$5+D$6</f>
        <v>30</v>
      </c>
      <c r="L1741">
        <f>ROUND(HEX2DEC(_0811_173439[[#This Row],[58F0]])*E$4/E$5+E$6,0)</f>
        <v>71</v>
      </c>
      <c r="M1741">
        <f>ROUND(HEX2DEC(_0811_173439[[#This Row],[5805]])*F$4/F$5+F$6,0)</f>
        <v>47</v>
      </c>
      <c r="N1741">
        <f>ROUND(HEX2DEC(_0811_173439[[#This Row],[58DD]])*G$4/G$5+G$6,2)</f>
        <v>-0.03</v>
      </c>
      <c r="P1741">
        <v>760</v>
      </c>
      <c r="Q1741">
        <v>37</v>
      </c>
      <c r="R1741">
        <v>30</v>
      </c>
      <c r="S1741">
        <v>71</v>
      </c>
      <c r="T1741">
        <v>46</v>
      </c>
      <c r="U1741">
        <v>-0.03</v>
      </c>
      <c r="W1741">
        <f>DataLog_T717420_Aug11_4_59_37pm[[#This Row],[RPM '[1/MIN']]]-Table3[[#This Row],[580C]]</f>
        <v>0</v>
      </c>
      <c r="X1741">
        <f>DataLog_T717420_Aug11_4_59_37pm[[#This Row],[OIL TEMP '[Â°C']]]-Table3[[#This Row],[4402]]</f>
        <v>0</v>
      </c>
      <c r="Y1741">
        <f>DataLog_T717420_Aug11_4_59_37pm[[#This Row],[INTAKE TEMP '[Â°C']]]-Table3[[#This Row],[580F]]</f>
        <v>0</v>
      </c>
      <c r="Z1741">
        <f>DataLog_T717420_Aug11_4_59_37pm[[#This Row],[HPFP PRES. '[BAR']]]-Table3[[#This Row],[58F0]]</f>
        <v>0</v>
      </c>
      <c r="AA1741">
        <f>DataLog_T717420_Aug11_4_59_37pm[[#This Row],[COOLANT TEMP '[Â°C']]]-Table3[[#This Row],[5805]]</f>
        <v>-1</v>
      </c>
      <c r="AB1741">
        <f>DataLog_T717420_Aug11_4_59_37pm[[#This Row],[BOOST '[BAR']]]-Table3[[#This Row],[58DD]]</f>
        <v>0</v>
      </c>
    </row>
    <row r="1742" spans="2:28" x14ac:dyDescent="0.25">
      <c r="B1742" s="2" t="s">
        <v>189</v>
      </c>
      <c r="C1742" s="2" t="s">
        <v>262</v>
      </c>
      <c r="D1742" s="2" t="s">
        <v>151</v>
      </c>
      <c r="E1742" s="2" t="s">
        <v>124</v>
      </c>
      <c r="F1742" s="2" t="s">
        <v>395</v>
      </c>
      <c r="G1742" s="2" t="s">
        <v>396</v>
      </c>
      <c r="I1742">
        <f>HEX2DEC(_0811_173439[[#This Row],[580C]])*B$4/B$5+B$6</f>
        <v>760</v>
      </c>
      <c r="J1742">
        <f>HEX2DEC(_0811_173439[[#This Row],[4402]])*C$4/C$5+C$6</f>
        <v>37</v>
      </c>
      <c r="K1742">
        <f>HEX2DEC(_0811_173439[[#This Row],[580F]])*D$4/D$5+D$6</f>
        <v>30</v>
      </c>
      <c r="L1742">
        <f>ROUND(HEX2DEC(_0811_173439[[#This Row],[58F0]])*E$4/E$5+E$6,0)</f>
        <v>71</v>
      </c>
      <c r="M1742">
        <f>ROUND(HEX2DEC(_0811_173439[[#This Row],[5805]])*F$4/F$5+F$6,0)</f>
        <v>47</v>
      </c>
      <c r="N1742">
        <f>ROUND(HEX2DEC(_0811_173439[[#This Row],[58DD]])*G$4/G$5+G$6,2)</f>
        <v>-0.03</v>
      </c>
      <c r="P1742">
        <v>760</v>
      </c>
      <c r="Q1742">
        <v>37</v>
      </c>
      <c r="R1742">
        <v>30</v>
      </c>
      <c r="S1742">
        <v>71</v>
      </c>
      <c r="T1742">
        <v>46</v>
      </c>
      <c r="U1742">
        <v>-0.03</v>
      </c>
      <c r="W1742">
        <f>DataLog_T717420_Aug11_4_59_37pm[[#This Row],[RPM '[1/MIN']]]-Table3[[#This Row],[580C]]</f>
        <v>0</v>
      </c>
      <c r="X1742">
        <f>DataLog_T717420_Aug11_4_59_37pm[[#This Row],[OIL TEMP '[Â°C']]]-Table3[[#This Row],[4402]]</f>
        <v>0</v>
      </c>
      <c r="Y1742">
        <f>DataLog_T717420_Aug11_4_59_37pm[[#This Row],[INTAKE TEMP '[Â°C']]]-Table3[[#This Row],[580F]]</f>
        <v>0</v>
      </c>
      <c r="Z1742">
        <f>DataLog_T717420_Aug11_4_59_37pm[[#This Row],[HPFP PRES. '[BAR']]]-Table3[[#This Row],[58F0]]</f>
        <v>0</v>
      </c>
      <c r="AA1742">
        <f>DataLog_T717420_Aug11_4_59_37pm[[#This Row],[COOLANT TEMP '[Â°C']]]-Table3[[#This Row],[5805]]</f>
        <v>-1</v>
      </c>
      <c r="AB1742">
        <f>DataLog_T717420_Aug11_4_59_37pm[[#This Row],[BOOST '[BAR']]]-Table3[[#This Row],[58DD]]</f>
        <v>0</v>
      </c>
    </row>
    <row r="1743" spans="2:28" x14ac:dyDescent="0.25">
      <c r="B1743" s="2" t="s">
        <v>189</v>
      </c>
      <c r="C1743" s="2" t="s">
        <v>262</v>
      </c>
      <c r="D1743" s="2" t="s">
        <v>151</v>
      </c>
      <c r="E1743" s="2" t="s">
        <v>118</v>
      </c>
      <c r="F1743" s="2" t="s">
        <v>395</v>
      </c>
      <c r="G1743" s="2" t="s">
        <v>190</v>
      </c>
      <c r="I1743">
        <f>HEX2DEC(_0811_173439[[#This Row],[580C]])*B$4/B$5+B$6</f>
        <v>760</v>
      </c>
      <c r="J1743">
        <f>HEX2DEC(_0811_173439[[#This Row],[4402]])*C$4/C$5+C$6</f>
        <v>37</v>
      </c>
      <c r="K1743">
        <f>HEX2DEC(_0811_173439[[#This Row],[580F]])*D$4/D$5+D$6</f>
        <v>30</v>
      </c>
      <c r="L1743">
        <f>ROUND(HEX2DEC(_0811_173439[[#This Row],[58F0]])*E$4/E$5+E$6,0)</f>
        <v>70</v>
      </c>
      <c r="M1743">
        <f>ROUND(HEX2DEC(_0811_173439[[#This Row],[5805]])*F$4/F$5+F$6,0)</f>
        <v>47</v>
      </c>
      <c r="N1743">
        <f>ROUND(HEX2DEC(_0811_173439[[#This Row],[58DD]])*G$4/G$5+G$6,2)</f>
        <v>-0.03</v>
      </c>
      <c r="P1743">
        <v>760</v>
      </c>
      <c r="Q1743">
        <v>37</v>
      </c>
      <c r="R1743">
        <v>30</v>
      </c>
      <c r="S1743">
        <v>70</v>
      </c>
      <c r="T1743">
        <v>46</v>
      </c>
      <c r="U1743">
        <v>-0.03</v>
      </c>
      <c r="W1743">
        <f>DataLog_T717420_Aug11_4_59_37pm[[#This Row],[RPM '[1/MIN']]]-Table3[[#This Row],[580C]]</f>
        <v>0</v>
      </c>
      <c r="X1743">
        <f>DataLog_T717420_Aug11_4_59_37pm[[#This Row],[OIL TEMP '[Â°C']]]-Table3[[#This Row],[4402]]</f>
        <v>0</v>
      </c>
      <c r="Y1743">
        <f>DataLog_T717420_Aug11_4_59_37pm[[#This Row],[INTAKE TEMP '[Â°C']]]-Table3[[#This Row],[580F]]</f>
        <v>0</v>
      </c>
      <c r="Z1743">
        <f>DataLog_T717420_Aug11_4_59_37pm[[#This Row],[HPFP PRES. '[BAR']]]-Table3[[#This Row],[58F0]]</f>
        <v>0</v>
      </c>
      <c r="AA1743">
        <f>DataLog_T717420_Aug11_4_59_37pm[[#This Row],[COOLANT TEMP '[Â°C']]]-Table3[[#This Row],[5805]]</f>
        <v>-1</v>
      </c>
      <c r="AB1743">
        <f>DataLog_T717420_Aug11_4_59_37pm[[#This Row],[BOOST '[BAR']]]-Table3[[#This Row],[58DD]]</f>
        <v>0</v>
      </c>
    </row>
    <row r="1744" spans="2:28" x14ac:dyDescent="0.25">
      <c r="B1744" s="2" t="s">
        <v>189</v>
      </c>
      <c r="C1744" s="2" t="s">
        <v>262</v>
      </c>
      <c r="D1744" s="2" t="s">
        <v>151</v>
      </c>
      <c r="E1744" s="2" t="s">
        <v>122</v>
      </c>
      <c r="F1744" s="2" t="s">
        <v>395</v>
      </c>
      <c r="G1744" s="2" t="s">
        <v>236</v>
      </c>
      <c r="I1744">
        <f>HEX2DEC(_0811_173439[[#This Row],[580C]])*B$4/B$5+B$6</f>
        <v>760</v>
      </c>
      <c r="J1744">
        <f>HEX2DEC(_0811_173439[[#This Row],[4402]])*C$4/C$5+C$6</f>
        <v>37</v>
      </c>
      <c r="K1744">
        <f>HEX2DEC(_0811_173439[[#This Row],[580F]])*D$4/D$5+D$6</f>
        <v>30</v>
      </c>
      <c r="L1744">
        <f>ROUND(HEX2DEC(_0811_173439[[#This Row],[58F0]])*E$4/E$5+E$6,0)</f>
        <v>71</v>
      </c>
      <c r="M1744">
        <f>ROUND(HEX2DEC(_0811_173439[[#This Row],[5805]])*F$4/F$5+F$6,0)</f>
        <v>47</v>
      </c>
      <c r="N1744">
        <f>ROUND(HEX2DEC(_0811_173439[[#This Row],[58DD]])*G$4/G$5+G$6,2)</f>
        <v>-0.03</v>
      </c>
      <c r="P1744">
        <v>760</v>
      </c>
      <c r="Q1744">
        <v>37</v>
      </c>
      <c r="R1744">
        <v>30</v>
      </c>
      <c r="S1744">
        <v>71</v>
      </c>
      <c r="T1744">
        <v>46</v>
      </c>
      <c r="U1744">
        <v>-0.03</v>
      </c>
      <c r="W1744">
        <f>DataLog_T717420_Aug11_4_59_37pm[[#This Row],[RPM '[1/MIN']]]-Table3[[#This Row],[580C]]</f>
        <v>0</v>
      </c>
      <c r="X1744">
        <f>DataLog_T717420_Aug11_4_59_37pm[[#This Row],[OIL TEMP '[Â°C']]]-Table3[[#This Row],[4402]]</f>
        <v>0</v>
      </c>
      <c r="Y1744">
        <f>DataLog_T717420_Aug11_4_59_37pm[[#This Row],[INTAKE TEMP '[Â°C']]]-Table3[[#This Row],[580F]]</f>
        <v>0</v>
      </c>
      <c r="Z1744">
        <f>DataLog_T717420_Aug11_4_59_37pm[[#This Row],[HPFP PRES. '[BAR']]]-Table3[[#This Row],[58F0]]</f>
        <v>0</v>
      </c>
      <c r="AA1744">
        <f>DataLog_T717420_Aug11_4_59_37pm[[#This Row],[COOLANT TEMP '[Â°C']]]-Table3[[#This Row],[5805]]</f>
        <v>-1</v>
      </c>
      <c r="AB1744">
        <f>DataLog_T717420_Aug11_4_59_37pm[[#This Row],[BOOST '[BAR']]]-Table3[[#This Row],[58DD]]</f>
        <v>0</v>
      </c>
    </row>
    <row r="1745" spans="2:28" x14ac:dyDescent="0.25">
      <c r="B1745" s="2" t="s">
        <v>189</v>
      </c>
      <c r="C1745" s="2" t="s">
        <v>262</v>
      </c>
      <c r="D1745" s="2" t="s">
        <v>151</v>
      </c>
      <c r="E1745" s="2" t="s">
        <v>166</v>
      </c>
      <c r="F1745" s="2" t="s">
        <v>395</v>
      </c>
      <c r="G1745" s="2" t="s">
        <v>53</v>
      </c>
      <c r="I1745">
        <f>HEX2DEC(_0811_173439[[#This Row],[580C]])*B$4/B$5+B$6</f>
        <v>760</v>
      </c>
      <c r="J1745">
        <f>HEX2DEC(_0811_173439[[#This Row],[4402]])*C$4/C$5+C$6</f>
        <v>37</v>
      </c>
      <c r="K1745">
        <f>HEX2DEC(_0811_173439[[#This Row],[580F]])*D$4/D$5+D$6</f>
        <v>30</v>
      </c>
      <c r="L1745">
        <f>ROUND(HEX2DEC(_0811_173439[[#This Row],[58F0]])*E$4/E$5+E$6,0)</f>
        <v>71</v>
      </c>
      <c r="M1745">
        <f>ROUND(HEX2DEC(_0811_173439[[#This Row],[5805]])*F$4/F$5+F$6,0)</f>
        <v>47</v>
      </c>
      <c r="N1745">
        <f>ROUND(HEX2DEC(_0811_173439[[#This Row],[58DD]])*G$4/G$5+G$6,2)</f>
        <v>-0.03</v>
      </c>
      <c r="P1745">
        <v>760</v>
      </c>
      <c r="Q1745">
        <v>37</v>
      </c>
      <c r="R1745">
        <v>30</v>
      </c>
      <c r="S1745">
        <v>71</v>
      </c>
      <c r="T1745">
        <v>46</v>
      </c>
      <c r="U1745">
        <v>-0.03</v>
      </c>
      <c r="W1745">
        <f>DataLog_T717420_Aug11_4_59_37pm[[#This Row],[RPM '[1/MIN']]]-Table3[[#This Row],[580C]]</f>
        <v>0</v>
      </c>
      <c r="X1745">
        <f>DataLog_T717420_Aug11_4_59_37pm[[#This Row],[OIL TEMP '[Â°C']]]-Table3[[#This Row],[4402]]</f>
        <v>0</v>
      </c>
      <c r="Y1745">
        <f>DataLog_T717420_Aug11_4_59_37pm[[#This Row],[INTAKE TEMP '[Â°C']]]-Table3[[#This Row],[580F]]</f>
        <v>0</v>
      </c>
      <c r="Z1745">
        <f>DataLog_T717420_Aug11_4_59_37pm[[#This Row],[HPFP PRES. '[BAR']]]-Table3[[#This Row],[58F0]]</f>
        <v>0</v>
      </c>
      <c r="AA1745">
        <f>DataLog_T717420_Aug11_4_59_37pm[[#This Row],[COOLANT TEMP '[Â°C']]]-Table3[[#This Row],[5805]]</f>
        <v>-1</v>
      </c>
      <c r="AB1745">
        <f>DataLog_T717420_Aug11_4_59_37pm[[#This Row],[BOOST '[BAR']]]-Table3[[#This Row],[58DD]]</f>
        <v>0</v>
      </c>
    </row>
    <row r="1746" spans="2:28" x14ac:dyDescent="0.25">
      <c r="B1746" s="2" t="s">
        <v>189</v>
      </c>
      <c r="C1746" s="2" t="s">
        <v>262</v>
      </c>
      <c r="D1746" s="2" t="s">
        <v>151</v>
      </c>
      <c r="E1746" s="2" t="s">
        <v>205</v>
      </c>
      <c r="F1746" s="2" t="s">
        <v>395</v>
      </c>
      <c r="G1746" s="2" t="s">
        <v>190</v>
      </c>
      <c r="I1746">
        <f>HEX2DEC(_0811_173439[[#This Row],[580C]])*B$4/B$5+B$6</f>
        <v>760</v>
      </c>
      <c r="J1746">
        <f>HEX2DEC(_0811_173439[[#This Row],[4402]])*C$4/C$5+C$6</f>
        <v>37</v>
      </c>
      <c r="K1746">
        <f>HEX2DEC(_0811_173439[[#This Row],[580F]])*D$4/D$5+D$6</f>
        <v>30</v>
      </c>
      <c r="L1746">
        <f>ROUND(HEX2DEC(_0811_173439[[#This Row],[58F0]])*E$4/E$5+E$6,0)</f>
        <v>71</v>
      </c>
      <c r="M1746">
        <f>ROUND(HEX2DEC(_0811_173439[[#This Row],[5805]])*F$4/F$5+F$6,0)</f>
        <v>47</v>
      </c>
      <c r="N1746">
        <f>ROUND(HEX2DEC(_0811_173439[[#This Row],[58DD]])*G$4/G$5+G$6,2)</f>
        <v>-0.03</v>
      </c>
      <c r="P1746">
        <v>760</v>
      </c>
      <c r="Q1746">
        <v>37</v>
      </c>
      <c r="R1746">
        <v>30</v>
      </c>
      <c r="S1746">
        <v>71</v>
      </c>
      <c r="T1746">
        <v>46</v>
      </c>
      <c r="U1746">
        <v>-0.03</v>
      </c>
      <c r="W1746">
        <f>DataLog_T717420_Aug11_4_59_37pm[[#This Row],[RPM '[1/MIN']]]-Table3[[#This Row],[580C]]</f>
        <v>0</v>
      </c>
      <c r="X1746">
        <f>DataLog_T717420_Aug11_4_59_37pm[[#This Row],[OIL TEMP '[Â°C']]]-Table3[[#This Row],[4402]]</f>
        <v>0</v>
      </c>
      <c r="Y1746">
        <f>DataLog_T717420_Aug11_4_59_37pm[[#This Row],[INTAKE TEMP '[Â°C']]]-Table3[[#This Row],[580F]]</f>
        <v>0</v>
      </c>
      <c r="Z1746">
        <f>DataLog_T717420_Aug11_4_59_37pm[[#This Row],[HPFP PRES. '[BAR']]]-Table3[[#This Row],[58F0]]</f>
        <v>0</v>
      </c>
      <c r="AA1746">
        <f>DataLog_T717420_Aug11_4_59_37pm[[#This Row],[COOLANT TEMP '[Â°C']]]-Table3[[#This Row],[5805]]</f>
        <v>-1</v>
      </c>
      <c r="AB1746">
        <f>DataLog_T717420_Aug11_4_59_37pm[[#This Row],[BOOST '[BAR']]]-Table3[[#This Row],[58DD]]</f>
        <v>0</v>
      </c>
    </row>
    <row r="1747" spans="2:28" x14ac:dyDescent="0.25">
      <c r="B1747" s="2" t="s">
        <v>189</v>
      </c>
      <c r="C1747" s="2" t="s">
        <v>262</v>
      </c>
      <c r="D1747" s="2" t="s">
        <v>151</v>
      </c>
      <c r="E1747" s="2" t="s">
        <v>93</v>
      </c>
      <c r="F1747" s="2" t="s">
        <v>395</v>
      </c>
      <c r="G1747" s="2" t="s">
        <v>71</v>
      </c>
      <c r="I1747">
        <f>HEX2DEC(_0811_173439[[#This Row],[580C]])*B$4/B$5+B$6</f>
        <v>760</v>
      </c>
      <c r="J1747">
        <f>HEX2DEC(_0811_173439[[#This Row],[4402]])*C$4/C$5+C$6</f>
        <v>37</v>
      </c>
      <c r="K1747">
        <f>HEX2DEC(_0811_173439[[#This Row],[580F]])*D$4/D$5+D$6</f>
        <v>30</v>
      </c>
      <c r="L1747">
        <f>ROUND(HEX2DEC(_0811_173439[[#This Row],[58F0]])*E$4/E$5+E$6,0)</f>
        <v>70</v>
      </c>
      <c r="M1747">
        <f>ROUND(HEX2DEC(_0811_173439[[#This Row],[5805]])*F$4/F$5+F$6,0)</f>
        <v>47</v>
      </c>
      <c r="N1747">
        <f>ROUND(HEX2DEC(_0811_173439[[#This Row],[58DD]])*G$4/G$5+G$6,2)</f>
        <v>-0.03</v>
      </c>
      <c r="P1747">
        <v>760</v>
      </c>
      <c r="Q1747">
        <v>37</v>
      </c>
      <c r="R1747">
        <v>30</v>
      </c>
      <c r="S1747">
        <v>70</v>
      </c>
      <c r="T1747">
        <v>46</v>
      </c>
      <c r="U1747">
        <v>-0.03</v>
      </c>
      <c r="W1747">
        <f>DataLog_T717420_Aug11_4_59_37pm[[#This Row],[RPM '[1/MIN']]]-Table3[[#This Row],[580C]]</f>
        <v>0</v>
      </c>
      <c r="X1747">
        <f>DataLog_T717420_Aug11_4_59_37pm[[#This Row],[OIL TEMP '[Â°C']]]-Table3[[#This Row],[4402]]</f>
        <v>0</v>
      </c>
      <c r="Y1747">
        <f>DataLog_T717420_Aug11_4_59_37pm[[#This Row],[INTAKE TEMP '[Â°C']]]-Table3[[#This Row],[580F]]</f>
        <v>0</v>
      </c>
      <c r="Z1747">
        <f>DataLog_T717420_Aug11_4_59_37pm[[#This Row],[HPFP PRES. '[BAR']]]-Table3[[#This Row],[58F0]]</f>
        <v>0</v>
      </c>
      <c r="AA1747">
        <f>DataLog_T717420_Aug11_4_59_37pm[[#This Row],[COOLANT TEMP '[Â°C']]]-Table3[[#This Row],[5805]]</f>
        <v>-1</v>
      </c>
      <c r="AB1747">
        <f>DataLog_T717420_Aug11_4_59_37pm[[#This Row],[BOOST '[BAR']]]-Table3[[#This Row],[58DD]]</f>
        <v>0</v>
      </c>
    </row>
    <row r="1748" spans="2:28" x14ac:dyDescent="0.25">
      <c r="B1748" s="2" t="s">
        <v>189</v>
      </c>
      <c r="C1748" s="2" t="s">
        <v>262</v>
      </c>
      <c r="D1748" s="2" t="s">
        <v>151</v>
      </c>
      <c r="E1748" s="2" t="s">
        <v>122</v>
      </c>
      <c r="F1748" s="2" t="s">
        <v>395</v>
      </c>
      <c r="G1748" s="2" t="s">
        <v>71</v>
      </c>
      <c r="I1748">
        <f>HEX2DEC(_0811_173439[[#This Row],[580C]])*B$4/B$5+B$6</f>
        <v>760</v>
      </c>
      <c r="J1748">
        <f>HEX2DEC(_0811_173439[[#This Row],[4402]])*C$4/C$5+C$6</f>
        <v>37</v>
      </c>
      <c r="K1748">
        <f>HEX2DEC(_0811_173439[[#This Row],[580F]])*D$4/D$5+D$6</f>
        <v>30</v>
      </c>
      <c r="L1748">
        <f>ROUND(HEX2DEC(_0811_173439[[#This Row],[58F0]])*E$4/E$5+E$6,0)</f>
        <v>71</v>
      </c>
      <c r="M1748">
        <f>ROUND(HEX2DEC(_0811_173439[[#This Row],[5805]])*F$4/F$5+F$6,0)</f>
        <v>47</v>
      </c>
      <c r="N1748">
        <f>ROUND(HEX2DEC(_0811_173439[[#This Row],[58DD]])*G$4/G$5+G$6,2)</f>
        <v>-0.03</v>
      </c>
      <c r="P1748">
        <v>760</v>
      </c>
      <c r="Q1748">
        <v>37</v>
      </c>
      <c r="R1748">
        <v>30</v>
      </c>
      <c r="S1748">
        <v>71</v>
      </c>
      <c r="T1748">
        <v>46</v>
      </c>
      <c r="U1748">
        <v>-0.03</v>
      </c>
      <c r="W1748">
        <f>DataLog_T717420_Aug11_4_59_37pm[[#This Row],[RPM '[1/MIN']]]-Table3[[#This Row],[580C]]</f>
        <v>0</v>
      </c>
      <c r="X1748">
        <f>DataLog_T717420_Aug11_4_59_37pm[[#This Row],[OIL TEMP '[Â°C']]]-Table3[[#This Row],[4402]]</f>
        <v>0</v>
      </c>
      <c r="Y1748">
        <f>DataLog_T717420_Aug11_4_59_37pm[[#This Row],[INTAKE TEMP '[Â°C']]]-Table3[[#This Row],[580F]]</f>
        <v>0</v>
      </c>
      <c r="Z1748">
        <f>DataLog_T717420_Aug11_4_59_37pm[[#This Row],[HPFP PRES. '[BAR']]]-Table3[[#This Row],[58F0]]</f>
        <v>0</v>
      </c>
      <c r="AA1748">
        <f>DataLog_T717420_Aug11_4_59_37pm[[#This Row],[COOLANT TEMP '[Â°C']]]-Table3[[#This Row],[5805]]</f>
        <v>-1</v>
      </c>
      <c r="AB1748">
        <f>DataLog_T717420_Aug11_4_59_37pm[[#This Row],[BOOST '[BAR']]]-Table3[[#This Row],[58DD]]</f>
        <v>0</v>
      </c>
    </row>
    <row r="1749" spans="2:28" x14ac:dyDescent="0.25">
      <c r="B1749" s="2" t="s">
        <v>189</v>
      </c>
      <c r="C1749" s="2" t="s">
        <v>262</v>
      </c>
      <c r="D1749" s="2" t="s">
        <v>151</v>
      </c>
      <c r="E1749" s="2" t="s">
        <v>166</v>
      </c>
      <c r="F1749" s="2" t="s">
        <v>395</v>
      </c>
      <c r="G1749" s="2" t="s">
        <v>96</v>
      </c>
      <c r="I1749">
        <f>HEX2DEC(_0811_173439[[#This Row],[580C]])*B$4/B$5+B$6</f>
        <v>760</v>
      </c>
      <c r="J1749">
        <f>HEX2DEC(_0811_173439[[#This Row],[4402]])*C$4/C$5+C$6</f>
        <v>37</v>
      </c>
      <c r="K1749">
        <f>HEX2DEC(_0811_173439[[#This Row],[580F]])*D$4/D$5+D$6</f>
        <v>30</v>
      </c>
      <c r="L1749">
        <f>ROUND(HEX2DEC(_0811_173439[[#This Row],[58F0]])*E$4/E$5+E$6,0)</f>
        <v>71</v>
      </c>
      <c r="M1749">
        <f>ROUND(HEX2DEC(_0811_173439[[#This Row],[5805]])*F$4/F$5+F$6,0)</f>
        <v>47</v>
      </c>
      <c r="N1749">
        <f>ROUND(HEX2DEC(_0811_173439[[#This Row],[58DD]])*G$4/G$5+G$6,2)</f>
        <v>-0.03</v>
      </c>
      <c r="P1749">
        <v>760</v>
      </c>
      <c r="Q1749">
        <v>37</v>
      </c>
      <c r="R1749">
        <v>30</v>
      </c>
      <c r="S1749">
        <v>71</v>
      </c>
      <c r="T1749">
        <v>46</v>
      </c>
      <c r="U1749">
        <v>-0.03</v>
      </c>
      <c r="W1749">
        <f>DataLog_T717420_Aug11_4_59_37pm[[#This Row],[RPM '[1/MIN']]]-Table3[[#This Row],[580C]]</f>
        <v>0</v>
      </c>
      <c r="X1749">
        <f>DataLog_T717420_Aug11_4_59_37pm[[#This Row],[OIL TEMP '[Â°C']]]-Table3[[#This Row],[4402]]</f>
        <v>0</v>
      </c>
      <c r="Y1749">
        <f>DataLog_T717420_Aug11_4_59_37pm[[#This Row],[INTAKE TEMP '[Â°C']]]-Table3[[#This Row],[580F]]</f>
        <v>0</v>
      </c>
      <c r="Z1749">
        <f>DataLog_T717420_Aug11_4_59_37pm[[#This Row],[HPFP PRES. '[BAR']]]-Table3[[#This Row],[58F0]]</f>
        <v>0</v>
      </c>
      <c r="AA1749">
        <f>DataLog_T717420_Aug11_4_59_37pm[[#This Row],[COOLANT TEMP '[Â°C']]]-Table3[[#This Row],[5805]]</f>
        <v>-1</v>
      </c>
      <c r="AB1749">
        <f>DataLog_T717420_Aug11_4_59_37pm[[#This Row],[BOOST '[BAR']]]-Table3[[#This Row],[58DD]]</f>
        <v>0</v>
      </c>
    </row>
    <row r="1750" spans="2:28" x14ac:dyDescent="0.25">
      <c r="B1750" s="2" t="s">
        <v>189</v>
      </c>
      <c r="C1750" s="2" t="s">
        <v>262</v>
      </c>
      <c r="D1750" s="2" t="s">
        <v>151</v>
      </c>
      <c r="E1750" s="2" t="s">
        <v>93</v>
      </c>
      <c r="F1750" s="2" t="s">
        <v>395</v>
      </c>
      <c r="G1750" s="2" t="s">
        <v>245</v>
      </c>
      <c r="I1750">
        <f>HEX2DEC(_0811_173439[[#This Row],[580C]])*B$4/B$5+B$6</f>
        <v>760</v>
      </c>
      <c r="J1750">
        <f>HEX2DEC(_0811_173439[[#This Row],[4402]])*C$4/C$5+C$6</f>
        <v>37</v>
      </c>
      <c r="K1750">
        <f>HEX2DEC(_0811_173439[[#This Row],[580F]])*D$4/D$5+D$6</f>
        <v>30</v>
      </c>
      <c r="L1750">
        <f>ROUND(HEX2DEC(_0811_173439[[#This Row],[58F0]])*E$4/E$5+E$6,0)</f>
        <v>70</v>
      </c>
      <c r="M1750">
        <f>ROUND(HEX2DEC(_0811_173439[[#This Row],[5805]])*F$4/F$5+F$6,0)</f>
        <v>47</v>
      </c>
      <c r="N1750">
        <f>ROUND(HEX2DEC(_0811_173439[[#This Row],[58DD]])*G$4/G$5+G$6,2)</f>
        <v>-0.03</v>
      </c>
      <c r="P1750">
        <v>760</v>
      </c>
      <c r="Q1750">
        <v>37</v>
      </c>
      <c r="R1750">
        <v>30</v>
      </c>
      <c r="S1750">
        <v>70</v>
      </c>
      <c r="T1750">
        <v>46</v>
      </c>
      <c r="U1750">
        <v>-0.03</v>
      </c>
      <c r="W1750">
        <f>DataLog_T717420_Aug11_4_59_37pm[[#This Row],[RPM '[1/MIN']]]-Table3[[#This Row],[580C]]</f>
        <v>0</v>
      </c>
      <c r="X1750">
        <f>DataLog_T717420_Aug11_4_59_37pm[[#This Row],[OIL TEMP '[Â°C']]]-Table3[[#This Row],[4402]]</f>
        <v>0</v>
      </c>
      <c r="Y1750">
        <f>DataLog_T717420_Aug11_4_59_37pm[[#This Row],[INTAKE TEMP '[Â°C']]]-Table3[[#This Row],[580F]]</f>
        <v>0</v>
      </c>
      <c r="Z1750">
        <f>DataLog_T717420_Aug11_4_59_37pm[[#This Row],[HPFP PRES. '[BAR']]]-Table3[[#This Row],[58F0]]</f>
        <v>0</v>
      </c>
      <c r="AA1750">
        <f>DataLog_T717420_Aug11_4_59_37pm[[#This Row],[COOLANT TEMP '[Â°C']]]-Table3[[#This Row],[5805]]</f>
        <v>-1</v>
      </c>
      <c r="AB1750">
        <f>DataLog_T717420_Aug11_4_59_37pm[[#This Row],[BOOST '[BAR']]]-Table3[[#This Row],[58DD]]</f>
        <v>0</v>
      </c>
    </row>
    <row r="1751" spans="2:28" x14ac:dyDescent="0.25">
      <c r="B1751" s="2" t="s">
        <v>189</v>
      </c>
      <c r="C1751" s="2" t="s">
        <v>262</v>
      </c>
      <c r="D1751" s="2" t="s">
        <v>151</v>
      </c>
      <c r="E1751" s="2" t="s">
        <v>122</v>
      </c>
      <c r="F1751" s="2" t="s">
        <v>395</v>
      </c>
      <c r="G1751" s="2" t="s">
        <v>71</v>
      </c>
      <c r="I1751">
        <f>HEX2DEC(_0811_173439[[#This Row],[580C]])*B$4/B$5+B$6</f>
        <v>760</v>
      </c>
      <c r="J1751">
        <f>HEX2DEC(_0811_173439[[#This Row],[4402]])*C$4/C$5+C$6</f>
        <v>37</v>
      </c>
      <c r="K1751">
        <f>HEX2DEC(_0811_173439[[#This Row],[580F]])*D$4/D$5+D$6</f>
        <v>30</v>
      </c>
      <c r="L1751">
        <f>ROUND(HEX2DEC(_0811_173439[[#This Row],[58F0]])*E$4/E$5+E$6,0)</f>
        <v>71</v>
      </c>
      <c r="M1751">
        <f>ROUND(HEX2DEC(_0811_173439[[#This Row],[5805]])*F$4/F$5+F$6,0)</f>
        <v>47</v>
      </c>
      <c r="N1751">
        <f>ROUND(HEX2DEC(_0811_173439[[#This Row],[58DD]])*G$4/G$5+G$6,2)</f>
        <v>-0.03</v>
      </c>
      <c r="P1751">
        <v>760</v>
      </c>
      <c r="Q1751">
        <v>37</v>
      </c>
      <c r="R1751">
        <v>30</v>
      </c>
      <c r="S1751">
        <v>71</v>
      </c>
      <c r="T1751">
        <v>46</v>
      </c>
      <c r="U1751">
        <v>-0.03</v>
      </c>
      <c r="W1751">
        <f>DataLog_T717420_Aug11_4_59_37pm[[#This Row],[RPM '[1/MIN']]]-Table3[[#This Row],[580C]]</f>
        <v>0</v>
      </c>
      <c r="X1751">
        <f>DataLog_T717420_Aug11_4_59_37pm[[#This Row],[OIL TEMP '[Â°C']]]-Table3[[#This Row],[4402]]</f>
        <v>0</v>
      </c>
      <c r="Y1751">
        <f>DataLog_T717420_Aug11_4_59_37pm[[#This Row],[INTAKE TEMP '[Â°C']]]-Table3[[#This Row],[580F]]</f>
        <v>0</v>
      </c>
      <c r="Z1751">
        <f>DataLog_T717420_Aug11_4_59_37pm[[#This Row],[HPFP PRES. '[BAR']]]-Table3[[#This Row],[58F0]]</f>
        <v>0</v>
      </c>
      <c r="AA1751">
        <f>DataLog_T717420_Aug11_4_59_37pm[[#This Row],[COOLANT TEMP '[Â°C']]]-Table3[[#This Row],[5805]]</f>
        <v>-1</v>
      </c>
      <c r="AB1751">
        <f>DataLog_T717420_Aug11_4_59_37pm[[#This Row],[BOOST '[BAR']]]-Table3[[#This Row],[58DD]]</f>
        <v>0</v>
      </c>
    </row>
    <row r="1752" spans="2:28" x14ac:dyDescent="0.25">
      <c r="B1752" s="2" t="s">
        <v>189</v>
      </c>
      <c r="C1752" s="2" t="s">
        <v>262</v>
      </c>
      <c r="D1752" s="2" t="s">
        <v>151</v>
      </c>
      <c r="E1752" s="2" t="s">
        <v>126</v>
      </c>
      <c r="F1752" s="2" t="s">
        <v>395</v>
      </c>
      <c r="G1752" s="2" t="s">
        <v>53</v>
      </c>
      <c r="I1752">
        <f>HEX2DEC(_0811_173439[[#This Row],[580C]])*B$4/B$5+B$6</f>
        <v>760</v>
      </c>
      <c r="J1752">
        <f>HEX2DEC(_0811_173439[[#This Row],[4402]])*C$4/C$5+C$6</f>
        <v>37</v>
      </c>
      <c r="K1752">
        <f>HEX2DEC(_0811_173439[[#This Row],[580F]])*D$4/D$5+D$6</f>
        <v>30</v>
      </c>
      <c r="L1752">
        <f>ROUND(HEX2DEC(_0811_173439[[#This Row],[58F0]])*E$4/E$5+E$6,0)</f>
        <v>71</v>
      </c>
      <c r="M1752">
        <f>ROUND(HEX2DEC(_0811_173439[[#This Row],[5805]])*F$4/F$5+F$6,0)</f>
        <v>47</v>
      </c>
      <c r="N1752">
        <f>ROUND(HEX2DEC(_0811_173439[[#This Row],[58DD]])*G$4/G$5+G$6,2)</f>
        <v>-0.03</v>
      </c>
      <c r="P1752">
        <v>760</v>
      </c>
      <c r="Q1752">
        <v>37</v>
      </c>
      <c r="R1752">
        <v>30</v>
      </c>
      <c r="S1752">
        <v>71</v>
      </c>
      <c r="T1752">
        <v>46</v>
      </c>
      <c r="U1752">
        <v>-0.03</v>
      </c>
      <c r="W1752">
        <f>DataLog_T717420_Aug11_4_59_37pm[[#This Row],[RPM '[1/MIN']]]-Table3[[#This Row],[580C]]</f>
        <v>0</v>
      </c>
      <c r="X1752">
        <f>DataLog_T717420_Aug11_4_59_37pm[[#This Row],[OIL TEMP '[Â°C']]]-Table3[[#This Row],[4402]]</f>
        <v>0</v>
      </c>
      <c r="Y1752">
        <f>DataLog_T717420_Aug11_4_59_37pm[[#This Row],[INTAKE TEMP '[Â°C']]]-Table3[[#This Row],[580F]]</f>
        <v>0</v>
      </c>
      <c r="Z1752">
        <f>DataLog_T717420_Aug11_4_59_37pm[[#This Row],[HPFP PRES. '[BAR']]]-Table3[[#This Row],[58F0]]</f>
        <v>0</v>
      </c>
      <c r="AA1752">
        <f>DataLog_T717420_Aug11_4_59_37pm[[#This Row],[COOLANT TEMP '[Â°C']]]-Table3[[#This Row],[5805]]</f>
        <v>-1</v>
      </c>
      <c r="AB1752">
        <f>DataLog_T717420_Aug11_4_59_37pm[[#This Row],[BOOST '[BAR']]]-Table3[[#This Row],[58DD]]</f>
        <v>0</v>
      </c>
    </row>
    <row r="1753" spans="2:28" x14ac:dyDescent="0.25">
      <c r="B1753" s="2" t="s">
        <v>189</v>
      </c>
      <c r="C1753" s="2" t="s">
        <v>262</v>
      </c>
      <c r="D1753" s="2" t="s">
        <v>151</v>
      </c>
      <c r="E1753" s="2" t="s">
        <v>157</v>
      </c>
      <c r="F1753" s="2" t="s">
        <v>395</v>
      </c>
      <c r="G1753" s="2" t="s">
        <v>236</v>
      </c>
      <c r="I1753">
        <f>HEX2DEC(_0811_173439[[#This Row],[580C]])*B$4/B$5+B$6</f>
        <v>760</v>
      </c>
      <c r="J1753">
        <f>HEX2DEC(_0811_173439[[#This Row],[4402]])*C$4/C$5+C$6</f>
        <v>37</v>
      </c>
      <c r="K1753">
        <f>HEX2DEC(_0811_173439[[#This Row],[580F]])*D$4/D$5+D$6</f>
        <v>30</v>
      </c>
      <c r="L1753">
        <f>ROUND(HEX2DEC(_0811_173439[[#This Row],[58F0]])*E$4/E$5+E$6,0)</f>
        <v>70</v>
      </c>
      <c r="M1753">
        <f>ROUND(HEX2DEC(_0811_173439[[#This Row],[5805]])*F$4/F$5+F$6,0)</f>
        <v>47</v>
      </c>
      <c r="N1753">
        <f>ROUND(HEX2DEC(_0811_173439[[#This Row],[58DD]])*G$4/G$5+G$6,2)</f>
        <v>-0.03</v>
      </c>
      <c r="P1753">
        <v>760</v>
      </c>
      <c r="Q1753">
        <v>37</v>
      </c>
      <c r="R1753">
        <v>30</v>
      </c>
      <c r="S1753">
        <v>70</v>
      </c>
      <c r="T1753">
        <v>46</v>
      </c>
      <c r="U1753">
        <v>-0.03</v>
      </c>
      <c r="W1753">
        <f>DataLog_T717420_Aug11_4_59_37pm[[#This Row],[RPM '[1/MIN']]]-Table3[[#This Row],[580C]]</f>
        <v>0</v>
      </c>
      <c r="X1753">
        <f>DataLog_T717420_Aug11_4_59_37pm[[#This Row],[OIL TEMP '[Â°C']]]-Table3[[#This Row],[4402]]</f>
        <v>0</v>
      </c>
      <c r="Y1753">
        <f>DataLog_T717420_Aug11_4_59_37pm[[#This Row],[INTAKE TEMP '[Â°C']]]-Table3[[#This Row],[580F]]</f>
        <v>0</v>
      </c>
      <c r="Z1753">
        <f>DataLog_T717420_Aug11_4_59_37pm[[#This Row],[HPFP PRES. '[BAR']]]-Table3[[#This Row],[58F0]]</f>
        <v>0</v>
      </c>
      <c r="AA1753">
        <f>DataLog_T717420_Aug11_4_59_37pm[[#This Row],[COOLANT TEMP '[Â°C']]]-Table3[[#This Row],[5805]]</f>
        <v>-1</v>
      </c>
      <c r="AB1753">
        <f>DataLog_T717420_Aug11_4_59_37pm[[#This Row],[BOOST '[BAR']]]-Table3[[#This Row],[58DD]]</f>
        <v>0</v>
      </c>
    </row>
    <row r="1754" spans="2:28" x14ac:dyDescent="0.25">
      <c r="B1754" s="2" t="s">
        <v>189</v>
      </c>
      <c r="C1754" s="2" t="s">
        <v>262</v>
      </c>
      <c r="D1754" s="2" t="s">
        <v>151</v>
      </c>
      <c r="E1754" s="2" t="s">
        <v>256</v>
      </c>
      <c r="F1754" s="2" t="s">
        <v>395</v>
      </c>
      <c r="G1754" s="2" t="s">
        <v>96</v>
      </c>
      <c r="I1754">
        <f>HEX2DEC(_0811_173439[[#This Row],[580C]])*B$4/B$5+B$6</f>
        <v>760</v>
      </c>
      <c r="J1754">
        <f>HEX2DEC(_0811_173439[[#This Row],[4402]])*C$4/C$5+C$6</f>
        <v>37</v>
      </c>
      <c r="K1754">
        <f>HEX2DEC(_0811_173439[[#This Row],[580F]])*D$4/D$5+D$6</f>
        <v>30</v>
      </c>
      <c r="L1754">
        <f>ROUND(HEX2DEC(_0811_173439[[#This Row],[58F0]])*E$4/E$5+E$6,0)</f>
        <v>71</v>
      </c>
      <c r="M1754">
        <f>ROUND(HEX2DEC(_0811_173439[[#This Row],[5805]])*F$4/F$5+F$6,0)</f>
        <v>47</v>
      </c>
      <c r="N1754">
        <f>ROUND(HEX2DEC(_0811_173439[[#This Row],[58DD]])*G$4/G$5+G$6,2)</f>
        <v>-0.03</v>
      </c>
      <c r="P1754">
        <v>760</v>
      </c>
      <c r="Q1754">
        <v>37</v>
      </c>
      <c r="R1754">
        <v>30</v>
      </c>
      <c r="S1754">
        <v>71</v>
      </c>
      <c r="T1754">
        <v>46</v>
      </c>
      <c r="U1754">
        <v>-0.03</v>
      </c>
      <c r="W1754">
        <f>DataLog_T717420_Aug11_4_59_37pm[[#This Row],[RPM '[1/MIN']]]-Table3[[#This Row],[580C]]</f>
        <v>0</v>
      </c>
      <c r="X1754">
        <f>DataLog_T717420_Aug11_4_59_37pm[[#This Row],[OIL TEMP '[Â°C']]]-Table3[[#This Row],[4402]]</f>
        <v>0</v>
      </c>
      <c r="Y1754">
        <f>DataLog_T717420_Aug11_4_59_37pm[[#This Row],[INTAKE TEMP '[Â°C']]]-Table3[[#This Row],[580F]]</f>
        <v>0</v>
      </c>
      <c r="Z1754">
        <f>DataLog_T717420_Aug11_4_59_37pm[[#This Row],[HPFP PRES. '[BAR']]]-Table3[[#This Row],[58F0]]</f>
        <v>0</v>
      </c>
      <c r="AA1754">
        <f>DataLog_T717420_Aug11_4_59_37pm[[#This Row],[COOLANT TEMP '[Â°C']]]-Table3[[#This Row],[5805]]</f>
        <v>-1</v>
      </c>
      <c r="AB1754">
        <f>DataLog_T717420_Aug11_4_59_37pm[[#This Row],[BOOST '[BAR']]]-Table3[[#This Row],[58DD]]</f>
        <v>0</v>
      </c>
    </row>
    <row r="1755" spans="2:28" x14ac:dyDescent="0.25">
      <c r="B1755" s="2" t="s">
        <v>189</v>
      </c>
      <c r="C1755" s="2" t="s">
        <v>262</v>
      </c>
      <c r="D1755" s="2" t="s">
        <v>151</v>
      </c>
      <c r="E1755" s="2" t="s">
        <v>242</v>
      </c>
      <c r="F1755" s="2" t="s">
        <v>395</v>
      </c>
      <c r="G1755" s="2" t="s">
        <v>190</v>
      </c>
      <c r="I1755">
        <f>HEX2DEC(_0811_173439[[#This Row],[580C]])*B$4/B$5+B$6</f>
        <v>760</v>
      </c>
      <c r="J1755">
        <f>HEX2DEC(_0811_173439[[#This Row],[4402]])*C$4/C$5+C$6</f>
        <v>37</v>
      </c>
      <c r="K1755">
        <f>HEX2DEC(_0811_173439[[#This Row],[580F]])*D$4/D$5+D$6</f>
        <v>30</v>
      </c>
      <c r="L1755">
        <f>ROUND(HEX2DEC(_0811_173439[[#This Row],[58F0]])*E$4/E$5+E$6,0)</f>
        <v>71</v>
      </c>
      <c r="M1755">
        <f>ROUND(HEX2DEC(_0811_173439[[#This Row],[5805]])*F$4/F$5+F$6,0)</f>
        <v>47</v>
      </c>
      <c r="N1755">
        <f>ROUND(HEX2DEC(_0811_173439[[#This Row],[58DD]])*G$4/G$5+G$6,2)</f>
        <v>-0.03</v>
      </c>
      <c r="P1755">
        <v>760</v>
      </c>
      <c r="Q1755">
        <v>37</v>
      </c>
      <c r="R1755">
        <v>30</v>
      </c>
      <c r="S1755">
        <v>71</v>
      </c>
      <c r="T1755">
        <v>46</v>
      </c>
      <c r="U1755">
        <v>-0.03</v>
      </c>
      <c r="W1755">
        <f>DataLog_T717420_Aug11_4_59_37pm[[#This Row],[RPM '[1/MIN']]]-Table3[[#This Row],[580C]]</f>
        <v>0</v>
      </c>
      <c r="X1755">
        <f>DataLog_T717420_Aug11_4_59_37pm[[#This Row],[OIL TEMP '[Â°C']]]-Table3[[#This Row],[4402]]</f>
        <v>0</v>
      </c>
      <c r="Y1755">
        <f>DataLog_T717420_Aug11_4_59_37pm[[#This Row],[INTAKE TEMP '[Â°C']]]-Table3[[#This Row],[580F]]</f>
        <v>0</v>
      </c>
      <c r="Z1755">
        <f>DataLog_T717420_Aug11_4_59_37pm[[#This Row],[HPFP PRES. '[BAR']]]-Table3[[#This Row],[58F0]]</f>
        <v>0</v>
      </c>
      <c r="AA1755">
        <f>DataLog_T717420_Aug11_4_59_37pm[[#This Row],[COOLANT TEMP '[Â°C']]]-Table3[[#This Row],[5805]]</f>
        <v>-1</v>
      </c>
      <c r="AB1755">
        <f>DataLog_T717420_Aug11_4_59_37pm[[#This Row],[BOOST '[BAR']]]-Table3[[#This Row],[58DD]]</f>
        <v>0</v>
      </c>
    </row>
    <row r="1756" spans="2:28" x14ac:dyDescent="0.25">
      <c r="B1756" s="2" t="s">
        <v>189</v>
      </c>
      <c r="C1756" s="2" t="s">
        <v>262</v>
      </c>
      <c r="D1756" s="2" t="s">
        <v>151</v>
      </c>
      <c r="E1756" s="2" t="s">
        <v>221</v>
      </c>
      <c r="F1756" s="2" t="s">
        <v>395</v>
      </c>
      <c r="G1756" s="2" t="s">
        <v>71</v>
      </c>
      <c r="I1756">
        <f>HEX2DEC(_0811_173439[[#This Row],[580C]])*B$4/B$5+B$6</f>
        <v>760</v>
      </c>
      <c r="J1756">
        <f>HEX2DEC(_0811_173439[[#This Row],[4402]])*C$4/C$5+C$6</f>
        <v>37</v>
      </c>
      <c r="K1756">
        <f>HEX2DEC(_0811_173439[[#This Row],[580F]])*D$4/D$5+D$6</f>
        <v>30</v>
      </c>
      <c r="L1756">
        <f>ROUND(HEX2DEC(_0811_173439[[#This Row],[58F0]])*E$4/E$5+E$6,0)</f>
        <v>70</v>
      </c>
      <c r="M1756">
        <f>ROUND(HEX2DEC(_0811_173439[[#This Row],[5805]])*F$4/F$5+F$6,0)</f>
        <v>47</v>
      </c>
      <c r="N1756">
        <f>ROUND(HEX2DEC(_0811_173439[[#This Row],[58DD]])*G$4/G$5+G$6,2)</f>
        <v>-0.03</v>
      </c>
      <c r="P1756">
        <v>760</v>
      </c>
      <c r="Q1756">
        <v>37</v>
      </c>
      <c r="R1756">
        <v>30</v>
      </c>
      <c r="S1756">
        <v>70</v>
      </c>
      <c r="T1756">
        <v>46</v>
      </c>
      <c r="U1756">
        <v>-0.03</v>
      </c>
      <c r="W1756">
        <f>DataLog_T717420_Aug11_4_59_37pm[[#This Row],[RPM '[1/MIN']]]-Table3[[#This Row],[580C]]</f>
        <v>0</v>
      </c>
      <c r="X1756">
        <f>DataLog_T717420_Aug11_4_59_37pm[[#This Row],[OIL TEMP '[Â°C']]]-Table3[[#This Row],[4402]]</f>
        <v>0</v>
      </c>
      <c r="Y1756">
        <f>DataLog_T717420_Aug11_4_59_37pm[[#This Row],[INTAKE TEMP '[Â°C']]]-Table3[[#This Row],[580F]]</f>
        <v>0</v>
      </c>
      <c r="Z1756">
        <f>DataLog_T717420_Aug11_4_59_37pm[[#This Row],[HPFP PRES. '[BAR']]]-Table3[[#This Row],[58F0]]</f>
        <v>0</v>
      </c>
      <c r="AA1756">
        <f>DataLog_T717420_Aug11_4_59_37pm[[#This Row],[COOLANT TEMP '[Â°C']]]-Table3[[#This Row],[5805]]</f>
        <v>-1</v>
      </c>
      <c r="AB1756">
        <f>DataLog_T717420_Aug11_4_59_37pm[[#This Row],[BOOST '[BAR']]]-Table3[[#This Row],[58DD]]</f>
        <v>0</v>
      </c>
    </row>
    <row r="1757" spans="2:28" x14ac:dyDescent="0.25">
      <c r="B1757" s="2" t="s">
        <v>189</v>
      </c>
      <c r="C1757" s="2" t="s">
        <v>262</v>
      </c>
      <c r="D1757" s="2" t="s">
        <v>151</v>
      </c>
      <c r="E1757" s="2" t="s">
        <v>165</v>
      </c>
      <c r="F1757" s="2" t="s">
        <v>395</v>
      </c>
      <c r="G1757" s="2" t="s">
        <v>71</v>
      </c>
      <c r="I1757">
        <f>HEX2DEC(_0811_173439[[#This Row],[580C]])*B$4/B$5+B$6</f>
        <v>760</v>
      </c>
      <c r="J1757">
        <f>HEX2DEC(_0811_173439[[#This Row],[4402]])*C$4/C$5+C$6</f>
        <v>37</v>
      </c>
      <c r="K1757">
        <f>HEX2DEC(_0811_173439[[#This Row],[580F]])*D$4/D$5+D$6</f>
        <v>30</v>
      </c>
      <c r="L1757">
        <f>ROUND(HEX2DEC(_0811_173439[[#This Row],[58F0]])*E$4/E$5+E$6,0)</f>
        <v>70</v>
      </c>
      <c r="M1757">
        <f>ROUND(HEX2DEC(_0811_173439[[#This Row],[5805]])*F$4/F$5+F$6,0)</f>
        <v>47</v>
      </c>
      <c r="N1757">
        <f>ROUND(HEX2DEC(_0811_173439[[#This Row],[58DD]])*G$4/G$5+G$6,2)</f>
        <v>-0.03</v>
      </c>
      <c r="P1757">
        <v>760</v>
      </c>
      <c r="Q1757">
        <v>37</v>
      </c>
      <c r="R1757">
        <v>30</v>
      </c>
      <c r="S1757">
        <v>70</v>
      </c>
      <c r="T1757">
        <v>46</v>
      </c>
      <c r="U1757">
        <v>-0.03</v>
      </c>
      <c r="W1757">
        <f>DataLog_T717420_Aug11_4_59_37pm[[#This Row],[RPM '[1/MIN']]]-Table3[[#This Row],[580C]]</f>
        <v>0</v>
      </c>
      <c r="X1757">
        <f>DataLog_T717420_Aug11_4_59_37pm[[#This Row],[OIL TEMP '[Â°C']]]-Table3[[#This Row],[4402]]</f>
        <v>0</v>
      </c>
      <c r="Y1757">
        <f>DataLog_T717420_Aug11_4_59_37pm[[#This Row],[INTAKE TEMP '[Â°C']]]-Table3[[#This Row],[580F]]</f>
        <v>0</v>
      </c>
      <c r="Z1757">
        <f>DataLog_T717420_Aug11_4_59_37pm[[#This Row],[HPFP PRES. '[BAR']]]-Table3[[#This Row],[58F0]]</f>
        <v>0</v>
      </c>
      <c r="AA1757">
        <f>DataLog_T717420_Aug11_4_59_37pm[[#This Row],[COOLANT TEMP '[Â°C']]]-Table3[[#This Row],[5805]]</f>
        <v>-1</v>
      </c>
      <c r="AB1757">
        <f>DataLog_T717420_Aug11_4_59_37pm[[#This Row],[BOOST '[BAR']]]-Table3[[#This Row],[58DD]]</f>
        <v>0</v>
      </c>
    </row>
    <row r="1758" spans="2:28" x14ac:dyDescent="0.25">
      <c r="B1758" s="2" t="s">
        <v>189</v>
      </c>
      <c r="C1758" s="2" t="s">
        <v>262</v>
      </c>
      <c r="D1758" s="2" t="s">
        <v>151</v>
      </c>
      <c r="E1758" s="2" t="s">
        <v>135</v>
      </c>
      <c r="F1758" s="2" t="s">
        <v>395</v>
      </c>
      <c r="G1758" s="2" t="s">
        <v>53</v>
      </c>
      <c r="I1758">
        <f>HEX2DEC(_0811_173439[[#This Row],[580C]])*B$4/B$5+B$6</f>
        <v>760</v>
      </c>
      <c r="J1758">
        <f>HEX2DEC(_0811_173439[[#This Row],[4402]])*C$4/C$5+C$6</f>
        <v>37</v>
      </c>
      <c r="K1758">
        <f>HEX2DEC(_0811_173439[[#This Row],[580F]])*D$4/D$5+D$6</f>
        <v>30</v>
      </c>
      <c r="L1758">
        <f>ROUND(HEX2DEC(_0811_173439[[#This Row],[58F0]])*E$4/E$5+E$6,0)</f>
        <v>71</v>
      </c>
      <c r="M1758">
        <f>ROUND(HEX2DEC(_0811_173439[[#This Row],[5805]])*F$4/F$5+F$6,0)</f>
        <v>47</v>
      </c>
      <c r="N1758">
        <f>ROUND(HEX2DEC(_0811_173439[[#This Row],[58DD]])*G$4/G$5+G$6,2)</f>
        <v>-0.03</v>
      </c>
      <c r="P1758">
        <v>760</v>
      </c>
      <c r="Q1758">
        <v>37</v>
      </c>
      <c r="R1758">
        <v>30</v>
      </c>
      <c r="S1758">
        <v>71</v>
      </c>
      <c r="T1758">
        <v>46</v>
      </c>
      <c r="U1758">
        <v>-0.03</v>
      </c>
      <c r="W1758">
        <f>DataLog_T717420_Aug11_4_59_37pm[[#This Row],[RPM '[1/MIN']]]-Table3[[#This Row],[580C]]</f>
        <v>0</v>
      </c>
      <c r="X1758">
        <f>DataLog_T717420_Aug11_4_59_37pm[[#This Row],[OIL TEMP '[Â°C']]]-Table3[[#This Row],[4402]]</f>
        <v>0</v>
      </c>
      <c r="Y1758">
        <f>DataLog_T717420_Aug11_4_59_37pm[[#This Row],[INTAKE TEMP '[Â°C']]]-Table3[[#This Row],[580F]]</f>
        <v>0</v>
      </c>
      <c r="Z1758">
        <f>DataLog_T717420_Aug11_4_59_37pm[[#This Row],[HPFP PRES. '[BAR']]]-Table3[[#This Row],[58F0]]</f>
        <v>0</v>
      </c>
      <c r="AA1758">
        <f>DataLog_T717420_Aug11_4_59_37pm[[#This Row],[COOLANT TEMP '[Â°C']]]-Table3[[#This Row],[5805]]</f>
        <v>-1</v>
      </c>
      <c r="AB1758">
        <f>DataLog_T717420_Aug11_4_59_37pm[[#This Row],[BOOST '[BAR']]]-Table3[[#This Row],[58DD]]</f>
        <v>0</v>
      </c>
    </row>
    <row r="1759" spans="2:28" x14ac:dyDescent="0.25">
      <c r="B1759" s="2" t="s">
        <v>189</v>
      </c>
      <c r="C1759" s="2" t="s">
        <v>262</v>
      </c>
      <c r="D1759" s="2" t="s">
        <v>151</v>
      </c>
      <c r="E1759" s="2" t="s">
        <v>221</v>
      </c>
      <c r="F1759" s="2" t="s">
        <v>395</v>
      </c>
      <c r="G1759" s="2" t="s">
        <v>71</v>
      </c>
      <c r="I1759">
        <f>HEX2DEC(_0811_173439[[#This Row],[580C]])*B$4/B$5+B$6</f>
        <v>760</v>
      </c>
      <c r="J1759">
        <f>HEX2DEC(_0811_173439[[#This Row],[4402]])*C$4/C$5+C$6</f>
        <v>37</v>
      </c>
      <c r="K1759">
        <f>HEX2DEC(_0811_173439[[#This Row],[580F]])*D$4/D$5+D$6</f>
        <v>30</v>
      </c>
      <c r="L1759">
        <f>ROUND(HEX2DEC(_0811_173439[[#This Row],[58F0]])*E$4/E$5+E$6,0)</f>
        <v>70</v>
      </c>
      <c r="M1759">
        <f>ROUND(HEX2DEC(_0811_173439[[#This Row],[5805]])*F$4/F$5+F$6,0)</f>
        <v>47</v>
      </c>
      <c r="N1759">
        <f>ROUND(HEX2DEC(_0811_173439[[#This Row],[58DD]])*G$4/G$5+G$6,2)</f>
        <v>-0.03</v>
      </c>
      <c r="P1759">
        <v>760</v>
      </c>
      <c r="Q1759">
        <v>37</v>
      </c>
      <c r="R1759">
        <v>30</v>
      </c>
      <c r="S1759">
        <v>70</v>
      </c>
      <c r="T1759">
        <v>46</v>
      </c>
      <c r="U1759">
        <v>-0.03</v>
      </c>
      <c r="W1759">
        <f>DataLog_T717420_Aug11_4_59_37pm[[#This Row],[RPM '[1/MIN']]]-Table3[[#This Row],[580C]]</f>
        <v>0</v>
      </c>
      <c r="X1759">
        <f>DataLog_T717420_Aug11_4_59_37pm[[#This Row],[OIL TEMP '[Â°C']]]-Table3[[#This Row],[4402]]</f>
        <v>0</v>
      </c>
      <c r="Y1759">
        <f>DataLog_T717420_Aug11_4_59_37pm[[#This Row],[INTAKE TEMP '[Â°C']]]-Table3[[#This Row],[580F]]</f>
        <v>0</v>
      </c>
      <c r="Z1759">
        <f>DataLog_T717420_Aug11_4_59_37pm[[#This Row],[HPFP PRES. '[BAR']]]-Table3[[#This Row],[58F0]]</f>
        <v>0</v>
      </c>
      <c r="AA1759">
        <f>DataLog_T717420_Aug11_4_59_37pm[[#This Row],[COOLANT TEMP '[Â°C']]]-Table3[[#This Row],[5805]]</f>
        <v>-1</v>
      </c>
      <c r="AB1759">
        <f>DataLog_T717420_Aug11_4_59_37pm[[#This Row],[BOOST '[BAR']]]-Table3[[#This Row],[58DD]]</f>
        <v>0</v>
      </c>
    </row>
    <row r="1760" spans="2:28" x14ac:dyDescent="0.25">
      <c r="B1760" s="2" t="s">
        <v>189</v>
      </c>
      <c r="C1760" s="2" t="s">
        <v>262</v>
      </c>
      <c r="D1760" s="2" t="s">
        <v>151</v>
      </c>
      <c r="E1760" s="2" t="s">
        <v>209</v>
      </c>
      <c r="F1760" s="2" t="s">
        <v>395</v>
      </c>
      <c r="G1760" s="2" t="s">
        <v>190</v>
      </c>
      <c r="I1760">
        <f>HEX2DEC(_0811_173439[[#This Row],[580C]])*B$4/B$5+B$6</f>
        <v>760</v>
      </c>
      <c r="J1760">
        <f>HEX2DEC(_0811_173439[[#This Row],[4402]])*C$4/C$5+C$6</f>
        <v>37</v>
      </c>
      <c r="K1760">
        <f>HEX2DEC(_0811_173439[[#This Row],[580F]])*D$4/D$5+D$6</f>
        <v>30</v>
      </c>
      <c r="L1760">
        <f>ROUND(HEX2DEC(_0811_173439[[#This Row],[58F0]])*E$4/E$5+E$6,0)</f>
        <v>70</v>
      </c>
      <c r="M1760">
        <f>ROUND(HEX2DEC(_0811_173439[[#This Row],[5805]])*F$4/F$5+F$6,0)</f>
        <v>47</v>
      </c>
      <c r="N1760">
        <f>ROUND(HEX2DEC(_0811_173439[[#This Row],[58DD]])*G$4/G$5+G$6,2)</f>
        <v>-0.03</v>
      </c>
      <c r="P1760">
        <v>760</v>
      </c>
      <c r="Q1760">
        <v>37</v>
      </c>
      <c r="R1760">
        <v>30</v>
      </c>
      <c r="S1760">
        <v>70</v>
      </c>
      <c r="T1760">
        <v>46</v>
      </c>
      <c r="U1760">
        <v>-0.03</v>
      </c>
      <c r="W1760">
        <f>DataLog_T717420_Aug11_4_59_37pm[[#This Row],[RPM '[1/MIN']]]-Table3[[#This Row],[580C]]</f>
        <v>0</v>
      </c>
      <c r="X1760">
        <f>DataLog_T717420_Aug11_4_59_37pm[[#This Row],[OIL TEMP '[Â°C']]]-Table3[[#This Row],[4402]]</f>
        <v>0</v>
      </c>
      <c r="Y1760">
        <f>DataLog_T717420_Aug11_4_59_37pm[[#This Row],[INTAKE TEMP '[Â°C']]]-Table3[[#This Row],[580F]]</f>
        <v>0</v>
      </c>
      <c r="Z1760">
        <f>DataLog_T717420_Aug11_4_59_37pm[[#This Row],[HPFP PRES. '[BAR']]]-Table3[[#This Row],[58F0]]</f>
        <v>0</v>
      </c>
      <c r="AA1760">
        <f>DataLog_T717420_Aug11_4_59_37pm[[#This Row],[COOLANT TEMP '[Â°C']]]-Table3[[#This Row],[5805]]</f>
        <v>-1</v>
      </c>
      <c r="AB1760">
        <f>DataLog_T717420_Aug11_4_59_37pm[[#This Row],[BOOST '[BAR']]]-Table3[[#This Row],[58DD]]</f>
        <v>0</v>
      </c>
    </row>
    <row r="1761" spans="2:28" x14ac:dyDescent="0.25">
      <c r="B1761" s="2" t="s">
        <v>189</v>
      </c>
      <c r="C1761" s="2" t="s">
        <v>262</v>
      </c>
      <c r="D1761" s="2" t="s">
        <v>151</v>
      </c>
      <c r="E1761" s="2" t="s">
        <v>134</v>
      </c>
      <c r="F1761" s="2" t="s">
        <v>395</v>
      </c>
      <c r="G1761" s="2" t="s">
        <v>71</v>
      </c>
      <c r="I1761">
        <f>HEX2DEC(_0811_173439[[#This Row],[580C]])*B$4/B$5+B$6</f>
        <v>760</v>
      </c>
      <c r="J1761">
        <f>HEX2DEC(_0811_173439[[#This Row],[4402]])*C$4/C$5+C$6</f>
        <v>37</v>
      </c>
      <c r="K1761">
        <f>HEX2DEC(_0811_173439[[#This Row],[580F]])*D$4/D$5+D$6</f>
        <v>30</v>
      </c>
      <c r="L1761">
        <f>ROUND(HEX2DEC(_0811_173439[[#This Row],[58F0]])*E$4/E$5+E$6,0)</f>
        <v>70</v>
      </c>
      <c r="M1761">
        <f>ROUND(HEX2DEC(_0811_173439[[#This Row],[5805]])*F$4/F$5+F$6,0)</f>
        <v>47</v>
      </c>
      <c r="N1761">
        <f>ROUND(HEX2DEC(_0811_173439[[#This Row],[58DD]])*G$4/G$5+G$6,2)</f>
        <v>-0.03</v>
      </c>
      <c r="P1761">
        <v>760</v>
      </c>
      <c r="Q1761">
        <v>37</v>
      </c>
      <c r="R1761">
        <v>30</v>
      </c>
      <c r="S1761">
        <v>70</v>
      </c>
      <c r="T1761">
        <v>46</v>
      </c>
      <c r="U1761">
        <v>-0.03</v>
      </c>
      <c r="W1761">
        <f>DataLog_T717420_Aug11_4_59_37pm[[#This Row],[RPM '[1/MIN']]]-Table3[[#This Row],[580C]]</f>
        <v>0</v>
      </c>
      <c r="X1761">
        <f>DataLog_T717420_Aug11_4_59_37pm[[#This Row],[OIL TEMP '[Â°C']]]-Table3[[#This Row],[4402]]</f>
        <v>0</v>
      </c>
      <c r="Y1761">
        <f>DataLog_T717420_Aug11_4_59_37pm[[#This Row],[INTAKE TEMP '[Â°C']]]-Table3[[#This Row],[580F]]</f>
        <v>0</v>
      </c>
      <c r="Z1761">
        <f>DataLog_T717420_Aug11_4_59_37pm[[#This Row],[HPFP PRES. '[BAR']]]-Table3[[#This Row],[58F0]]</f>
        <v>0</v>
      </c>
      <c r="AA1761">
        <f>DataLog_T717420_Aug11_4_59_37pm[[#This Row],[COOLANT TEMP '[Â°C']]]-Table3[[#This Row],[5805]]</f>
        <v>-1</v>
      </c>
      <c r="AB1761">
        <f>DataLog_T717420_Aug11_4_59_37pm[[#This Row],[BOOST '[BAR']]]-Table3[[#This Row],[58DD]]</f>
        <v>0</v>
      </c>
    </row>
    <row r="1762" spans="2:28" x14ac:dyDescent="0.25">
      <c r="B1762" s="2" t="s">
        <v>189</v>
      </c>
      <c r="C1762" s="2" t="s">
        <v>262</v>
      </c>
      <c r="D1762" s="2" t="s">
        <v>151</v>
      </c>
      <c r="E1762" s="2" t="s">
        <v>176</v>
      </c>
      <c r="F1762" s="2" t="s">
        <v>395</v>
      </c>
      <c r="G1762" s="2" t="s">
        <v>190</v>
      </c>
      <c r="I1762">
        <f>HEX2DEC(_0811_173439[[#This Row],[580C]])*B$4/B$5+B$6</f>
        <v>760</v>
      </c>
      <c r="J1762">
        <f>HEX2DEC(_0811_173439[[#This Row],[4402]])*C$4/C$5+C$6</f>
        <v>37</v>
      </c>
      <c r="K1762">
        <f>HEX2DEC(_0811_173439[[#This Row],[580F]])*D$4/D$5+D$6</f>
        <v>30</v>
      </c>
      <c r="L1762">
        <f>ROUND(HEX2DEC(_0811_173439[[#This Row],[58F0]])*E$4/E$5+E$6,0)</f>
        <v>70</v>
      </c>
      <c r="M1762">
        <f>ROUND(HEX2DEC(_0811_173439[[#This Row],[5805]])*F$4/F$5+F$6,0)</f>
        <v>47</v>
      </c>
      <c r="N1762">
        <f>ROUND(HEX2DEC(_0811_173439[[#This Row],[58DD]])*G$4/G$5+G$6,2)</f>
        <v>-0.03</v>
      </c>
      <c r="P1762">
        <v>760</v>
      </c>
      <c r="Q1762">
        <v>37</v>
      </c>
      <c r="R1762">
        <v>30</v>
      </c>
      <c r="S1762">
        <v>70</v>
      </c>
      <c r="T1762">
        <v>46</v>
      </c>
      <c r="U1762">
        <v>-0.03</v>
      </c>
      <c r="W1762">
        <f>DataLog_T717420_Aug11_4_59_37pm[[#This Row],[RPM '[1/MIN']]]-Table3[[#This Row],[580C]]</f>
        <v>0</v>
      </c>
      <c r="X1762">
        <f>DataLog_T717420_Aug11_4_59_37pm[[#This Row],[OIL TEMP '[Â°C']]]-Table3[[#This Row],[4402]]</f>
        <v>0</v>
      </c>
      <c r="Y1762">
        <f>DataLog_T717420_Aug11_4_59_37pm[[#This Row],[INTAKE TEMP '[Â°C']]]-Table3[[#This Row],[580F]]</f>
        <v>0</v>
      </c>
      <c r="Z1762">
        <f>DataLog_T717420_Aug11_4_59_37pm[[#This Row],[HPFP PRES. '[BAR']]]-Table3[[#This Row],[58F0]]</f>
        <v>0</v>
      </c>
      <c r="AA1762">
        <f>DataLog_T717420_Aug11_4_59_37pm[[#This Row],[COOLANT TEMP '[Â°C']]]-Table3[[#This Row],[5805]]</f>
        <v>-1</v>
      </c>
      <c r="AB1762">
        <f>DataLog_T717420_Aug11_4_59_37pm[[#This Row],[BOOST '[BAR']]]-Table3[[#This Row],[58DD]]</f>
        <v>0</v>
      </c>
    </row>
    <row r="1763" spans="2:28" x14ac:dyDescent="0.25">
      <c r="B1763" s="2" t="s">
        <v>189</v>
      </c>
      <c r="C1763" s="2" t="s">
        <v>262</v>
      </c>
      <c r="D1763" s="2" t="s">
        <v>151</v>
      </c>
      <c r="E1763" s="2" t="s">
        <v>389</v>
      </c>
      <c r="F1763" s="2" t="s">
        <v>395</v>
      </c>
      <c r="G1763" s="2" t="s">
        <v>96</v>
      </c>
      <c r="I1763">
        <f>HEX2DEC(_0811_173439[[#This Row],[580C]])*B$4/B$5+B$6</f>
        <v>760</v>
      </c>
      <c r="J1763">
        <f>HEX2DEC(_0811_173439[[#This Row],[4402]])*C$4/C$5+C$6</f>
        <v>37</v>
      </c>
      <c r="K1763">
        <f>HEX2DEC(_0811_173439[[#This Row],[580F]])*D$4/D$5+D$6</f>
        <v>30</v>
      </c>
      <c r="L1763">
        <f>ROUND(HEX2DEC(_0811_173439[[#This Row],[58F0]])*E$4/E$5+E$6,0)</f>
        <v>69</v>
      </c>
      <c r="M1763">
        <f>ROUND(HEX2DEC(_0811_173439[[#This Row],[5805]])*F$4/F$5+F$6,0)</f>
        <v>47</v>
      </c>
      <c r="N1763">
        <f>ROUND(HEX2DEC(_0811_173439[[#This Row],[58DD]])*G$4/G$5+G$6,2)</f>
        <v>-0.03</v>
      </c>
      <c r="P1763">
        <v>760</v>
      </c>
      <c r="Q1763">
        <v>37</v>
      </c>
      <c r="R1763">
        <v>30</v>
      </c>
      <c r="S1763">
        <v>69</v>
      </c>
      <c r="T1763">
        <v>46</v>
      </c>
      <c r="U1763">
        <v>-0.03</v>
      </c>
      <c r="W1763">
        <f>DataLog_T717420_Aug11_4_59_37pm[[#This Row],[RPM '[1/MIN']]]-Table3[[#This Row],[580C]]</f>
        <v>0</v>
      </c>
      <c r="X1763">
        <f>DataLog_T717420_Aug11_4_59_37pm[[#This Row],[OIL TEMP '[Â°C']]]-Table3[[#This Row],[4402]]</f>
        <v>0</v>
      </c>
      <c r="Y1763">
        <f>DataLog_T717420_Aug11_4_59_37pm[[#This Row],[INTAKE TEMP '[Â°C']]]-Table3[[#This Row],[580F]]</f>
        <v>0</v>
      </c>
      <c r="Z1763">
        <f>DataLog_T717420_Aug11_4_59_37pm[[#This Row],[HPFP PRES. '[BAR']]]-Table3[[#This Row],[58F0]]</f>
        <v>0</v>
      </c>
      <c r="AA1763">
        <f>DataLog_T717420_Aug11_4_59_37pm[[#This Row],[COOLANT TEMP '[Â°C']]]-Table3[[#This Row],[5805]]</f>
        <v>-1</v>
      </c>
      <c r="AB1763">
        <f>DataLog_T717420_Aug11_4_59_37pm[[#This Row],[BOOST '[BAR']]]-Table3[[#This Row],[58DD]]</f>
        <v>0</v>
      </c>
    </row>
    <row r="1764" spans="2:28" x14ac:dyDescent="0.25">
      <c r="B1764" s="2" t="s">
        <v>189</v>
      </c>
      <c r="C1764" s="2" t="s">
        <v>262</v>
      </c>
      <c r="D1764" s="2" t="s">
        <v>151</v>
      </c>
      <c r="E1764" s="2" t="s">
        <v>159</v>
      </c>
      <c r="F1764" s="2" t="s">
        <v>395</v>
      </c>
      <c r="G1764" s="2" t="s">
        <v>71</v>
      </c>
      <c r="I1764">
        <f>HEX2DEC(_0811_173439[[#This Row],[580C]])*B$4/B$5+B$6</f>
        <v>760</v>
      </c>
      <c r="J1764">
        <f>HEX2DEC(_0811_173439[[#This Row],[4402]])*C$4/C$5+C$6</f>
        <v>37</v>
      </c>
      <c r="K1764">
        <f>HEX2DEC(_0811_173439[[#This Row],[580F]])*D$4/D$5+D$6</f>
        <v>30</v>
      </c>
      <c r="L1764">
        <f>ROUND(HEX2DEC(_0811_173439[[#This Row],[58F0]])*E$4/E$5+E$6,0)</f>
        <v>70</v>
      </c>
      <c r="M1764">
        <f>ROUND(HEX2DEC(_0811_173439[[#This Row],[5805]])*F$4/F$5+F$6,0)</f>
        <v>47</v>
      </c>
      <c r="N1764">
        <f>ROUND(HEX2DEC(_0811_173439[[#This Row],[58DD]])*G$4/G$5+G$6,2)</f>
        <v>-0.03</v>
      </c>
      <c r="P1764">
        <v>760</v>
      </c>
      <c r="Q1764">
        <v>37</v>
      </c>
      <c r="R1764">
        <v>30</v>
      </c>
      <c r="S1764">
        <v>70</v>
      </c>
      <c r="T1764">
        <v>46</v>
      </c>
      <c r="U1764">
        <v>-0.03</v>
      </c>
      <c r="W1764">
        <f>DataLog_T717420_Aug11_4_59_37pm[[#This Row],[RPM '[1/MIN']]]-Table3[[#This Row],[580C]]</f>
        <v>0</v>
      </c>
      <c r="X1764">
        <f>DataLog_T717420_Aug11_4_59_37pm[[#This Row],[OIL TEMP '[Â°C']]]-Table3[[#This Row],[4402]]</f>
        <v>0</v>
      </c>
      <c r="Y1764">
        <f>DataLog_T717420_Aug11_4_59_37pm[[#This Row],[INTAKE TEMP '[Â°C']]]-Table3[[#This Row],[580F]]</f>
        <v>0</v>
      </c>
      <c r="Z1764">
        <f>DataLog_T717420_Aug11_4_59_37pm[[#This Row],[HPFP PRES. '[BAR']]]-Table3[[#This Row],[58F0]]</f>
        <v>0</v>
      </c>
      <c r="AA1764">
        <f>DataLog_T717420_Aug11_4_59_37pm[[#This Row],[COOLANT TEMP '[Â°C']]]-Table3[[#This Row],[5805]]</f>
        <v>-1</v>
      </c>
      <c r="AB1764">
        <f>DataLog_T717420_Aug11_4_59_37pm[[#This Row],[BOOST '[BAR']]]-Table3[[#This Row],[58DD]]</f>
        <v>0</v>
      </c>
    </row>
    <row r="1765" spans="2:28" x14ac:dyDescent="0.25">
      <c r="B1765" s="2" t="s">
        <v>189</v>
      </c>
      <c r="C1765" s="2" t="s">
        <v>262</v>
      </c>
      <c r="D1765" s="2" t="s">
        <v>151</v>
      </c>
      <c r="E1765" s="2" t="s">
        <v>127</v>
      </c>
      <c r="F1765" s="2" t="s">
        <v>395</v>
      </c>
      <c r="G1765" s="2" t="s">
        <v>255</v>
      </c>
      <c r="I1765">
        <f>HEX2DEC(_0811_173439[[#This Row],[580C]])*B$4/B$5+B$6</f>
        <v>760</v>
      </c>
      <c r="J1765">
        <f>HEX2DEC(_0811_173439[[#This Row],[4402]])*C$4/C$5+C$6</f>
        <v>37</v>
      </c>
      <c r="K1765">
        <f>HEX2DEC(_0811_173439[[#This Row],[580F]])*D$4/D$5+D$6</f>
        <v>30</v>
      </c>
      <c r="L1765">
        <f>ROUND(HEX2DEC(_0811_173439[[#This Row],[58F0]])*E$4/E$5+E$6,0)</f>
        <v>70</v>
      </c>
      <c r="M1765">
        <f>ROUND(HEX2DEC(_0811_173439[[#This Row],[5805]])*F$4/F$5+F$6,0)</f>
        <v>47</v>
      </c>
      <c r="N1765">
        <f>ROUND(HEX2DEC(_0811_173439[[#This Row],[58DD]])*G$4/G$5+G$6,2)</f>
        <v>-0.03</v>
      </c>
      <c r="P1765">
        <v>760</v>
      </c>
      <c r="Q1765">
        <v>37</v>
      </c>
      <c r="R1765">
        <v>30</v>
      </c>
      <c r="S1765">
        <v>70</v>
      </c>
      <c r="T1765">
        <v>46</v>
      </c>
      <c r="U1765">
        <v>-0.03</v>
      </c>
      <c r="W1765">
        <f>DataLog_T717420_Aug11_4_59_37pm[[#This Row],[RPM '[1/MIN']]]-Table3[[#This Row],[580C]]</f>
        <v>0</v>
      </c>
      <c r="X1765">
        <f>DataLog_T717420_Aug11_4_59_37pm[[#This Row],[OIL TEMP '[Â°C']]]-Table3[[#This Row],[4402]]</f>
        <v>0</v>
      </c>
      <c r="Y1765">
        <f>DataLog_T717420_Aug11_4_59_37pm[[#This Row],[INTAKE TEMP '[Â°C']]]-Table3[[#This Row],[580F]]</f>
        <v>0</v>
      </c>
      <c r="Z1765">
        <f>DataLog_T717420_Aug11_4_59_37pm[[#This Row],[HPFP PRES. '[BAR']]]-Table3[[#This Row],[58F0]]</f>
        <v>0</v>
      </c>
      <c r="AA1765">
        <f>DataLog_T717420_Aug11_4_59_37pm[[#This Row],[COOLANT TEMP '[Â°C']]]-Table3[[#This Row],[5805]]</f>
        <v>-1</v>
      </c>
      <c r="AB1765">
        <f>DataLog_T717420_Aug11_4_59_37pm[[#This Row],[BOOST '[BAR']]]-Table3[[#This Row],[58DD]]</f>
        <v>0</v>
      </c>
    </row>
    <row r="1766" spans="2:28" x14ac:dyDescent="0.25">
      <c r="B1766" s="2" t="s">
        <v>189</v>
      </c>
      <c r="C1766" s="2" t="s">
        <v>262</v>
      </c>
      <c r="D1766" s="2" t="s">
        <v>151</v>
      </c>
      <c r="E1766" s="2" t="s">
        <v>208</v>
      </c>
      <c r="F1766" s="2" t="s">
        <v>395</v>
      </c>
      <c r="G1766" s="2" t="s">
        <v>71</v>
      </c>
      <c r="I1766">
        <f>HEX2DEC(_0811_173439[[#This Row],[580C]])*B$4/B$5+B$6</f>
        <v>760</v>
      </c>
      <c r="J1766">
        <f>HEX2DEC(_0811_173439[[#This Row],[4402]])*C$4/C$5+C$6</f>
        <v>37</v>
      </c>
      <c r="K1766">
        <f>HEX2DEC(_0811_173439[[#This Row],[580F]])*D$4/D$5+D$6</f>
        <v>30</v>
      </c>
      <c r="L1766">
        <f>ROUND(HEX2DEC(_0811_173439[[#This Row],[58F0]])*E$4/E$5+E$6,0)</f>
        <v>69</v>
      </c>
      <c r="M1766">
        <f>ROUND(HEX2DEC(_0811_173439[[#This Row],[5805]])*F$4/F$5+F$6,0)</f>
        <v>47</v>
      </c>
      <c r="N1766">
        <f>ROUND(HEX2DEC(_0811_173439[[#This Row],[58DD]])*G$4/G$5+G$6,2)</f>
        <v>-0.03</v>
      </c>
      <c r="P1766">
        <v>760</v>
      </c>
      <c r="Q1766">
        <v>37</v>
      </c>
      <c r="R1766">
        <v>30</v>
      </c>
      <c r="S1766">
        <v>69</v>
      </c>
      <c r="T1766">
        <v>46</v>
      </c>
      <c r="U1766">
        <v>-0.03</v>
      </c>
      <c r="W1766">
        <f>DataLog_T717420_Aug11_4_59_37pm[[#This Row],[RPM '[1/MIN']]]-Table3[[#This Row],[580C]]</f>
        <v>0</v>
      </c>
      <c r="X1766">
        <f>DataLog_T717420_Aug11_4_59_37pm[[#This Row],[OIL TEMP '[Â°C']]]-Table3[[#This Row],[4402]]</f>
        <v>0</v>
      </c>
      <c r="Y1766">
        <f>DataLog_T717420_Aug11_4_59_37pm[[#This Row],[INTAKE TEMP '[Â°C']]]-Table3[[#This Row],[580F]]</f>
        <v>0</v>
      </c>
      <c r="Z1766">
        <f>DataLog_T717420_Aug11_4_59_37pm[[#This Row],[HPFP PRES. '[BAR']]]-Table3[[#This Row],[58F0]]</f>
        <v>0</v>
      </c>
      <c r="AA1766">
        <f>DataLog_T717420_Aug11_4_59_37pm[[#This Row],[COOLANT TEMP '[Â°C']]]-Table3[[#This Row],[5805]]</f>
        <v>-1</v>
      </c>
      <c r="AB1766">
        <f>DataLog_T717420_Aug11_4_59_37pm[[#This Row],[BOOST '[BAR']]]-Table3[[#This Row],[58DD]]</f>
        <v>0</v>
      </c>
    </row>
    <row r="1767" spans="2:28" x14ac:dyDescent="0.25">
      <c r="B1767" s="2" t="s">
        <v>189</v>
      </c>
      <c r="C1767" s="2" t="s">
        <v>262</v>
      </c>
      <c r="D1767" s="2" t="s">
        <v>151</v>
      </c>
      <c r="E1767" s="2" t="s">
        <v>159</v>
      </c>
      <c r="F1767" s="2" t="s">
        <v>395</v>
      </c>
      <c r="G1767" s="2" t="s">
        <v>255</v>
      </c>
      <c r="I1767">
        <f>HEX2DEC(_0811_173439[[#This Row],[580C]])*B$4/B$5+B$6</f>
        <v>760</v>
      </c>
      <c r="J1767">
        <f>HEX2DEC(_0811_173439[[#This Row],[4402]])*C$4/C$5+C$6</f>
        <v>37</v>
      </c>
      <c r="K1767">
        <f>HEX2DEC(_0811_173439[[#This Row],[580F]])*D$4/D$5+D$6</f>
        <v>30</v>
      </c>
      <c r="L1767">
        <f>ROUND(HEX2DEC(_0811_173439[[#This Row],[58F0]])*E$4/E$5+E$6,0)</f>
        <v>70</v>
      </c>
      <c r="M1767">
        <f>ROUND(HEX2DEC(_0811_173439[[#This Row],[5805]])*F$4/F$5+F$6,0)</f>
        <v>47</v>
      </c>
      <c r="N1767">
        <f>ROUND(HEX2DEC(_0811_173439[[#This Row],[58DD]])*G$4/G$5+G$6,2)</f>
        <v>-0.03</v>
      </c>
      <c r="P1767">
        <v>760</v>
      </c>
      <c r="Q1767">
        <v>37</v>
      </c>
      <c r="R1767">
        <v>30</v>
      </c>
      <c r="S1767">
        <v>70</v>
      </c>
      <c r="T1767">
        <v>46</v>
      </c>
      <c r="U1767">
        <v>-0.03</v>
      </c>
      <c r="W1767">
        <f>DataLog_T717420_Aug11_4_59_37pm[[#This Row],[RPM '[1/MIN']]]-Table3[[#This Row],[580C]]</f>
        <v>0</v>
      </c>
      <c r="X1767">
        <f>DataLog_T717420_Aug11_4_59_37pm[[#This Row],[OIL TEMP '[Â°C']]]-Table3[[#This Row],[4402]]</f>
        <v>0</v>
      </c>
      <c r="Y1767">
        <f>DataLog_T717420_Aug11_4_59_37pm[[#This Row],[INTAKE TEMP '[Â°C']]]-Table3[[#This Row],[580F]]</f>
        <v>0</v>
      </c>
      <c r="Z1767">
        <f>DataLog_T717420_Aug11_4_59_37pm[[#This Row],[HPFP PRES. '[BAR']]]-Table3[[#This Row],[58F0]]</f>
        <v>0</v>
      </c>
      <c r="AA1767">
        <f>DataLog_T717420_Aug11_4_59_37pm[[#This Row],[COOLANT TEMP '[Â°C']]]-Table3[[#This Row],[5805]]</f>
        <v>-1</v>
      </c>
      <c r="AB1767">
        <f>DataLog_T717420_Aug11_4_59_37pm[[#This Row],[BOOST '[BAR']]]-Table3[[#This Row],[58DD]]</f>
        <v>0</v>
      </c>
    </row>
    <row r="1768" spans="2:28" x14ac:dyDescent="0.25">
      <c r="B1768" s="2" t="s">
        <v>189</v>
      </c>
      <c r="C1768" s="2" t="s">
        <v>262</v>
      </c>
      <c r="D1768" s="2" t="s">
        <v>151</v>
      </c>
      <c r="E1768" s="2" t="s">
        <v>141</v>
      </c>
      <c r="F1768" s="2" t="s">
        <v>395</v>
      </c>
      <c r="G1768" s="2" t="s">
        <v>71</v>
      </c>
      <c r="I1768">
        <f>HEX2DEC(_0811_173439[[#This Row],[580C]])*B$4/B$5+B$6</f>
        <v>760</v>
      </c>
      <c r="J1768">
        <f>HEX2DEC(_0811_173439[[#This Row],[4402]])*C$4/C$5+C$6</f>
        <v>37</v>
      </c>
      <c r="K1768">
        <f>HEX2DEC(_0811_173439[[#This Row],[580F]])*D$4/D$5+D$6</f>
        <v>30</v>
      </c>
      <c r="L1768">
        <f>ROUND(HEX2DEC(_0811_173439[[#This Row],[58F0]])*E$4/E$5+E$6,0)</f>
        <v>70</v>
      </c>
      <c r="M1768">
        <f>ROUND(HEX2DEC(_0811_173439[[#This Row],[5805]])*F$4/F$5+F$6,0)</f>
        <v>47</v>
      </c>
      <c r="N1768">
        <f>ROUND(HEX2DEC(_0811_173439[[#This Row],[58DD]])*G$4/G$5+G$6,2)</f>
        <v>-0.03</v>
      </c>
      <c r="P1768">
        <v>760</v>
      </c>
      <c r="Q1768">
        <v>37</v>
      </c>
      <c r="R1768">
        <v>30</v>
      </c>
      <c r="S1768">
        <v>70</v>
      </c>
      <c r="T1768">
        <v>46</v>
      </c>
      <c r="U1768">
        <v>-0.03</v>
      </c>
      <c r="W1768">
        <f>DataLog_T717420_Aug11_4_59_37pm[[#This Row],[RPM '[1/MIN']]]-Table3[[#This Row],[580C]]</f>
        <v>0</v>
      </c>
      <c r="X1768">
        <f>DataLog_T717420_Aug11_4_59_37pm[[#This Row],[OIL TEMP '[Â°C']]]-Table3[[#This Row],[4402]]</f>
        <v>0</v>
      </c>
      <c r="Y1768">
        <f>DataLog_T717420_Aug11_4_59_37pm[[#This Row],[INTAKE TEMP '[Â°C']]]-Table3[[#This Row],[580F]]</f>
        <v>0</v>
      </c>
      <c r="Z1768">
        <f>DataLog_T717420_Aug11_4_59_37pm[[#This Row],[HPFP PRES. '[BAR']]]-Table3[[#This Row],[58F0]]</f>
        <v>0</v>
      </c>
      <c r="AA1768">
        <f>DataLog_T717420_Aug11_4_59_37pm[[#This Row],[COOLANT TEMP '[Â°C']]]-Table3[[#This Row],[5805]]</f>
        <v>-1</v>
      </c>
      <c r="AB1768">
        <f>DataLog_T717420_Aug11_4_59_37pm[[#This Row],[BOOST '[BAR']]]-Table3[[#This Row],[58DD]]</f>
        <v>0</v>
      </c>
    </row>
    <row r="1769" spans="2:28" x14ac:dyDescent="0.25">
      <c r="B1769" s="2" t="s">
        <v>189</v>
      </c>
      <c r="C1769" s="2" t="s">
        <v>262</v>
      </c>
      <c r="D1769" s="2" t="s">
        <v>151</v>
      </c>
      <c r="E1769" s="2" t="s">
        <v>156</v>
      </c>
      <c r="F1769" s="2" t="s">
        <v>395</v>
      </c>
      <c r="G1769" s="2" t="s">
        <v>53</v>
      </c>
      <c r="I1769">
        <f>HEX2DEC(_0811_173439[[#This Row],[580C]])*B$4/B$5+B$6</f>
        <v>760</v>
      </c>
      <c r="J1769">
        <f>HEX2DEC(_0811_173439[[#This Row],[4402]])*C$4/C$5+C$6</f>
        <v>37</v>
      </c>
      <c r="K1769">
        <f>HEX2DEC(_0811_173439[[#This Row],[580F]])*D$4/D$5+D$6</f>
        <v>30</v>
      </c>
      <c r="L1769">
        <f>ROUND(HEX2DEC(_0811_173439[[#This Row],[58F0]])*E$4/E$5+E$6,0)</f>
        <v>70</v>
      </c>
      <c r="M1769">
        <f>ROUND(HEX2DEC(_0811_173439[[#This Row],[5805]])*F$4/F$5+F$6,0)</f>
        <v>47</v>
      </c>
      <c r="N1769">
        <f>ROUND(HEX2DEC(_0811_173439[[#This Row],[58DD]])*G$4/G$5+G$6,2)</f>
        <v>-0.03</v>
      </c>
      <c r="P1769">
        <v>760</v>
      </c>
      <c r="Q1769">
        <v>37</v>
      </c>
      <c r="R1769">
        <v>30</v>
      </c>
      <c r="S1769">
        <v>70</v>
      </c>
      <c r="T1769">
        <v>46</v>
      </c>
      <c r="U1769">
        <v>-0.03</v>
      </c>
      <c r="W1769">
        <f>DataLog_T717420_Aug11_4_59_37pm[[#This Row],[RPM '[1/MIN']]]-Table3[[#This Row],[580C]]</f>
        <v>0</v>
      </c>
      <c r="X1769">
        <f>DataLog_T717420_Aug11_4_59_37pm[[#This Row],[OIL TEMP '[Â°C']]]-Table3[[#This Row],[4402]]</f>
        <v>0</v>
      </c>
      <c r="Y1769">
        <f>DataLog_T717420_Aug11_4_59_37pm[[#This Row],[INTAKE TEMP '[Â°C']]]-Table3[[#This Row],[580F]]</f>
        <v>0</v>
      </c>
      <c r="Z1769">
        <f>DataLog_T717420_Aug11_4_59_37pm[[#This Row],[HPFP PRES. '[BAR']]]-Table3[[#This Row],[58F0]]</f>
        <v>0</v>
      </c>
      <c r="AA1769">
        <f>DataLog_T717420_Aug11_4_59_37pm[[#This Row],[COOLANT TEMP '[Â°C']]]-Table3[[#This Row],[5805]]</f>
        <v>-1</v>
      </c>
      <c r="AB1769">
        <f>DataLog_T717420_Aug11_4_59_37pm[[#This Row],[BOOST '[BAR']]]-Table3[[#This Row],[58DD]]</f>
        <v>0</v>
      </c>
    </row>
    <row r="1770" spans="2:28" x14ac:dyDescent="0.25">
      <c r="B1770" s="2" t="s">
        <v>189</v>
      </c>
      <c r="C1770" s="2" t="s">
        <v>262</v>
      </c>
      <c r="D1770" s="2" t="s">
        <v>151</v>
      </c>
      <c r="E1770" s="2" t="s">
        <v>149</v>
      </c>
      <c r="F1770" s="2" t="s">
        <v>395</v>
      </c>
      <c r="G1770" s="2" t="s">
        <v>96</v>
      </c>
      <c r="I1770">
        <f>HEX2DEC(_0811_173439[[#This Row],[580C]])*B$4/B$5+B$6</f>
        <v>760</v>
      </c>
      <c r="J1770">
        <f>HEX2DEC(_0811_173439[[#This Row],[4402]])*C$4/C$5+C$6</f>
        <v>37</v>
      </c>
      <c r="K1770">
        <f>HEX2DEC(_0811_173439[[#This Row],[580F]])*D$4/D$5+D$6</f>
        <v>30</v>
      </c>
      <c r="L1770">
        <f>ROUND(HEX2DEC(_0811_173439[[#This Row],[58F0]])*E$4/E$5+E$6,0)</f>
        <v>70</v>
      </c>
      <c r="M1770">
        <f>ROUND(HEX2DEC(_0811_173439[[#This Row],[5805]])*F$4/F$5+F$6,0)</f>
        <v>47</v>
      </c>
      <c r="N1770">
        <f>ROUND(HEX2DEC(_0811_173439[[#This Row],[58DD]])*G$4/G$5+G$6,2)</f>
        <v>-0.03</v>
      </c>
      <c r="P1770">
        <v>760</v>
      </c>
      <c r="Q1770">
        <v>37</v>
      </c>
      <c r="R1770">
        <v>30</v>
      </c>
      <c r="S1770">
        <v>70</v>
      </c>
      <c r="T1770">
        <v>46</v>
      </c>
      <c r="U1770">
        <v>-0.03</v>
      </c>
      <c r="W1770">
        <f>DataLog_T717420_Aug11_4_59_37pm[[#This Row],[RPM '[1/MIN']]]-Table3[[#This Row],[580C]]</f>
        <v>0</v>
      </c>
      <c r="X1770">
        <f>DataLog_T717420_Aug11_4_59_37pm[[#This Row],[OIL TEMP '[Â°C']]]-Table3[[#This Row],[4402]]</f>
        <v>0</v>
      </c>
      <c r="Y1770">
        <f>DataLog_T717420_Aug11_4_59_37pm[[#This Row],[INTAKE TEMP '[Â°C']]]-Table3[[#This Row],[580F]]</f>
        <v>0</v>
      </c>
      <c r="Z1770">
        <f>DataLog_T717420_Aug11_4_59_37pm[[#This Row],[HPFP PRES. '[BAR']]]-Table3[[#This Row],[58F0]]</f>
        <v>0</v>
      </c>
      <c r="AA1770">
        <f>DataLog_T717420_Aug11_4_59_37pm[[#This Row],[COOLANT TEMP '[Â°C']]]-Table3[[#This Row],[5805]]</f>
        <v>-1</v>
      </c>
      <c r="AB1770">
        <f>DataLog_T717420_Aug11_4_59_37pm[[#This Row],[BOOST '[BAR']]]-Table3[[#This Row],[58DD]]</f>
        <v>0</v>
      </c>
    </row>
    <row r="1771" spans="2:28" x14ac:dyDescent="0.25">
      <c r="B1771" s="2" t="s">
        <v>189</v>
      </c>
      <c r="C1771" s="2" t="s">
        <v>262</v>
      </c>
      <c r="D1771" s="2" t="s">
        <v>151</v>
      </c>
      <c r="E1771" s="2" t="s">
        <v>132</v>
      </c>
      <c r="F1771" s="2" t="s">
        <v>395</v>
      </c>
      <c r="G1771" s="2" t="s">
        <v>190</v>
      </c>
      <c r="I1771">
        <f>HEX2DEC(_0811_173439[[#This Row],[580C]])*B$4/B$5+B$6</f>
        <v>760</v>
      </c>
      <c r="J1771">
        <f>HEX2DEC(_0811_173439[[#This Row],[4402]])*C$4/C$5+C$6</f>
        <v>37</v>
      </c>
      <c r="K1771">
        <f>HEX2DEC(_0811_173439[[#This Row],[580F]])*D$4/D$5+D$6</f>
        <v>30</v>
      </c>
      <c r="L1771">
        <f>ROUND(HEX2DEC(_0811_173439[[#This Row],[58F0]])*E$4/E$5+E$6,0)</f>
        <v>70</v>
      </c>
      <c r="M1771">
        <f>ROUND(HEX2DEC(_0811_173439[[#This Row],[5805]])*F$4/F$5+F$6,0)</f>
        <v>47</v>
      </c>
      <c r="N1771">
        <f>ROUND(HEX2DEC(_0811_173439[[#This Row],[58DD]])*G$4/G$5+G$6,2)</f>
        <v>-0.03</v>
      </c>
      <c r="P1771">
        <v>760</v>
      </c>
      <c r="Q1771">
        <v>37</v>
      </c>
      <c r="R1771">
        <v>30</v>
      </c>
      <c r="S1771">
        <v>70</v>
      </c>
      <c r="T1771">
        <v>46</v>
      </c>
      <c r="U1771">
        <v>-0.03</v>
      </c>
      <c r="W1771">
        <f>DataLog_T717420_Aug11_4_59_37pm[[#This Row],[RPM '[1/MIN']]]-Table3[[#This Row],[580C]]</f>
        <v>0</v>
      </c>
      <c r="X1771">
        <f>DataLog_T717420_Aug11_4_59_37pm[[#This Row],[OIL TEMP '[Â°C']]]-Table3[[#This Row],[4402]]</f>
        <v>0</v>
      </c>
      <c r="Y1771">
        <f>DataLog_T717420_Aug11_4_59_37pm[[#This Row],[INTAKE TEMP '[Â°C']]]-Table3[[#This Row],[580F]]</f>
        <v>0</v>
      </c>
      <c r="Z1771">
        <f>DataLog_T717420_Aug11_4_59_37pm[[#This Row],[HPFP PRES. '[BAR']]]-Table3[[#This Row],[58F0]]</f>
        <v>0</v>
      </c>
      <c r="AA1771">
        <f>DataLog_T717420_Aug11_4_59_37pm[[#This Row],[COOLANT TEMP '[Â°C']]]-Table3[[#This Row],[5805]]</f>
        <v>-1</v>
      </c>
      <c r="AB1771">
        <f>DataLog_T717420_Aug11_4_59_37pm[[#This Row],[BOOST '[BAR']]]-Table3[[#This Row],[58DD]]</f>
        <v>0</v>
      </c>
    </row>
    <row r="1772" spans="2:28" x14ac:dyDescent="0.25">
      <c r="B1772" s="2" t="s">
        <v>189</v>
      </c>
      <c r="C1772" s="2" t="s">
        <v>262</v>
      </c>
      <c r="D1772" s="2" t="s">
        <v>151</v>
      </c>
      <c r="E1772" s="2" t="s">
        <v>122</v>
      </c>
      <c r="F1772" s="2" t="s">
        <v>395</v>
      </c>
      <c r="G1772" s="2" t="s">
        <v>96</v>
      </c>
      <c r="I1772">
        <f>HEX2DEC(_0811_173439[[#This Row],[580C]])*B$4/B$5+B$6</f>
        <v>760</v>
      </c>
      <c r="J1772">
        <f>HEX2DEC(_0811_173439[[#This Row],[4402]])*C$4/C$5+C$6</f>
        <v>37</v>
      </c>
      <c r="K1772">
        <f>HEX2DEC(_0811_173439[[#This Row],[580F]])*D$4/D$5+D$6</f>
        <v>30</v>
      </c>
      <c r="L1772">
        <f>ROUND(HEX2DEC(_0811_173439[[#This Row],[58F0]])*E$4/E$5+E$6,0)</f>
        <v>71</v>
      </c>
      <c r="M1772">
        <f>ROUND(HEX2DEC(_0811_173439[[#This Row],[5805]])*F$4/F$5+F$6,0)</f>
        <v>47</v>
      </c>
      <c r="N1772">
        <f>ROUND(HEX2DEC(_0811_173439[[#This Row],[58DD]])*G$4/G$5+G$6,2)</f>
        <v>-0.03</v>
      </c>
      <c r="P1772">
        <v>760</v>
      </c>
      <c r="Q1772">
        <v>37</v>
      </c>
      <c r="R1772">
        <v>30</v>
      </c>
      <c r="S1772">
        <v>71</v>
      </c>
      <c r="T1772">
        <v>46</v>
      </c>
      <c r="U1772">
        <v>-0.03</v>
      </c>
      <c r="W1772">
        <f>DataLog_T717420_Aug11_4_59_37pm[[#This Row],[RPM '[1/MIN']]]-Table3[[#This Row],[580C]]</f>
        <v>0</v>
      </c>
      <c r="X1772">
        <f>DataLog_T717420_Aug11_4_59_37pm[[#This Row],[OIL TEMP '[Â°C']]]-Table3[[#This Row],[4402]]</f>
        <v>0</v>
      </c>
      <c r="Y1772">
        <f>DataLog_T717420_Aug11_4_59_37pm[[#This Row],[INTAKE TEMP '[Â°C']]]-Table3[[#This Row],[580F]]</f>
        <v>0</v>
      </c>
      <c r="Z1772">
        <f>DataLog_T717420_Aug11_4_59_37pm[[#This Row],[HPFP PRES. '[BAR']]]-Table3[[#This Row],[58F0]]</f>
        <v>0</v>
      </c>
      <c r="AA1772">
        <f>DataLog_T717420_Aug11_4_59_37pm[[#This Row],[COOLANT TEMP '[Â°C']]]-Table3[[#This Row],[5805]]</f>
        <v>-1</v>
      </c>
      <c r="AB1772">
        <f>DataLog_T717420_Aug11_4_59_37pm[[#This Row],[BOOST '[BAR']]]-Table3[[#This Row],[58DD]]</f>
        <v>0</v>
      </c>
    </row>
    <row r="1773" spans="2:28" x14ac:dyDescent="0.25">
      <c r="B1773" s="2" t="s">
        <v>189</v>
      </c>
      <c r="C1773" s="2" t="s">
        <v>262</v>
      </c>
      <c r="D1773" s="2" t="s">
        <v>151</v>
      </c>
      <c r="E1773" s="2" t="s">
        <v>93</v>
      </c>
      <c r="F1773" s="2" t="s">
        <v>395</v>
      </c>
      <c r="G1773" s="2" t="s">
        <v>255</v>
      </c>
      <c r="I1773">
        <f>HEX2DEC(_0811_173439[[#This Row],[580C]])*B$4/B$5+B$6</f>
        <v>760</v>
      </c>
      <c r="J1773">
        <f>HEX2DEC(_0811_173439[[#This Row],[4402]])*C$4/C$5+C$6</f>
        <v>37</v>
      </c>
      <c r="K1773">
        <f>HEX2DEC(_0811_173439[[#This Row],[580F]])*D$4/D$5+D$6</f>
        <v>30</v>
      </c>
      <c r="L1773">
        <f>ROUND(HEX2DEC(_0811_173439[[#This Row],[58F0]])*E$4/E$5+E$6,0)</f>
        <v>70</v>
      </c>
      <c r="M1773">
        <f>ROUND(HEX2DEC(_0811_173439[[#This Row],[5805]])*F$4/F$5+F$6,0)</f>
        <v>47</v>
      </c>
      <c r="N1773">
        <f>ROUND(HEX2DEC(_0811_173439[[#This Row],[58DD]])*G$4/G$5+G$6,2)</f>
        <v>-0.03</v>
      </c>
      <c r="P1773">
        <v>760</v>
      </c>
      <c r="Q1773">
        <v>37</v>
      </c>
      <c r="R1773">
        <v>30</v>
      </c>
      <c r="S1773">
        <v>70</v>
      </c>
      <c r="T1773">
        <v>46</v>
      </c>
      <c r="U1773">
        <v>-0.03</v>
      </c>
      <c r="W1773">
        <f>DataLog_T717420_Aug11_4_59_37pm[[#This Row],[RPM '[1/MIN']]]-Table3[[#This Row],[580C]]</f>
        <v>0</v>
      </c>
      <c r="X1773">
        <f>DataLog_T717420_Aug11_4_59_37pm[[#This Row],[OIL TEMP '[Â°C']]]-Table3[[#This Row],[4402]]</f>
        <v>0</v>
      </c>
      <c r="Y1773">
        <f>DataLog_T717420_Aug11_4_59_37pm[[#This Row],[INTAKE TEMP '[Â°C']]]-Table3[[#This Row],[580F]]</f>
        <v>0</v>
      </c>
      <c r="Z1773">
        <f>DataLog_T717420_Aug11_4_59_37pm[[#This Row],[HPFP PRES. '[BAR']]]-Table3[[#This Row],[58F0]]</f>
        <v>0</v>
      </c>
      <c r="AA1773">
        <f>DataLog_T717420_Aug11_4_59_37pm[[#This Row],[COOLANT TEMP '[Â°C']]]-Table3[[#This Row],[5805]]</f>
        <v>-1</v>
      </c>
      <c r="AB1773">
        <f>DataLog_T717420_Aug11_4_59_37pm[[#This Row],[BOOST '[BAR']]]-Table3[[#This Row],[58DD]]</f>
        <v>0</v>
      </c>
    </row>
    <row r="1774" spans="2:28" x14ac:dyDescent="0.25">
      <c r="B1774" s="2" t="s">
        <v>189</v>
      </c>
      <c r="C1774" s="2" t="s">
        <v>262</v>
      </c>
      <c r="D1774" s="2" t="s">
        <v>151</v>
      </c>
      <c r="E1774" s="2" t="s">
        <v>156</v>
      </c>
      <c r="F1774" s="2" t="s">
        <v>395</v>
      </c>
      <c r="G1774" s="2" t="s">
        <v>245</v>
      </c>
      <c r="I1774">
        <f>HEX2DEC(_0811_173439[[#This Row],[580C]])*B$4/B$5+B$6</f>
        <v>760</v>
      </c>
      <c r="J1774">
        <f>HEX2DEC(_0811_173439[[#This Row],[4402]])*C$4/C$5+C$6</f>
        <v>37</v>
      </c>
      <c r="K1774">
        <f>HEX2DEC(_0811_173439[[#This Row],[580F]])*D$4/D$5+D$6</f>
        <v>30</v>
      </c>
      <c r="L1774">
        <f>ROUND(HEX2DEC(_0811_173439[[#This Row],[58F0]])*E$4/E$5+E$6,0)</f>
        <v>70</v>
      </c>
      <c r="M1774">
        <f>ROUND(HEX2DEC(_0811_173439[[#This Row],[5805]])*F$4/F$5+F$6,0)</f>
        <v>47</v>
      </c>
      <c r="N1774">
        <f>ROUND(HEX2DEC(_0811_173439[[#This Row],[58DD]])*G$4/G$5+G$6,2)</f>
        <v>-0.03</v>
      </c>
      <c r="P1774">
        <v>760</v>
      </c>
      <c r="Q1774">
        <v>37</v>
      </c>
      <c r="R1774">
        <v>30</v>
      </c>
      <c r="S1774">
        <v>70</v>
      </c>
      <c r="T1774">
        <v>46</v>
      </c>
      <c r="U1774">
        <v>-0.03</v>
      </c>
      <c r="W1774">
        <f>DataLog_T717420_Aug11_4_59_37pm[[#This Row],[RPM '[1/MIN']]]-Table3[[#This Row],[580C]]</f>
        <v>0</v>
      </c>
      <c r="X1774">
        <f>DataLog_T717420_Aug11_4_59_37pm[[#This Row],[OIL TEMP '[Â°C']]]-Table3[[#This Row],[4402]]</f>
        <v>0</v>
      </c>
      <c r="Y1774">
        <f>DataLog_T717420_Aug11_4_59_37pm[[#This Row],[INTAKE TEMP '[Â°C']]]-Table3[[#This Row],[580F]]</f>
        <v>0</v>
      </c>
      <c r="Z1774">
        <f>DataLog_T717420_Aug11_4_59_37pm[[#This Row],[HPFP PRES. '[BAR']]]-Table3[[#This Row],[58F0]]</f>
        <v>0</v>
      </c>
      <c r="AA1774">
        <f>DataLog_T717420_Aug11_4_59_37pm[[#This Row],[COOLANT TEMP '[Â°C']]]-Table3[[#This Row],[5805]]</f>
        <v>-1</v>
      </c>
      <c r="AB1774">
        <f>DataLog_T717420_Aug11_4_59_37pm[[#This Row],[BOOST '[BAR']]]-Table3[[#This Row],[58DD]]</f>
        <v>0</v>
      </c>
    </row>
    <row r="1775" spans="2:28" x14ac:dyDescent="0.25">
      <c r="B1775" s="2" t="s">
        <v>189</v>
      </c>
      <c r="C1775" s="2" t="s">
        <v>262</v>
      </c>
      <c r="D1775" s="2" t="s">
        <v>151</v>
      </c>
      <c r="E1775" s="2" t="s">
        <v>150</v>
      </c>
      <c r="F1775" s="2" t="s">
        <v>395</v>
      </c>
      <c r="G1775" s="2" t="s">
        <v>71</v>
      </c>
      <c r="I1775">
        <f>HEX2DEC(_0811_173439[[#This Row],[580C]])*B$4/B$5+B$6</f>
        <v>760</v>
      </c>
      <c r="J1775">
        <f>HEX2DEC(_0811_173439[[#This Row],[4402]])*C$4/C$5+C$6</f>
        <v>37</v>
      </c>
      <c r="K1775">
        <f>HEX2DEC(_0811_173439[[#This Row],[580F]])*D$4/D$5+D$6</f>
        <v>30</v>
      </c>
      <c r="L1775">
        <f>ROUND(HEX2DEC(_0811_173439[[#This Row],[58F0]])*E$4/E$5+E$6,0)</f>
        <v>70</v>
      </c>
      <c r="M1775">
        <f>ROUND(HEX2DEC(_0811_173439[[#This Row],[5805]])*F$4/F$5+F$6,0)</f>
        <v>47</v>
      </c>
      <c r="N1775">
        <f>ROUND(HEX2DEC(_0811_173439[[#This Row],[58DD]])*G$4/G$5+G$6,2)</f>
        <v>-0.03</v>
      </c>
      <c r="P1775">
        <v>760</v>
      </c>
      <c r="Q1775">
        <v>37</v>
      </c>
      <c r="R1775">
        <v>30</v>
      </c>
      <c r="S1775">
        <v>70</v>
      </c>
      <c r="T1775">
        <v>46</v>
      </c>
      <c r="U1775">
        <v>-0.03</v>
      </c>
      <c r="W1775">
        <f>DataLog_T717420_Aug11_4_59_37pm[[#This Row],[RPM '[1/MIN']]]-Table3[[#This Row],[580C]]</f>
        <v>0</v>
      </c>
      <c r="X1775">
        <f>DataLog_T717420_Aug11_4_59_37pm[[#This Row],[OIL TEMP '[Â°C']]]-Table3[[#This Row],[4402]]</f>
        <v>0</v>
      </c>
      <c r="Y1775">
        <f>DataLog_T717420_Aug11_4_59_37pm[[#This Row],[INTAKE TEMP '[Â°C']]]-Table3[[#This Row],[580F]]</f>
        <v>0</v>
      </c>
      <c r="Z1775">
        <f>DataLog_T717420_Aug11_4_59_37pm[[#This Row],[HPFP PRES. '[BAR']]]-Table3[[#This Row],[58F0]]</f>
        <v>0</v>
      </c>
      <c r="AA1775">
        <f>DataLog_T717420_Aug11_4_59_37pm[[#This Row],[COOLANT TEMP '[Â°C']]]-Table3[[#This Row],[5805]]</f>
        <v>-1</v>
      </c>
      <c r="AB1775">
        <f>DataLog_T717420_Aug11_4_59_37pm[[#This Row],[BOOST '[BAR']]]-Table3[[#This Row],[58DD]]</f>
        <v>0</v>
      </c>
    </row>
    <row r="1776" spans="2:28" x14ac:dyDescent="0.25">
      <c r="B1776" s="2" t="s">
        <v>189</v>
      </c>
      <c r="C1776" s="2" t="s">
        <v>262</v>
      </c>
      <c r="D1776" s="2" t="s">
        <v>151</v>
      </c>
      <c r="E1776" s="2" t="s">
        <v>93</v>
      </c>
      <c r="F1776" s="2" t="s">
        <v>395</v>
      </c>
      <c r="G1776" s="2" t="s">
        <v>213</v>
      </c>
      <c r="I1776">
        <f>HEX2DEC(_0811_173439[[#This Row],[580C]])*B$4/B$5+B$6</f>
        <v>760</v>
      </c>
      <c r="J1776">
        <f>HEX2DEC(_0811_173439[[#This Row],[4402]])*C$4/C$5+C$6</f>
        <v>37</v>
      </c>
      <c r="K1776">
        <f>HEX2DEC(_0811_173439[[#This Row],[580F]])*D$4/D$5+D$6</f>
        <v>30</v>
      </c>
      <c r="L1776">
        <f>ROUND(HEX2DEC(_0811_173439[[#This Row],[58F0]])*E$4/E$5+E$6,0)</f>
        <v>70</v>
      </c>
      <c r="M1776">
        <f>ROUND(HEX2DEC(_0811_173439[[#This Row],[5805]])*F$4/F$5+F$6,0)</f>
        <v>47</v>
      </c>
      <c r="N1776">
        <f>ROUND(HEX2DEC(_0811_173439[[#This Row],[58DD]])*G$4/G$5+G$6,2)</f>
        <v>-0.03</v>
      </c>
      <c r="P1776">
        <v>760</v>
      </c>
      <c r="Q1776">
        <v>37</v>
      </c>
      <c r="R1776">
        <v>30</v>
      </c>
      <c r="S1776">
        <v>70</v>
      </c>
      <c r="T1776">
        <v>46</v>
      </c>
      <c r="U1776">
        <v>-0.03</v>
      </c>
      <c r="W1776">
        <f>DataLog_T717420_Aug11_4_59_37pm[[#This Row],[RPM '[1/MIN']]]-Table3[[#This Row],[580C]]</f>
        <v>0</v>
      </c>
      <c r="X1776">
        <f>DataLog_T717420_Aug11_4_59_37pm[[#This Row],[OIL TEMP '[Â°C']]]-Table3[[#This Row],[4402]]</f>
        <v>0</v>
      </c>
      <c r="Y1776">
        <f>DataLog_T717420_Aug11_4_59_37pm[[#This Row],[INTAKE TEMP '[Â°C']]]-Table3[[#This Row],[580F]]</f>
        <v>0</v>
      </c>
      <c r="Z1776">
        <f>DataLog_T717420_Aug11_4_59_37pm[[#This Row],[HPFP PRES. '[BAR']]]-Table3[[#This Row],[58F0]]</f>
        <v>0</v>
      </c>
      <c r="AA1776">
        <f>DataLog_T717420_Aug11_4_59_37pm[[#This Row],[COOLANT TEMP '[Â°C']]]-Table3[[#This Row],[5805]]</f>
        <v>-1</v>
      </c>
      <c r="AB1776">
        <f>DataLog_T717420_Aug11_4_59_37pm[[#This Row],[BOOST '[BAR']]]-Table3[[#This Row],[58DD]]</f>
        <v>0</v>
      </c>
    </row>
    <row r="1777" spans="2:28" x14ac:dyDescent="0.25">
      <c r="B1777" s="2" t="s">
        <v>189</v>
      </c>
      <c r="C1777" s="2" t="s">
        <v>262</v>
      </c>
      <c r="D1777" s="2" t="s">
        <v>151</v>
      </c>
      <c r="E1777" s="2" t="s">
        <v>254</v>
      </c>
      <c r="F1777" s="2" t="s">
        <v>395</v>
      </c>
      <c r="G1777" s="2" t="s">
        <v>245</v>
      </c>
      <c r="I1777">
        <f>HEX2DEC(_0811_173439[[#This Row],[580C]])*B$4/B$5+B$6</f>
        <v>760</v>
      </c>
      <c r="J1777">
        <f>HEX2DEC(_0811_173439[[#This Row],[4402]])*C$4/C$5+C$6</f>
        <v>37</v>
      </c>
      <c r="K1777">
        <f>HEX2DEC(_0811_173439[[#This Row],[580F]])*D$4/D$5+D$6</f>
        <v>30</v>
      </c>
      <c r="L1777">
        <f>ROUND(HEX2DEC(_0811_173439[[#This Row],[58F0]])*E$4/E$5+E$6,0)</f>
        <v>70</v>
      </c>
      <c r="M1777">
        <f>ROUND(HEX2DEC(_0811_173439[[#This Row],[5805]])*F$4/F$5+F$6,0)</f>
        <v>47</v>
      </c>
      <c r="N1777">
        <f>ROUND(HEX2DEC(_0811_173439[[#This Row],[58DD]])*G$4/G$5+G$6,2)</f>
        <v>-0.03</v>
      </c>
      <c r="P1777">
        <v>760</v>
      </c>
      <c r="Q1777">
        <v>37</v>
      </c>
      <c r="R1777">
        <v>30</v>
      </c>
      <c r="S1777">
        <v>70</v>
      </c>
      <c r="T1777">
        <v>46</v>
      </c>
      <c r="U1777">
        <v>-0.03</v>
      </c>
      <c r="W1777">
        <f>DataLog_T717420_Aug11_4_59_37pm[[#This Row],[RPM '[1/MIN']]]-Table3[[#This Row],[580C]]</f>
        <v>0</v>
      </c>
      <c r="X1777">
        <f>DataLog_T717420_Aug11_4_59_37pm[[#This Row],[OIL TEMP '[Â°C']]]-Table3[[#This Row],[4402]]</f>
        <v>0</v>
      </c>
      <c r="Y1777">
        <f>DataLog_T717420_Aug11_4_59_37pm[[#This Row],[INTAKE TEMP '[Â°C']]]-Table3[[#This Row],[580F]]</f>
        <v>0</v>
      </c>
      <c r="Z1777">
        <f>DataLog_T717420_Aug11_4_59_37pm[[#This Row],[HPFP PRES. '[BAR']]]-Table3[[#This Row],[58F0]]</f>
        <v>0</v>
      </c>
      <c r="AA1777">
        <f>DataLog_T717420_Aug11_4_59_37pm[[#This Row],[COOLANT TEMP '[Â°C']]]-Table3[[#This Row],[5805]]</f>
        <v>-1</v>
      </c>
      <c r="AB1777">
        <f>DataLog_T717420_Aug11_4_59_37pm[[#This Row],[BOOST '[BAR']]]-Table3[[#This Row],[58DD]]</f>
        <v>0</v>
      </c>
    </row>
    <row r="1778" spans="2:28" x14ac:dyDescent="0.25">
      <c r="B1778" s="2" t="s">
        <v>189</v>
      </c>
      <c r="C1778" s="2" t="s">
        <v>262</v>
      </c>
      <c r="D1778" s="2" t="s">
        <v>151</v>
      </c>
      <c r="E1778" s="2" t="s">
        <v>153</v>
      </c>
      <c r="F1778" s="2" t="s">
        <v>395</v>
      </c>
      <c r="G1778" s="2" t="s">
        <v>71</v>
      </c>
      <c r="I1778">
        <f>HEX2DEC(_0811_173439[[#This Row],[580C]])*B$4/B$5+B$6</f>
        <v>760</v>
      </c>
      <c r="J1778">
        <f>HEX2DEC(_0811_173439[[#This Row],[4402]])*C$4/C$5+C$6</f>
        <v>37</v>
      </c>
      <c r="K1778">
        <f>HEX2DEC(_0811_173439[[#This Row],[580F]])*D$4/D$5+D$6</f>
        <v>30</v>
      </c>
      <c r="L1778">
        <f>ROUND(HEX2DEC(_0811_173439[[#This Row],[58F0]])*E$4/E$5+E$6,0)</f>
        <v>70</v>
      </c>
      <c r="M1778">
        <f>ROUND(HEX2DEC(_0811_173439[[#This Row],[5805]])*F$4/F$5+F$6,0)</f>
        <v>47</v>
      </c>
      <c r="N1778">
        <f>ROUND(HEX2DEC(_0811_173439[[#This Row],[58DD]])*G$4/G$5+G$6,2)</f>
        <v>-0.03</v>
      </c>
      <c r="P1778">
        <v>760</v>
      </c>
      <c r="Q1778">
        <v>37</v>
      </c>
      <c r="R1778">
        <v>30</v>
      </c>
      <c r="S1778">
        <v>70</v>
      </c>
      <c r="T1778">
        <v>46</v>
      </c>
      <c r="U1778">
        <v>-0.03</v>
      </c>
      <c r="W1778">
        <f>DataLog_T717420_Aug11_4_59_37pm[[#This Row],[RPM '[1/MIN']]]-Table3[[#This Row],[580C]]</f>
        <v>0</v>
      </c>
      <c r="X1778">
        <f>DataLog_T717420_Aug11_4_59_37pm[[#This Row],[OIL TEMP '[Â°C']]]-Table3[[#This Row],[4402]]</f>
        <v>0</v>
      </c>
      <c r="Y1778">
        <f>DataLog_T717420_Aug11_4_59_37pm[[#This Row],[INTAKE TEMP '[Â°C']]]-Table3[[#This Row],[580F]]</f>
        <v>0</v>
      </c>
      <c r="Z1778">
        <f>DataLog_T717420_Aug11_4_59_37pm[[#This Row],[HPFP PRES. '[BAR']]]-Table3[[#This Row],[58F0]]</f>
        <v>0</v>
      </c>
      <c r="AA1778">
        <f>DataLog_T717420_Aug11_4_59_37pm[[#This Row],[COOLANT TEMP '[Â°C']]]-Table3[[#This Row],[5805]]</f>
        <v>-1</v>
      </c>
      <c r="AB1778">
        <f>DataLog_T717420_Aug11_4_59_37pm[[#This Row],[BOOST '[BAR']]]-Table3[[#This Row],[58DD]]</f>
        <v>0</v>
      </c>
    </row>
    <row r="1779" spans="2:28" x14ac:dyDescent="0.25">
      <c r="B1779" s="2" t="s">
        <v>189</v>
      </c>
      <c r="C1779" s="2" t="s">
        <v>262</v>
      </c>
      <c r="D1779" s="2" t="s">
        <v>151</v>
      </c>
      <c r="E1779" s="2" t="s">
        <v>93</v>
      </c>
      <c r="F1779" s="2" t="s">
        <v>395</v>
      </c>
      <c r="G1779" s="2" t="s">
        <v>71</v>
      </c>
      <c r="I1779">
        <f>HEX2DEC(_0811_173439[[#This Row],[580C]])*B$4/B$5+B$6</f>
        <v>760</v>
      </c>
      <c r="J1779">
        <f>HEX2DEC(_0811_173439[[#This Row],[4402]])*C$4/C$5+C$6</f>
        <v>37</v>
      </c>
      <c r="K1779">
        <f>HEX2DEC(_0811_173439[[#This Row],[580F]])*D$4/D$5+D$6</f>
        <v>30</v>
      </c>
      <c r="L1779">
        <f>ROUND(HEX2DEC(_0811_173439[[#This Row],[58F0]])*E$4/E$5+E$6,0)</f>
        <v>70</v>
      </c>
      <c r="M1779">
        <f>ROUND(HEX2DEC(_0811_173439[[#This Row],[5805]])*F$4/F$5+F$6,0)</f>
        <v>47</v>
      </c>
      <c r="N1779">
        <f>ROUND(HEX2DEC(_0811_173439[[#This Row],[58DD]])*G$4/G$5+G$6,2)</f>
        <v>-0.03</v>
      </c>
      <c r="P1779">
        <v>760</v>
      </c>
      <c r="Q1779">
        <v>37</v>
      </c>
      <c r="R1779">
        <v>30</v>
      </c>
      <c r="S1779">
        <v>70</v>
      </c>
      <c r="T1779">
        <v>46</v>
      </c>
      <c r="U1779">
        <v>-0.03</v>
      </c>
      <c r="W1779">
        <f>DataLog_T717420_Aug11_4_59_37pm[[#This Row],[RPM '[1/MIN']]]-Table3[[#This Row],[580C]]</f>
        <v>0</v>
      </c>
      <c r="X1779">
        <f>DataLog_T717420_Aug11_4_59_37pm[[#This Row],[OIL TEMP '[Â°C']]]-Table3[[#This Row],[4402]]</f>
        <v>0</v>
      </c>
      <c r="Y1779">
        <f>DataLog_T717420_Aug11_4_59_37pm[[#This Row],[INTAKE TEMP '[Â°C']]]-Table3[[#This Row],[580F]]</f>
        <v>0</v>
      </c>
      <c r="Z1779">
        <f>DataLog_T717420_Aug11_4_59_37pm[[#This Row],[HPFP PRES. '[BAR']]]-Table3[[#This Row],[58F0]]</f>
        <v>0</v>
      </c>
      <c r="AA1779">
        <f>DataLog_T717420_Aug11_4_59_37pm[[#This Row],[COOLANT TEMP '[Â°C']]]-Table3[[#This Row],[5805]]</f>
        <v>-1</v>
      </c>
      <c r="AB1779">
        <f>DataLog_T717420_Aug11_4_59_37pm[[#This Row],[BOOST '[BAR']]]-Table3[[#This Row],[58DD]]</f>
        <v>0</v>
      </c>
    </row>
    <row r="1780" spans="2:28" x14ac:dyDescent="0.25">
      <c r="B1780" s="2" t="s">
        <v>189</v>
      </c>
      <c r="C1780" s="2" t="s">
        <v>262</v>
      </c>
      <c r="D1780" s="2" t="s">
        <v>151</v>
      </c>
      <c r="E1780" s="2" t="s">
        <v>139</v>
      </c>
      <c r="F1780" s="2" t="s">
        <v>395</v>
      </c>
      <c r="G1780" s="2" t="s">
        <v>53</v>
      </c>
      <c r="I1780">
        <f>HEX2DEC(_0811_173439[[#This Row],[580C]])*B$4/B$5+B$6</f>
        <v>760</v>
      </c>
      <c r="J1780">
        <f>HEX2DEC(_0811_173439[[#This Row],[4402]])*C$4/C$5+C$6</f>
        <v>37</v>
      </c>
      <c r="K1780">
        <f>HEX2DEC(_0811_173439[[#This Row],[580F]])*D$4/D$5+D$6</f>
        <v>30</v>
      </c>
      <c r="L1780">
        <f>ROUND(HEX2DEC(_0811_173439[[#This Row],[58F0]])*E$4/E$5+E$6,0)</f>
        <v>71</v>
      </c>
      <c r="M1780">
        <f>ROUND(HEX2DEC(_0811_173439[[#This Row],[5805]])*F$4/F$5+F$6,0)</f>
        <v>47</v>
      </c>
      <c r="N1780">
        <f>ROUND(HEX2DEC(_0811_173439[[#This Row],[58DD]])*G$4/G$5+G$6,2)</f>
        <v>-0.03</v>
      </c>
      <c r="P1780">
        <v>760</v>
      </c>
      <c r="Q1780">
        <v>37</v>
      </c>
      <c r="R1780">
        <v>30</v>
      </c>
      <c r="S1780">
        <v>71</v>
      </c>
      <c r="T1780">
        <v>46</v>
      </c>
      <c r="U1780">
        <v>-0.03</v>
      </c>
      <c r="W1780">
        <f>DataLog_T717420_Aug11_4_59_37pm[[#This Row],[RPM '[1/MIN']]]-Table3[[#This Row],[580C]]</f>
        <v>0</v>
      </c>
      <c r="X1780">
        <f>DataLog_T717420_Aug11_4_59_37pm[[#This Row],[OIL TEMP '[Â°C']]]-Table3[[#This Row],[4402]]</f>
        <v>0</v>
      </c>
      <c r="Y1780">
        <f>DataLog_T717420_Aug11_4_59_37pm[[#This Row],[INTAKE TEMP '[Â°C']]]-Table3[[#This Row],[580F]]</f>
        <v>0</v>
      </c>
      <c r="Z1780">
        <f>DataLog_T717420_Aug11_4_59_37pm[[#This Row],[HPFP PRES. '[BAR']]]-Table3[[#This Row],[58F0]]</f>
        <v>0</v>
      </c>
      <c r="AA1780">
        <f>DataLog_T717420_Aug11_4_59_37pm[[#This Row],[COOLANT TEMP '[Â°C']]]-Table3[[#This Row],[5805]]</f>
        <v>-1</v>
      </c>
      <c r="AB1780">
        <f>DataLog_T717420_Aug11_4_59_37pm[[#This Row],[BOOST '[BAR']]]-Table3[[#This Row],[58DD]]</f>
        <v>0</v>
      </c>
    </row>
    <row r="1781" spans="2:28" x14ac:dyDescent="0.25">
      <c r="B1781" s="2" t="s">
        <v>189</v>
      </c>
      <c r="C1781" s="2" t="s">
        <v>262</v>
      </c>
      <c r="D1781" s="2" t="s">
        <v>151</v>
      </c>
      <c r="E1781" s="2" t="s">
        <v>93</v>
      </c>
      <c r="F1781" s="2" t="s">
        <v>395</v>
      </c>
      <c r="G1781" s="2" t="s">
        <v>191</v>
      </c>
      <c r="I1781">
        <f>HEX2DEC(_0811_173439[[#This Row],[580C]])*B$4/B$5+B$6</f>
        <v>760</v>
      </c>
      <c r="J1781">
        <f>HEX2DEC(_0811_173439[[#This Row],[4402]])*C$4/C$5+C$6</f>
        <v>37</v>
      </c>
      <c r="K1781">
        <f>HEX2DEC(_0811_173439[[#This Row],[580F]])*D$4/D$5+D$6</f>
        <v>30</v>
      </c>
      <c r="L1781">
        <f>ROUND(HEX2DEC(_0811_173439[[#This Row],[58F0]])*E$4/E$5+E$6,0)</f>
        <v>70</v>
      </c>
      <c r="M1781">
        <f>ROUND(HEX2DEC(_0811_173439[[#This Row],[5805]])*F$4/F$5+F$6,0)</f>
        <v>47</v>
      </c>
      <c r="N1781">
        <f>ROUND(HEX2DEC(_0811_173439[[#This Row],[58DD]])*G$4/G$5+G$6,2)</f>
        <v>-0.03</v>
      </c>
      <c r="P1781">
        <v>760</v>
      </c>
      <c r="Q1781">
        <v>37</v>
      </c>
      <c r="R1781">
        <v>30</v>
      </c>
      <c r="S1781">
        <v>70</v>
      </c>
      <c r="T1781">
        <v>46</v>
      </c>
      <c r="U1781">
        <v>-0.03</v>
      </c>
      <c r="W1781">
        <f>DataLog_T717420_Aug11_4_59_37pm[[#This Row],[RPM '[1/MIN']]]-Table3[[#This Row],[580C]]</f>
        <v>0</v>
      </c>
      <c r="X1781">
        <f>DataLog_T717420_Aug11_4_59_37pm[[#This Row],[OIL TEMP '[Â°C']]]-Table3[[#This Row],[4402]]</f>
        <v>0</v>
      </c>
      <c r="Y1781">
        <f>DataLog_T717420_Aug11_4_59_37pm[[#This Row],[INTAKE TEMP '[Â°C']]]-Table3[[#This Row],[580F]]</f>
        <v>0</v>
      </c>
      <c r="Z1781">
        <f>DataLog_T717420_Aug11_4_59_37pm[[#This Row],[HPFP PRES. '[BAR']]]-Table3[[#This Row],[58F0]]</f>
        <v>0</v>
      </c>
      <c r="AA1781">
        <f>DataLog_T717420_Aug11_4_59_37pm[[#This Row],[COOLANT TEMP '[Â°C']]]-Table3[[#This Row],[5805]]</f>
        <v>-1</v>
      </c>
      <c r="AB1781">
        <f>DataLog_T717420_Aug11_4_59_37pm[[#This Row],[BOOST '[BAR']]]-Table3[[#This Row],[58DD]]</f>
        <v>0</v>
      </c>
    </row>
    <row r="1782" spans="2:28" x14ac:dyDescent="0.25">
      <c r="B1782" s="2" t="s">
        <v>189</v>
      </c>
      <c r="C1782" s="2" t="s">
        <v>262</v>
      </c>
      <c r="D1782" s="2" t="s">
        <v>151</v>
      </c>
      <c r="E1782" s="2" t="s">
        <v>93</v>
      </c>
      <c r="F1782" s="2" t="s">
        <v>395</v>
      </c>
      <c r="G1782" s="2" t="s">
        <v>96</v>
      </c>
      <c r="I1782">
        <f>HEX2DEC(_0811_173439[[#This Row],[580C]])*B$4/B$5+B$6</f>
        <v>760</v>
      </c>
      <c r="J1782">
        <f>HEX2DEC(_0811_173439[[#This Row],[4402]])*C$4/C$5+C$6</f>
        <v>37</v>
      </c>
      <c r="K1782">
        <f>HEX2DEC(_0811_173439[[#This Row],[580F]])*D$4/D$5+D$6</f>
        <v>30</v>
      </c>
      <c r="L1782">
        <f>ROUND(HEX2DEC(_0811_173439[[#This Row],[58F0]])*E$4/E$5+E$6,0)</f>
        <v>70</v>
      </c>
      <c r="M1782">
        <f>ROUND(HEX2DEC(_0811_173439[[#This Row],[5805]])*F$4/F$5+F$6,0)</f>
        <v>47</v>
      </c>
      <c r="N1782">
        <f>ROUND(HEX2DEC(_0811_173439[[#This Row],[58DD]])*G$4/G$5+G$6,2)</f>
        <v>-0.03</v>
      </c>
      <c r="P1782">
        <v>760</v>
      </c>
      <c r="Q1782">
        <v>37</v>
      </c>
      <c r="R1782">
        <v>30</v>
      </c>
      <c r="S1782">
        <v>70</v>
      </c>
      <c r="T1782">
        <v>46</v>
      </c>
      <c r="U1782">
        <v>-0.03</v>
      </c>
      <c r="W1782">
        <f>DataLog_T717420_Aug11_4_59_37pm[[#This Row],[RPM '[1/MIN']]]-Table3[[#This Row],[580C]]</f>
        <v>0</v>
      </c>
      <c r="X1782">
        <f>DataLog_T717420_Aug11_4_59_37pm[[#This Row],[OIL TEMP '[Â°C']]]-Table3[[#This Row],[4402]]</f>
        <v>0</v>
      </c>
      <c r="Y1782">
        <f>DataLog_T717420_Aug11_4_59_37pm[[#This Row],[INTAKE TEMP '[Â°C']]]-Table3[[#This Row],[580F]]</f>
        <v>0</v>
      </c>
      <c r="Z1782">
        <f>DataLog_T717420_Aug11_4_59_37pm[[#This Row],[HPFP PRES. '[BAR']]]-Table3[[#This Row],[58F0]]</f>
        <v>0</v>
      </c>
      <c r="AA1782">
        <f>DataLog_T717420_Aug11_4_59_37pm[[#This Row],[COOLANT TEMP '[Â°C']]]-Table3[[#This Row],[5805]]</f>
        <v>-1</v>
      </c>
      <c r="AB1782">
        <f>DataLog_T717420_Aug11_4_59_37pm[[#This Row],[BOOST '[BAR']]]-Table3[[#This Row],[58DD]]</f>
        <v>0</v>
      </c>
    </row>
    <row r="1783" spans="2:28" x14ac:dyDescent="0.25">
      <c r="B1783" s="2" t="s">
        <v>189</v>
      </c>
      <c r="C1783" s="2" t="s">
        <v>262</v>
      </c>
      <c r="D1783" s="2" t="s">
        <v>151</v>
      </c>
      <c r="E1783" s="2" t="s">
        <v>122</v>
      </c>
      <c r="F1783" s="2" t="s">
        <v>395</v>
      </c>
      <c r="G1783" s="2" t="s">
        <v>71</v>
      </c>
      <c r="I1783">
        <f>HEX2DEC(_0811_173439[[#This Row],[580C]])*B$4/B$5+B$6</f>
        <v>760</v>
      </c>
      <c r="J1783">
        <f>HEX2DEC(_0811_173439[[#This Row],[4402]])*C$4/C$5+C$6</f>
        <v>37</v>
      </c>
      <c r="K1783">
        <f>HEX2DEC(_0811_173439[[#This Row],[580F]])*D$4/D$5+D$6</f>
        <v>30</v>
      </c>
      <c r="L1783">
        <f>ROUND(HEX2DEC(_0811_173439[[#This Row],[58F0]])*E$4/E$5+E$6,0)</f>
        <v>71</v>
      </c>
      <c r="M1783">
        <f>ROUND(HEX2DEC(_0811_173439[[#This Row],[5805]])*F$4/F$5+F$6,0)</f>
        <v>47</v>
      </c>
      <c r="N1783">
        <f>ROUND(HEX2DEC(_0811_173439[[#This Row],[58DD]])*G$4/G$5+G$6,2)</f>
        <v>-0.03</v>
      </c>
      <c r="P1783">
        <v>760</v>
      </c>
      <c r="Q1783">
        <v>37</v>
      </c>
      <c r="R1783">
        <v>30</v>
      </c>
      <c r="S1783">
        <v>71</v>
      </c>
      <c r="T1783">
        <v>46</v>
      </c>
      <c r="U1783">
        <v>-0.03</v>
      </c>
      <c r="W1783">
        <f>DataLog_T717420_Aug11_4_59_37pm[[#This Row],[RPM '[1/MIN']]]-Table3[[#This Row],[580C]]</f>
        <v>0</v>
      </c>
      <c r="X1783">
        <f>DataLog_T717420_Aug11_4_59_37pm[[#This Row],[OIL TEMP '[Â°C']]]-Table3[[#This Row],[4402]]</f>
        <v>0</v>
      </c>
      <c r="Y1783">
        <f>DataLog_T717420_Aug11_4_59_37pm[[#This Row],[INTAKE TEMP '[Â°C']]]-Table3[[#This Row],[580F]]</f>
        <v>0</v>
      </c>
      <c r="Z1783">
        <f>DataLog_T717420_Aug11_4_59_37pm[[#This Row],[HPFP PRES. '[BAR']]]-Table3[[#This Row],[58F0]]</f>
        <v>0</v>
      </c>
      <c r="AA1783">
        <f>DataLog_T717420_Aug11_4_59_37pm[[#This Row],[COOLANT TEMP '[Â°C']]]-Table3[[#This Row],[5805]]</f>
        <v>-1</v>
      </c>
      <c r="AB1783">
        <f>DataLog_T717420_Aug11_4_59_37pm[[#This Row],[BOOST '[BAR']]]-Table3[[#This Row],[58DD]]</f>
        <v>0</v>
      </c>
    </row>
    <row r="1784" spans="2:28" x14ac:dyDescent="0.25">
      <c r="B1784" s="2" t="s">
        <v>189</v>
      </c>
      <c r="C1784" s="2" t="s">
        <v>262</v>
      </c>
      <c r="D1784" s="2" t="s">
        <v>151</v>
      </c>
      <c r="E1784" s="2" t="s">
        <v>121</v>
      </c>
      <c r="F1784" s="2" t="s">
        <v>395</v>
      </c>
      <c r="G1784" s="2" t="s">
        <v>53</v>
      </c>
      <c r="I1784">
        <f>HEX2DEC(_0811_173439[[#This Row],[580C]])*B$4/B$5+B$6</f>
        <v>760</v>
      </c>
      <c r="J1784">
        <f>HEX2DEC(_0811_173439[[#This Row],[4402]])*C$4/C$5+C$6</f>
        <v>37</v>
      </c>
      <c r="K1784">
        <f>HEX2DEC(_0811_173439[[#This Row],[580F]])*D$4/D$5+D$6</f>
        <v>30</v>
      </c>
      <c r="L1784">
        <f>ROUND(HEX2DEC(_0811_173439[[#This Row],[58F0]])*E$4/E$5+E$6,0)</f>
        <v>71</v>
      </c>
      <c r="M1784">
        <f>ROUND(HEX2DEC(_0811_173439[[#This Row],[5805]])*F$4/F$5+F$6,0)</f>
        <v>47</v>
      </c>
      <c r="N1784">
        <f>ROUND(HEX2DEC(_0811_173439[[#This Row],[58DD]])*G$4/G$5+G$6,2)</f>
        <v>-0.03</v>
      </c>
      <c r="P1784">
        <v>760</v>
      </c>
      <c r="Q1784">
        <v>37</v>
      </c>
      <c r="R1784">
        <v>30</v>
      </c>
      <c r="S1784">
        <v>71</v>
      </c>
      <c r="T1784">
        <v>46</v>
      </c>
      <c r="U1784">
        <v>-0.03</v>
      </c>
      <c r="W1784">
        <f>DataLog_T717420_Aug11_4_59_37pm[[#This Row],[RPM '[1/MIN']]]-Table3[[#This Row],[580C]]</f>
        <v>0</v>
      </c>
      <c r="X1784">
        <f>DataLog_T717420_Aug11_4_59_37pm[[#This Row],[OIL TEMP '[Â°C']]]-Table3[[#This Row],[4402]]</f>
        <v>0</v>
      </c>
      <c r="Y1784">
        <f>DataLog_T717420_Aug11_4_59_37pm[[#This Row],[INTAKE TEMP '[Â°C']]]-Table3[[#This Row],[580F]]</f>
        <v>0</v>
      </c>
      <c r="Z1784">
        <f>DataLog_T717420_Aug11_4_59_37pm[[#This Row],[HPFP PRES. '[BAR']]]-Table3[[#This Row],[58F0]]</f>
        <v>0</v>
      </c>
      <c r="AA1784">
        <f>DataLog_T717420_Aug11_4_59_37pm[[#This Row],[COOLANT TEMP '[Â°C']]]-Table3[[#This Row],[5805]]</f>
        <v>-1</v>
      </c>
      <c r="AB1784">
        <f>DataLog_T717420_Aug11_4_59_37pm[[#This Row],[BOOST '[BAR']]]-Table3[[#This Row],[58DD]]</f>
        <v>0</v>
      </c>
    </row>
    <row r="1785" spans="2:28" x14ac:dyDescent="0.25">
      <c r="B1785" s="2" t="s">
        <v>189</v>
      </c>
      <c r="C1785" s="2" t="s">
        <v>262</v>
      </c>
      <c r="D1785" s="2" t="s">
        <v>151</v>
      </c>
      <c r="E1785" s="2" t="s">
        <v>93</v>
      </c>
      <c r="F1785" s="2" t="s">
        <v>395</v>
      </c>
      <c r="G1785" s="2" t="s">
        <v>216</v>
      </c>
      <c r="I1785">
        <f>HEX2DEC(_0811_173439[[#This Row],[580C]])*B$4/B$5+B$6</f>
        <v>760</v>
      </c>
      <c r="J1785">
        <f>HEX2DEC(_0811_173439[[#This Row],[4402]])*C$4/C$5+C$6</f>
        <v>37</v>
      </c>
      <c r="K1785">
        <f>HEX2DEC(_0811_173439[[#This Row],[580F]])*D$4/D$5+D$6</f>
        <v>30</v>
      </c>
      <c r="L1785">
        <f>ROUND(HEX2DEC(_0811_173439[[#This Row],[58F0]])*E$4/E$5+E$6,0)</f>
        <v>70</v>
      </c>
      <c r="M1785">
        <f>ROUND(HEX2DEC(_0811_173439[[#This Row],[5805]])*F$4/F$5+F$6,0)</f>
        <v>47</v>
      </c>
      <c r="N1785">
        <f>ROUND(HEX2DEC(_0811_173439[[#This Row],[58DD]])*G$4/G$5+G$6,2)</f>
        <v>-0.03</v>
      </c>
      <c r="P1785">
        <v>760</v>
      </c>
      <c r="Q1785">
        <v>37</v>
      </c>
      <c r="R1785">
        <v>30</v>
      </c>
      <c r="S1785">
        <v>70</v>
      </c>
      <c r="T1785">
        <v>46</v>
      </c>
      <c r="U1785">
        <v>-0.03</v>
      </c>
      <c r="W1785">
        <f>DataLog_T717420_Aug11_4_59_37pm[[#This Row],[RPM '[1/MIN']]]-Table3[[#This Row],[580C]]</f>
        <v>0</v>
      </c>
      <c r="X1785">
        <f>DataLog_T717420_Aug11_4_59_37pm[[#This Row],[OIL TEMP '[Â°C']]]-Table3[[#This Row],[4402]]</f>
        <v>0</v>
      </c>
      <c r="Y1785">
        <f>DataLog_T717420_Aug11_4_59_37pm[[#This Row],[INTAKE TEMP '[Â°C']]]-Table3[[#This Row],[580F]]</f>
        <v>0</v>
      </c>
      <c r="Z1785">
        <f>DataLog_T717420_Aug11_4_59_37pm[[#This Row],[HPFP PRES. '[BAR']]]-Table3[[#This Row],[58F0]]</f>
        <v>0</v>
      </c>
      <c r="AA1785">
        <f>DataLog_T717420_Aug11_4_59_37pm[[#This Row],[COOLANT TEMP '[Â°C']]]-Table3[[#This Row],[5805]]</f>
        <v>-1</v>
      </c>
      <c r="AB1785">
        <f>DataLog_T717420_Aug11_4_59_37pm[[#This Row],[BOOST '[BAR']]]-Table3[[#This Row],[58DD]]</f>
        <v>0</v>
      </c>
    </row>
    <row r="1786" spans="2:28" x14ac:dyDescent="0.25">
      <c r="B1786" s="2" t="s">
        <v>189</v>
      </c>
      <c r="C1786" s="2" t="s">
        <v>262</v>
      </c>
      <c r="D1786" s="2" t="s">
        <v>151</v>
      </c>
      <c r="E1786" s="2" t="s">
        <v>122</v>
      </c>
      <c r="F1786" s="2" t="s">
        <v>395</v>
      </c>
      <c r="G1786" s="2" t="s">
        <v>96</v>
      </c>
      <c r="I1786">
        <f>HEX2DEC(_0811_173439[[#This Row],[580C]])*B$4/B$5+B$6</f>
        <v>760</v>
      </c>
      <c r="J1786">
        <f>HEX2DEC(_0811_173439[[#This Row],[4402]])*C$4/C$5+C$6</f>
        <v>37</v>
      </c>
      <c r="K1786">
        <f>HEX2DEC(_0811_173439[[#This Row],[580F]])*D$4/D$5+D$6</f>
        <v>30</v>
      </c>
      <c r="L1786">
        <f>ROUND(HEX2DEC(_0811_173439[[#This Row],[58F0]])*E$4/E$5+E$6,0)</f>
        <v>71</v>
      </c>
      <c r="M1786">
        <f>ROUND(HEX2DEC(_0811_173439[[#This Row],[5805]])*F$4/F$5+F$6,0)</f>
        <v>47</v>
      </c>
      <c r="N1786">
        <f>ROUND(HEX2DEC(_0811_173439[[#This Row],[58DD]])*G$4/G$5+G$6,2)</f>
        <v>-0.03</v>
      </c>
      <c r="P1786">
        <v>760</v>
      </c>
      <c r="Q1786">
        <v>37</v>
      </c>
      <c r="R1786">
        <v>30</v>
      </c>
      <c r="S1786">
        <v>71</v>
      </c>
      <c r="T1786">
        <v>46</v>
      </c>
      <c r="U1786">
        <v>-0.03</v>
      </c>
      <c r="W1786">
        <f>DataLog_T717420_Aug11_4_59_37pm[[#This Row],[RPM '[1/MIN']]]-Table3[[#This Row],[580C]]</f>
        <v>0</v>
      </c>
      <c r="X1786">
        <f>DataLog_T717420_Aug11_4_59_37pm[[#This Row],[OIL TEMP '[Â°C']]]-Table3[[#This Row],[4402]]</f>
        <v>0</v>
      </c>
      <c r="Y1786">
        <f>DataLog_T717420_Aug11_4_59_37pm[[#This Row],[INTAKE TEMP '[Â°C']]]-Table3[[#This Row],[580F]]</f>
        <v>0</v>
      </c>
      <c r="Z1786">
        <f>DataLog_T717420_Aug11_4_59_37pm[[#This Row],[HPFP PRES. '[BAR']]]-Table3[[#This Row],[58F0]]</f>
        <v>0</v>
      </c>
      <c r="AA1786">
        <f>DataLog_T717420_Aug11_4_59_37pm[[#This Row],[COOLANT TEMP '[Â°C']]]-Table3[[#This Row],[5805]]</f>
        <v>-1</v>
      </c>
      <c r="AB1786">
        <f>DataLog_T717420_Aug11_4_59_37pm[[#This Row],[BOOST '[BAR']]]-Table3[[#This Row],[58DD]]</f>
        <v>0</v>
      </c>
    </row>
    <row r="1787" spans="2:28" x14ac:dyDescent="0.25">
      <c r="B1787" s="2" t="s">
        <v>189</v>
      </c>
      <c r="C1787" s="2" t="s">
        <v>262</v>
      </c>
      <c r="D1787" s="2" t="s">
        <v>151</v>
      </c>
      <c r="E1787" s="2" t="s">
        <v>188</v>
      </c>
      <c r="F1787" s="2" t="s">
        <v>395</v>
      </c>
      <c r="G1787" s="2" t="s">
        <v>53</v>
      </c>
      <c r="I1787">
        <f>HEX2DEC(_0811_173439[[#This Row],[580C]])*B$4/B$5+B$6</f>
        <v>760</v>
      </c>
      <c r="J1787">
        <f>HEX2DEC(_0811_173439[[#This Row],[4402]])*C$4/C$5+C$6</f>
        <v>37</v>
      </c>
      <c r="K1787">
        <f>HEX2DEC(_0811_173439[[#This Row],[580F]])*D$4/D$5+D$6</f>
        <v>30</v>
      </c>
      <c r="L1787">
        <f>ROUND(HEX2DEC(_0811_173439[[#This Row],[58F0]])*E$4/E$5+E$6,0)</f>
        <v>71</v>
      </c>
      <c r="M1787">
        <f>ROUND(HEX2DEC(_0811_173439[[#This Row],[5805]])*F$4/F$5+F$6,0)</f>
        <v>47</v>
      </c>
      <c r="N1787">
        <f>ROUND(HEX2DEC(_0811_173439[[#This Row],[58DD]])*G$4/G$5+G$6,2)</f>
        <v>-0.03</v>
      </c>
      <c r="P1787">
        <v>760</v>
      </c>
      <c r="Q1787">
        <v>37</v>
      </c>
      <c r="R1787">
        <v>30</v>
      </c>
      <c r="S1787">
        <v>71</v>
      </c>
      <c r="T1787">
        <v>46</v>
      </c>
      <c r="U1787">
        <v>-0.03</v>
      </c>
      <c r="W1787">
        <f>DataLog_T717420_Aug11_4_59_37pm[[#This Row],[RPM '[1/MIN']]]-Table3[[#This Row],[580C]]</f>
        <v>0</v>
      </c>
      <c r="X1787">
        <f>DataLog_T717420_Aug11_4_59_37pm[[#This Row],[OIL TEMP '[Â°C']]]-Table3[[#This Row],[4402]]</f>
        <v>0</v>
      </c>
      <c r="Y1787">
        <f>DataLog_T717420_Aug11_4_59_37pm[[#This Row],[INTAKE TEMP '[Â°C']]]-Table3[[#This Row],[580F]]</f>
        <v>0</v>
      </c>
      <c r="Z1787">
        <f>DataLog_T717420_Aug11_4_59_37pm[[#This Row],[HPFP PRES. '[BAR']]]-Table3[[#This Row],[58F0]]</f>
        <v>0</v>
      </c>
      <c r="AA1787">
        <f>DataLog_T717420_Aug11_4_59_37pm[[#This Row],[COOLANT TEMP '[Â°C']]]-Table3[[#This Row],[5805]]</f>
        <v>-1</v>
      </c>
      <c r="AB1787">
        <f>DataLog_T717420_Aug11_4_59_37pm[[#This Row],[BOOST '[BAR']]]-Table3[[#This Row],[58DD]]</f>
        <v>0</v>
      </c>
    </row>
    <row r="1788" spans="2:28" x14ac:dyDescent="0.25">
      <c r="B1788" s="2" t="s">
        <v>189</v>
      </c>
      <c r="C1788" s="2" t="s">
        <v>262</v>
      </c>
      <c r="D1788" s="2" t="s">
        <v>151</v>
      </c>
      <c r="E1788" s="2" t="s">
        <v>93</v>
      </c>
      <c r="F1788" s="2" t="s">
        <v>395</v>
      </c>
      <c r="G1788" s="2" t="s">
        <v>236</v>
      </c>
      <c r="I1788">
        <f>HEX2DEC(_0811_173439[[#This Row],[580C]])*B$4/B$5+B$6</f>
        <v>760</v>
      </c>
      <c r="J1788">
        <f>HEX2DEC(_0811_173439[[#This Row],[4402]])*C$4/C$5+C$6</f>
        <v>37</v>
      </c>
      <c r="K1788">
        <f>HEX2DEC(_0811_173439[[#This Row],[580F]])*D$4/D$5+D$6</f>
        <v>30</v>
      </c>
      <c r="L1788">
        <f>ROUND(HEX2DEC(_0811_173439[[#This Row],[58F0]])*E$4/E$5+E$6,0)</f>
        <v>70</v>
      </c>
      <c r="M1788">
        <f>ROUND(HEX2DEC(_0811_173439[[#This Row],[5805]])*F$4/F$5+F$6,0)</f>
        <v>47</v>
      </c>
      <c r="N1788">
        <f>ROUND(HEX2DEC(_0811_173439[[#This Row],[58DD]])*G$4/G$5+G$6,2)</f>
        <v>-0.03</v>
      </c>
      <c r="P1788">
        <v>760</v>
      </c>
      <c r="Q1788">
        <v>37</v>
      </c>
      <c r="R1788">
        <v>30</v>
      </c>
      <c r="S1788">
        <v>70</v>
      </c>
      <c r="T1788">
        <v>46</v>
      </c>
      <c r="U1788">
        <v>-0.03</v>
      </c>
      <c r="W1788">
        <f>DataLog_T717420_Aug11_4_59_37pm[[#This Row],[RPM '[1/MIN']]]-Table3[[#This Row],[580C]]</f>
        <v>0</v>
      </c>
      <c r="X1788">
        <f>DataLog_T717420_Aug11_4_59_37pm[[#This Row],[OIL TEMP '[Â°C']]]-Table3[[#This Row],[4402]]</f>
        <v>0</v>
      </c>
      <c r="Y1788">
        <f>DataLog_T717420_Aug11_4_59_37pm[[#This Row],[INTAKE TEMP '[Â°C']]]-Table3[[#This Row],[580F]]</f>
        <v>0</v>
      </c>
      <c r="Z1788">
        <f>DataLog_T717420_Aug11_4_59_37pm[[#This Row],[HPFP PRES. '[BAR']]]-Table3[[#This Row],[58F0]]</f>
        <v>0</v>
      </c>
      <c r="AA1788">
        <f>DataLog_T717420_Aug11_4_59_37pm[[#This Row],[COOLANT TEMP '[Â°C']]]-Table3[[#This Row],[5805]]</f>
        <v>-1</v>
      </c>
      <c r="AB1788">
        <f>DataLog_T717420_Aug11_4_59_37pm[[#This Row],[BOOST '[BAR']]]-Table3[[#This Row],[58DD]]</f>
        <v>0</v>
      </c>
    </row>
    <row r="1789" spans="2:28" x14ac:dyDescent="0.25">
      <c r="B1789" s="2" t="s">
        <v>189</v>
      </c>
      <c r="C1789" s="2" t="s">
        <v>262</v>
      </c>
      <c r="D1789" s="2" t="s">
        <v>151</v>
      </c>
      <c r="E1789" s="2" t="s">
        <v>122</v>
      </c>
      <c r="F1789" s="2" t="s">
        <v>395</v>
      </c>
      <c r="G1789" s="2" t="s">
        <v>236</v>
      </c>
      <c r="I1789">
        <f>HEX2DEC(_0811_173439[[#This Row],[580C]])*B$4/B$5+B$6</f>
        <v>760</v>
      </c>
      <c r="J1789">
        <f>HEX2DEC(_0811_173439[[#This Row],[4402]])*C$4/C$5+C$6</f>
        <v>37</v>
      </c>
      <c r="K1789">
        <f>HEX2DEC(_0811_173439[[#This Row],[580F]])*D$4/D$5+D$6</f>
        <v>30</v>
      </c>
      <c r="L1789">
        <f>ROUND(HEX2DEC(_0811_173439[[#This Row],[58F0]])*E$4/E$5+E$6,0)</f>
        <v>71</v>
      </c>
      <c r="M1789">
        <f>ROUND(HEX2DEC(_0811_173439[[#This Row],[5805]])*F$4/F$5+F$6,0)</f>
        <v>47</v>
      </c>
      <c r="N1789">
        <f>ROUND(HEX2DEC(_0811_173439[[#This Row],[58DD]])*G$4/G$5+G$6,2)</f>
        <v>-0.03</v>
      </c>
      <c r="P1789">
        <v>760</v>
      </c>
      <c r="Q1789">
        <v>37</v>
      </c>
      <c r="R1789">
        <v>30</v>
      </c>
      <c r="S1789">
        <v>71</v>
      </c>
      <c r="T1789">
        <v>46</v>
      </c>
      <c r="U1789">
        <v>-0.03</v>
      </c>
      <c r="W1789">
        <f>DataLog_T717420_Aug11_4_59_37pm[[#This Row],[RPM '[1/MIN']]]-Table3[[#This Row],[580C]]</f>
        <v>0</v>
      </c>
      <c r="X1789">
        <f>DataLog_T717420_Aug11_4_59_37pm[[#This Row],[OIL TEMP '[Â°C']]]-Table3[[#This Row],[4402]]</f>
        <v>0</v>
      </c>
      <c r="Y1789">
        <f>DataLog_T717420_Aug11_4_59_37pm[[#This Row],[INTAKE TEMP '[Â°C']]]-Table3[[#This Row],[580F]]</f>
        <v>0</v>
      </c>
      <c r="Z1789">
        <f>DataLog_T717420_Aug11_4_59_37pm[[#This Row],[HPFP PRES. '[BAR']]]-Table3[[#This Row],[58F0]]</f>
        <v>0</v>
      </c>
      <c r="AA1789">
        <f>DataLog_T717420_Aug11_4_59_37pm[[#This Row],[COOLANT TEMP '[Â°C']]]-Table3[[#This Row],[5805]]</f>
        <v>-1</v>
      </c>
      <c r="AB1789">
        <f>DataLog_T717420_Aug11_4_59_37pm[[#This Row],[BOOST '[BAR']]]-Table3[[#This Row],[58DD]]</f>
        <v>0</v>
      </c>
    </row>
    <row r="1790" spans="2:28" x14ac:dyDescent="0.25">
      <c r="B1790" s="2" t="s">
        <v>189</v>
      </c>
      <c r="C1790" s="2" t="s">
        <v>262</v>
      </c>
      <c r="D1790" s="2" t="s">
        <v>151</v>
      </c>
      <c r="E1790" s="2" t="s">
        <v>259</v>
      </c>
      <c r="F1790" s="2" t="s">
        <v>395</v>
      </c>
      <c r="G1790" s="2" t="s">
        <v>190</v>
      </c>
      <c r="I1790">
        <f>HEX2DEC(_0811_173439[[#This Row],[580C]])*B$4/B$5+B$6</f>
        <v>760</v>
      </c>
      <c r="J1790">
        <f>HEX2DEC(_0811_173439[[#This Row],[4402]])*C$4/C$5+C$6</f>
        <v>37</v>
      </c>
      <c r="K1790">
        <f>HEX2DEC(_0811_173439[[#This Row],[580F]])*D$4/D$5+D$6</f>
        <v>30</v>
      </c>
      <c r="L1790">
        <f>ROUND(HEX2DEC(_0811_173439[[#This Row],[58F0]])*E$4/E$5+E$6,0)</f>
        <v>71</v>
      </c>
      <c r="M1790">
        <f>ROUND(HEX2DEC(_0811_173439[[#This Row],[5805]])*F$4/F$5+F$6,0)</f>
        <v>47</v>
      </c>
      <c r="N1790">
        <f>ROUND(HEX2DEC(_0811_173439[[#This Row],[58DD]])*G$4/G$5+G$6,2)</f>
        <v>-0.03</v>
      </c>
      <c r="P1790">
        <v>760</v>
      </c>
      <c r="Q1790">
        <v>37</v>
      </c>
      <c r="R1790">
        <v>30</v>
      </c>
      <c r="S1790">
        <v>71</v>
      </c>
      <c r="T1790">
        <v>46</v>
      </c>
      <c r="U1790">
        <v>-0.03</v>
      </c>
      <c r="W1790">
        <f>DataLog_T717420_Aug11_4_59_37pm[[#This Row],[RPM '[1/MIN']]]-Table3[[#This Row],[580C]]</f>
        <v>0</v>
      </c>
      <c r="X1790">
        <f>DataLog_T717420_Aug11_4_59_37pm[[#This Row],[OIL TEMP '[Â°C']]]-Table3[[#This Row],[4402]]</f>
        <v>0</v>
      </c>
      <c r="Y1790">
        <f>DataLog_T717420_Aug11_4_59_37pm[[#This Row],[INTAKE TEMP '[Â°C']]]-Table3[[#This Row],[580F]]</f>
        <v>0</v>
      </c>
      <c r="Z1790">
        <f>DataLog_T717420_Aug11_4_59_37pm[[#This Row],[HPFP PRES. '[BAR']]]-Table3[[#This Row],[58F0]]</f>
        <v>0</v>
      </c>
      <c r="AA1790">
        <f>DataLog_T717420_Aug11_4_59_37pm[[#This Row],[COOLANT TEMP '[Â°C']]]-Table3[[#This Row],[5805]]</f>
        <v>-1</v>
      </c>
      <c r="AB1790">
        <f>DataLog_T717420_Aug11_4_59_37pm[[#This Row],[BOOST '[BAR']]]-Table3[[#This Row],[58DD]]</f>
        <v>0</v>
      </c>
    </row>
    <row r="1791" spans="2:28" x14ac:dyDescent="0.25">
      <c r="B1791" s="2" t="s">
        <v>189</v>
      </c>
      <c r="C1791" s="2" t="s">
        <v>262</v>
      </c>
      <c r="D1791" s="2" t="s">
        <v>151</v>
      </c>
      <c r="E1791" s="2" t="s">
        <v>127</v>
      </c>
      <c r="F1791" s="2" t="s">
        <v>395</v>
      </c>
      <c r="G1791" s="2" t="s">
        <v>53</v>
      </c>
      <c r="I1791">
        <f>HEX2DEC(_0811_173439[[#This Row],[580C]])*B$4/B$5+B$6</f>
        <v>760</v>
      </c>
      <c r="J1791">
        <f>HEX2DEC(_0811_173439[[#This Row],[4402]])*C$4/C$5+C$6</f>
        <v>37</v>
      </c>
      <c r="K1791">
        <f>HEX2DEC(_0811_173439[[#This Row],[580F]])*D$4/D$5+D$6</f>
        <v>30</v>
      </c>
      <c r="L1791">
        <f>ROUND(HEX2DEC(_0811_173439[[#This Row],[58F0]])*E$4/E$5+E$6,0)</f>
        <v>70</v>
      </c>
      <c r="M1791">
        <f>ROUND(HEX2DEC(_0811_173439[[#This Row],[5805]])*F$4/F$5+F$6,0)</f>
        <v>47</v>
      </c>
      <c r="N1791">
        <f>ROUND(HEX2DEC(_0811_173439[[#This Row],[58DD]])*G$4/G$5+G$6,2)</f>
        <v>-0.03</v>
      </c>
      <c r="P1791">
        <v>760</v>
      </c>
      <c r="Q1791">
        <v>37</v>
      </c>
      <c r="R1791">
        <v>30</v>
      </c>
      <c r="S1791">
        <v>70</v>
      </c>
      <c r="T1791">
        <v>46</v>
      </c>
      <c r="U1791">
        <v>-0.03</v>
      </c>
      <c r="W1791">
        <f>DataLog_T717420_Aug11_4_59_37pm[[#This Row],[RPM '[1/MIN']]]-Table3[[#This Row],[580C]]</f>
        <v>0</v>
      </c>
      <c r="X1791">
        <f>DataLog_T717420_Aug11_4_59_37pm[[#This Row],[OIL TEMP '[Â°C']]]-Table3[[#This Row],[4402]]</f>
        <v>0</v>
      </c>
      <c r="Y1791">
        <f>DataLog_T717420_Aug11_4_59_37pm[[#This Row],[INTAKE TEMP '[Â°C']]]-Table3[[#This Row],[580F]]</f>
        <v>0</v>
      </c>
      <c r="Z1791">
        <f>DataLog_T717420_Aug11_4_59_37pm[[#This Row],[HPFP PRES. '[BAR']]]-Table3[[#This Row],[58F0]]</f>
        <v>0</v>
      </c>
      <c r="AA1791">
        <f>DataLog_T717420_Aug11_4_59_37pm[[#This Row],[COOLANT TEMP '[Â°C']]]-Table3[[#This Row],[5805]]</f>
        <v>-1</v>
      </c>
      <c r="AB1791">
        <f>DataLog_T717420_Aug11_4_59_37pm[[#This Row],[BOOST '[BAR']]]-Table3[[#This Row],[58DD]]</f>
        <v>0</v>
      </c>
    </row>
    <row r="1792" spans="2:28" x14ac:dyDescent="0.25">
      <c r="B1792" s="2" t="s">
        <v>189</v>
      </c>
      <c r="C1792" s="2" t="s">
        <v>262</v>
      </c>
      <c r="D1792" s="2" t="s">
        <v>151</v>
      </c>
      <c r="E1792" s="2" t="s">
        <v>139</v>
      </c>
      <c r="F1792" s="2" t="s">
        <v>395</v>
      </c>
      <c r="G1792" s="2" t="s">
        <v>53</v>
      </c>
      <c r="I1792">
        <f>HEX2DEC(_0811_173439[[#This Row],[580C]])*B$4/B$5+B$6</f>
        <v>760</v>
      </c>
      <c r="J1792">
        <f>HEX2DEC(_0811_173439[[#This Row],[4402]])*C$4/C$5+C$6</f>
        <v>37</v>
      </c>
      <c r="K1792">
        <f>HEX2DEC(_0811_173439[[#This Row],[580F]])*D$4/D$5+D$6</f>
        <v>30</v>
      </c>
      <c r="L1792">
        <f>ROUND(HEX2DEC(_0811_173439[[#This Row],[58F0]])*E$4/E$5+E$6,0)</f>
        <v>71</v>
      </c>
      <c r="M1792">
        <f>ROUND(HEX2DEC(_0811_173439[[#This Row],[5805]])*F$4/F$5+F$6,0)</f>
        <v>47</v>
      </c>
      <c r="N1792">
        <f>ROUND(HEX2DEC(_0811_173439[[#This Row],[58DD]])*G$4/G$5+G$6,2)</f>
        <v>-0.03</v>
      </c>
      <c r="P1792">
        <v>760</v>
      </c>
      <c r="Q1792">
        <v>37</v>
      </c>
      <c r="R1792">
        <v>30</v>
      </c>
      <c r="S1792">
        <v>71</v>
      </c>
      <c r="T1792">
        <v>46</v>
      </c>
      <c r="U1792">
        <v>-0.03</v>
      </c>
      <c r="W1792">
        <f>DataLog_T717420_Aug11_4_59_37pm[[#This Row],[RPM '[1/MIN']]]-Table3[[#This Row],[580C]]</f>
        <v>0</v>
      </c>
      <c r="X1792">
        <f>DataLog_T717420_Aug11_4_59_37pm[[#This Row],[OIL TEMP '[Â°C']]]-Table3[[#This Row],[4402]]</f>
        <v>0</v>
      </c>
      <c r="Y1792">
        <f>DataLog_T717420_Aug11_4_59_37pm[[#This Row],[INTAKE TEMP '[Â°C']]]-Table3[[#This Row],[580F]]</f>
        <v>0</v>
      </c>
      <c r="Z1792">
        <f>DataLog_T717420_Aug11_4_59_37pm[[#This Row],[HPFP PRES. '[BAR']]]-Table3[[#This Row],[58F0]]</f>
        <v>0</v>
      </c>
      <c r="AA1792">
        <f>DataLog_T717420_Aug11_4_59_37pm[[#This Row],[COOLANT TEMP '[Â°C']]]-Table3[[#This Row],[5805]]</f>
        <v>-1</v>
      </c>
      <c r="AB1792">
        <f>DataLog_T717420_Aug11_4_59_37pm[[#This Row],[BOOST '[BAR']]]-Table3[[#This Row],[58DD]]</f>
        <v>0</v>
      </c>
    </row>
    <row r="1793" spans="2:28" x14ac:dyDescent="0.25">
      <c r="B1793" s="2" t="s">
        <v>189</v>
      </c>
      <c r="C1793" s="2" t="s">
        <v>262</v>
      </c>
      <c r="D1793" s="2" t="s">
        <v>151</v>
      </c>
      <c r="E1793" s="2" t="s">
        <v>199</v>
      </c>
      <c r="F1793" s="2" t="s">
        <v>395</v>
      </c>
      <c r="G1793" s="2" t="s">
        <v>216</v>
      </c>
      <c r="I1793">
        <f>HEX2DEC(_0811_173439[[#This Row],[580C]])*B$4/B$5+B$6</f>
        <v>760</v>
      </c>
      <c r="J1793">
        <f>HEX2DEC(_0811_173439[[#This Row],[4402]])*C$4/C$5+C$6</f>
        <v>37</v>
      </c>
      <c r="K1793">
        <f>HEX2DEC(_0811_173439[[#This Row],[580F]])*D$4/D$5+D$6</f>
        <v>30</v>
      </c>
      <c r="L1793">
        <f>ROUND(HEX2DEC(_0811_173439[[#This Row],[58F0]])*E$4/E$5+E$6,0)</f>
        <v>70</v>
      </c>
      <c r="M1793">
        <f>ROUND(HEX2DEC(_0811_173439[[#This Row],[5805]])*F$4/F$5+F$6,0)</f>
        <v>47</v>
      </c>
      <c r="N1793">
        <f>ROUND(HEX2DEC(_0811_173439[[#This Row],[58DD]])*G$4/G$5+G$6,2)</f>
        <v>-0.03</v>
      </c>
      <c r="P1793">
        <v>760</v>
      </c>
      <c r="Q1793">
        <v>37</v>
      </c>
      <c r="R1793">
        <v>30</v>
      </c>
      <c r="S1793">
        <v>70</v>
      </c>
      <c r="T1793">
        <v>46</v>
      </c>
      <c r="U1793">
        <v>-0.03</v>
      </c>
      <c r="W1793">
        <f>DataLog_T717420_Aug11_4_59_37pm[[#This Row],[RPM '[1/MIN']]]-Table3[[#This Row],[580C]]</f>
        <v>0</v>
      </c>
      <c r="X1793">
        <f>DataLog_T717420_Aug11_4_59_37pm[[#This Row],[OIL TEMP '[Â°C']]]-Table3[[#This Row],[4402]]</f>
        <v>0</v>
      </c>
      <c r="Y1793">
        <f>DataLog_T717420_Aug11_4_59_37pm[[#This Row],[INTAKE TEMP '[Â°C']]]-Table3[[#This Row],[580F]]</f>
        <v>0</v>
      </c>
      <c r="Z1793">
        <f>DataLog_T717420_Aug11_4_59_37pm[[#This Row],[HPFP PRES. '[BAR']]]-Table3[[#This Row],[58F0]]</f>
        <v>0</v>
      </c>
      <c r="AA1793">
        <f>DataLog_T717420_Aug11_4_59_37pm[[#This Row],[COOLANT TEMP '[Â°C']]]-Table3[[#This Row],[5805]]</f>
        <v>-1</v>
      </c>
      <c r="AB1793">
        <f>DataLog_T717420_Aug11_4_59_37pm[[#This Row],[BOOST '[BAR']]]-Table3[[#This Row],[58DD]]</f>
        <v>0</v>
      </c>
    </row>
    <row r="1794" spans="2:28" x14ac:dyDescent="0.25">
      <c r="B1794" s="2" t="s">
        <v>189</v>
      </c>
      <c r="C1794" s="2" t="s">
        <v>262</v>
      </c>
      <c r="D1794" s="2" t="s">
        <v>151</v>
      </c>
      <c r="E1794" s="2" t="s">
        <v>152</v>
      </c>
      <c r="F1794" s="2" t="s">
        <v>395</v>
      </c>
      <c r="G1794" s="2" t="s">
        <v>53</v>
      </c>
      <c r="I1794">
        <f>HEX2DEC(_0811_173439[[#This Row],[580C]])*B$4/B$5+B$6</f>
        <v>760</v>
      </c>
      <c r="J1794">
        <f>HEX2DEC(_0811_173439[[#This Row],[4402]])*C$4/C$5+C$6</f>
        <v>37</v>
      </c>
      <c r="K1794">
        <f>HEX2DEC(_0811_173439[[#This Row],[580F]])*D$4/D$5+D$6</f>
        <v>30</v>
      </c>
      <c r="L1794">
        <f>ROUND(HEX2DEC(_0811_173439[[#This Row],[58F0]])*E$4/E$5+E$6,0)</f>
        <v>70</v>
      </c>
      <c r="M1794">
        <f>ROUND(HEX2DEC(_0811_173439[[#This Row],[5805]])*F$4/F$5+F$6,0)</f>
        <v>47</v>
      </c>
      <c r="N1794">
        <f>ROUND(HEX2DEC(_0811_173439[[#This Row],[58DD]])*G$4/G$5+G$6,2)</f>
        <v>-0.03</v>
      </c>
      <c r="P1794">
        <v>760</v>
      </c>
      <c r="Q1794">
        <v>37</v>
      </c>
      <c r="R1794">
        <v>30</v>
      </c>
      <c r="S1794">
        <v>70</v>
      </c>
      <c r="T1794">
        <v>46</v>
      </c>
      <c r="U1794">
        <v>-0.03</v>
      </c>
      <c r="W1794">
        <f>DataLog_T717420_Aug11_4_59_37pm[[#This Row],[RPM '[1/MIN']]]-Table3[[#This Row],[580C]]</f>
        <v>0</v>
      </c>
      <c r="X1794">
        <f>DataLog_T717420_Aug11_4_59_37pm[[#This Row],[OIL TEMP '[Â°C']]]-Table3[[#This Row],[4402]]</f>
        <v>0</v>
      </c>
      <c r="Y1794">
        <f>DataLog_T717420_Aug11_4_59_37pm[[#This Row],[INTAKE TEMP '[Â°C']]]-Table3[[#This Row],[580F]]</f>
        <v>0</v>
      </c>
      <c r="Z1794">
        <f>DataLog_T717420_Aug11_4_59_37pm[[#This Row],[HPFP PRES. '[BAR']]]-Table3[[#This Row],[58F0]]</f>
        <v>0</v>
      </c>
      <c r="AA1794">
        <f>DataLog_T717420_Aug11_4_59_37pm[[#This Row],[COOLANT TEMP '[Â°C']]]-Table3[[#This Row],[5805]]</f>
        <v>-1</v>
      </c>
      <c r="AB1794">
        <f>DataLog_T717420_Aug11_4_59_37pm[[#This Row],[BOOST '[BAR']]]-Table3[[#This Row],[58DD]]</f>
        <v>0</v>
      </c>
    </row>
    <row r="1795" spans="2:28" x14ac:dyDescent="0.25">
      <c r="B1795" s="2" t="s">
        <v>189</v>
      </c>
      <c r="C1795" s="2" t="s">
        <v>262</v>
      </c>
      <c r="D1795" s="2" t="s">
        <v>151</v>
      </c>
      <c r="E1795" s="2" t="s">
        <v>221</v>
      </c>
      <c r="F1795" s="2" t="s">
        <v>395</v>
      </c>
      <c r="G1795" s="2" t="s">
        <v>190</v>
      </c>
      <c r="I1795">
        <f>HEX2DEC(_0811_173439[[#This Row],[580C]])*B$4/B$5+B$6</f>
        <v>760</v>
      </c>
      <c r="J1795">
        <f>HEX2DEC(_0811_173439[[#This Row],[4402]])*C$4/C$5+C$6</f>
        <v>37</v>
      </c>
      <c r="K1795">
        <f>HEX2DEC(_0811_173439[[#This Row],[580F]])*D$4/D$5+D$6</f>
        <v>30</v>
      </c>
      <c r="L1795">
        <f>ROUND(HEX2DEC(_0811_173439[[#This Row],[58F0]])*E$4/E$5+E$6,0)</f>
        <v>70</v>
      </c>
      <c r="M1795">
        <f>ROUND(HEX2DEC(_0811_173439[[#This Row],[5805]])*F$4/F$5+F$6,0)</f>
        <v>47</v>
      </c>
      <c r="N1795">
        <f>ROUND(HEX2DEC(_0811_173439[[#This Row],[58DD]])*G$4/G$5+G$6,2)</f>
        <v>-0.03</v>
      </c>
      <c r="P1795">
        <v>760</v>
      </c>
      <c r="Q1795">
        <v>37</v>
      </c>
      <c r="R1795">
        <v>30</v>
      </c>
      <c r="S1795">
        <v>70</v>
      </c>
      <c r="T1795">
        <v>46</v>
      </c>
      <c r="U1795">
        <v>-0.03</v>
      </c>
      <c r="W1795">
        <f>DataLog_T717420_Aug11_4_59_37pm[[#This Row],[RPM '[1/MIN']]]-Table3[[#This Row],[580C]]</f>
        <v>0</v>
      </c>
      <c r="X1795">
        <f>DataLog_T717420_Aug11_4_59_37pm[[#This Row],[OIL TEMP '[Â°C']]]-Table3[[#This Row],[4402]]</f>
        <v>0</v>
      </c>
      <c r="Y1795">
        <f>DataLog_T717420_Aug11_4_59_37pm[[#This Row],[INTAKE TEMP '[Â°C']]]-Table3[[#This Row],[580F]]</f>
        <v>0</v>
      </c>
      <c r="Z1795">
        <f>DataLog_T717420_Aug11_4_59_37pm[[#This Row],[HPFP PRES. '[BAR']]]-Table3[[#This Row],[58F0]]</f>
        <v>0</v>
      </c>
      <c r="AA1795">
        <f>DataLog_T717420_Aug11_4_59_37pm[[#This Row],[COOLANT TEMP '[Â°C']]]-Table3[[#This Row],[5805]]</f>
        <v>-1</v>
      </c>
      <c r="AB1795">
        <f>DataLog_T717420_Aug11_4_59_37pm[[#This Row],[BOOST '[BAR']]]-Table3[[#This Row],[58DD]]</f>
        <v>0</v>
      </c>
    </row>
    <row r="1796" spans="2:28" x14ac:dyDescent="0.25">
      <c r="B1796" s="2" t="s">
        <v>189</v>
      </c>
      <c r="C1796" s="2" t="s">
        <v>262</v>
      </c>
      <c r="D1796" s="2" t="s">
        <v>151</v>
      </c>
      <c r="E1796" s="2" t="s">
        <v>159</v>
      </c>
      <c r="F1796" s="2" t="s">
        <v>395</v>
      </c>
      <c r="G1796" s="2" t="s">
        <v>191</v>
      </c>
      <c r="I1796">
        <f>HEX2DEC(_0811_173439[[#This Row],[580C]])*B$4/B$5+B$6</f>
        <v>760</v>
      </c>
      <c r="J1796">
        <f>HEX2DEC(_0811_173439[[#This Row],[4402]])*C$4/C$5+C$6</f>
        <v>37</v>
      </c>
      <c r="K1796">
        <f>HEX2DEC(_0811_173439[[#This Row],[580F]])*D$4/D$5+D$6</f>
        <v>30</v>
      </c>
      <c r="L1796">
        <f>ROUND(HEX2DEC(_0811_173439[[#This Row],[58F0]])*E$4/E$5+E$6,0)</f>
        <v>70</v>
      </c>
      <c r="M1796">
        <f>ROUND(HEX2DEC(_0811_173439[[#This Row],[5805]])*F$4/F$5+F$6,0)</f>
        <v>47</v>
      </c>
      <c r="N1796">
        <f>ROUND(HEX2DEC(_0811_173439[[#This Row],[58DD]])*G$4/G$5+G$6,2)</f>
        <v>-0.03</v>
      </c>
      <c r="P1796">
        <v>760</v>
      </c>
      <c r="Q1796">
        <v>37</v>
      </c>
      <c r="R1796">
        <v>30</v>
      </c>
      <c r="S1796">
        <v>70</v>
      </c>
      <c r="T1796">
        <v>46</v>
      </c>
      <c r="U1796">
        <v>-0.03</v>
      </c>
      <c r="W1796">
        <f>DataLog_T717420_Aug11_4_59_37pm[[#This Row],[RPM '[1/MIN']]]-Table3[[#This Row],[580C]]</f>
        <v>0</v>
      </c>
      <c r="X1796">
        <f>DataLog_T717420_Aug11_4_59_37pm[[#This Row],[OIL TEMP '[Â°C']]]-Table3[[#This Row],[4402]]</f>
        <v>0</v>
      </c>
      <c r="Y1796">
        <f>DataLog_T717420_Aug11_4_59_37pm[[#This Row],[INTAKE TEMP '[Â°C']]]-Table3[[#This Row],[580F]]</f>
        <v>0</v>
      </c>
      <c r="Z1796">
        <f>DataLog_T717420_Aug11_4_59_37pm[[#This Row],[HPFP PRES. '[BAR']]]-Table3[[#This Row],[58F0]]</f>
        <v>0</v>
      </c>
      <c r="AA1796">
        <f>DataLog_T717420_Aug11_4_59_37pm[[#This Row],[COOLANT TEMP '[Â°C']]]-Table3[[#This Row],[5805]]</f>
        <v>-1</v>
      </c>
      <c r="AB1796">
        <f>DataLog_T717420_Aug11_4_59_37pm[[#This Row],[BOOST '[BAR']]]-Table3[[#This Row],[58DD]]</f>
        <v>0</v>
      </c>
    </row>
    <row r="1797" spans="2:28" x14ac:dyDescent="0.25">
      <c r="B1797" s="2" t="s">
        <v>189</v>
      </c>
      <c r="C1797" s="2" t="s">
        <v>262</v>
      </c>
      <c r="D1797" s="2" t="s">
        <v>151</v>
      </c>
      <c r="E1797" s="2" t="s">
        <v>93</v>
      </c>
      <c r="F1797" s="2" t="s">
        <v>395</v>
      </c>
      <c r="G1797" s="2" t="s">
        <v>191</v>
      </c>
      <c r="I1797">
        <f>HEX2DEC(_0811_173439[[#This Row],[580C]])*B$4/B$5+B$6</f>
        <v>760</v>
      </c>
      <c r="J1797">
        <f>HEX2DEC(_0811_173439[[#This Row],[4402]])*C$4/C$5+C$6</f>
        <v>37</v>
      </c>
      <c r="K1797">
        <f>HEX2DEC(_0811_173439[[#This Row],[580F]])*D$4/D$5+D$6</f>
        <v>30</v>
      </c>
      <c r="L1797">
        <f>ROUND(HEX2DEC(_0811_173439[[#This Row],[58F0]])*E$4/E$5+E$6,0)</f>
        <v>70</v>
      </c>
      <c r="M1797">
        <f>ROUND(HEX2DEC(_0811_173439[[#This Row],[5805]])*F$4/F$5+F$6,0)</f>
        <v>47</v>
      </c>
      <c r="N1797">
        <f>ROUND(HEX2DEC(_0811_173439[[#This Row],[58DD]])*G$4/G$5+G$6,2)</f>
        <v>-0.03</v>
      </c>
      <c r="P1797">
        <v>760</v>
      </c>
      <c r="Q1797">
        <v>37</v>
      </c>
      <c r="R1797">
        <v>30</v>
      </c>
      <c r="S1797">
        <v>70</v>
      </c>
      <c r="T1797">
        <v>46</v>
      </c>
      <c r="U1797">
        <v>-0.03</v>
      </c>
      <c r="W1797">
        <f>DataLog_T717420_Aug11_4_59_37pm[[#This Row],[RPM '[1/MIN']]]-Table3[[#This Row],[580C]]</f>
        <v>0</v>
      </c>
      <c r="X1797">
        <f>DataLog_T717420_Aug11_4_59_37pm[[#This Row],[OIL TEMP '[Â°C']]]-Table3[[#This Row],[4402]]</f>
        <v>0</v>
      </c>
      <c r="Y1797">
        <f>DataLog_T717420_Aug11_4_59_37pm[[#This Row],[INTAKE TEMP '[Â°C']]]-Table3[[#This Row],[580F]]</f>
        <v>0</v>
      </c>
      <c r="Z1797">
        <f>DataLog_T717420_Aug11_4_59_37pm[[#This Row],[HPFP PRES. '[BAR']]]-Table3[[#This Row],[58F0]]</f>
        <v>0</v>
      </c>
      <c r="AA1797">
        <f>DataLog_T717420_Aug11_4_59_37pm[[#This Row],[COOLANT TEMP '[Â°C']]]-Table3[[#This Row],[5805]]</f>
        <v>-1</v>
      </c>
      <c r="AB1797">
        <f>DataLog_T717420_Aug11_4_59_37pm[[#This Row],[BOOST '[BAR']]]-Table3[[#This Row],[58DD]]</f>
        <v>0</v>
      </c>
    </row>
    <row r="1798" spans="2:28" x14ac:dyDescent="0.25">
      <c r="B1798" s="2" t="s">
        <v>189</v>
      </c>
      <c r="C1798" s="2" t="s">
        <v>262</v>
      </c>
      <c r="D1798" s="2" t="s">
        <v>151</v>
      </c>
      <c r="E1798" s="2" t="s">
        <v>222</v>
      </c>
      <c r="F1798" s="2" t="s">
        <v>395</v>
      </c>
      <c r="G1798" s="2" t="s">
        <v>191</v>
      </c>
      <c r="I1798">
        <f>HEX2DEC(_0811_173439[[#This Row],[580C]])*B$4/B$5+B$6</f>
        <v>760</v>
      </c>
      <c r="J1798">
        <f>HEX2DEC(_0811_173439[[#This Row],[4402]])*C$4/C$5+C$6</f>
        <v>37</v>
      </c>
      <c r="K1798">
        <f>HEX2DEC(_0811_173439[[#This Row],[580F]])*D$4/D$5+D$6</f>
        <v>30</v>
      </c>
      <c r="L1798">
        <f>ROUND(HEX2DEC(_0811_173439[[#This Row],[58F0]])*E$4/E$5+E$6,0)</f>
        <v>70</v>
      </c>
      <c r="M1798">
        <f>ROUND(HEX2DEC(_0811_173439[[#This Row],[5805]])*F$4/F$5+F$6,0)</f>
        <v>47</v>
      </c>
      <c r="N1798">
        <f>ROUND(HEX2DEC(_0811_173439[[#This Row],[58DD]])*G$4/G$5+G$6,2)</f>
        <v>-0.03</v>
      </c>
      <c r="P1798">
        <v>760</v>
      </c>
      <c r="Q1798">
        <v>37</v>
      </c>
      <c r="R1798">
        <v>30</v>
      </c>
      <c r="S1798">
        <v>70</v>
      </c>
      <c r="T1798">
        <v>46</v>
      </c>
      <c r="U1798">
        <v>-0.03</v>
      </c>
      <c r="W1798">
        <f>DataLog_T717420_Aug11_4_59_37pm[[#This Row],[RPM '[1/MIN']]]-Table3[[#This Row],[580C]]</f>
        <v>0</v>
      </c>
      <c r="X1798">
        <f>DataLog_T717420_Aug11_4_59_37pm[[#This Row],[OIL TEMP '[Â°C']]]-Table3[[#This Row],[4402]]</f>
        <v>0</v>
      </c>
      <c r="Y1798">
        <f>DataLog_T717420_Aug11_4_59_37pm[[#This Row],[INTAKE TEMP '[Â°C']]]-Table3[[#This Row],[580F]]</f>
        <v>0</v>
      </c>
      <c r="Z1798">
        <f>DataLog_T717420_Aug11_4_59_37pm[[#This Row],[HPFP PRES. '[BAR']]]-Table3[[#This Row],[58F0]]</f>
        <v>0</v>
      </c>
      <c r="AA1798">
        <f>DataLog_T717420_Aug11_4_59_37pm[[#This Row],[COOLANT TEMP '[Â°C']]]-Table3[[#This Row],[5805]]</f>
        <v>-1</v>
      </c>
      <c r="AB1798">
        <f>DataLog_T717420_Aug11_4_59_37pm[[#This Row],[BOOST '[BAR']]]-Table3[[#This Row],[58DD]]</f>
        <v>0</v>
      </c>
    </row>
    <row r="1799" spans="2:28" x14ac:dyDescent="0.25">
      <c r="B1799" s="2" t="s">
        <v>189</v>
      </c>
      <c r="C1799" s="2" t="s">
        <v>262</v>
      </c>
      <c r="D1799" s="2" t="s">
        <v>151</v>
      </c>
      <c r="E1799" s="2" t="s">
        <v>137</v>
      </c>
      <c r="F1799" s="2" t="s">
        <v>395</v>
      </c>
      <c r="G1799" s="2" t="s">
        <v>190</v>
      </c>
      <c r="I1799">
        <f>HEX2DEC(_0811_173439[[#This Row],[580C]])*B$4/B$5+B$6</f>
        <v>760</v>
      </c>
      <c r="J1799">
        <f>HEX2DEC(_0811_173439[[#This Row],[4402]])*C$4/C$5+C$6</f>
        <v>37</v>
      </c>
      <c r="K1799">
        <f>HEX2DEC(_0811_173439[[#This Row],[580F]])*D$4/D$5+D$6</f>
        <v>30</v>
      </c>
      <c r="L1799">
        <f>ROUND(HEX2DEC(_0811_173439[[#This Row],[58F0]])*E$4/E$5+E$6,0)</f>
        <v>70</v>
      </c>
      <c r="M1799">
        <f>ROUND(HEX2DEC(_0811_173439[[#This Row],[5805]])*F$4/F$5+F$6,0)</f>
        <v>47</v>
      </c>
      <c r="N1799">
        <f>ROUND(HEX2DEC(_0811_173439[[#This Row],[58DD]])*G$4/G$5+G$6,2)</f>
        <v>-0.03</v>
      </c>
      <c r="P1799">
        <v>760</v>
      </c>
      <c r="Q1799">
        <v>37</v>
      </c>
      <c r="R1799">
        <v>30</v>
      </c>
      <c r="S1799">
        <v>70</v>
      </c>
      <c r="T1799">
        <v>46</v>
      </c>
      <c r="U1799">
        <v>-0.03</v>
      </c>
      <c r="W1799">
        <f>DataLog_T717420_Aug11_4_59_37pm[[#This Row],[RPM '[1/MIN']]]-Table3[[#This Row],[580C]]</f>
        <v>0</v>
      </c>
      <c r="X1799">
        <f>DataLog_T717420_Aug11_4_59_37pm[[#This Row],[OIL TEMP '[Â°C']]]-Table3[[#This Row],[4402]]</f>
        <v>0</v>
      </c>
      <c r="Y1799">
        <f>DataLog_T717420_Aug11_4_59_37pm[[#This Row],[INTAKE TEMP '[Â°C']]]-Table3[[#This Row],[580F]]</f>
        <v>0</v>
      </c>
      <c r="Z1799">
        <f>DataLog_T717420_Aug11_4_59_37pm[[#This Row],[HPFP PRES. '[BAR']]]-Table3[[#This Row],[58F0]]</f>
        <v>0</v>
      </c>
      <c r="AA1799">
        <f>DataLog_T717420_Aug11_4_59_37pm[[#This Row],[COOLANT TEMP '[Â°C']]]-Table3[[#This Row],[5805]]</f>
        <v>-1</v>
      </c>
      <c r="AB1799">
        <f>DataLog_T717420_Aug11_4_59_37pm[[#This Row],[BOOST '[BAR']]]-Table3[[#This Row],[58DD]]</f>
        <v>0</v>
      </c>
    </row>
    <row r="1800" spans="2:28" x14ac:dyDescent="0.25">
      <c r="B1800" s="2" t="s">
        <v>189</v>
      </c>
      <c r="C1800" s="2" t="s">
        <v>262</v>
      </c>
      <c r="D1800" s="2" t="s">
        <v>151</v>
      </c>
      <c r="E1800" s="2" t="s">
        <v>93</v>
      </c>
      <c r="F1800" s="2" t="s">
        <v>395</v>
      </c>
      <c r="G1800" s="2" t="s">
        <v>53</v>
      </c>
      <c r="I1800">
        <f>HEX2DEC(_0811_173439[[#This Row],[580C]])*B$4/B$5+B$6</f>
        <v>760</v>
      </c>
      <c r="J1800">
        <f>HEX2DEC(_0811_173439[[#This Row],[4402]])*C$4/C$5+C$6</f>
        <v>37</v>
      </c>
      <c r="K1800">
        <f>HEX2DEC(_0811_173439[[#This Row],[580F]])*D$4/D$5+D$6</f>
        <v>30</v>
      </c>
      <c r="L1800">
        <f>ROUND(HEX2DEC(_0811_173439[[#This Row],[58F0]])*E$4/E$5+E$6,0)</f>
        <v>70</v>
      </c>
      <c r="M1800">
        <f>ROUND(HEX2DEC(_0811_173439[[#This Row],[5805]])*F$4/F$5+F$6,0)</f>
        <v>47</v>
      </c>
      <c r="N1800">
        <f>ROUND(HEX2DEC(_0811_173439[[#This Row],[58DD]])*G$4/G$5+G$6,2)</f>
        <v>-0.03</v>
      </c>
      <c r="P1800">
        <v>760</v>
      </c>
      <c r="Q1800">
        <v>37</v>
      </c>
      <c r="R1800">
        <v>30</v>
      </c>
      <c r="S1800">
        <v>70</v>
      </c>
      <c r="T1800">
        <v>46</v>
      </c>
      <c r="U1800">
        <v>-0.03</v>
      </c>
      <c r="W1800">
        <f>DataLog_T717420_Aug11_4_59_37pm[[#This Row],[RPM '[1/MIN']]]-Table3[[#This Row],[580C]]</f>
        <v>0</v>
      </c>
      <c r="X1800">
        <f>DataLog_T717420_Aug11_4_59_37pm[[#This Row],[OIL TEMP '[Â°C']]]-Table3[[#This Row],[4402]]</f>
        <v>0</v>
      </c>
      <c r="Y1800">
        <f>DataLog_T717420_Aug11_4_59_37pm[[#This Row],[INTAKE TEMP '[Â°C']]]-Table3[[#This Row],[580F]]</f>
        <v>0</v>
      </c>
      <c r="Z1800">
        <f>DataLog_T717420_Aug11_4_59_37pm[[#This Row],[HPFP PRES. '[BAR']]]-Table3[[#This Row],[58F0]]</f>
        <v>0</v>
      </c>
      <c r="AA1800">
        <f>DataLog_T717420_Aug11_4_59_37pm[[#This Row],[COOLANT TEMP '[Â°C']]]-Table3[[#This Row],[5805]]</f>
        <v>-1</v>
      </c>
      <c r="AB1800">
        <f>DataLog_T717420_Aug11_4_59_37pm[[#This Row],[BOOST '[BAR']]]-Table3[[#This Row],[58DD]]</f>
        <v>0</v>
      </c>
    </row>
    <row r="1801" spans="2:28" x14ac:dyDescent="0.25">
      <c r="B1801" s="2" t="s">
        <v>189</v>
      </c>
      <c r="C1801" s="2" t="s">
        <v>262</v>
      </c>
      <c r="D1801" s="2" t="s">
        <v>151</v>
      </c>
      <c r="E1801" s="2" t="s">
        <v>207</v>
      </c>
      <c r="F1801" s="2" t="s">
        <v>395</v>
      </c>
      <c r="G1801" s="2" t="s">
        <v>213</v>
      </c>
      <c r="I1801">
        <f>HEX2DEC(_0811_173439[[#This Row],[580C]])*B$4/B$5+B$6</f>
        <v>760</v>
      </c>
      <c r="J1801">
        <f>HEX2DEC(_0811_173439[[#This Row],[4402]])*C$4/C$5+C$6</f>
        <v>37</v>
      </c>
      <c r="K1801">
        <f>HEX2DEC(_0811_173439[[#This Row],[580F]])*D$4/D$5+D$6</f>
        <v>30</v>
      </c>
      <c r="L1801">
        <f>ROUND(HEX2DEC(_0811_173439[[#This Row],[58F0]])*E$4/E$5+E$6,0)</f>
        <v>70</v>
      </c>
      <c r="M1801">
        <f>ROUND(HEX2DEC(_0811_173439[[#This Row],[5805]])*F$4/F$5+F$6,0)</f>
        <v>47</v>
      </c>
      <c r="N1801">
        <f>ROUND(HEX2DEC(_0811_173439[[#This Row],[58DD]])*G$4/G$5+G$6,2)</f>
        <v>-0.03</v>
      </c>
      <c r="P1801">
        <v>760</v>
      </c>
      <c r="Q1801">
        <v>37</v>
      </c>
      <c r="R1801">
        <v>30</v>
      </c>
      <c r="S1801">
        <v>70</v>
      </c>
      <c r="T1801">
        <v>46</v>
      </c>
      <c r="U1801">
        <v>-0.03</v>
      </c>
      <c r="W1801">
        <f>DataLog_T717420_Aug11_4_59_37pm[[#This Row],[RPM '[1/MIN']]]-Table3[[#This Row],[580C]]</f>
        <v>0</v>
      </c>
      <c r="X1801">
        <f>DataLog_T717420_Aug11_4_59_37pm[[#This Row],[OIL TEMP '[Â°C']]]-Table3[[#This Row],[4402]]</f>
        <v>0</v>
      </c>
      <c r="Y1801">
        <f>DataLog_T717420_Aug11_4_59_37pm[[#This Row],[INTAKE TEMP '[Â°C']]]-Table3[[#This Row],[580F]]</f>
        <v>0</v>
      </c>
      <c r="Z1801">
        <f>DataLog_T717420_Aug11_4_59_37pm[[#This Row],[HPFP PRES. '[BAR']]]-Table3[[#This Row],[58F0]]</f>
        <v>0</v>
      </c>
      <c r="AA1801">
        <f>DataLog_T717420_Aug11_4_59_37pm[[#This Row],[COOLANT TEMP '[Â°C']]]-Table3[[#This Row],[5805]]</f>
        <v>-1</v>
      </c>
      <c r="AB1801">
        <f>DataLog_T717420_Aug11_4_59_37pm[[#This Row],[BOOST '[BAR']]]-Table3[[#This Row],[58DD]]</f>
        <v>0</v>
      </c>
    </row>
    <row r="1802" spans="2:28" x14ac:dyDescent="0.25">
      <c r="B1802" s="2" t="s">
        <v>189</v>
      </c>
      <c r="C1802" s="2" t="s">
        <v>262</v>
      </c>
      <c r="D1802" s="2" t="s">
        <v>151</v>
      </c>
      <c r="E1802" s="2" t="s">
        <v>156</v>
      </c>
      <c r="F1802" s="2" t="s">
        <v>395</v>
      </c>
      <c r="G1802" s="2" t="s">
        <v>213</v>
      </c>
      <c r="I1802">
        <f>HEX2DEC(_0811_173439[[#This Row],[580C]])*B$4/B$5+B$6</f>
        <v>760</v>
      </c>
      <c r="J1802">
        <f>HEX2DEC(_0811_173439[[#This Row],[4402]])*C$4/C$5+C$6</f>
        <v>37</v>
      </c>
      <c r="K1802">
        <f>HEX2DEC(_0811_173439[[#This Row],[580F]])*D$4/D$5+D$6</f>
        <v>30</v>
      </c>
      <c r="L1802">
        <f>ROUND(HEX2DEC(_0811_173439[[#This Row],[58F0]])*E$4/E$5+E$6,0)</f>
        <v>70</v>
      </c>
      <c r="M1802">
        <f>ROUND(HEX2DEC(_0811_173439[[#This Row],[5805]])*F$4/F$5+F$6,0)</f>
        <v>47</v>
      </c>
      <c r="N1802">
        <f>ROUND(HEX2DEC(_0811_173439[[#This Row],[58DD]])*G$4/G$5+G$6,2)</f>
        <v>-0.03</v>
      </c>
      <c r="P1802">
        <v>760</v>
      </c>
      <c r="Q1802">
        <v>37</v>
      </c>
      <c r="R1802">
        <v>30</v>
      </c>
      <c r="S1802">
        <v>70</v>
      </c>
      <c r="T1802">
        <v>46</v>
      </c>
      <c r="U1802">
        <v>-0.03</v>
      </c>
      <c r="W1802">
        <f>DataLog_T717420_Aug11_4_59_37pm[[#This Row],[RPM '[1/MIN']]]-Table3[[#This Row],[580C]]</f>
        <v>0</v>
      </c>
      <c r="X1802">
        <f>DataLog_T717420_Aug11_4_59_37pm[[#This Row],[OIL TEMP '[Â°C']]]-Table3[[#This Row],[4402]]</f>
        <v>0</v>
      </c>
      <c r="Y1802">
        <f>DataLog_T717420_Aug11_4_59_37pm[[#This Row],[INTAKE TEMP '[Â°C']]]-Table3[[#This Row],[580F]]</f>
        <v>0</v>
      </c>
      <c r="Z1802">
        <f>DataLog_T717420_Aug11_4_59_37pm[[#This Row],[HPFP PRES. '[BAR']]]-Table3[[#This Row],[58F0]]</f>
        <v>0</v>
      </c>
      <c r="AA1802">
        <f>DataLog_T717420_Aug11_4_59_37pm[[#This Row],[COOLANT TEMP '[Â°C']]]-Table3[[#This Row],[5805]]</f>
        <v>-1</v>
      </c>
      <c r="AB1802">
        <f>DataLog_T717420_Aug11_4_59_37pm[[#This Row],[BOOST '[BAR']]]-Table3[[#This Row],[58DD]]</f>
        <v>0</v>
      </c>
    </row>
    <row r="1803" spans="2:28" x14ac:dyDescent="0.25">
      <c r="B1803" s="2" t="s">
        <v>189</v>
      </c>
      <c r="C1803" s="2" t="s">
        <v>262</v>
      </c>
      <c r="D1803" s="2" t="s">
        <v>151</v>
      </c>
      <c r="E1803" s="2" t="s">
        <v>93</v>
      </c>
      <c r="F1803" s="2" t="s">
        <v>395</v>
      </c>
      <c r="G1803" s="2" t="s">
        <v>190</v>
      </c>
      <c r="I1803">
        <f>HEX2DEC(_0811_173439[[#This Row],[580C]])*B$4/B$5+B$6</f>
        <v>760</v>
      </c>
      <c r="J1803">
        <f>HEX2DEC(_0811_173439[[#This Row],[4402]])*C$4/C$5+C$6</f>
        <v>37</v>
      </c>
      <c r="K1803">
        <f>HEX2DEC(_0811_173439[[#This Row],[580F]])*D$4/D$5+D$6</f>
        <v>30</v>
      </c>
      <c r="L1803">
        <f>ROUND(HEX2DEC(_0811_173439[[#This Row],[58F0]])*E$4/E$5+E$6,0)</f>
        <v>70</v>
      </c>
      <c r="M1803">
        <f>ROUND(HEX2DEC(_0811_173439[[#This Row],[5805]])*F$4/F$5+F$6,0)</f>
        <v>47</v>
      </c>
      <c r="N1803">
        <f>ROUND(HEX2DEC(_0811_173439[[#This Row],[58DD]])*G$4/G$5+G$6,2)</f>
        <v>-0.03</v>
      </c>
      <c r="P1803">
        <v>760</v>
      </c>
      <c r="Q1803">
        <v>37</v>
      </c>
      <c r="R1803">
        <v>30</v>
      </c>
      <c r="S1803">
        <v>70</v>
      </c>
      <c r="T1803">
        <v>46</v>
      </c>
      <c r="U1803">
        <v>-0.03</v>
      </c>
      <c r="W1803">
        <f>DataLog_T717420_Aug11_4_59_37pm[[#This Row],[RPM '[1/MIN']]]-Table3[[#This Row],[580C]]</f>
        <v>0</v>
      </c>
      <c r="X1803">
        <f>DataLog_T717420_Aug11_4_59_37pm[[#This Row],[OIL TEMP '[Â°C']]]-Table3[[#This Row],[4402]]</f>
        <v>0</v>
      </c>
      <c r="Y1803">
        <f>DataLog_T717420_Aug11_4_59_37pm[[#This Row],[INTAKE TEMP '[Â°C']]]-Table3[[#This Row],[580F]]</f>
        <v>0</v>
      </c>
      <c r="Z1803">
        <f>DataLog_T717420_Aug11_4_59_37pm[[#This Row],[HPFP PRES. '[BAR']]]-Table3[[#This Row],[58F0]]</f>
        <v>0</v>
      </c>
      <c r="AA1803">
        <f>DataLog_T717420_Aug11_4_59_37pm[[#This Row],[COOLANT TEMP '[Â°C']]]-Table3[[#This Row],[5805]]</f>
        <v>-1</v>
      </c>
      <c r="AB1803">
        <f>DataLog_T717420_Aug11_4_59_37pm[[#This Row],[BOOST '[BAR']]]-Table3[[#This Row],[58DD]]</f>
        <v>0</v>
      </c>
    </row>
    <row r="1804" spans="2:28" x14ac:dyDescent="0.25">
      <c r="B1804" s="2" t="s">
        <v>189</v>
      </c>
      <c r="C1804" s="2" t="s">
        <v>262</v>
      </c>
      <c r="D1804" s="2" t="s">
        <v>151</v>
      </c>
      <c r="E1804" s="2" t="s">
        <v>93</v>
      </c>
      <c r="F1804" s="2" t="s">
        <v>395</v>
      </c>
      <c r="G1804" s="2" t="s">
        <v>53</v>
      </c>
      <c r="I1804">
        <f>HEX2DEC(_0811_173439[[#This Row],[580C]])*B$4/B$5+B$6</f>
        <v>760</v>
      </c>
      <c r="J1804">
        <f>HEX2DEC(_0811_173439[[#This Row],[4402]])*C$4/C$5+C$6</f>
        <v>37</v>
      </c>
      <c r="K1804">
        <f>HEX2DEC(_0811_173439[[#This Row],[580F]])*D$4/D$5+D$6</f>
        <v>30</v>
      </c>
      <c r="L1804">
        <f>ROUND(HEX2DEC(_0811_173439[[#This Row],[58F0]])*E$4/E$5+E$6,0)</f>
        <v>70</v>
      </c>
      <c r="M1804">
        <f>ROUND(HEX2DEC(_0811_173439[[#This Row],[5805]])*F$4/F$5+F$6,0)</f>
        <v>47</v>
      </c>
      <c r="N1804">
        <f>ROUND(HEX2DEC(_0811_173439[[#This Row],[58DD]])*G$4/G$5+G$6,2)</f>
        <v>-0.03</v>
      </c>
      <c r="P1804">
        <v>760</v>
      </c>
      <c r="Q1804">
        <v>37</v>
      </c>
      <c r="R1804">
        <v>30</v>
      </c>
      <c r="S1804">
        <v>70</v>
      </c>
      <c r="T1804">
        <v>46</v>
      </c>
      <c r="U1804">
        <v>-0.03</v>
      </c>
      <c r="W1804">
        <f>DataLog_T717420_Aug11_4_59_37pm[[#This Row],[RPM '[1/MIN']]]-Table3[[#This Row],[580C]]</f>
        <v>0</v>
      </c>
      <c r="X1804">
        <f>DataLog_T717420_Aug11_4_59_37pm[[#This Row],[OIL TEMP '[Â°C']]]-Table3[[#This Row],[4402]]</f>
        <v>0</v>
      </c>
      <c r="Y1804">
        <f>DataLog_T717420_Aug11_4_59_37pm[[#This Row],[INTAKE TEMP '[Â°C']]]-Table3[[#This Row],[580F]]</f>
        <v>0</v>
      </c>
      <c r="Z1804">
        <f>DataLog_T717420_Aug11_4_59_37pm[[#This Row],[HPFP PRES. '[BAR']]]-Table3[[#This Row],[58F0]]</f>
        <v>0</v>
      </c>
      <c r="AA1804">
        <f>DataLog_T717420_Aug11_4_59_37pm[[#This Row],[COOLANT TEMP '[Â°C']]]-Table3[[#This Row],[5805]]</f>
        <v>-1</v>
      </c>
      <c r="AB1804">
        <f>DataLog_T717420_Aug11_4_59_37pm[[#This Row],[BOOST '[BAR']]]-Table3[[#This Row],[58DD]]</f>
        <v>0</v>
      </c>
    </row>
    <row r="1805" spans="2:28" x14ac:dyDescent="0.25">
      <c r="B1805" s="2" t="s">
        <v>189</v>
      </c>
      <c r="C1805" s="2" t="s">
        <v>262</v>
      </c>
      <c r="D1805" s="2" t="s">
        <v>151</v>
      </c>
      <c r="E1805" s="2" t="s">
        <v>222</v>
      </c>
      <c r="F1805" s="2" t="s">
        <v>395</v>
      </c>
      <c r="G1805" s="2" t="s">
        <v>216</v>
      </c>
      <c r="I1805">
        <f>HEX2DEC(_0811_173439[[#This Row],[580C]])*B$4/B$5+B$6</f>
        <v>760</v>
      </c>
      <c r="J1805">
        <f>HEX2DEC(_0811_173439[[#This Row],[4402]])*C$4/C$5+C$6</f>
        <v>37</v>
      </c>
      <c r="K1805">
        <f>HEX2DEC(_0811_173439[[#This Row],[580F]])*D$4/D$5+D$6</f>
        <v>30</v>
      </c>
      <c r="L1805">
        <f>ROUND(HEX2DEC(_0811_173439[[#This Row],[58F0]])*E$4/E$5+E$6,0)</f>
        <v>70</v>
      </c>
      <c r="M1805">
        <f>ROUND(HEX2DEC(_0811_173439[[#This Row],[5805]])*F$4/F$5+F$6,0)</f>
        <v>47</v>
      </c>
      <c r="N1805">
        <f>ROUND(HEX2DEC(_0811_173439[[#This Row],[58DD]])*G$4/G$5+G$6,2)</f>
        <v>-0.03</v>
      </c>
      <c r="P1805">
        <v>760</v>
      </c>
      <c r="Q1805">
        <v>37</v>
      </c>
      <c r="R1805">
        <v>30</v>
      </c>
      <c r="S1805">
        <v>70</v>
      </c>
      <c r="T1805">
        <v>46</v>
      </c>
      <c r="U1805">
        <v>-0.03</v>
      </c>
      <c r="W1805">
        <f>DataLog_T717420_Aug11_4_59_37pm[[#This Row],[RPM '[1/MIN']]]-Table3[[#This Row],[580C]]</f>
        <v>0</v>
      </c>
      <c r="X1805">
        <f>DataLog_T717420_Aug11_4_59_37pm[[#This Row],[OIL TEMP '[Â°C']]]-Table3[[#This Row],[4402]]</f>
        <v>0</v>
      </c>
      <c r="Y1805">
        <f>DataLog_T717420_Aug11_4_59_37pm[[#This Row],[INTAKE TEMP '[Â°C']]]-Table3[[#This Row],[580F]]</f>
        <v>0</v>
      </c>
      <c r="Z1805">
        <f>DataLog_T717420_Aug11_4_59_37pm[[#This Row],[HPFP PRES. '[BAR']]]-Table3[[#This Row],[58F0]]</f>
        <v>0</v>
      </c>
      <c r="AA1805">
        <f>DataLog_T717420_Aug11_4_59_37pm[[#This Row],[COOLANT TEMP '[Â°C']]]-Table3[[#This Row],[5805]]</f>
        <v>-1</v>
      </c>
      <c r="AB1805">
        <f>DataLog_T717420_Aug11_4_59_37pm[[#This Row],[BOOST '[BAR']]]-Table3[[#This Row],[58DD]]</f>
        <v>0</v>
      </c>
    </row>
    <row r="1806" spans="2:28" x14ac:dyDescent="0.25">
      <c r="B1806" s="2" t="s">
        <v>189</v>
      </c>
      <c r="C1806" s="2" t="s">
        <v>262</v>
      </c>
      <c r="D1806" s="2" t="s">
        <v>151</v>
      </c>
      <c r="E1806" s="2" t="s">
        <v>93</v>
      </c>
      <c r="F1806" s="2" t="s">
        <v>395</v>
      </c>
      <c r="G1806" s="2" t="s">
        <v>191</v>
      </c>
      <c r="I1806">
        <f>HEX2DEC(_0811_173439[[#This Row],[580C]])*B$4/B$5+B$6</f>
        <v>760</v>
      </c>
      <c r="J1806">
        <f>HEX2DEC(_0811_173439[[#This Row],[4402]])*C$4/C$5+C$6</f>
        <v>37</v>
      </c>
      <c r="K1806">
        <f>HEX2DEC(_0811_173439[[#This Row],[580F]])*D$4/D$5+D$6</f>
        <v>30</v>
      </c>
      <c r="L1806">
        <f>ROUND(HEX2DEC(_0811_173439[[#This Row],[58F0]])*E$4/E$5+E$6,0)</f>
        <v>70</v>
      </c>
      <c r="M1806">
        <f>ROUND(HEX2DEC(_0811_173439[[#This Row],[5805]])*F$4/F$5+F$6,0)</f>
        <v>47</v>
      </c>
      <c r="N1806">
        <f>ROUND(HEX2DEC(_0811_173439[[#This Row],[58DD]])*G$4/G$5+G$6,2)</f>
        <v>-0.03</v>
      </c>
      <c r="P1806">
        <v>760</v>
      </c>
      <c r="Q1806">
        <v>37</v>
      </c>
      <c r="R1806">
        <v>30</v>
      </c>
      <c r="S1806">
        <v>70</v>
      </c>
      <c r="T1806">
        <v>46</v>
      </c>
      <c r="U1806">
        <v>-0.03</v>
      </c>
      <c r="W1806">
        <f>DataLog_T717420_Aug11_4_59_37pm[[#This Row],[RPM '[1/MIN']]]-Table3[[#This Row],[580C]]</f>
        <v>0</v>
      </c>
      <c r="X1806">
        <f>DataLog_T717420_Aug11_4_59_37pm[[#This Row],[OIL TEMP '[Â°C']]]-Table3[[#This Row],[4402]]</f>
        <v>0</v>
      </c>
      <c r="Y1806">
        <f>DataLog_T717420_Aug11_4_59_37pm[[#This Row],[INTAKE TEMP '[Â°C']]]-Table3[[#This Row],[580F]]</f>
        <v>0</v>
      </c>
      <c r="Z1806">
        <f>DataLog_T717420_Aug11_4_59_37pm[[#This Row],[HPFP PRES. '[BAR']]]-Table3[[#This Row],[58F0]]</f>
        <v>0</v>
      </c>
      <c r="AA1806">
        <f>DataLog_T717420_Aug11_4_59_37pm[[#This Row],[COOLANT TEMP '[Â°C']]]-Table3[[#This Row],[5805]]</f>
        <v>-1</v>
      </c>
      <c r="AB1806">
        <f>DataLog_T717420_Aug11_4_59_37pm[[#This Row],[BOOST '[BAR']]]-Table3[[#This Row],[58DD]]</f>
        <v>0</v>
      </c>
    </row>
    <row r="1807" spans="2:28" x14ac:dyDescent="0.25">
      <c r="B1807" s="2" t="s">
        <v>189</v>
      </c>
      <c r="C1807" s="2" t="s">
        <v>262</v>
      </c>
      <c r="D1807" s="2" t="s">
        <v>151</v>
      </c>
      <c r="E1807" s="2" t="s">
        <v>93</v>
      </c>
      <c r="F1807" s="2" t="s">
        <v>395</v>
      </c>
      <c r="G1807" s="2" t="s">
        <v>90</v>
      </c>
      <c r="I1807">
        <f>HEX2DEC(_0811_173439[[#This Row],[580C]])*B$4/B$5+B$6</f>
        <v>760</v>
      </c>
      <c r="J1807">
        <f>HEX2DEC(_0811_173439[[#This Row],[4402]])*C$4/C$5+C$6</f>
        <v>37</v>
      </c>
      <c r="K1807">
        <f>HEX2DEC(_0811_173439[[#This Row],[580F]])*D$4/D$5+D$6</f>
        <v>30</v>
      </c>
      <c r="L1807">
        <f>ROUND(HEX2DEC(_0811_173439[[#This Row],[58F0]])*E$4/E$5+E$6,0)</f>
        <v>70</v>
      </c>
      <c r="M1807">
        <f>ROUND(HEX2DEC(_0811_173439[[#This Row],[5805]])*F$4/F$5+F$6,0)</f>
        <v>47</v>
      </c>
      <c r="N1807">
        <f>ROUND(HEX2DEC(_0811_173439[[#This Row],[58DD]])*G$4/G$5+G$6,2)</f>
        <v>-0.03</v>
      </c>
      <c r="P1807">
        <v>760</v>
      </c>
      <c r="Q1807">
        <v>37</v>
      </c>
      <c r="R1807">
        <v>30</v>
      </c>
      <c r="S1807">
        <v>70</v>
      </c>
      <c r="T1807">
        <v>46</v>
      </c>
      <c r="U1807">
        <v>-0.03</v>
      </c>
      <c r="W1807">
        <f>DataLog_T717420_Aug11_4_59_37pm[[#This Row],[RPM '[1/MIN']]]-Table3[[#This Row],[580C]]</f>
        <v>0</v>
      </c>
      <c r="X1807">
        <f>DataLog_T717420_Aug11_4_59_37pm[[#This Row],[OIL TEMP '[Â°C']]]-Table3[[#This Row],[4402]]</f>
        <v>0</v>
      </c>
      <c r="Y1807">
        <f>DataLog_T717420_Aug11_4_59_37pm[[#This Row],[INTAKE TEMP '[Â°C']]]-Table3[[#This Row],[580F]]</f>
        <v>0</v>
      </c>
      <c r="Z1807">
        <f>DataLog_T717420_Aug11_4_59_37pm[[#This Row],[HPFP PRES. '[BAR']]]-Table3[[#This Row],[58F0]]</f>
        <v>0</v>
      </c>
      <c r="AA1807">
        <f>DataLog_T717420_Aug11_4_59_37pm[[#This Row],[COOLANT TEMP '[Â°C']]]-Table3[[#This Row],[5805]]</f>
        <v>-1</v>
      </c>
      <c r="AB1807">
        <f>DataLog_T717420_Aug11_4_59_37pm[[#This Row],[BOOST '[BAR']]]-Table3[[#This Row],[58DD]]</f>
        <v>0</v>
      </c>
    </row>
    <row r="1808" spans="2:28" x14ac:dyDescent="0.25">
      <c r="B1808" s="2" t="s">
        <v>189</v>
      </c>
      <c r="C1808" s="2" t="s">
        <v>262</v>
      </c>
      <c r="D1808" s="2" t="s">
        <v>151</v>
      </c>
      <c r="E1808" s="2" t="s">
        <v>145</v>
      </c>
      <c r="F1808" s="2" t="s">
        <v>395</v>
      </c>
      <c r="G1808" s="2" t="s">
        <v>96</v>
      </c>
      <c r="I1808">
        <f>HEX2DEC(_0811_173439[[#This Row],[580C]])*B$4/B$5+B$6</f>
        <v>760</v>
      </c>
      <c r="J1808">
        <f>HEX2DEC(_0811_173439[[#This Row],[4402]])*C$4/C$5+C$6</f>
        <v>37</v>
      </c>
      <c r="K1808">
        <f>HEX2DEC(_0811_173439[[#This Row],[580F]])*D$4/D$5+D$6</f>
        <v>30</v>
      </c>
      <c r="L1808">
        <f>ROUND(HEX2DEC(_0811_173439[[#This Row],[58F0]])*E$4/E$5+E$6,0)</f>
        <v>70</v>
      </c>
      <c r="M1808">
        <f>ROUND(HEX2DEC(_0811_173439[[#This Row],[5805]])*F$4/F$5+F$6,0)</f>
        <v>47</v>
      </c>
      <c r="N1808">
        <f>ROUND(HEX2DEC(_0811_173439[[#This Row],[58DD]])*G$4/G$5+G$6,2)</f>
        <v>-0.03</v>
      </c>
      <c r="P1808">
        <v>760</v>
      </c>
      <c r="Q1808">
        <v>37</v>
      </c>
      <c r="R1808">
        <v>30</v>
      </c>
      <c r="S1808">
        <v>70</v>
      </c>
      <c r="T1808">
        <v>46</v>
      </c>
      <c r="U1808">
        <v>-0.03</v>
      </c>
      <c r="W1808">
        <f>DataLog_T717420_Aug11_4_59_37pm[[#This Row],[RPM '[1/MIN']]]-Table3[[#This Row],[580C]]</f>
        <v>0</v>
      </c>
      <c r="X1808">
        <f>DataLog_T717420_Aug11_4_59_37pm[[#This Row],[OIL TEMP '[Â°C']]]-Table3[[#This Row],[4402]]</f>
        <v>0</v>
      </c>
      <c r="Y1808">
        <f>DataLog_T717420_Aug11_4_59_37pm[[#This Row],[INTAKE TEMP '[Â°C']]]-Table3[[#This Row],[580F]]</f>
        <v>0</v>
      </c>
      <c r="Z1808">
        <f>DataLog_T717420_Aug11_4_59_37pm[[#This Row],[HPFP PRES. '[BAR']]]-Table3[[#This Row],[58F0]]</f>
        <v>0</v>
      </c>
      <c r="AA1808">
        <f>DataLog_T717420_Aug11_4_59_37pm[[#This Row],[COOLANT TEMP '[Â°C']]]-Table3[[#This Row],[5805]]</f>
        <v>-1</v>
      </c>
      <c r="AB1808">
        <f>DataLog_T717420_Aug11_4_59_37pm[[#This Row],[BOOST '[BAR']]]-Table3[[#This Row],[58DD]]</f>
        <v>0</v>
      </c>
    </row>
    <row r="1809" spans="2:28" x14ac:dyDescent="0.25">
      <c r="B1809" s="2" t="s">
        <v>189</v>
      </c>
      <c r="C1809" s="2" t="s">
        <v>262</v>
      </c>
      <c r="D1809" s="2" t="s">
        <v>151</v>
      </c>
      <c r="E1809" s="2" t="s">
        <v>150</v>
      </c>
      <c r="F1809" s="2" t="s">
        <v>395</v>
      </c>
      <c r="G1809" s="2" t="s">
        <v>236</v>
      </c>
      <c r="I1809">
        <f>HEX2DEC(_0811_173439[[#This Row],[580C]])*B$4/B$5+B$6</f>
        <v>760</v>
      </c>
      <c r="J1809">
        <f>HEX2DEC(_0811_173439[[#This Row],[4402]])*C$4/C$5+C$6</f>
        <v>37</v>
      </c>
      <c r="K1809">
        <f>HEX2DEC(_0811_173439[[#This Row],[580F]])*D$4/D$5+D$6</f>
        <v>30</v>
      </c>
      <c r="L1809">
        <f>ROUND(HEX2DEC(_0811_173439[[#This Row],[58F0]])*E$4/E$5+E$6,0)</f>
        <v>70</v>
      </c>
      <c r="M1809">
        <f>ROUND(HEX2DEC(_0811_173439[[#This Row],[5805]])*F$4/F$5+F$6,0)</f>
        <v>47</v>
      </c>
      <c r="N1809">
        <f>ROUND(HEX2DEC(_0811_173439[[#This Row],[58DD]])*G$4/G$5+G$6,2)</f>
        <v>-0.03</v>
      </c>
      <c r="P1809">
        <v>760</v>
      </c>
      <c r="Q1809">
        <v>37</v>
      </c>
      <c r="R1809">
        <v>30</v>
      </c>
      <c r="S1809">
        <v>70</v>
      </c>
      <c r="T1809">
        <v>46</v>
      </c>
      <c r="U1809">
        <v>-0.03</v>
      </c>
      <c r="W1809">
        <f>DataLog_T717420_Aug11_4_59_37pm[[#This Row],[RPM '[1/MIN']]]-Table3[[#This Row],[580C]]</f>
        <v>0</v>
      </c>
      <c r="X1809">
        <f>DataLog_T717420_Aug11_4_59_37pm[[#This Row],[OIL TEMP '[Â°C']]]-Table3[[#This Row],[4402]]</f>
        <v>0</v>
      </c>
      <c r="Y1809">
        <f>DataLog_T717420_Aug11_4_59_37pm[[#This Row],[INTAKE TEMP '[Â°C']]]-Table3[[#This Row],[580F]]</f>
        <v>0</v>
      </c>
      <c r="Z1809">
        <f>DataLog_T717420_Aug11_4_59_37pm[[#This Row],[HPFP PRES. '[BAR']]]-Table3[[#This Row],[58F0]]</f>
        <v>0</v>
      </c>
      <c r="AA1809">
        <f>DataLog_T717420_Aug11_4_59_37pm[[#This Row],[COOLANT TEMP '[Â°C']]]-Table3[[#This Row],[5805]]</f>
        <v>-1</v>
      </c>
      <c r="AB1809">
        <f>DataLog_T717420_Aug11_4_59_37pm[[#This Row],[BOOST '[BAR']]]-Table3[[#This Row],[58DD]]</f>
        <v>0</v>
      </c>
    </row>
    <row r="1810" spans="2:28" x14ac:dyDescent="0.25">
      <c r="B1810" s="2" t="s">
        <v>189</v>
      </c>
      <c r="C1810" s="2" t="s">
        <v>262</v>
      </c>
      <c r="D1810" s="2" t="s">
        <v>151</v>
      </c>
      <c r="E1810" s="2" t="s">
        <v>93</v>
      </c>
      <c r="F1810" s="2" t="s">
        <v>395</v>
      </c>
      <c r="G1810" s="2" t="s">
        <v>53</v>
      </c>
      <c r="I1810">
        <f>HEX2DEC(_0811_173439[[#This Row],[580C]])*B$4/B$5+B$6</f>
        <v>760</v>
      </c>
      <c r="J1810">
        <f>HEX2DEC(_0811_173439[[#This Row],[4402]])*C$4/C$5+C$6</f>
        <v>37</v>
      </c>
      <c r="K1810">
        <f>HEX2DEC(_0811_173439[[#This Row],[580F]])*D$4/D$5+D$6</f>
        <v>30</v>
      </c>
      <c r="L1810">
        <f>ROUND(HEX2DEC(_0811_173439[[#This Row],[58F0]])*E$4/E$5+E$6,0)</f>
        <v>70</v>
      </c>
      <c r="M1810">
        <f>ROUND(HEX2DEC(_0811_173439[[#This Row],[5805]])*F$4/F$5+F$6,0)</f>
        <v>47</v>
      </c>
      <c r="N1810">
        <f>ROUND(HEX2DEC(_0811_173439[[#This Row],[58DD]])*G$4/G$5+G$6,2)</f>
        <v>-0.03</v>
      </c>
      <c r="P1810">
        <v>760</v>
      </c>
      <c r="Q1810">
        <v>37</v>
      </c>
      <c r="R1810">
        <v>30</v>
      </c>
      <c r="S1810">
        <v>70</v>
      </c>
      <c r="T1810">
        <v>46</v>
      </c>
      <c r="U1810">
        <v>-0.03</v>
      </c>
      <c r="W1810">
        <f>DataLog_T717420_Aug11_4_59_37pm[[#This Row],[RPM '[1/MIN']]]-Table3[[#This Row],[580C]]</f>
        <v>0</v>
      </c>
      <c r="X1810">
        <f>DataLog_T717420_Aug11_4_59_37pm[[#This Row],[OIL TEMP '[Â°C']]]-Table3[[#This Row],[4402]]</f>
        <v>0</v>
      </c>
      <c r="Y1810">
        <f>DataLog_T717420_Aug11_4_59_37pm[[#This Row],[INTAKE TEMP '[Â°C']]]-Table3[[#This Row],[580F]]</f>
        <v>0</v>
      </c>
      <c r="Z1810">
        <f>DataLog_T717420_Aug11_4_59_37pm[[#This Row],[HPFP PRES. '[BAR']]]-Table3[[#This Row],[58F0]]</f>
        <v>0</v>
      </c>
      <c r="AA1810">
        <f>DataLog_T717420_Aug11_4_59_37pm[[#This Row],[COOLANT TEMP '[Â°C']]]-Table3[[#This Row],[5805]]</f>
        <v>-1</v>
      </c>
      <c r="AB1810">
        <f>DataLog_T717420_Aug11_4_59_37pm[[#This Row],[BOOST '[BAR']]]-Table3[[#This Row],[58DD]]</f>
        <v>0</v>
      </c>
    </row>
    <row r="1811" spans="2:28" x14ac:dyDescent="0.25">
      <c r="B1811" s="2" t="s">
        <v>189</v>
      </c>
      <c r="C1811" s="2" t="s">
        <v>262</v>
      </c>
      <c r="D1811" s="2" t="s">
        <v>151</v>
      </c>
      <c r="E1811" s="2" t="s">
        <v>118</v>
      </c>
      <c r="F1811" s="2" t="s">
        <v>395</v>
      </c>
      <c r="G1811" s="2" t="s">
        <v>96</v>
      </c>
      <c r="I1811">
        <f>HEX2DEC(_0811_173439[[#This Row],[580C]])*B$4/B$5+B$6</f>
        <v>760</v>
      </c>
      <c r="J1811">
        <f>HEX2DEC(_0811_173439[[#This Row],[4402]])*C$4/C$5+C$6</f>
        <v>37</v>
      </c>
      <c r="K1811">
        <f>HEX2DEC(_0811_173439[[#This Row],[580F]])*D$4/D$5+D$6</f>
        <v>30</v>
      </c>
      <c r="L1811">
        <f>ROUND(HEX2DEC(_0811_173439[[#This Row],[58F0]])*E$4/E$5+E$6,0)</f>
        <v>70</v>
      </c>
      <c r="M1811">
        <f>ROUND(HEX2DEC(_0811_173439[[#This Row],[5805]])*F$4/F$5+F$6,0)</f>
        <v>47</v>
      </c>
      <c r="N1811">
        <f>ROUND(HEX2DEC(_0811_173439[[#This Row],[58DD]])*G$4/G$5+G$6,2)</f>
        <v>-0.03</v>
      </c>
      <c r="P1811">
        <v>760</v>
      </c>
      <c r="Q1811">
        <v>37</v>
      </c>
      <c r="R1811">
        <v>30</v>
      </c>
      <c r="S1811">
        <v>70</v>
      </c>
      <c r="T1811">
        <v>46</v>
      </c>
      <c r="U1811">
        <v>-0.03</v>
      </c>
      <c r="W1811">
        <f>DataLog_T717420_Aug11_4_59_37pm[[#This Row],[RPM '[1/MIN']]]-Table3[[#This Row],[580C]]</f>
        <v>0</v>
      </c>
      <c r="X1811">
        <f>DataLog_T717420_Aug11_4_59_37pm[[#This Row],[OIL TEMP '[Â°C']]]-Table3[[#This Row],[4402]]</f>
        <v>0</v>
      </c>
      <c r="Y1811">
        <f>DataLog_T717420_Aug11_4_59_37pm[[#This Row],[INTAKE TEMP '[Â°C']]]-Table3[[#This Row],[580F]]</f>
        <v>0</v>
      </c>
      <c r="Z1811">
        <f>DataLog_T717420_Aug11_4_59_37pm[[#This Row],[HPFP PRES. '[BAR']]]-Table3[[#This Row],[58F0]]</f>
        <v>0</v>
      </c>
      <c r="AA1811">
        <f>DataLog_T717420_Aug11_4_59_37pm[[#This Row],[COOLANT TEMP '[Â°C']]]-Table3[[#This Row],[5805]]</f>
        <v>-1</v>
      </c>
      <c r="AB1811">
        <f>DataLog_T717420_Aug11_4_59_37pm[[#This Row],[BOOST '[BAR']]]-Table3[[#This Row],[58DD]]</f>
        <v>0</v>
      </c>
    </row>
    <row r="1812" spans="2:28" x14ac:dyDescent="0.25">
      <c r="B1812" s="2" t="s">
        <v>189</v>
      </c>
      <c r="C1812" s="2" t="s">
        <v>262</v>
      </c>
      <c r="D1812" s="2" t="s">
        <v>151</v>
      </c>
      <c r="E1812" s="2" t="s">
        <v>93</v>
      </c>
      <c r="F1812" s="2" t="s">
        <v>395</v>
      </c>
      <c r="G1812" s="2" t="s">
        <v>190</v>
      </c>
      <c r="I1812">
        <f>HEX2DEC(_0811_173439[[#This Row],[580C]])*B$4/B$5+B$6</f>
        <v>760</v>
      </c>
      <c r="J1812">
        <f>HEX2DEC(_0811_173439[[#This Row],[4402]])*C$4/C$5+C$6</f>
        <v>37</v>
      </c>
      <c r="K1812">
        <f>HEX2DEC(_0811_173439[[#This Row],[580F]])*D$4/D$5+D$6</f>
        <v>30</v>
      </c>
      <c r="L1812">
        <f>ROUND(HEX2DEC(_0811_173439[[#This Row],[58F0]])*E$4/E$5+E$6,0)</f>
        <v>70</v>
      </c>
      <c r="M1812">
        <f>ROUND(HEX2DEC(_0811_173439[[#This Row],[5805]])*F$4/F$5+F$6,0)</f>
        <v>47</v>
      </c>
      <c r="N1812">
        <f>ROUND(HEX2DEC(_0811_173439[[#This Row],[58DD]])*G$4/G$5+G$6,2)</f>
        <v>-0.03</v>
      </c>
      <c r="P1812">
        <v>760</v>
      </c>
      <c r="Q1812">
        <v>37</v>
      </c>
      <c r="R1812">
        <v>30</v>
      </c>
      <c r="S1812">
        <v>70</v>
      </c>
      <c r="T1812">
        <v>46</v>
      </c>
      <c r="U1812">
        <v>-0.03</v>
      </c>
      <c r="W1812">
        <f>DataLog_T717420_Aug11_4_59_37pm[[#This Row],[RPM '[1/MIN']]]-Table3[[#This Row],[580C]]</f>
        <v>0</v>
      </c>
      <c r="X1812">
        <f>DataLog_T717420_Aug11_4_59_37pm[[#This Row],[OIL TEMP '[Â°C']]]-Table3[[#This Row],[4402]]</f>
        <v>0</v>
      </c>
      <c r="Y1812">
        <f>DataLog_T717420_Aug11_4_59_37pm[[#This Row],[INTAKE TEMP '[Â°C']]]-Table3[[#This Row],[580F]]</f>
        <v>0</v>
      </c>
      <c r="Z1812">
        <f>DataLog_T717420_Aug11_4_59_37pm[[#This Row],[HPFP PRES. '[BAR']]]-Table3[[#This Row],[58F0]]</f>
        <v>0</v>
      </c>
      <c r="AA1812">
        <f>DataLog_T717420_Aug11_4_59_37pm[[#This Row],[COOLANT TEMP '[Â°C']]]-Table3[[#This Row],[5805]]</f>
        <v>-1</v>
      </c>
      <c r="AB1812">
        <f>DataLog_T717420_Aug11_4_59_37pm[[#This Row],[BOOST '[BAR']]]-Table3[[#This Row],[58DD]]</f>
        <v>0</v>
      </c>
    </row>
    <row r="1813" spans="2:28" x14ac:dyDescent="0.25">
      <c r="B1813" s="2" t="s">
        <v>189</v>
      </c>
      <c r="C1813" s="2" t="s">
        <v>262</v>
      </c>
      <c r="D1813" s="2" t="s">
        <v>151</v>
      </c>
      <c r="E1813" s="2" t="s">
        <v>93</v>
      </c>
      <c r="F1813" s="2" t="s">
        <v>395</v>
      </c>
      <c r="G1813" s="2" t="s">
        <v>216</v>
      </c>
      <c r="I1813">
        <f>HEX2DEC(_0811_173439[[#This Row],[580C]])*B$4/B$5+B$6</f>
        <v>760</v>
      </c>
      <c r="J1813">
        <f>HEX2DEC(_0811_173439[[#This Row],[4402]])*C$4/C$5+C$6</f>
        <v>37</v>
      </c>
      <c r="K1813">
        <f>HEX2DEC(_0811_173439[[#This Row],[580F]])*D$4/D$5+D$6</f>
        <v>30</v>
      </c>
      <c r="L1813">
        <f>ROUND(HEX2DEC(_0811_173439[[#This Row],[58F0]])*E$4/E$5+E$6,0)</f>
        <v>70</v>
      </c>
      <c r="M1813">
        <f>ROUND(HEX2DEC(_0811_173439[[#This Row],[5805]])*F$4/F$5+F$6,0)</f>
        <v>47</v>
      </c>
      <c r="N1813">
        <f>ROUND(HEX2DEC(_0811_173439[[#This Row],[58DD]])*G$4/G$5+G$6,2)</f>
        <v>-0.03</v>
      </c>
      <c r="P1813">
        <v>760</v>
      </c>
      <c r="Q1813">
        <v>37</v>
      </c>
      <c r="R1813">
        <v>30</v>
      </c>
      <c r="S1813">
        <v>70</v>
      </c>
      <c r="T1813">
        <v>46</v>
      </c>
      <c r="U1813">
        <v>-0.03</v>
      </c>
      <c r="W1813">
        <f>DataLog_T717420_Aug11_4_59_37pm[[#This Row],[RPM '[1/MIN']]]-Table3[[#This Row],[580C]]</f>
        <v>0</v>
      </c>
      <c r="X1813">
        <f>DataLog_T717420_Aug11_4_59_37pm[[#This Row],[OIL TEMP '[Â°C']]]-Table3[[#This Row],[4402]]</f>
        <v>0</v>
      </c>
      <c r="Y1813">
        <f>DataLog_T717420_Aug11_4_59_37pm[[#This Row],[INTAKE TEMP '[Â°C']]]-Table3[[#This Row],[580F]]</f>
        <v>0</v>
      </c>
      <c r="Z1813">
        <f>DataLog_T717420_Aug11_4_59_37pm[[#This Row],[HPFP PRES. '[BAR']]]-Table3[[#This Row],[58F0]]</f>
        <v>0</v>
      </c>
      <c r="AA1813">
        <f>DataLog_T717420_Aug11_4_59_37pm[[#This Row],[COOLANT TEMP '[Â°C']]]-Table3[[#This Row],[5805]]</f>
        <v>-1</v>
      </c>
      <c r="AB1813">
        <f>DataLog_T717420_Aug11_4_59_37pm[[#This Row],[BOOST '[BAR']]]-Table3[[#This Row],[58DD]]</f>
        <v>0</v>
      </c>
    </row>
    <row r="1814" spans="2:28" x14ac:dyDescent="0.25">
      <c r="B1814" s="2" t="s">
        <v>189</v>
      </c>
      <c r="C1814" s="2" t="s">
        <v>262</v>
      </c>
      <c r="D1814" s="2" t="s">
        <v>151</v>
      </c>
      <c r="E1814" s="2" t="s">
        <v>206</v>
      </c>
      <c r="F1814" s="2" t="s">
        <v>395</v>
      </c>
      <c r="G1814" s="2" t="s">
        <v>90</v>
      </c>
      <c r="I1814">
        <f>HEX2DEC(_0811_173439[[#This Row],[580C]])*B$4/B$5+B$6</f>
        <v>760</v>
      </c>
      <c r="J1814">
        <f>HEX2DEC(_0811_173439[[#This Row],[4402]])*C$4/C$5+C$6</f>
        <v>37</v>
      </c>
      <c r="K1814">
        <f>HEX2DEC(_0811_173439[[#This Row],[580F]])*D$4/D$5+D$6</f>
        <v>30</v>
      </c>
      <c r="L1814">
        <f>ROUND(HEX2DEC(_0811_173439[[#This Row],[58F0]])*E$4/E$5+E$6,0)</f>
        <v>71</v>
      </c>
      <c r="M1814">
        <f>ROUND(HEX2DEC(_0811_173439[[#This Row],[5805]])*F$4/F$5+F$6,0)</f>
        <v>47</v>
      </c>
      <c r="N1814">
        <f>ROUND(HEX2DEC(_0811_173439[[#This Row],[58DD]])*G$4/G$5+G$6,2)</f>
        <v>-0.03</v>
      </c>
      <c r="P1814">
        <v>760</v>
      </c>
      <c r="Q1814">
        <v>37</v>
      </c>
      <c r="R1814">
        <v>30</v>
      </c>
      <c r="S1814">
        <v>71</v>
      </c>
      <c r="T1814">
        <v>46</v>
      </c>
      <c r="U1814">
        <v>-0.03</v>
      </c>
      <c r="W1814">
        <f>DataLog_T717420_Aug11_4_59_37pm[[#This Row],[RPM '[1/MIN']]]-Table3[[#This Row],[580C]]</f>
        <v>0</v>
      </c>
      <c r="X1814">
        <f>DataLog_T717420_Aug11_4_59_37pm[[#This Row],[OIL TEMP '[Â°C']]]-Table3[[#This Row],[4402]]</f>
        <v>0</v>
      </c>
      <c r="Y1814">
        <f>DataLog_T717420_Aug11_4_59_37pm[[#This Row],[INTAKE TEMP '[Â°C']]]-Table3[[#This Row],[580F]]</f>
        <v>0</v>
      </c>
      <c r="Z1814">
        <f>DataLog_T717420_Aug11_4_59_37pm[[#This Row],[HPFP PRES. '[BAR']]]-Table3[[#This Row],[58F0]]</f>
        <v>0</v>
      </c>
      <c r="AA1814">
        <f>DataLog_T717420_Aug11_4_59_37pm[[#This Row],[COOLANT TEMP '[Â°C']]]-Table3[[#This Row],[5805]]</f>
        <v>-1</v>
      </c>
      <c r="AB1814">
        <f>DataLog_T717420_Aug11_4_59_37pm[[#This Row],[BOOST '[BAR']]]-Table3[[#This Row],[58DD]]</f>
        <v>0</v>
      </c>
    </row>
    <row r="1815" spans="2:28" x14ac:dyDescent="0.25">
      <c r="B1815" s="2" t="s">
        <v>189</v>
      </c>
      <c r="C1815" s="2" t="s">
        <v>262</v>
      </c>
      <c r="D1815" s="2" t="s">
        <v>151</v>
      </c>
      <c r="E1815" s="2" t="s">
        <v>125</v>
      </c>
      <c r="F1815" s="2" t="s">
        <v>395</v>
      </c>
      <c r="G1815" s="2" t="s">
        <v>53</v>
      </c>
      <c r="I1815">
        <f>HEX2DEC(_0811_173439[[#This Row],[580C]])*B$4/B$5+B$6</f>
        <v>760</v>
      </c>
      <c r="J1815">
        <f>HEX2DEC(_0811_173439[[#This Row],[4402]])*C$4/C$5+C$6</f>
        <v>37</v>
      </c>
      <c r="K1815">
        <f>HEX2DEC(_0811_173439[[#This Row],[580F]])*D$4/D$5+D$6</f>
        <v>30</v>
      </c>
      <c r="L1815">
        <f>ROUND(HEX2DEC(_0811_173439[[#This Row],[58F0]])*E$4/E$5+E$6,0)</f>
        <v>70</v>
      </c>
      <c r="M1815">
        <f>ROUND(HEX2DEC(_0811_173439[[#This Row],[5805]])*F$4/F$5+F$6,0)</f>
        <v>47</v>
      </c>
      <c r="N1815">
        <f>ROUND(HEX2DEC(_0811_173439[[#This Row],[58DD]])*G$4/G$5+G$6,2)</f>
        <v>-0.03</v>
      </c>
      <c r="P1815">
        <v>760</v>
      </c>
      <c r="Q1815">
        <v>37</v>
      </c>
      <c r="R1815">
        <v>30</v>
      </c>
      <c r="S1815">
        <v>70</v>
      </c>
      <c r="T1815">
        <v>46</v>
      </c>
      <c r="U1815">
        <v>-0.03</v>
      </c>
      <c r="W1815">
        <f>DataLog_T717420_Aug11_4_59_37pm[[#This Row],[RPM '[1/MIN']]]-Table3[[#This Row],[580C]]</f>
        <v>0</v>
      </c>
      <c r="X1815">
        <f>DataLog_T717420_Aug11_4_59_37pm[[#This Row],[OIL TEMP '[Â°C']]]-Table3[[#This Row],[4402]]</f>
        <v>0</v>
      </c>
      <c r="Y1815">
        <f>DataLog_T717420_Aug11_4_59_37pm[[#This Row],[INTAKE TEMP '[Â°C']]]-Table3[[#This Row],[580F]]</f>
        <v>0</v>
      </c>
      <c r="Z1815">
        <f>DataLog_T717420_Aug11_4_59_37pm[[#This Row],[HPFP PRES. '[BAR']]]-Table3[[#This Row],[58F0]]</f>
        <v>0</v>
      </c>
      <c r="AA1815">
        <f>DataLog_T717420_Aug11_4_59_37pm[[#This Row],[COOLANT TEMP '[Â°C']]]-Table3[[#This Row],[5805]]</f>
        <v>-1</v>
      </c>
      <c r="AB1815">
        <f>DataLog_T717420_Aug11_4_59_37pm[[#This Row],[BOOST '[BAR']]]-Table3[[#This Row],[58DD]]</f>
        <v>0</v>
      </c>
    </row>
    <row r="1816" spans="2:28" x14ac:dyDescent="0.25">
      <c r="B1816" s="2" t="s">
        <v>189</v>
      </c>
      <c r="C1816" s="2" t="s">
        <v>262</v>
      </c>
      <c r="D1816" s="2" t="s">
        <v>151</v>
      </c>
      <c r="E1816" s="2" t="s">
        <v>93</v>
      </c>
      <c r="F1816" s="2" t="s">
        <v>395</v>
      </c>
      <c r="G1816" s="2" t="s">
        <v>96</v>
      </c>
      <c r="I1816">
        <f>HEX2DEC(_0811_173439[[#This Row],[580C]])*B$4/B$5+B$6</f>
        <v>760</v>
      </c>
      <c r="J1816">
        <f>HEX2DEC(_0811_173439[[#This Row],[4402]])*C$4/C$5+C$6</f>
        <v>37</v>
      </c>
      <c r="K1816">
        <f>HEX2DEC(_0811_173439[[#This Row],[580F]])*D$4/D$5+D$6</f>
        <v>30</v>
      </c>
      <c r="L1816">
        <f>ROUND(HEX2DEC(_0811_173439[[#This Row],[58F0]])*E$4/E$5+E$6,0)</f>
        <v>70</v>
      </c>
      <c r="M1816">
        <f>ROUND(HEX2DEC(_0811_173439[[#This Row],[5805]])*F$4/F$5+F$6,0)</f>
        <v>47</v>
      </c>
      <c r="N1816">
        <f>ROUND(HEX2DEC(_0811_173439[[#This Row],[58DD]])*G$4/G$5+G$6,2)</f>
        <v>-0.03</v>
      </c>
      <c r="P1816">
        <v>760</v>
      </c>
      <c r="Q1816">
        <v>37</v>
      </c>
      <c r="R1816">
        <v>30</v>
      </c>
      <c r="S1816">
        <v>70</v>
      </c>
      <c r="T1816">
        <v>46</v>
      </c>
      <c r="U1816">
        <v>-0.03</v>
      </c>
      <c r="W1816">
        <f>DataLog_T717420_Aug11_4_59_37pm[[#This Row],[RPM '[1/MIN']]]-Table3[[#This Row],[580C]]</f>
        <v>0</v>
      </c>
      <c r="X1816">
        <f>DataLog_T717420_Aug11_4_59_37pm[[#This Row],[OIL TEMP '[Â°C']]]-Table3[[#This Row],[4402]]</f>
        <v>0</v>
      </c>
      <c r="Y1816">
        <f>DataLog_T717420_Aug11_4_59_37pm[[#This Row],[INTAKE TEMP '[Â°C']]]-Table3[[#This Row],[580F]]</f>
        <v>0</v>
      </c>
      <c r="Z1816">
        <f>DataLog_T717420_Aug11_4_59_37pm[[#This Row],[HPFP PRES. '[BAR']]]-Table3[[#This Row],[58F0]]</f>
        <v>0</v>
      </c>
      <c r="AA1816">
        <f>DataLog_T717420_Aug11_4_59_37pm[[#This Row],[COOLANT TEMP '[Â°C']]]-Table3[[#This Row],[5805]]</f>
        <v>-1</v>
      </c>
      <c r="AB1816">
        <f>DataLog_T717420_Aug11_4_59_37pm[[#This Row],[BOOST '[BAR']]]-Table3[[#This Row],[58DD]]</f>
        <v>0</v>
      </c>
    </row>
    <row r="1817" spans="2:28" x14ac:dyDescent="0.25">
      <c r="B1817" s="2" t="s">
        <v>189</v>
      </c>
      <c r="C1817" s="2" t="s">
        <v>262</v>
      </c>
      <c r="D1817" s="2" t="s">
        <v>151</v>
      </c>
      <c r="E1817" s="2" t="s">
        <v>122</v>
      </c>
      <c r="F1817" s="2" t="s">
        <v>395</v>
      </c>
      <c r="G1817" s="2" t="s">
        <v>53</v>
      </c>
      <c r="I1817">
        <f>HEX2DEC(_0811_173439[[#This Row],[580C]])*B$4/B$5+B$6</f>
        <v>760</v>
      </c>
      <c r="J1817">
        <f>HEX2DEC(_0811_173439[[#This Row],[4402]])*C$4/C$5+C$6</f>
        <v>37</v>
      </c>
      <c r="K1817">
        <f>HEX2DEC(_0811_173439[[#This Row],[580F]])*D$4/D$5+D$6</f>
        <v>30</v>
      </c>
      <c r="L1817">
        <f>ROUND(HEX2DEC(_0811_173439[[#This Row],[58F0]])*E$4/E$5+E$6,0)</f>
        <v>71</v>
      </c>
      <c r="M1817">
        <f>ROUND(HEX2DEC(_0811_173439[[#This Row],[5805]])*F$4/F$5+F$6,0)</f>
        <v>47</v>
      </c>
      <c r="N1817">
        <f>ROUND(HEX2DEC(_0811_173439[[#This Row],[58DD]])*G$4/G$5+G$6,2)</f>
        <v>-0.03</v>
      </c>
      <c r="P1817">
        <v>760</v>
      </c>
      <c r="Q1817">
        <v>37</v>
      </c>
      <c r="R1817">
        <v>30</v>
      </c>
      <c r="S1817">
        <v>71</v>
      </c>
      <c r="T1817">
        <v>46</v>
      </c>
      <c r="U1817">
        <v>-0.03</v>
      </c>
      <c r="W1817">
        <f>DataLog_T717420_Aug11_4_59_37pm[[#This Row],[RPM '[1/MIN']]]-Table3[[#This Row],[580C]]</f>
        <v>0</v>
      </c>
      <c r="X1817">
        <f>DataLog_T717420_Aug11_4_59_37pm[[#This Row],[OIL TEMP '[Â°C']]]-Table3[[#This Row],[4402]]</f>
        <v>0</v>
      </c>
      <c r="Y1817">
        <f>DataLog_T717420_Aug11_4_59_37pm[[#This Row],[INTAKE TEMP '[Â°C']]]-Table3[[#This Row],[580F]]</f>
        <v>0</v>
      </c>
      <c r="Z1817">
        <f>DataLog_T717420_Aug11_4_59_37pm[[#This Row],[HPFP PRES. '[BAR']]]-Table3[[#This Row],[58F0]]</f>
        <v>0</v>
      </c>
      <c r="AA1817">
        <f>DataLog_T717420_Aug11_4_59_37pm[[#This Row],[COOLANT TEMP '[Â°C']]]-Table3[[#This Row],[5805]]</f>
        <v>-1</v>
      </c>
      <c r="AB1817">
        <f>DataLog_T717420_Aug11_4_59_37pm[[#This Row],[BOOST '[BAR']]]-Table3[[#This Row],[58DD]]</f>
        <v>0</v>
      </c>
    </row>
    <row r="1818" spans="2:28" x14ac:dyDescent="0.25">
      <c r="B1818" s="2" t="s">
        <v>189</v>
      </c>
      <c r="C1818" s="2" t="s">
        <v>262</v>
      </c>
      <c r="D1818" s="2" t="s">
        <v>151</v>
      </c>
      <c r="E1818" s="2" t="s">
        <v>218</v>
      </c>
      <c r="F1818" s="2" t="s">
        <v>395</v>
      </c>
      <c r="G1818" s="2" t="s">
        <v>71</v>
      </c>
      <c r="I1818">
        <f>HEX2DEC(_0811_173439[[#This Row],[580C]])*B$4/B$5+B$6</f>
        <v>760</v>
      </c>
      <c r="J1818">
        <f>HEX2DEC(_0811_173439[[#This Row],[4402]])*C$4/C$5+C$6</f>
        <v>37</v>
      </c>
      <c r="K1818">
        <f>HEX2DEC(_0811_173439[[#This Row],[580F]])*D$4/D$5+D$6</f>
        <v>30</v>
      </c>
      <c r="L1818">
        <f>ROUND(HEX2DEC(_0811_173439[[#This Row],[58F0]])*E$4/E$5+E$6,0)</f>
        <v>71</v>
      </c>
      <c r="M1818">
        <f>ROUND(HEX2DEC(_0811_173439[[#This Row],[5805]])*F$4/F$5+F$6,0)</f>
        <v>47</v>
      </c>
      <c r="N1818">
        <f>ROUND(HEX2DEC(_0811_173439[[#This Row],[58DD]])*G$4/G$5+G$6,2)</f>
        <v>-0.03</v>
      </c>
      <c r="P1818">
        <v>760</v>
      </c>
      <c r="Q1818">
        <v>37</v>
      </c>
      <c r="R1818">
        <v>30</v>
      </c>
      <c r="S1818">
        <v>71</v>
      </c>
      <c r="T1818">
        <v>46</v>
      </c>
      <c r="U1818">
        <v>-0.03</v>
      </c>
      <c r="W1818">
        <f>DataLog_T717420_Aug11_4_59_37pm[[#This Row],[RPM '[1/MIN']]]-Table3[[#This Row],[580C]]</f>
        <v>0</v>
      </c>
      <c r="X1818">
        <f>DataLog_T717420_Aug11_4_59_37pm[[#This Row],[OIL TEMP '[Â°C']]]-Table3[[#This Row],[4402]]</f>
        <v>0</v>
      </c>
      <c r="Y1818">
        <f>DataLog_T717420_Aug11_4_59_37pm[[#This Row],[INTAKE TEMP '[Â°C']]]-Table3[[#This Row],[580F]]</f>
        <v>0</v>
      </c>
      <c r="Z1818">
        <f>DataLog_T717420_Aug11_4_59_37pm[[#This Row],[HPFP PRES. '[BAR']]]-Table3[[#This Row],[58F0]]</f>
        <v>0</v>
      </c>
      <c r="AA1818">
        <f>DataLog_T717420_Aug11_4_59_37pm[[#This Row],[COOLANT TEMP '[Â°C']]]-Table3[[#This Row],[5805]]</f>
        <v>-1</v>
      </c>
      <c r="AB1818">
        <f>DataLog_T717420_Aug11_4_59_37pm[[#This Row],[BOOST '[BAR']]]-Table3[[#This Row],[58DD]]</f>
        <v>0</v>
      </c>
    </row>
    <row r="1819" spans="2:28" x14ac:dyDescent="0.25">
      <c r="B1819" s="2" t="s">
        <v>189</v>
      </c>
      <c r="C1819" s="2" t="s">
        <v>262</v>
      </c>
      <c r="D1819" s="2" t="s">
        <v>151</v>
      </c>
      <c r="E1819" s="2" t="s">
        <v>93</v>
      </c>
      <c r="F1819" s="2" t="s">
        <v>395</v>
      </c>
      <c r="G1819" s="2" t="s">
        <v>71</v>
      </c>
      <c r="I1819">
        <f>HEX2DEC(_0811_173439[[#This Row],[580C]])*B$4/B$5+B$6</f>
        <v>760</v>
      </c>
      <c r="J1819">
        <f>HEX2DEC(_0811_173439[[#This Row],[4402]])*C$4/C$5+C$6</f>
        <v>37</v>
      </c>
      <c r="K1819">
        <f>HEX2DEC(_0811_173439[[#This Row],[580F]])*D$4/D$5+D$6</f>
        <v>30</v>
      </c>
      <c r="L1819">
        <f>ROUND(HEX2DEC(_0811_173439[[#This Row],[58F0]])*E$4/E$5+E$6,0)</f>
        <v>70</v>
      </c>
      <c r="M1819">
        <f>ROUND(HEX2DEC(_0811_173439[[#This Row],[5805]])*F$4/F$5+F$6,0)</f>
        <v>47</v>
      </c>
      <c r="N1819">
        <f>ROUND(HEX2DEC(_0811_173439[[#This Row],[58DD]])*G$4/G$5+G$6,2)</f>
        <v>-0.03</v>
      </c>
      <c r="P1819">
        <v>760</v>
      </c>
      <c r="Q1819">
        <v>37</v>
      </c>
      <c r="R1819">
        <v>30</v>
      </c>
      <c r="S1819">
        <v>70</v>
      </c>
      <c r="T1819">
        <v>46</v>
      </c>
      <c r="U1819">
        <v>-0.03</v>
      </c>
      <c r="W1819">
        <f>DataLog_T717420_Aug11_4_59_37pm[[#This Row],[RPM '[1/MIN']]]-Table3[[#This Row],[580C]]</f>
        <v>0</v>
      </c>
      <c r="X1819">
        <f>DataLog_T717420_Aug11_4_59_37pm[[#This Row],[OIL TEMP '[Â°C']]]-Table3[[#This Row],[4402]]</f>
        <v>0</v>
      </c>
      <c r="Y1819">
        <f>DataLog_T717420_Aug11_4_59_37pm[[#This Row],[INTAKE TEMP '[Â°C']]]-Table3[[#This Row],[580F]]</f>
        <v>0</v>
      </c>
      <c r="Z1819">
        <f>DataLog_T717420_Aug11_4_59_37pm[[#This Row],[HPFP PRES. '[BAR']]]-Table3[[#This Row],[58F0]]</f>
        <v>0</v>
      </c>
      <c r="AA1819">
        <f>DataLog_T717420_Aug11_4_59_37pm[[#This Row],[COOLANT TEMP '[Â°C']]]-Table3[[#This Row],[5805]]</f>
        <v>-1</v>
      </c>
      <c r="AB1819">
        <f>DataLog_T717420_Aug11_4_59_37pm[[#This Row],[BOOST '[BAR']]]-Table3[[#This Row],[58DD]]</f>
        <v>0</v>
      </c>
    </row>
    <row r="1820" spans="2:28" x14ac:dyDescent="0.25">
      <c r="B1820" s="2" t="s">
        <v>189</v>
      </c>
      <c r="C1820" s="2" t="s">
        <v>262</v>
      </c>
      <c r="D1820" s="2" t="s">
        <v>151</v>
      </c>
      <c r="E1820" s="2" t="s">
        <v>122</v>
      </c>
      <c r="F1820" s="2" t="s">
        <v>395</v>
      </c>
      <c r="G1820" s="2" t="s">
        <v>90</v>
      </c>
      <c r="I1820">
        <f>HEX2DEC(_0811_173439[[#This Row],[580C]])*B$4/B$5+B$6</f>
        <v>760</v>
      </c>
      <c r="J1820">
        <f>HEX2DEC(_0811_173439[[#This Row],[4402]])*C$4/C$5+C$6</f>
        <v>37</v>
      </c>
      <c r="K1820">
        <f>HEX2DEC(_0811_173439[[#This Row],[580F]])*D$4/D$5+D$6</f>
        <v>30</v>
      </c>
      <c r="L1820">
        <f>ROUND(HEX2DEC(_0811_173439[[#This Row],[58F0]])*E$4/E$5+E$6,0)</f>
        <v>71</v>
      </c>
      <c r="M1820">
        <f>ROUND(HEX2DEC(_0811_173439[[#This Row],[5805]])*F$4/F$5+F$6,0)</f>
        <v>47</v>
      </c>
      <c r="N1820">
        <f>ROUND(HEX2DEC(_0811_173439[[#This Row],[58DD]])*G$4/G$5+G$6,2)</f>
        <v>-0.03</v>
      </c>
      <c r="P1820">
        <v>760</v>
      </c>
      <c r="Q1820">
        <v>37</v>
      </c>
      <c r="R1820">
        <v>30</v>
      </c>
      <c r="S1820">
        <v>71</v>
      </c>
      <c r="T1820">
        <v>46</v>
      </c>
      <c r="U1820">
        <v>-0.03</v>
      </c>
      <c r="W1820">
        <f>DataLog_T717420_Aug11_4_59_37pm[[#This Row],[RPM '[1/MIN']]]-Table3[[#This Row],[580C]]</f>
        <v>0</v>
      </c>
      <c r="X1820">
        <f>DataLog_T717420_Aug11_4_59_37pm[[#This Row],[OIL TEMP '[Â°C']]]-Table3[[#This Row],[4402]]</f>
        <v>0</v>
      </c>
      <c r="Y1820">
        <f>DataLog_T717420_Aug11_4_59_37pm[[#This Row],[INTAKE TEMP '[Â°C']]]-Table3[[#This Row],[580F]]</f>
        <v>0</v>
      </c>
      <c r="Z1820">
        <f>DataLog_T717420_Aug11_4_59_37pm[[#This Row],[HPFP PRES. '[BAR']]]-Table3[[#This Row],[58F0]]</f>
        <v>0</v>
      </c>
      <c r="AA1820">
        <f>DataLog_T717420_Aug11_4_59_37pm[[#This Row],[COOLANT TEMP '[Â°C']]]-Table3[[#This Row],[5805]]</f>
        <v>-1</v>
      </c>
      <c r="AB1820">
        <f>DataLog_T717420_Aug11_4_59_37pm[[#This Row],[BOOST '[BAR']]]-Table3[[#This Row],[58DD]]</f>
        <v>0</v>
      </c>
    </row>
    <row r="1821" spans="2:28" x14ac:dyDescent="0.25">
      <c r="B1821" s="2" t="s">
        <v>189</v>
      </c>
      <c r="C1821" s="2" t="s">
        <v>397</v>
      </c>
      <c r="D1821" s="2" t="s">
        <v>151</v>
      </c>
      <c r="E1821" s="2" t="s">
        <v>143</v>
      </c>
      <c r="F1821" s="2" t="s">
        <v>395</v>
      </c>
      <c r="G1821" s="2" t="s">
        <v>53</v>
      </c>
      <c r="I1821">
        <f>HEX2DEC(_0811_173439[[#This Row],[580C]])*B$4/B$5+B$6</f>
        <v>760</v>
      </c>
      <c r="J1821">
        <f>HEX2DEC(_0811_173439[[#This Row],[4402]])*C$4/C$5+C$6</f>
        <v>38</v>
      </c>
      <c r="K1821">
        <f>HEX2DEC(_0811_173439[[#This Row],[580F]])*D$4/D$5+D$6</f>
        <v>30</v>
      </c>
      <c r="L1821">
        <f>ROUND(HEX2DEC(_0811_173439[[#This Row],[58F0]])*E$4/E$5+E$6,0)</f>
        <v>71</v>
      </c>
      <c r="M1821">
        <f>ROUND(HEX2DEC(_0811_173439[[#This Row],[5805]])*F$4/F$5+F$6,0)</f>
        <v>47</v>
      </c>
      <c r="N1821">
        <f>ROUND(HEX2DEC(_0811_173439[[#This Row],[58DD]])*G$4/G$5+G$6,2)</f>
        <v>-0.03</v>
      </c>
      <c r="P1821">
        <v>760</v>
      </c>
      <c r="Q1821">
        <v>38</v>
      </c>
      <c r="R1821">
        <v>30</v>
      </c>
      <c r="S1821">
        <v>71</v>
      </c>
      <c r="T1821">
        <v>46</v>
      </c>
      <c r="U1821">
        <v>-0.03</v>
      </c>
      <c r="W1821">
        <f>DataLog_T717420_Aug11_4_59_37pm[[#This Row],[RPM '[1/MIN']]]-Table3[[#This Row],[580C]]</f>
        <v>0</v>
      </c>
      <c r="X1821">
        <f>DataLog_T717420_Aug11_4_59_37pm[[#This Row],[OIL TEMP '[Â°C']]]-Table3[[#This Row],[4402]]</f>
        <v>0</v>
      </c>
      <c r="Y1821">
        <f>DataLog_T717420_Aug11_4_59_37pm[[#This Row],[INTAKE TEMP '[Â°C']]]-Table3[[#This Row],[580F]]</f>
        <v>0</v>
      </c>
      <c r="Z1821">
        <f>DataLog_T717420_Aug11_4_59_37pm[[#This Row],[HPFP PRES. '[BAR']]]-Table3[[#This Row],[58F0]]</f>
        <v>0</v>
      </c>
      <c r="AA1821">
        <f>DataLog_T717420_Aug11_4_59_37pm[[#This Row],[COOLANT TEMP '[Â°C']]]-Table3[[#This Row],[5805]]</f>
        <v>-1</v>
      </c>
      <c r="AB1821">
        <f>DataLog_T717420_Aug11_4_59_37pm[[#This Row],[BOOST '[BAR']]]-Table3[[#This Row],[58DD]]</f>
        <v>0</v>
      </c>
    </row>
    <row r="1822" spans="2:28" x14ac:dyDescent="0.25">
      <c r="B1822" s="2" t="s">
        <v>189</v>
      </c>
      <c r="C1822" s="2" t="s">
        <v>397</v>
      </c>
      <c r="D1822" s="2" t="s">
        <v>151</v>
      </c>
      <c r="E1822" s="2" t="s">
        <v>153</v>
      </c>
      <c r="F1822" s="2" t="s">
        <v>395</v>
      </c>
      <c r="G1822" s="2" t="s">
        <v>53</v>
      </c>
      <c r="I1822">
        <f>HEX2DEC(_0811_173439[[#This Row],[580C]])*B$4/B$5+B$6</f>
        <v>760</v>
      </c>
      <c r="J1822">
        <f>HEX2DEC(_0811_173439[[#This Row],[4402]])*C$4/C$5+C$6</f>
        <v>38</v>
      </c>
      <c r="K1822">
        <f>HEX2DEC(_0811_173439[[#This Row],[580F]])*D$4/D$5+D$6</f>
        <v>30</v>
      </c>
      <c r="L1822">
        <f>ROUND(HEX2DEC(_0811_173439[[#This Row],[58F0]])*E$4/E$5+E$6,0)</f>
        <v>70</v>
      </c>
      <c r="M1822">
        <f>ROUND(HEX2DEC(_0811_173439[[#This Row],[5805]])*F$4/F$5+F$6,0)</f>
        <v>47</v>
      </c>
      <c r="N1822">
        <f>ROUND(HEX2DEC(_0811_173439[[#This Row],[58DD]])*G$4/G$5+G$6,2)</f>
        <v>-0.03</v>
      </c>
      <c r="P1822">
        <v>760</v>
      </c>
      <c r="Q1822">
        <v>38</v>
      </c>
      <c r="R1822">
        <v>30</v>
      </c>
      <c r="S1822">
        <v>70</v>
      </c>
      <c r="T1822">
        <v>46</v>
      </c>
      <c r="U1822">
        <v>-0.03</v>
      </c>
      <c r="W1822">
        <f>DataLog_T717420_Aug11_4_59_37pm[[#This Row],[RPM '[1/MIN']]]-Table3[[#This Row],[580C]]</f>
        <v>0</v>
      </c>
      <c r="X1822">
        <f>DataLog_T717420_Aug11_4_59_37pm[[#This Row],[OIL TEMP '[Â°C']]]-Table3[[#This Row],[4402]]</f>
        <v>0</v>
      </c>
      <c r="Y1822">
        <f>DataLog_T717420_Aug11_4_59_37pm[[#This Row],[INTAKE TEMP '[Â°C']]]-Table3[[#This Row],[580F]]</f>
        <v>0</v>
      </c>
      <c r="Z1822">
        <f>DataLog_T717420_Aug11_4_59_37pm[[#This Row],[HPFP PRES. '[BAR']]]-Table3[[#This Row],[58F0]]</f>
        <v>0</v>
      </c>
      <c r="AA1822">
        <f>DataLog_T717420_Aug11_4_59_37pm[[#This Row],[COOLANT TEMP '[Â°C']]]-Table3[[#This Row],[5805]]</f>
        <v>-1</v>
      </c>
      <c r="AB1822">
        <f>DataLog_T717420_Aug11_4_59_37pm[[#This Row],[BOOST '[BAR']]]-Table3[[#This Row],[58DD]]</f>
        <v>0</v>
      </c>
    </row>
    <row r="1823" spans="2:28" x14ac:dyDescent="0.25">
      <c r="B1823" s="2" t="s">
        <v>189</v>
      </c>
      <c r="C1823" s="2" t="s">
        <v>397</v>
      </c>
      <c r="D1823" s="2" t="s">
        <v>151</v>
      </c>
      <c r="E1823" s="2" t="s">
        <v>148</v>
      </c>
      <c r="F1823" s="2" t="s">
        <v>395</v>
      </c>
      <c r="G1823" s="2" t="s">
        <v>191</v>
      </c>
      <c r="I1823">
        <f>HEX2DEC(_0811_173439[[#This Row],[580C]])*B$4/B$5+B$6</f>
        <v>760</v>
      </c>
      <c r="J1823">
        <f>HEX2DEC(_0811_173439[[#This Row],[4402]])*C$4/C$5+C$6</f>
        <v>38</v>
      </c>
      <c r="K1823">
        <f>HEX2DEC(_0811_173439[[#This Row],[580F]])*D$4/D$5+D$6</f>
        <v>30</v>
      </c>
      <c r="L1823">
        <f>ROUND(HEX2DEC(_0811_173439[[#This Row],[58F0]])*E$4/E$5+E$6,0)</f>
        <v>70</v>
      </c>
      <c r="M1823">
        <f>ROUND(HEX2DEC(_0811_173439[[#This Row],[5805]])*F$4/F$5+F$6,0)</f>
        <v>47</v>
      </c>
      <c r="N1823">
        <f>ROUND(HEX2DEC(_0811_173439[[#This Row],[58DD]])*G$4/G$5+G$6,2)</f>
        <v>-0.03</v>
      </c>
      <c r="P1823">
        <v>760</v>
      </c>
      <c r="Q1823">
        <v>38</v>
      </c>
      <c r="R1823">
        <v>30</v>
      </c>
      <c r="S1823">
        <v>70</v>
      </c>
      <c r="T1823">
        <v>46</v>
      </c>
      <c r="U1823">
        <v>-0.03</v>
      </c>
      <c r="W1823">
        <f>DataLog_T717420_Aug11_4_59_37pm[[#This Row],[RPM '[1/MIN']]]-Table3[[#This Row],[580C]]</f>
        <v>0</v>
      </c>
      <c r="X1823">
        <f>DataLog_T717420_Aug11_4_59_37pm[[#This Row],[OIL TEMP '[Â°C']]]-Table3[[#This Row],[4402]]</f>
        <v>0</v>
      </c>
      <c r="Y1823">
        <f>DataLog_T717420_Aug11_4_59_37pm[[#This Row],[INTAKE TEMP '[Â°C']]]-Table3[[#This Row],[580F]]</f>
        <v>0</v>
      </c>
      <c r="Z1823">
        <f>DataLog_T717420_Aug11_4_59_37pm[[#This Row],[HPFP PRES. '[BAR']]]-Table3[[#This Row],[58F0]]</f>
        <v>0</v>
      </c>
      <c r="AA1823">
        <f>DataLog_T717420_Aug11_4_59_37pm[[#This Row],[COOLANT TEMP '[Â°C']]]-Table3[[#This Row],[5805]]</f>
        <v>-1</v>
      </c>
      <c r="AB1823">
        <f>DataLog_T717420_Aug11_4_59_37pm[[#This Row],[BOOST '[BAR']]]-Table3[[#This Row],[58DD]]</f>
        <v>0</v>
      </c>
    </row>
    <row r="1824" spans="2:28" x14ac:dyDescent="0.25">
      <c r="B1824" s="2" t="s">
        <v>189</v>
      </c>
      <c r="C1824" s="2" t="s">
        <v>397</v>
      </c>
      <c r="D1824" s="2" t="s">
        <v>151</v>
      </c>
      <c r="E1824" s="2" t="s">
        <v>172</v>
      </c>
      <c r="F1824" s="2" t="s">
        <v>395</v>
      </c>
      <c r="G1824" s="2" t="s">
        <v>190</v>
      </c>
      <c r="I1824">
        <f>HEX2DEC(_0811_173439[[#This Row],[580C]])*B$4/B$5+B$6</f>
        <v>760</v>
      </c>
      <c r="J1824">
        <f>HEX2DEC(_0811_173439[[#This Row],[4402]])*C$4/C$5+C$6</f>
        <v>38</v>
      </c>
      <c r="K1824">
        <f>HEX2DEC(_0811_173439[[#This Row],[580F]])*D$4/D$5+D$6</f>
        <v>30</v>
      </c>
      <c r="L1824">
        <f>ROUND(HEX2DEC(_0811_173439[[#This Row],[58F0]])*E$4/E$5+E$6,0)</f>
        <v>70</v>
      </c>
      <c r="M1824">
        <f>ROUND(HEX2DEC(_0811_173439[[#This Row],[5805]])*F$4/F$5+F$6,0)</f>
        <v>47</v>
      </c>
      <c r="N1824">
        <f>ROUND(HEX2DEC(_0811_173439[[#This Row],[58DD]])*G$4/G$5+G$6,2)</f>
        <v>-0.03</v>
      </c>
      <c r="P1824">
        <v>760</v>
      </c>
      <c r="Q1824">
        <v>38</v>
      </c>
      <c r="R1824">
        <v>30</v>
      </c>
      <c r="S1824">
        <v>70</v>
      </c>
      <c r="T1824">
        <v>46</v>
      </c>
      <c r="U1824">
        <v>-0.03</v>
      </c>
      <c r="W1824">
        <f>DataLog_T717420_Aug11_4_59_37pm[[#This Row],[RPM '[1/MIN']]]-Table3[[#This Row],[580C]]</f>
        <v>0</v>
      </c>
      <c r="X1824">
        <f>DataLog_T717420_Aug11_4_59_37pm[[#This Row],[OIL TEMP '[Â°C']]]-Table3[[#This Row],[4402]]</f>
        <v>0</v>
      </c>
      <c r="Y1824">
        <f>DataLog_T717420_Aug11_4_59_37pm[[#This Row],[INTAKE TEMP '[Â°C']]]-Table3[[#This Row],[580F]]</f>
        <v>0</v>
      </c>
      <c r="Z1824">
        <f>DataLog_T717420_Aug11_4_59_37pm[[#This Row],[HPFP PRES. '[BAR']]]-Table3[[#This Row],[58F0]]</f>
        <v>0</v>
      </c>
      <c r="AA1824">
        <f>DataLog_T717420_Aug11_4_59_37pm[[#This Row],[COOLANT TEMP '[Â°C']]]-Table3[[#This Row],[5805]]</f>
        <v>-1</v>
      </c>
      <c r="AB1824">
        <f>DataLog_T717420_Aug11_4_59_37pm[[#This Row],[BOOST '[BAR']]]-Table3[[#This Row],[58DD]]</f>
        <v>0</v>
      </c>
    </row>
    <row r="1825" spans="2:28" x14ac:dyDescent="0.25">
      <c r="B1825" s="2" t="s">
        <v>189</v>
      </c>
      <c r="C1825" s="2" t="s">
        <v>397</v>
      </c>
      <c r="D1825" s="2" t="s">
        <v>151</v>
      </c>
      <c r="E1825" s="2" t="s">
        <v>176</v>
      </c>
      <c r="F1825" s="2" t="s">
        <v>395</v>
      </c>
      <c r="G1825" s="2" t="s">
        <v>71</v>
      </c>
      <c r="I1825">
        <f>HEX2DEC(_0811_173439[[#This Row],[580C]])*B$4/B$5+B$6</f>
        <v>760</v>
      </c>
      <c r="J1825">
        <f>HEX2DEC(_0811_173439[[#This Row],[4402]])*C$4/C$5+C$6</f>
        <v>38</v>
      </c>
      <c r="K1825">
        <f>HEX2DEC(_0811_173439[[#This Row],[580F]])*D$4/D$5+D$6</f>
        <v>30</v>
      </c>
      <c r="L1825">
        <f>ROUND(HEX2DEC(_0811_173439[[#This Row],[58F0]])*E$4/E$5+E$6,0)</f>
        <v>70</v>
      </c>
      <c r="M1825">
        <f>ROUND(HEX2DEC(_0811_173439[[#This Row],[5805]])*F$4/F$5+F$6,0)</f>
        <v>47</v>
      </c>
      <c r="N1825">
        <f>ROUND(HEX2DEC(_0811_173439[[#This Row],[58DD]])*G$4/G$5+G$6,2)</f>
        <v>-0.03</v>
      </c>
      <c r="P1825">
        <v>760</v>
      </c>
      <c r="Q1825">
        <v>38</v>
      </c>
      <c r="R1825">
        <v>30</v>
      </c>
      <c r="S1825">
        <v>70</v>
      </c>
      <c r="T1825">
        <v>46</v>
      </c>
      <c r="U1825">
        <v>-0.03</v>
      </c>
      <c r="W1825">
        <f>DataLog_T717420_Aug11_4_59_37pm[[#This Row],[RPM '[1/MIN']]]-Table3[[#This Row],[580C]]</f>
        <v>0</v>
      </c>
      <c r="X1825">
        <f>DataLog_T717420_Aug11_4_59_37pm[[#This Row],[OIL TEMP '[Â°C']]]-Table3[[#This Row],[4402]]</f>
        <v>0</v>
      </c>
      <c r="Y1825">
        <f>DataLog_T717420_Aug11_4_59_37pm[[#This Row],[INTAKE TEMP '[Â°C']]]-Table3[[#This Row],[580F]]</f>
        <v>0</v>
      </c>
      <c r="Z1825">
        <f>DataLog_T717420_Aug11_4_59_37pm[[#This Row],[HPFP PRES. '[BAR']]]-Table3[[#This Row],[58F0]]</f>
        <v>0</v>
      </c>
      <c r="AA1825">
        <f>DataLog_T717420_Aug11_4_59_37pm[[#This Row],[COOLANT TEMP '[Â°C']]]-Table3[[#This Row],[5805]]</f>
        <v>-1</v>
      </c>
      <c r="AB1825">
        <f>DataLog_T717420_Aug11_4_59_37pm[[#This Row],[BOOST '[BAR']]]-Table3[[#This Row],[58DD]]</f>
        <v>0</v>
      </c>
    </row>
    <row r="1826" spans="2:28" x14ac:dyDescent="0.25">
      <c r="B1826" s="2" t="s">
        <v>189</v>
      </c>
      <c r="C1826" s="2" t="s">
        <v>397</v>
      </c>
      <c r="D1826" s="2" t="s">
        <v>151</v>
      </c>
      <c r="E1826" s="2" t="s">
        <v>142</v>
      </c>
      <c r="F1826" s="2" t="s">
        <v>395</v>
      </c>
      <c r="G1826" s="2" t="s">
        <v>71</v>
      </c>
      <c r="I1826">
        <f>HEX2DEC(_0811_173439[[#This Row],[580C]])*B$4/B$5+B$6</f>
        <v>760</v>
      </c>
      <c r="J1826">
        <f>HEX2DEC(_0811_173439[[#This Row],[4402]])*C$4/C$5+C$6</f>
        <v>38</v>
      </c>
      <c r="K1826">
        <f>HEX2DEC(_0811_173439[[#This Row],[580F]])*D$4/D$5+D$6</f>
        <v>30</v>
      </c>
      <c r="L1826">
        <f>ROUND(HEX2DEC(_0811_173439[[#This Row],[58F0]])*E$4/E$5+E$6,0)</f>
        <v>69</v>
      </c>
      <c r="M1826">
        <f>ROUND(HEX2DEC(_0811_173439[[#This Row],[5805]])*F$4/F$5+F$6,0)</f>
        <v>47</v>
      </c>
      <c r="N1826">
        <f>ROUND(HEX2DEC(_0811_173439[[#This Row],[58DD]])*G$4/G$5+G$6,2)</f>
        <v>-0.03</v>
      </c>
      <c r="P1826">
        <v>760</v>
      </c>
      <c r="Q1826">
        <v>38</v>
      </c>
      <c r="R1826">
        <v>30</v>
      </c>
      <c r="S1826">
        <v>69</v>
      </c>
      <c r="T1826">
        <v>46</v>
      </c>
      <c r="U1826">
        <v>-0.03</v>
      </c>
      <c r="W1826">
        <f>DataLog_T717420_Aug11_4_59_37pm[[#This Row],[RPM '[1/MIN']]]-Table3[[#This Row],[580C]]</f>
        <v>0</v>
      </c>
      <c r="X1826">
        <f>DataLog_T717420_Aug11_4_59_37pm[[#This Row],[OIL TEMP '[Â°C']]]-Table3[[#This Row],[4402]]</f>
        <v>0</v>
      </c>
      <c r="Y1826">
        <f>DataLog_T717420_Aug11_4_59_37pm[[#This Row],[INTAKE TEMP '[Â°C']]]-Table3[[#This Row],[580F]]</f>
        <v>0</v>
      </c>
      <c r="Z1826">
        <f>DataLog_T717420_Aug11_4_59_37pm[[#This Row],[HPFP PRES. '[BAR']]]-Table3[[#This Row],[58F0]]</f>
        <v>0</v>
      </c>
      <c r="AA1826">
        <f>DataLog_T717420_Aug11_4_59_37pm[[#This Row],[COOLANT TEMP '[Â°C']]]-Table3[[#This Row],[5805]]</f>
        <v>-1</v>
      </c>
      <c r="AB1826">
        <f>DataLog_T717420_Aug11_4_59_37pm[[#This Row],[BOOST '[BAR']]]-Table3[[#This Row],[58DD]]</f>
        <v>0</v>
      </c>
    </row>
    <row r="1827" spans="2:28" x14ac:dyDescent="0.25">
      <c r="B1827" s="2" t="s">
        <v>189</v>
      </c>
      <c r="C1827" s="2" t="s">
        <v>397</v>
      </c>
      <c r="D1827" s="2" t="s">
        <v>151</v>
      </c>
      <c r="E1827" s="2" t="s">
        <v>149</v>
      </c>
      <c r="F1827" s="2" t="s">
        <v>395</v>
      </c>
      <c r="G1827" s="2" t="s">
        <v>190</v>
      </c>
      <c r="I1827">
        <f>HEX2DEC(_0811_173439[[#This Row],[580C]])*B$4/B$5+B$6</f>
        <v>760</v>
      </c>
      <c r="J1827">
        <f>HEX2DEC(_0811_173439[[#This Row],[4402]])*C$4/C$5+C$6</f>
        <v>38</v>
      </c>
      <c r="K1827">
        <f>HEX2DEC(_0811_173439[[#This Row],[580F]])*D$4/D$5+D$6</f>
        <v>30</v>
      </c>
      <c r="L1827">
        <f>ROUND(HEX2DEC(_0811_173439[[#This Row],[58F0]])*E$4/E$5+E$6,0)</f>
        <v>70</v>
      </c>
      <c r="M1827">
        <f>ROUND(HEX2DEC(_0811_173439[[#This Row],[5805]])*F$4/F$5+F$6,0)</f>
        <v>47</v>
      </c>
      <c r="N1827">
        <f>ROUND(HEX2DEC(_0811_173439[[#This Row],[58DD]])*G$4/G$5+G$6,2)</f>
        <v>-0.03</v>
      </c>
      <c r="P1827">
        <v>760</v>
      </c>
      <c r="Q1827">
        <v>38</v>
      </c>
      <c r="R1827">
        <v>30</v>
      </c>
      <c r="S1827">
        <v>70</v>
      </c>
      <c r="T1827">
        <v>46</v>
      </c>
      <c r="U1827">
        <v>-0.03</v>
      </c>
      <c r="W1827">
        <f>DataLog_T717420_Aug11_4_59_37pm[[#This Row],[RPM '[1/MIN']]]-Table3[[#This Row],[580C]]</f>
        <v>0</v>
      </c>
      <c r="X1827">
        <f>DataLog_T717420_Aug11_4_59_37pm[[#This Row],[OIL TEMP '[Â°C']]]-Table3[[#This Row],[4402]]</f>
        <v>0</v>
      </c>
      <c r="Y1827">
        <f>DataLog_T717420_Aug11_4_59_37pm[[#This Row],[INTAKE TEMP '[Â°C']]]-Table3[[#This Row],[580F]]</f>
        <v>0</v>
      </c>
      <c r="Z1827">
        <f>DataLog_T717420_Aug11_4_59_37pm[[#This Row],[HPFP PRES. '[BAR']]]-Table3[[#This Row],[58F0]]</f>
        <v>0</v>
      </c>
      <c r="AA1827">
        <f>DataLog_T717420_Aug11_4_59_37pm[[#This Row],[COOLANT TEMP '[Â°C']]]-Table3[[#This Row],[5805]]</f>
        <v>-1</v>
      </c>
      <c r="AB1827">
        <f>DataLog_T717420_Aug11_4_59_37pm[[#This Row],[BOOST '[BAR']]]-Table3[[#This Row],[58DD]]</f>
        <v>0</v>
      </c>
    </row>
    <row r="1828" spans="2:28" x14ac:dyDescent="0.25">
      <c r="B1828" s="2" t="s">
        <v>189</v>
      </c>
      <c r="C1828" s="2" t="s">
        <v>397</v>
      </c>
      <c r="D1828" s="2" t="s">
        <v>151</v>
      </c>
      <c r="E1828" s="2" t="s">
        <v>150</v>
      </c>
      <c r="F1828" s="2" t="s">
        <v>395</v>
      </c>
      <c r="G1828" s="2" t="s">
        <v>245</v>
      </c>
      <c r="I1828">
        <f>HEX2DEC(_0811_173439[[#This Row],[580C]])*B$4/B$5+B$6</f>
        <v>760</v>
      </c>
      <c r="J1828">
        <f>HEX2DEC(_0811_173439[[#This Row],[4402]])*C$4/C$5+C$6</f>
        <v>38</v>
      </c>
      <c r="K1828">
        <f>HEX2DEC(_0811_173439[[#This Row],[580F]])*D$4/D$5+D$6</f>
        <v>30</v>
      </c>
      <c r="L1828">
        <f>ROUND(HEX2DEC(_0811_173439[[#This Row],[58F0]])*E$4/E$5+E$6,0)</f>
        <v>70</v>
      </c>
      <c r="M1828">
        <f>ROUND(HEX2DEC(_0811_173439[[#This Row],[5805]])*F$4/F$5+F$6,0)</f>
        <v>47</v>
      </c>
      <c r="N1828">
        <f>ROUND(HEX2DEC(_0811_173439[[#This Row],[58DD]])*G$4/G$5+G$6,2)</f>
        <v>-0.03</v>
      </c>
      <c r="P1828">
        <v>760</v>
      </c>
      <c r="Q1828">
        <v>38</v>
      </c>
      <c r="R1828">
        <v>30</v>
      </c>
      <c r="S1828">
        <v>70</v>
      </c>
      <c r="T1828">
        <v>46</v>
      </c>
      <c r="U1828">
        <v>-0.03</v>
      </c>
      <c r="W1828">
        <f>DataLog_T717420_Aug11_4_59_37pm[[#This Row],[RPM '[1/MIN']]]-Table3[[#This Row],[580C]]</f>
        <v>0</v>
      </c>
      <c r="X1828">
        <f>DataLog_T717420_Aug11_4_59_37pm[[#This Row],[OIL TEMP '[Â°C']]]-Table3[[#This Row],[4402]]</f>
        <v>0</v>
      </c>
      <c r="Y1828">
        <f>DataLog_T717420_Aug11_4_59_37pm[[#This Row],[INTAKE TEMP '[Â°C']]]-Table3[[#This Row],[580F]]</f>
        <v>0</v>
      </c>
      <c r="Z1828">
        <f>DataLog_T717420_Aug11_4_59_37pm[[#This Row],[HPFP PRES. '[BAR']]]-Table3[[#This Row],[58F0]]</f>
        <v>0</v>
      </c>
      <c r="AA1828">
        <f>DataLog_T717420_Aug11_4_59_37pm[[#This Row],[COOLANT TEMP '[Â°C']]]-Table3[[#This Row],[5805]]</f>
        <v>-1</v>
      </c>
      <c r="AB1828">
        <f>DataLog_T717420_Aug11_4_59_37pm[[#This Row],[BOOST '[BAR']]]-Table3[[#This Row],[58DD]]</f>
        <v>0</v>
      </c>
    </row>
    <row r="1829" spans="2:28" x14ac:dyDescent="0.25">
      <c r="B1829" s="2" t="s">
        <v>189</v>
      </c>
      <c r="C1829" s="2" t="s">
        <v>397</v>
      </c>
      <c r="D1829" s="2" t="s">
        <v>151</v>
      </c>
      <c r="E1829" s="2" t="s">
        <v>93</v>
      </c>
      <c r="F1829" s="2" t="s">
        <v>395</v>
      </c>
      <c r="G1829" s="2" t="s">
        <v>236</v>
      </c>
      <c r="I1829">
        <f>HEX2DEC(_0811_173439[[#This Row],[580C]])*B$4/B$5+B$6</f>
        <v>760</v>
      </c>
      <c r="J1829">
        <f>HEX2DEC(_0811_173439[[#This Row],[4402]])*C$4/C$5+C$6</f>
        <v>38</v>
      </c>
      <c r="K1829">
        <f>HEX2DEC(_0811_173439[[#This Row],[580F]])*D$4/D$5+D$6</f>
        <v>30</v>
      </c>
      <c r="L1829">
        <f>ROUND(HEX2DEC(_0811_173439[[#This Row],[58F0]])*E$4/E$5+E$6,0)</f>
        <v>70</v>
      </c>
      <c r="M1829">
        <f>ROUND(HEX2DEC(_0811_173439[[#This Row],[5805]])*F$4/F$5+F$6,0)</f>
        <v>47</v>
      </c>
      <c r="N1829">
        <f>ROUND(HEX2DEC(_0811_173439[[#This Row],[58DD]])*G$4/G$5+G$6,2)</f>
        <v>-0.03</v>
      </c>
      <c r="P1829">
        <v>760</v>
      </c>
      <c r="Q1829">
        <v>38</v>
      </c>
      <c r="R1829">
        <v>30</v>
      </c>
      <c r="S1829">
        <v>70</v>
      </c>
      <c r="T1829">
        <v>46</v>
      </c>
      <c r="U1829">
        <v>-0.03</v>
      </c>
      <c r="W1829">
        <f>DataLog_T717420_Aug11_4_59_37pm[[#This Row],[RPM '[1/MIN']]]-Table3[[#This Row],[580C]]</f>
        <v>0</v>
      </c>
      <c r="X1829">
        <f>DataLog_T717420_Aug11_4_59_37pm[[#This Row],[OIL TEMP '[Â°C']]]-Table3[[#This Row],[4402]]</f>
        <v>0</v>
      </c>
      <c r="Y1829">
        <f>DataLog_T717420_Aug11_4_59_37pm[[#This Row],[INTAKE TEMP '[Â°C']]]-Table3[[#This Row],[580F]]</f>
        <v>0</v>
      </c>
      <c r="Z1829">
        <f>DataLog_T717420_Aug11_4_59_37pm[[#This Row],[HPFP PRES. '[BAR']]]-Table3[[#This Row],[58F0]]</f>
        <v>0</v>
      </c>
      <c r="AA1829">
        <f>DataLog_T717420_Aug11_4_59_37pm[[#This Row],[COOLANT TEMP '[Â°C']]]-Table3[[#This Row],[5805]]</f>
        <v>-1</v>
      </c>
      <c r="AB1829">
        <f>DataLog_T717420_Aug11_4_59_37pm[[#This Row],[BOOST '[BAR']]]-Table3[[#This Row],[58DD]]</f>
        <v>0</v>
      </c>
    </row>
    <row r="1830" spans="2:28" x14ac:dyDescent="0.25">
      <c r="B1830" s="2" t="s">
        <v>189</v>
      </c>
      <c r="C1830" s="2" t="s">
        <v>397</v>
      </c>
      <c r="D1830" s="2" t="s">
        <v>151</v>
      </c>
      <c r="E1830" s="2" t="s">
        <v>142</v>
      </c>
      <c r="F1830" s="2" t="s">
        <v>395</v>
      </c>
      <c r="G1830" s="2" t="s">
        <v>216</v>
      </c>
      <c r="I1830">
        <f>HEX2DEC(_0811_173439[[#This Row],[580C]])*B$4/B$5+B$6</f>
        <v>760</v>
      </c>
      <c r="J1830">
        <f>HEX2DEC(_0811_173439[[#This Row],[4402]])*C$4/C$5+C$6</f>
        <v>38</v>
      </c>
      <c r="K1830">
        <f>HEX2DEC(_0811_173439[[#This Row],[580F]])*D$4/D$5+D$6</f>
        <v>30</v>
      </c>
      <c r="L1830">
        <f>ROUND(HEX2DEC(_0811_173439[[#This Row],[58F0]])*E$4/E$5+E$6,0)</f>
        <v>69</v>
      </c>
      <c r="M1830">
        <f>ROUND(HEX2DEC(_0811_173439[[#This Row],[5805]])*F$4/F$5+F$6,0)</f>
        <v>47</v>
      </c>
      <c r="N1830">
        <f>ROUND(HEX2DEC(_0811_173439[[#This Row],[58DD]])*G$4/G$5+G$6,2)</f>
        <v>-0.03</v>
      </c>
      <c r="P1830">
        <v>760</v>
      </c>
      <c r="Q1830">
        <v>38</v>
      </c>
      <c r="R1830">
        <v>30</v>
      </c>
      <c r="S1830">
        <v>69</v>
      </c>
      <c r="T1830">
        <v>46</v>
      </c>
      <c r="U1830">
        <v>-0.03</v>
      </c>
      <c r="W1830">
        <f>DataLog_T717420_Aug11_4_59_37pm[[#This Row],[RPM '[1/MIN']]]-Table3[[#This Row],[580C]]</f>
        <v>0</v>
      </c>
      <c r="X1830">
        <f>DataLog_T717420_Aug11_4_59_37pm[[#This Row],[OIL TEMP '[Â°C']]]-Table3[[#This Row],[4402]]</f>
        <v>0</v>
      </c>
      <c r="Y1830">
        <f>DataLog_T717420_Aug11_4_59_37pm[[#This Row],[INTAKE TEMP '[Â°C']]]-Table3[[#This Row],[580F]]</f>
        <v>0</v>
      </c>
      <c r="Z1830">
        <f>DataLog_T717420_Aug11_4_59_37pm[[#This Row],[HPFP PRES. '[BAR']]]-Table3[[#This Row],[58F0]]</f>
        <v>0</v>
      </c>
      <c r="AA1830">
        <f>DataLog_T717420_Aug11_4_59_37pm[[#This Row],[COOLANT TEMP '[Â°C']]]-Table3[[#This Row],[5805]]</f>
        <v>-1</v>
      </c>
      <c r="AB1830">
        <f>DataLog_T717420_Aug11_4_59_37pm[[#This Row],[BOOST '[BAR']]]-Table3[[#This Row],[58DD]]</f>
        <v>0</v>
      </c>
    </row>
    <row r="1831" spans="2:28" x14ac:dyDescent="0.25">
      <c r="B1831" s="2" t="s">
        <v>189</v>
      </c>
      <c r="C1831" s="2" t="s">
        <v>397</v>
      </c>
      <c r="D1831" s="2" t="s">
        <v>151</v>
      </c>
      <c r="E1831" s="2" t="s">
        <v>214</v>
      </c>
      <c r="F1831" s="2" t="s">
        <v>395</v>
      </c>
      <c r="G1831" s="2" t="s">
        <v>53</v>
      </c>
      <c r="I1831">
        <f>HEX2DEC(_0811_173439[[#This Row],[580C]])*B$4/B$5+B$6</f>
        <v>760</v>
      </c>
      <c r="J1831">
        <f>HEX2DEC(_0811_173439[[#This Row],[4402]])*C$4/C$5+C$6</f>
        <v>38</v>
      </c>
      <c r="K1831">
        <f>HEX2DEC(_0811_173439[[#This Row],[580F]])*D$4/D$5+D$6</f>
        <v>30</v>
      </c>
      <c r="L1831">
        <f>ROUND(HEX2DEC(_0811_173439[[#This Row],[58F0]])*E$4/E$5+E$6,0)</f>
        <v>70</v>
      </c>
      <c r="M1831">
        <f>ROUND(HEX2DEC(_0811_173439[[#This Row],[5805]])*F$4/F$5+F$6,0)</f>
        <v>47</v>
      </c>
      <c r="N1831">
        <f>ROUND(HEX2DEC(_0811_173439[[#This Row],[58DD]])*G$4/G$5+G$6,2)</f>
        <v>-0.03</v>
      </c>
      <c r="P1831">
        <v>760</v>
      </c>
      <c r="Q1831">
        <v>38</v>
      </c>
      <c r="R1831">
        <v>30</v>
      </c>
      <c r="S1831">
        <v>70</v>
      </c>
      <c r="T1831">
        <v>46</v>
      </c>
      <c r="U1831">
        <v>-0.03</v>
      </c>
      <c r="W1831">
        <f>DataLog_T717420_Aug11_4_59_37pm[[#This Row],[RPM '[1/MIN']]]-Table3[[#This Row],[580C]]</f>
        <v>0</v>
      </c>
      <c r="X1831">
        <f>DataLog_T717420_Aug11_4_59_37pm[[#This Row],[OIL TEMP '[Â°C']]]-Table3[[#This Row],[4402]]</f>
        <v>0</v>
      </c>
      <c r="Y1831">
        <f>DataLog_T717420_Aug11_4_59_37pm[[#This Row],[INTAKE TEMP '[Â°C']]]-Table3[[#This Row],[580F]]</f>
        <v>0</v>
      </c>
      <c r="Z1831">
        <f>DataLog_T717420_Aug11_4_59_37pm[[#This Row],[HPFP PRES. '[BAR']]]-Table3[[#This Row],[58F0]]</f>
        <v>0</v>
      </c>
      <c r="AA1831">
        <f>DataLog_T717420_Aug11_4_59_37pm[[#This Row],[COOLANT TEMP '[Â°C']]]-Table3[[#This Row],[5805]]</f>
        <v>-1</v>
      </c>
      <c r="AB1831">
        <f>DataLog_T717420_Aug11_4_59_37pm[[#This Row],[BOOST '[BAR']]]-Table3[[#This Row],[58DD]]</f>
        <v>0</v>
      </c>
    </row>
    <row r="1832" spans="2:28" x14ac:dyDescent="0.25">
      <c r="B1832" s="2" t="s">
        <v>189</v>
      </c>
      <c r="C1832" s="2" t="s">
        <v>397</v>
      </c>
      <c r="D1832" s="2" t="s">
        <v>151</v>
      </c>
      <c r="E1832" s="2" t="s">
        <v>93</v>
      </c>
      <c r="F1832" s="2" t="s">
        <v>395</v>
      </c>
      <c r="G1832" s="2" t="s">
        <v>53</v>
      </c>
      <c r="I1832">
        <f>HEX2DEC(_0811_173439[[#This Row],[580C]])*B$4/B$5+B$6</f>
        <v>760</v>
      </c>
      <c r="J1832">
        <f>HEX2DEC(_0811_173439[[#This Row],[4402]])*C$4/C$5+C$6</f>
        <v>38</v>
      </c>
      <c r="K1832">
        <f>HEX2DEC(_0811_173439[[#This Row],[580F]])*D$4/D$5+D$6</f>
        <v>30</v>
      </c>
      <c r="L1832">
        <f>ROUND(HEX2DEC(_0811_173439[[#This Row],[58F0]])*E$4/E$5+E$6,0)</f>
        <v>70</v>
      </c>
      <c r="M1832">
        <f>ROUND(HEX2DEC(_0811_173439[[#This Row],[5805]])*F$4/F$5+F$6,0)</f>
        <v>47</v>
      </c>
      <c r="N1832">
        <f>ROUND(HEX2DEC(_0811_173439[[#This Row],[58DD]])*G$4/G$5+G$6,2)</f>
        <v>-0.03</v>
      </c>
      <c r="P1832">
        <v>760</v>
      </c>
      <c r="Q1832">
        <v>38</v>
      </c>
      <c r="R1832">
        <v>30</v>
      </c>
      <c r="S1832">
        <v>70</v>
      </c>
      <c r="T1832">
        <v>46</v>
      </c>
      <c r="U1832">
        <v>-0.03</v>
      </c>
      <c r="W1832">
        <f>DataLog_T717420_Aug11_4_59_37pm[[#This Row],[RPM '[1/MIN']]]-Table3[[#This Row],[580C]]</f>
        <v>0</v>
      </c>
      <c r="X1832">
        <f>DataLog_T717420_Aug11_4_59_37pm[[#This Row],[OIL TEMP '[Â°C']]]-Table3[[#This Row],[4402]]</f>
        <v>0</v>
      </c>
      <c r="Y1832">
        <f>DataLog_T717420_Aug11_4_59_37pm[[#This Row],[INTAKE TEMP '[Â°C']]]-Table3[[#This Row],[580F]]</f>
        <v>0</v>
      </c>
      <c r="Z1832">
        <f>DataLog_T717420_Aug11_4_59_37pm[[#This Row],[HPFP PRES. '[BAR']]]-Table3[[#This Row],[58F0]]</f>
        <v>0</v>
      </c>
      <c r="AA1832">
        <f>DataLog_T717420_Aug11_4_59_37pm[[#This Row],[COOLANT TEMP '[Â°C']]]-Table3[[#This Row],[5805]]</f>
        <v>-1</v>
      </c>
      <c r="AB1832">
        <f>DataLog_T717420_Aug11_4_59_37pm[[#This Row],[BOOST '[BAR']]]-Table3[[#This Row],[58DD]]</f>
        <v>0</v>
      </c>
    </row>
    <row r="1833" spans="2:28" x14ac:dyDescent="0.25">
      <c r="B1833" s="2" t="s">
        <v>189</v>
      </c>
      <c r="C1833" s="2" t="s">
        <v>397</v>
      </c>
      <c r="D1833" s="2" t="s">
        <v>151</v>
      </c>
      <c r="E1833" s="2" t="s">
        <v>215</v>
      </c>
      <c r="F1833" s="2" t="s">
        <v>395</v>
      </c>
      <c r="G1833" s="2" t="s">
        <v>53</v>
      </c>
      <c r="I1833">
        <f>HEX2DEC(_0811_173439[[#This Row],[580C]])*B$4/B$5+B$6</f>
        <v>760</v>
      </c>
      <c r="J1833">
        <f>HEX2DEC(_0811_173439[[#This Row],[4402]])*C$4/C$5+C$6</f>
        <v>38</v>
      </c>
      <c r="K1833">
        <f>HEX2DEC(_0811_173439[[#This Row],[580F]])*D$4/D$5+D$6</f>
        <v>30</v>
      </c>
      <c r="L1833">
        <f>ROUND(HEX2DEC(_0811_173439[[#This Row],[58F0]])*E$4/E$5+E$6,0)</f>
        <v>70</v>
      </c>
      <c r="M1833">
        <f>ROUND(HEX2DEC(_0811_173439[[#This Row],[5805]])*F$4/F$5+F$6,0)</f>
        <v>47</v>
      </c>
      <c r="N1833">
        <f>ROUND(HEX2DEC(_0811_173439[[#This Row],[58DD]])*G$4/G$5+G$6,2)</f>
        <v>-0.03</v>
      </c>
      <c r="P1833">
        <v>760</v>
      </c>
      <c r="Q1833">
        <v>38</v>
      </c>
      <c r="R1833">
        <v>30</v>
      </c>
      <c r="S1833">
        <v>70</v>
      </c>
      <c r="T1833">
        <v>46</v>
      </c>
      <c r="U1833">
        <v>-0.03</v>
      </c>
      <c r="W1833">
        <f>DataLog_T717420_Aug11_4_59_37pm[[#This Row],[RPM '[1/MIN']]]-Table3[[#This Row],[580C]]</f>
        <v>0</v>
      </c>
      <c r="X1833">
        <f>DataLog_T717420_Aug11_4_59_37pm[[#This Row],[OIL TEMP '[Â°C']]]-Table3[[#This Row],[4402]]</f>
        <v>0</v>
      </c>
      <c r="Y1833">
        <f>DataLog_T717420_Aug11_4_59_37pm[[#This Row],[INTAKE TEMP '[Â°C']]]-Table3[[#This Row],[580F]]</f>
        <v>0</v>
      </c>
      <c r="Z1833">
        <f>DataLog_T717420_Aug11_4_59_37pm[[#This Row],[HPFP PRES. '[BAR']]]-Table3[[#This Row],[58F0]]</f>
        <v>0</v>
      </c>
      <c r="AA1833">
        <f>DataLog_T717420_Aug11_4_59_37pm[[#This Row],[COOLANT TEMP '[Â°C']]]-Table3[[#This Row],[5805]]</f>
        <v>-1</v>
      </c>
      <c r="AB1833">
        <f>DataLog_T717420_Aug11_4_59_37pm[[#This Row],[BOOST '[BAR']]]-Table3[[#This Row],[58DD]]</f>
        <v>0</v>
      </c>
    </row>
    <row r="1834" spans="2:28" x14ac:dyDescent="0.25">
      <c r="B1834" s="2" t="s">
        <v>189</v>
      </c>
      <c r="C1834" s="2" t="s">
        <v>397</v>
      </c>
      <c r="D1834" s="2" t="s">
        <v>151</v>
      </c>
      <c r="E1834" s="2" t="s">
        <v>159</v>
      </c>
      <c r="F1834" s="2" t="s">
        <v>395</v>
      </c>
      <c r="G1834" s="2" t="s">
        <v>71</v>
      </c>
      <c r="I1834">
        <f>HEX2DEC(_0811_173439[[#This Row],[580C]])*B$4/B$5+B$6</f>
        <v>760</v>
      </c>
      <c r="J1834">
        <f>HEX2DEC(_0811_173439[[#This Row],[4402]])*C$4/C$5+C$6</f>
        <v>38</v>
      </c>
      <c r="K1834">
        <f>HEX2DEC(_0811_173439[[#This Row],[580F]])*D$4/D$5+D$6</f>
        <v>30</v>
      </c>
      <c r="L1834">
        <f>ROUND(HEX2DEC(_0811_173439[[#This Row],[58F0]])*E$4/E$5+E$6,0)</f>
        <v>70</v>
      </c>
      <c r="M1834">
        <f>ROUND(HEX2DEC(_0811_173439[[#This Row],[5805]])*F$4/F$5+F$6,0)</f>
        <v>47</v>
      </c>
      <c r="N1834">
        <f>ROUND(HEX2DEC(_0811_173439[[#This Row],[58DD]])*G$4/G$5+G$6,2)</f>
        <v>-0.03</v>
      </c>
      <c r="P1834">
        <v>760</v>
      </c>
      <c r="Q1834">
        <v>38</v>
      </c>
      <c r="R1834">
        <v>30</v>
      </c>
      <c r="S1834">
        <v>70</v>
      </c>
      <c r="T1834">
        <v>46</v>
      </c>
      <c r="U1834">
        <v>-0.03</v>
      </c>
      <c r="W1834">
        <f>DataLog_T717420_Aug11_4_59_37pm[[#This Row],[RPM '[1/MIN']]]-Table3[[#This Row],[580C]]</f>
        <v>0</v>
      </c>
      <c r="X1834">
        <f>DataLog_T717420_Aug11_4_59_37pm[[#This Row],[OIL TEMP '[Â°C']]]-Table3[[#This Row],[4402]]</f>
        <v>0</v>
      </c>
      <c r="Y1834">
        <f>DataLog_T717420_Aug11_4_59_37pm[[#This Row],[INTAKE TEMP '[Â°C']]]-Table3[[#This Row],[580F]]</f>
        <v>0</v>
      </c>
      <c r="Z1834">
        <f>DataLog_T717420_Aug11_4_59_37pm[[#This Row],[HPFP PRES. '[BAR']]]-Table3[[#This Row],[58F0]]</f>
        <v>0</v>
      </c>
      <c r="AA1834">
        <f>DataLog_T717420_Aug11_4_59_37pm[[#This Row],[COOLANT TEMP '[Â°C']]]-Table3[[#This Row],[5805]]</f>
        <v>-1</v>
      </c>
      <c r="AB1834">
        <f>DataLog_T717420_Aug11_4_59_37pm[[#This Row],[BOOST '[BAR']]]-Table3[[#This Row],[58DD]]</f>
        <v>0</v>
      </c>
    </row>
    <row r="1835" spans="2:28" x14ac:dyDescent="0.25">
      <c r="B1835" s="2" t="s">
        <v>189</v>
      </c>
      <c r="C1835" s="2" t="s">
        <v>397</v>
      </c>
      <c r="D1835" s="2" t="s">
        <v>151</v>
      </c>
      <c r="E1835" s="2" t="s">
        <v>141</v>
      </c>
      <c r="F1835" s="2" t="s">
        <v>395</v>
      </c>
      <c r="G1835" s="2" t="s">
        <v>71</v>
      </c>
      <c r="I1835">
        <f>HEX2DEC(_0811_173439[[#This Row],[580C]])*B$4/B$5+B$6</f>
        <v>760</v>
      </c>
      <c r="J1835">
        <f>HEX2DEC(_0811_173439[[#This Row],[4402]])*C$4/C$5+C$6</f>
        <v>38</v>
      </c>
      <c r="K1835">
        <f>HEX2DEC(_0811_173439[[#This Row],[580F]])*D$4/D$5+D$6</f>
        <v>30</v>
      </c>
      <c r="L1835">
        <f>ROUND(HEX2DEC(_0811_173439[[#This Row],[58F0]])*E$4/E$5+E$6,0)</f>
        <v>70</v>
      </c>
      <c r="M1835">
        <f>ROUND(HEX2DEC(_0811_173439[[#This Row],[5805]])*F$4/F$5+F$6,0)</f>
        <v>47</v>
      </c>
      <c r="N1835">
        <f>ROUND(HEX2DEC(_0811_173439[[#This Row],[58DD]])*G$4/G$5+G$6,2)</f>
        <v>-0.03</v>
      </c>
      <c r="P1835">
        <v>760</v>
      </c>
      <c r="Q1835">
        <v>38</v>
      </c>
      <c r="R1835">
        <v>30</v>
      </c>
      <c r="S1835">
        <v>70</v>
      </c>
      <c r="T1835">
        <v>46</v>
      </c>
      <c r="U1835">
        <v>-0.03</v>
      </c>
      <c r="W1835">
        <f>DataLog_T717420_Aug11_4_59_37pm[[#This Row],[RPM '[1/MIN']]]-Table3[[#This Row],[580C]]</f>
        <v>0</v>
      </c>
      <c r="X1835">
        <f>DataLog_T717420_Aug11_4_59_37pm[[#This Row],[OIL TEMP '[Â°C']]]-Table3[[#This Row],[4402]]</f>
        <v>0</v>
      </c>
      <c r="Y1835">
        <f>DataLog_T717420_Aug11_4_59_37pm[[#This Row],[INTAKE TEMP '[Â°C']]]-Table3[[#This Row],[580F]]</f>
        <v>0</v>
      </c>
      <c r="Z1835">
        <f>DataLog_T717420_Aug11_4_59_37pm[[#This Row],[HPFP PRES. '[BAR']]]-Table3[[#This Row],[58F0]]</f>
        <v>0</v>
      </c>
      <c r="AA1835">
        <f>DataLog_T717420_Aug11_4_59_37pm[[#This Row],[COOLANT TEMP '[Â°C']]]-Table3[[#This Row],[5805]]</f>
        <v>-1</v>
      </c>
      <c r="AB1835">
        <f>DataLog_T717420_Aug11_4_59_37pm[[#This Row],[BOOST '[BAR']]]-Table3[[#This Row],[58DD]]</f>
        <v>0</v>
      </c>
    </row>
    <row r="1836" spans="2:28" x14ac:dyDescent="0.25">
      <c r="B1836" s="2" t="s">
        <v>189</v>
      </c>
      <c r="C1836" s="2" t="s">
        <v>397</v>
      </c>
      <c r="D1836" s="2" t="s">
        <v>151</v>
      </c>
      <c r="E1836" s="2" t="s">
        <v>150</v>
      </c>
      <c r="F1836" s="2" t="s">
        <v>395</v>
      </c>
      <c r="G1836" s="2" t="s">
        <v>90</v>
      </c>
      <c r="I1836">
        <f>HEX2DEC(_0811_173439[[#This Row],[580C]])*B$4/B$5+B$6</f>
        <v>760</v>
      </c>
      <c r="J1836">
        <f>HEX2DEC(_0811_173439[[#This Row],[4402]])*C$4/C$5+C$6</f>
        <v>38</v>
      </c>
      <c r="K1836">
        <f>HEX2DEC(_0811_173439[[#This Row],[580F]])*D$4/D$5+D$6</f>
        <v>30</v>
      </c>
      <c r="L1836">
        <f>ROUND(HEX2DEC(_0811_173439[[#This Row],[58F0]])*E$4/E$5+E$6,0)</f>
        <v>70</v>
      </c>
      <c r="M1836">
        <f>ROUND(HEX2DEC(_0811_173439[[#This Row],[5805]])*F$4/F$5+F$6,0)</f>
        <v>47</v>
      </c>
      <c r="N1836">
        <f>ROUND(HEX2DEC(_0811_173439[[#This Row],[58DD]])*G$4/G$5+G$6,2)</f>
        <v>-0.03</v>
      </c>
      <c r="P1836">
        <v>760</v>
      </c>
      <c r="Q1836">
        <v>38</v>
      </c>
      <c r="R1836">
        <v>30</v>
      </c>
      <c r="S1836">
        <v>70</v>
      </c>
      <c r="T1836">
        <v>46</v>
      </c>
      <c r="U1836">
        <v>-0.03</v>
      </c>
      <c r="W1836">
        <f>DataLog_T717420_Aug11_4_59_37pm[[#This Row],[RPM '[1/MIN']]]-Table3[[#This Row],[580C]]</f>
        <v>0</v>
      </c>
      <c r="X1836">
        <f>DataLog_T717420_Aug11_4_59_37pm[[#This Row],[OIL TEMP '[Â°C']]]-Table3[[#This Row],[4402]]</f>
        <v>0</v>
      </c>
      <c r="Y1836">
        <f>DataLog_T717420_Aug11_4_59_37pm[[#This Row],[INTAKE TEMP '[Â°C']]]-Table3[[#This Row],[580F]]</f>
        <v>0</v>
      </c>
      <c r="Z1836">
        <f>DataLog_T717420_Aug11_4_59_37pm[[#This Row],[HPFP PRES. '[BAR']]]-Table3[[#This Row],[58F0]]</f>
        <v>0</v>
      </c>
      <c r="AA1836">
        <f>DataLog_T717420_Aug11_4_59_37pm[[#This Row],[COOLANT TEMP '[Â°C']]]-Table3[[#This Row],[5805]]</f>
        <v>-1</v>
      </c>
      <c r="AB1836">
        <f>DataLog_T717420_Aug11_4_59_37pm[[#This Row],[BOOST '[BAR']]]-Table3[[#This Row],[58DD]]</f>
        <v>0</v>
      </c>
    </row>
    <row r="1837" spans="2:28" x14ac:dyDescent="0.25">
      <c r="B1837" s="2" t="s">
        <v>189</v>
      </c>
      <c r="C1837" s="2" t="s">
        <v>397</v>
      </c>
      <c r="D1837" s="2" t="s">
        <v>151</v>
      </c>
      <c r="E1837" s="2" t="s">
        <v>222</v>
      </c>
      <c r="F1837" s="2" t="s">
        <v>395</v>
      </c>
      <c r="G1837" s="2" t="s">
        <v>236</v>
      </c>
      <c r="I1837">
        <f>HEX2DEC(_0811_173439[[#This Row],[580C]])*B$4/B$5+B$6</f>
        <v>760</v>
      </c>
      <c r="J1837">
        <f>HEX2DEC(_0811_173439[[#This Row],[4402]])*C$4/C$5+C$6</f>
        <v>38</v>
      </c>
      <c r="K1837">
        <f>HEX2DEC(_0811_173439[[#This Row],[580F]])*D$4/D$5+D$6</f>
        <v>30</v>
      </c>
      <c r="L1837">
        <f>ROUND(HEX2DEC(_0811_173439[[#This Row],[58F0]])*E$4/E$5+E$6,0)</f>
        <v>70</v>
      </c>
      <c r="M1837">
        <f>ROUND(HEX2DEC(_0811_173439[[#This Row],[5805]])*F$4/F$5+F$6,0)</f>
        <v>47</v>
      </c>
      <c r="N1837">
        <f>ROUND(HEX2DEC(_0811_173439[[#This Row],[58DD]])*G$4/G$5+G$6,2)</f>
        <v>-0.03</v>
      </c>
      <c r="P1837">
        <v>760</v>
      </c>
      <c r="Q1837">
        <v>38</v>
      </c>
      <c r="R1837">
        <v>30</v>
      </c>
      <c r="S1837">
        <v>70</v>
      </c>
      <c r="T1837">
        <v>46</v>
      </c>
      <c r="U1837">
        <v>-0.03</v>
      </c>
      <c r="W1837">
        <f>DataLog_T717420_Aug11_4_59_37pm[[#This Row],[RPM '[1/MIN']]]-Table3[[#This Row],[580C]]</f>
        <v>0</v>
      </c>
      <c r="X1837">
        <f>DataLog_T717420_Aug11_4_59_37pm[[#This Row],[OIL TEMP '[Â°C']]]-Table3[[#This Row],[4402]]</f>
        <v>0</v>
      </c>
      <c r="Y1837">
        <f>DataLog_T717420_Aug11_4_59_37pm[[#This Row],[INTAKE TEMP '[Â°C']]]-Table3[[#This Row],[580F]]</f>
        <v>0</v>
      </c>
      <c r="Z1837">
        <f>DataLog_T717420_Aug11_4_59_37pm[[#This Row],[HPFP PRES. '[BAR']]]-Table3[[#This Row],[58F0]]</f>
        <v>0</v>
      </c>
      <c r="AA1837">
        <f>DataLog_T717420_Aug11_4_59_37pm[[#This Row],[COOLANT TEMP '[Â°C']]]-Table3[[#This Row],[5805]]</f>
        <v>-1</v>
      </c>
      <c r="AB1837">
        <f>DataLog_T717420_Aug11_4_59_37pm[[#This Row],[BOOST '[BAR']]]-Table3[[#This Row],[58DD]]</f>
        <v>0</v>
      </c>
    </row>
    <row r="1838" spans="2:28" x14ac:dyDescent="0.25">
      <c r="B1838" s="2" t="s">
        <v>189</v>
      </c>
      <c r="C1838" s="2" t="s">
        <v>397</v>
      </c>
      <c r="D1838" s="2" t="s">
        <v>151</v>
      </c>
      <c r="E1838" s="2" t="s">
        <v>93</v>
      </c>
      <c r="F1838" s="2" t="s">
        <v>395</v>
      </c>
      <c r="G1838" s="2" t="s">
        <v>191</v>
      </c>
      <c r="I1838">
        <f>HEX2DEC(_0811_173439[[#This Row],[580C]])*B$4/B$5+B$6</f>
        <v>760</v>
      </c>
      <c r="J1838">
        <f>HEX2DEC(_0811_173439[[#This Row],[4402]])*C$4/C$5+C$6</f>
        <v>38</v>
      </c>
      <c r="K1838">
        <f>HEX2DEC(_0811_173439[[#This Row],[580F]])*D$4/D$5+D$6</f>
        <v>30</v>
      </c>
      <c r="L1838">
        <f>ROUND(HEX2DEC(_0811_173439[[#This Row],[58F0]])*E$4/E$5+E$6,0)</f>
        <v>70</v>
      </c>
      <c r="M1838">
        <f>ROUND(HEX2DEC(_0811_173439[[#This Row],[5805]])*F$4/F$5+F$6,0)</f>
        <v>47</v>
      </c>
      <c r="N1838">
        <f>ROUND(HEX2DEC(_0811_173439[[#This Row],[58DD]])*G$4/G$5+G$6,2)</f>
        <v>-0.03</v>
      </c>
      <c r="P1838">
        <v>760</v>
      </c>
      <c r="Q1838">
        <v>38</v>
      </c>
      <c r="R1838">
        <v>30</v>
      </c>
      <c r="S1838">
        <v>70</v>
      </c>
      <c r="T1838">
        <v>46</v>
      </c>
      <c r="U1838">
        <v>-0.03</v>
      </c>
      <c r="W1838">
        <f>DataLog_T717420_Aug11_4_59_37pm[[#This Row],[RPM '[1/MIN']]]-Table3[[#This Row],[580C]]</f>
        <v>0</v>
      </c>
      <c r="X1838">
        <f>DataLog_T717420_Aug11_4_59_37pm[[#This Row],[OIL TEMP '[Â°C']]]-Table3[[#This Row],[4402]]</f>
        <v>0</v>
      </c>
      <c r="Y1838">
        <f>DataLog_T717420_Aug11_4_59_37pm[[#This Row],[INTAKE TEMP '[Â°C']]]-Table3[[#This Row],[580F]]</f>
        <v>0</v>
      </c>
      <c r="Z1838">
        <f>DataLog_T717420_Aug11_4_59_37pm[[#This Row],[HPFP PRES. '[BAR']]]-Table3[[#This Row],[58F0]]</f>
        <v>0</v>
      </c>
      <c r="AA1838">
        <f>DataLog_T717420_Aug11_4_59_37pm[[#This Row],[COOLANT TEMP '[Â°C']]]-Table3[[#This Row],[5805]]</f>
        <v>-1</v>
      </c>
      <c r="AB1838">
        <f>DataLog_T717420_Aug11_4_59_37pm[[#This Row],[BOOST '[BAR']]]-Table3[[#This Row],[58DD]]</f>
        <v>0</v>
      </c>
    </row>
    <row r="1839" spans="2:28" x14ac:dyDescent="0.25">
      <c r="B1839" s="2" t="s">
        <v>189</v>
      </c>
      <c r="C1839" s="2" t="s">
        <v>397</v>
      </c>
      <c r="D1839" s="2" t="s">
        <v>151</v>
      </c>
      <c r="E1839" s="2" t="s">
        <v>93</v>
      </c>
      <c r="F1839" s="2" t="s">
        <v>395</v>
      </c>
      <c r="G1839" s="2" t="s">
        <v>71</v>
      </c>
      <c r="I1839">
        <f>HEX2DEC(_0811_173439[[#This Row],[580C]])*B$4/B$5+B$6</f>
        <v>760</v>
      </c>
      <c r="J1839">
        <f>HEX2DEC(_0811_173439[[#This Row],[4402]])*C$4/C$5+C$6</f>
        <v>38</v>
      </c>
      <c r="K1839">
        <f>HEX2DEC(_0811_173439[[#This Row],[580F]])*D$4/D$5+D$6</f>
        <v>30</v>
      </c>
      <c r="L1839">
        <f>ROUND(HEX2DEC(_0811_173439[[#This Row],[58F0]])*E$4/E$5+E$6,0)</f>
        <v>70</v>
      </c>
      <c r="M1839">
        <f>ROUND(HEX2DEC(_0811_173439[[#This Row],[5805]])*F$4/F$5+F$6,0)</f>
        <v>47</v>
      </c>
      <c r="N1839">
        <f>ROUND(HEX2DEC(_0811_173439[[#This Row],[58DD]])*G$4/G$5+G$6,2)</f>
        <v>-0.03</v>
      </c>
      <c r="P1839">
        <v>760</v>
      </c>
      <c r="Q1839">
        <v>38</v>
      </c>
      <c r="R1839">
        <v>30</v>
      </c>
      <c r="S1839">
        <v>70</v>
      </c>
      <c r="T1839">
        <v>46</v>
      </c>
      <c r="U1839">
        <v>-0.03</v>
      </c>
      <c r="W1839">
        <f>DataLog_T717420_Aug11_4_59_37pm[[#This Row],[RPM '[1/MIN']]]-Table3[[#This Row],[580C]]</f>
        <v>0</v>
      </c>
      <c r="X1839">
        <f>DataLog_T717420_Aug11_4_59_37pm[[#This Row],[OIL TEMP '[Â°C']]]-Table3[[#This Row],[4402]]</f>
        <v>0</v>
      </c>
      <c r="Y1839">
        <f>DataLog_T717420_Aug11_4_59_37pm[[#This Row],[INTAKE TEMP '[Â°C']]]-Table3[[#This Row],[580F]]</f>
        <v>0</v>
      </c>
      <c r="Z1839">
        <f>DataLog_T717420_Aug11_4_59_37pm[[#This Row],[HPFP PRES. '[BAR']]]-Table3[[#This Row],[58F0]]</f>
        <v>0</v>
      </c>
      <c r="AA1839">
        <f>DataLog_T717420_Aug11_4_59_37pm[[#This Row],[COOLANT TEMP '[Â°C']]]-Table3[[#This Row],[5805]]</f>
        <v>-1</v>
      </c>
      <c r="AB1839">
        <f>DataLog_T717420_Aug11_4_59_37pm[[#This Row],[BOOST '[BAR']]]-Table3[[#This Row],[58DD]]</f>
        <v>0</v>
      </c>
    </row>
    <row r="1840" spans="2:28" x14ac:dyDescent="0.25">
      <c r="B1840" s="2" t="s">
        <v>189</v>
      </c>
      <c r="C1840" s="2" t="s">
        <v>397</v>
      </c>
      <c r="D1840" s="2" t="s">
        <v>151</v>
      </c>
      <c r="E1840" s="2" t="s">
        <v>194</v>
      </c>
      <c r="F1840" s="2" t="s">
        <v>395</v>
      </c>
      <c r="G1840" s="2" t="s">
        <v>71</v>
      </c>
      <c r="I1840">
        <f>HEX2DEC(_0811_173439[[#This Row],[580C]])*B$4/B$5+B$6</f>
        <v>760</v>
      </c>
      <c r="J1840">
        <f>HEX2DEC(_0811_173439[[#This Row],[4402]])*C$4/C$5+C$6</f>
        <v>38</v>
      </c>
      <c r="K1840">
        <f>HEX2DEC(_0811_173439[[#This Row],[580F]])*D$4/D$5+D$6</f>
        <v>30</v>
      </c>
      <c r="L1840">
        <f>ROUND(HEX2DEC(_0811_173439[[#This Row],[58F0]])*E$4/E$5+E$6,0)</f>
        <v>70</v>
      </c>
      <c r="M1840">
        <f>ROUND(HEX2DEC(_0811_173439[[#This Row],[5805]])*F$4/F$5+F$6,0)</f>
        <v>47</v>
      </c>
      <c r="N1840">
        <f>ROUND(HEX2DEC(_0811_173439[[#This Row],[58DD]])*G$4/G$5+G$6,2)</f>
        <v>-0.03</v>
      </c>
      <c r="P1840">
        <v>760</v>
      </c>
      <c r="Q1840">
        <v>38</v>
      </c>
      <c r="R1840">
        <v>30</v>
      </c>
      <c r="S1840">
        <v>70</v>
      </c>
      <c r="T1840">
        <v>46</v>
      </c>
      <c r="U1840">
        <v>-0.03</v>
      </c>
      <c r="W1840">
        <f>DataLog_T717420_Aug11_4_59_37pm[[#This Row],[RPM '[1/MIN']]]-Table3[[#This Row],[580C]]</f>
        <v>0</v>
      </c>
      <c r="X1840">
        <f>DataLog_T717420_Aug11_4_59_37pm[[#This Row],[OIL TEMP '[Â°C']]]-Table3[[#This Row],[4402]]</f>
        <v>0</v>
      </c>
      <c r="Y1840">
        <f>DataLog_T717420_Aug11_4_59_37pm[[#This Row],[INTAKE TEMP '[Â°C']]]-Table3[[#This Row],[580F]]</f>
        <v>0</v>
      </c>
      <c r="Z1840">
        <f>DataLog_T717420_Aug11_4_59_37pm[[#This Row],[HPFP PRES. '[BAR']]]-Table3[[#This Row],[58F0]]</f>
        <v>0</v>
      </c>
      <c r="AA1840">
        <f>DataLog_T717420_Aug11_4_59_37pm[[#This Row],[COOLANT TEMP '[Â°C']]]-Table3[[#This Row],[5805]]</f>
        <v>-1</v>
      </c>
      <c r="AB1840">
        <f>DataLog_T717420_Aug11_4_59_37pm[[#This Row],[BOOST '[BAR']]]-Table3[[#This Row],[58DD]]</f>
        <v>0</v>
      </c>
    </row>
    <row r="1841" spans="2:28" x14ac:dyDescent="0.25">
      <c r="B1841" s="2" t="s">
        <v>189</v>
      </c>
      <c r="C1841" s="2" t="s">
        <v>397</v>
      </c>
      <c r="D1841" s="2" t="s">
        <v>151</v>
      </c>
      <c r="E1841" s="2" t="s">
        <v>165</v>
      </c>
      <c r="F1841" s="2" t="s">
        <v>395</v>
      </c>
      <c r="G1841" s="2" t="s">
        <v>71</v>
      </c>
      <c r="I1841">
        <f>HEX2DEC(_0811_173439[[#This Row],[580C]])*B$4/B$5+B$6</f>
        <v>760</v>
      </c>
      <c r="J1841">
        <f>HEX2DEC(_0811_173439[[#This Row],[4402]])*C$4/C$5+C$6</f>
        <v>38</v>
      </c>
      <c r="K1841">
        <f>HEX2DEC(_0811_173439[[#This Row],[580F]])*D$4/D$5+D$6</f>
        <v>30</v>
      </c>
      <c r="L1841">
        <f>ROUND(HEX2DEC(_0811_173439[[#This Row],[58F0]])*E$4/E$5+E$6,0)</f>
        <v>70</v>
      </c>
      <c r="M1841">
        <f>ROUND(HEX2DEC(_0811_173439[[#This Row],[5805]])*F$4/F$5+F$6,0)</f>
        <v>47</v>
      </c>
      <c r="N1841">
        <f>ROUND(HEX2DEC(_0811_173439[[#This Row],[58DD]])*G$4/G$5+G$6,2)</f>
        <v>-0.03</v>
      </c>
      <c r="P1841">
        <v>760</v>
      </c>
      <c r="Q1841">
        <v>38</v>
      </c>
      <c r="R1841">
        <v>30</v>
      </c>
      <c r="S1841">
        <v>70</v>
      </c>
      <c r="T1841">
        <v>46</v>
      </c>
      <c r="U1841">
        <v>-0.03</v>
      </c>
      <c r="W1841">
        <f>DataLog_T717420_Aug11_4_59_37pm[[#This Row],[RPM '[1/MIN']]]-Table3[[#This Row],[580C]]</f>
        <v>0</v>
      </c>
      <c r="X1841">
        <f>DataLog_T717420_Aug11_4_59_37pm[[#This Row],[OIL TEMP '[Â°C']]]-Table3[[#This Row],[4402]]</f>
        <v>0</v>
      </c>
      <c r="Y1841">
        <f>DataLog_T717420_Aug11_4_59_37pm[[#This Row],[INTAKE TEMP '[Â°C']]]-Table3[[#This Row],[580F]]</f>
        <v>0</v>
      </c>
      <c r="Z1841">
        <f>DataLog_T717420_Aug11_4_59_37pm[[#This Row],[HPFP PRES. '[BAR']]]-Table3[[#This Row],[58F0]]</f>
        <v>0</v>
      </c>
      <c r="AA1841">
        <f>DataLog_T717420_Aug11_4_59_37pm[[#This Row],[COOLANT TEMP '[Â°C']]]-Table3[[#This Row],[5805]]</f>
        <v>-1</v>
      </c>
      <c r="AB1841">
        <f>DataLog_T717420_Aug11_4_59_37pm[[#This Row],[BOOST '[BAR']]]-Table3[[#This Row],[58DD]]</f>
        <v>0</v>
      </c>
    </row>
    <row r="1842" spans="2:28" x14ac:dyDescent="0.25">
      <c r="B1842" s="2" t="s">
        <v>189</v>
      </c>
      <c r="C1842" s="2" t="s">
        <v>397</v>
      </c>
      <c r="D1842" s="2" t="s">
        <v>151</v>
      </c>
      <c r="E1842" s="2" t="s">
        <v>93</v>
      </c>
      <c r="F1842" s="2" t="s">
        <v>395</v>
      </c>
      <c r="G1842" s="2" t="s">
        <v>71</v>
      </c>
      <c r="I1842">
        <f>HEX2DEC(_0811_173439[[#This Row],[580C]])*B$4/B$5+B$6</f>
        <v>760</v>
      </c>
      <c r="J1842">
        <f>HEX2DEC(_0811_173439[[#This Row],[4402]])*C$4/C$5+C$6</f>
        <v>38</v>
      </c>
      <c r="K1842">
        <f>HEX2DEC(_0811_173439[[#This Row],[580F]])*D$4/D$5+D$6</f>
        <v>30</v>
      </c>
      <c r="L1842">
        <f>ROUND(HEX2DEC(_0811_173439[[#This Row],[58F0]])*E$4/E$5+E$6,0)</f>
        <v>70</v>
      </c>
      <c r="M1842">
        <f>ROUND(HEX2DEC(_0811_173439[[#This Row],[5805]])*F$4/F$5+F$6,0)</f>
        <v>47</v>
      </c>
      <c r="N1842">
        <f>ROUND(HEX2DEC(_0811_173439[[#This Row],[58DD]])*G$4/G$5+G$6,2)</f>
        <v>-0.03</v>
      </c>
      <c r="P1842">
        <v>760</v>
      </c>
      <c r="Q1842">
        <v>38</v>
      </c>
      <c r="R1842">
        <v>30</v>
      </c>
      <c r="S1842">
        <v>70</v>
      </c>
      <c r="T1842">
        <v>46</v>
      </c>
      <c r="U1842">
        <v>-0.03</v>
      </c>
      <c r="W1842">
        <f>DataLog_T717420_Aug11_4_59_37pm[[#This Row],[RPM '[1/MIN']]]-Table3[[#This Row],[580C]]</f>
        <v>0</v>
      </c>
      <c r="X1842">
        <f>DataLog_T717420_Aug11_4_59_37pm[[#This Row],[OIL TEMP '[Â°C']]]-Table3[[#This Row],[4402]]</f>
        <v>0</v>
      </c>
      <c r="Y1842">
        <f>DataLog_T717420_Aug11_4_59_37pm[[#This Row],[INTAKE TEMP '[Â°C']]]-Table3[[#This Row],[580F]]</f>
        <v>0</v>
      </c>
      <c r="Z1842">
        <f>DataLog_T717420_Aug11_4_59_37pm[[#This Row],[HPFP PRES. '[BAR']]]-Table3[[#This Row],[58F0]]</f>
        <v>0</v>
      </c>
      <c r="AA1842">
        <f>DataLog_T717420_Aug11_4_59_37pm[[#This Row],[COOLANT TEMP '[Â°C']]]-Table3[[#This Row],[5805]]</f>
        <v>-1</v>
      </c>
      <c r="AB1842">
        <f>DataLog_T717420_Aug11_4_59_37pm[[#This Row],[BOOST '[BAR']]]-Table3[[#This Row],[58DD]]</f>
        <v>0</v>
      </c>
    </row>
    <row r="1843" spans="2:28" x14ac:dyDescent="0.25">
      <c r="B1843" s="2" t="s">
        <v>189</v>
      </c>
      <c r="C1843" s="2" t="s">
        <v>397</v>
      </c>
      <c r="D1843" s="2" t="s">
        <v>151</v>
      </c>
      <c r="E1843" s="2" t="s">
        <v>141</v>
      </c>
      <c r="F1843" s="2" t="s">
        <v>395</v>
      </c>
      <c r="G1843" s="2" t="s">
        <v>190</v>
      </c>
      <c r="I1843">
        <f>HEX2DEC(_0811_173439[[#This Row],[580C]])*B$4/B$5+B$6</f>
        <v>760</v>
      </c>
      <c r="J1843">
        <f>HEX2DEC(_0811_173439[[#This Row],[4402]])*C$4/C$5+C$6</f>
        <v>38</v>
      </c>
      <c r="K1843">
        <f>HEX2DEC(_0811_173439[[#This Row],[580F]])*D$4/D$5+D$6</f>
        <v>30</v>
      </c>
      <c r="L1843">
        <f>ROUND(HEX2DEC(_0811_173439[[#This Row],[58F0]])*E$4/E$5+E$6,0)</f>
        <v>70</v>
      </c>
      <c r="M1843">
        <f>ROUND(HEX2DEC(_0811_173439[[#This Row],[5805]])*F$4/F$5+F$6,0)</f>
        <v>47</v>
      </c>
      <c r="N1843">
        <f>ROUND(HEX2DEC(_0811_173439[[#This Row],[58DD]])*G$4/G$5+G$6,2)</f>
        <v>-0.03</v>
      </c>
      <c r="P1843">
        <v>760</v>
      </c>
      <c r="Q1843">
        <v>38</v>
      </c>
      <c r="R1843">
        <v>30</v>
      </c>
      <c r="S1843">
        <v>70</v>
      </c>
      <c r="T1843">
        <v>46</v>
      </c>
      <c r="U1843">
        <v>-0.03</v>
      </c>
      <c r="W1843">
        <f>DataLog_T717420_Aug11_4_59_37pm[[#This Row],[RPM '[1/MIN']]]-Table3[[#This Row],[580C]]</f>
        <v>0</v>
      </c>
      <c r="X1843">
        <f>DataLog_T717420_Aug11_4_59_37pm[[#This Row],[OIL TEMP '[Â°C']]]-Table3[[#This Row],[4402]]</f>
        <v>0</v>
      </c>
      <c r="Y1843">
        <f>DataLog_T717420_Aug11_4_59_37pm[[#This Row],[INTAKE TEMP '[Â°C']]]-Table3[[#This Row],[580F]]</f>
        <v>0</v>
      </c>
      <c r="Z1843">
        <f>DataLog_T717420_Aug11_4_59_37pm[[#This Row],[HPFP PRES. '[BAR']]]-Table3[[#This Row],[58F0]]</f>
        <v>0</v>
      </c>
      <c r="AA1843">
        <f>DataLog_T717420_Aug11_4_59_37pm[[#This Row],[COOLANT TEMP '[Â°C']]]-Table3[[#This Row],[5805]]</f>
        <v>-1</v>
      </c>
      <c r="AB1843">
        <f>DataLog_T717420_Aug11_4_59_37pm[[#This Row],[BOOST '[BAR']]]-Table3[[#This Row],[58DD]]</f>
        <v>0</v>
      </c>
    </row>
    <row r="1844" spans="2:28" x14ac:dyDescent="0.25">
      <c r="B1844" s="2" t="s">
        <v>189</v>
      </c>
      <c r="C1844" s="2" t="s">
        <v>397</v>
      </c>
      <c r="D1844" s="2" t="s">
        <v>151</v>
      </c>
      <c r="E1844" s="2" t="s">
        <v>157</v>
      </c>
      <c r="F1844" s="2" t="s">
        <v>395</v>
      </c>
      <c r="G1844" s="2" t="s">
        <v>53</v>
      </c>
      <c r="I1844">
        <f>HEX2DEC(_0811_173439[[#This Row],[580C]])*B$4/B$5+B$6</f>
        <v>760</v>
      </c>
      <c r="J1844">
        <f>HEX2DEC(_0811_173439[[#This Row],[4402]])*C$4/C$5+C$6</f>
        <v>38</v>
      </c>
      <c r="K1844">
        <f>HEX2DEC(_0811_173439[[#This Row],[580F]])*D$4/D$5+D$6</f>
        <v>30</v>
      </c>
      <c r="L1844">
        <f>ROUND(HEX2DEC(_0811_173439[[#This Row],[58F0]])*E$4/E$5+E$6,0)</f>
        <v>70</v>
      </c>
      <c r="M1844">
        <f>ROUND(HEX2DEC(_0811_173439[[#This Row],[5805]])*F$4/F$5+F$6,0)</f>
        <v>47</v>
      </c>
      <c r="N1844">
        <f>ROUND(HEX2DEC(_0811_173439[[#This Row],[58DD]])*G$4/G$5+G$6,2)</f>
        <v>-0.03</v>
      </c>
      <c r="P1844">
        <v>760</v>
      </c>
      <c r="Q1844">
        <v>38</v>
      </c>
      <c r="R1844">
        <v>30</v>
      </c>
      <c r="S1844">
        <v>70</v>
      </c>
      <c r="T1844">
        <v>46</v>
      </c>
      <c r="U1844">
        <v>-0.03</v>
      </c>
      <c r="W1844">
        <f>DataLog_T717420_Aug11_4_59_37pm[[#This Row],[RPM '[1/MIN']]]-Table3[[#This Row],[580C]]</f>
        <v>0</v>
      </c>
      <c r="X1844">
        <f>DataLog_T717420_Aug11_4_59_37pm[[#This Row],[OIL TEMP '[Â°C']]]-Table3[[#This Row],[4402]]</f>
        <v>0</v>
      </c>
      <c r="Y1844">
        <f>DataLog_T717420_Aug11_4_59_37pm[[#This Row],[INTAKE TEMP '[Â°C']]]-Table3[[#This Row],[580F]]</f>
        <v>0</v>
      </c>
      <c r="Z1844">
        <f>DataLog_T717420_Aug11_4_59_37pm[[#This Row],[HPFP PRES. '[BAR']]]-Table3[[#This Row],[58F0]]</f>
        <v>0</v>
      </c>
      <c r="AA1844">
        <f>DataLog_T717420_Aug11_4_59_37pm[[#This Row],[COOLANT TEMP '[Â°C']]]-Table3[[#This Row],[5805]]</f>
        <v>-1</v>
      </c>
      <c r="AB1844">
        <f>DataLog_T717420_Aug11_4_59_37pm[[#This Row],[BOOST '[BAR']]]-Table3[[#This Row],[58DD]]</f>
        <v>0</v>
      </c>
    </row>
    <row r="1845" spans="2:28" x14ac:dyDescent="0.25">
      <c r="B1845" s="2" t="s">
        <v>189</v>
      </c>
      <c r="C1845" s="2" t="s">
        <v>397</v>
      </c>
      <c r="D1845" s="2" t="s">
        <v>151</v>
      </c>
      <c r="E1845" s="2" t="s">
        <v>93</v>
      </c>
      <c r="F1845" s="2" t="s">
        <v>395</v>
      </c>
      <c r="G1845" s="2" t="s">
        <v>191</v>
      </c>
      <c r="I1845">
        <f>HEX2DEC(_0811_173439[[#This Row],[580C]])*B$4/B$5+B$6</f>
        <v>760</v>
      </c>
      <c r="J1845">
        <f>HEX2DEC(_0811_173439[[#This Row],[4402]])*C$4/C$5+C$6</f>
        <v>38</v>
      </c>
      <c r="K1845">
        <f>HEX2DEC(_0811_173439[[#This Row],[580F]])*D$4/D$5+D$6</f>
        <v>30</v>
      </c>
      <c r="L1845">
        <f>ROUND(HEX2DEC(_0811_173439[[#This Row],[58F0]])*E$4/E$5+E$6,0)</f>
        <v>70</v>
      </c>
      <c r="M1845">
        <f>ROUND(HEX2DEC(_0811_173439[[#This Row],[5805]])*F$4/F$5+F$6,0)</f>
        <v>47</v>
      </c>
      <c r="N1845">
        <f>ROUND(HEX2DEC(_0811_173439[[#This Row],[58DD]])*G$4/G$5+G$6,2)</f>
        <v>-0.03</v>
      </c>
      <c r="P1845">
        <v>760</v>
      </c>
      <c r="Q1845">
        <v>38</v>
      </c>
      <c r="R1845">
        <v>30</v>
      </c>
      <c r="S1845">
        <v>70</v>
      </c>
      <c r="T1845">
        <v>46</v>
      </c>
      <c r="U1845">
        <v>-0.03</v>
      </c>
      <c r="W1845">
        <f>DataLog_T717420_Aug11_4_59_37pm[[#This Row],[RPM '[1/MIN']]]-Table3[[#This Row],[580C]]</f>
        <v>0</v>
      </c>
      <c r="X1845">
        <f>DataLog_T717420_Aug11_4_59_37pm[[#This Row],[OIL TEMP '[Â°C']]]-Table3[[#This Row],[4402]]</f>
        <v>0</v>
      </c>
      <c r="Y1845">
        <f>DataLog_T717420_Aug11_4_59_37pm[[#This Row],[INTAKE TEMP '[Â°C']]]-Table3[[#This Row],[580F]]</f>
        <v>0</v>
      </c>
      <c r="Z1845">
        <f>DataLog_T717420_Aug11_4_59_37pm[[#This Row],[HPFP PRES. '[BAR']]]-Table3[[#This Row],[58F0]]</f>
        <v>0</v>
      </c>
      <c r="AA1845">
        <f>DataLog_T717420_Aug11_4_59_37pm[[#This Row],[COOLANT TEMP '[Â°C']]]-Table3[[#This Row],[5805]]</f>
        <v>-1</v>
      </c>
      <c r="AB1845">
        <f>DataLog_T717420_Aug11_4_59_37pm[[#This Row],[BOOST '[BAR']]]-Table3[[#This Row],[58DD]]</f>
        <v>0</v>
      </c>
    </row>
    <row r="1846" spans="2:28" x14ac:dyDescent="0.25">
      <c r="B1846" s="2" t="s">
        <v>189</v>
      </c>
      <c r="C1846" s="2" t="s">
        <v>397</v>
      </c>
      <c r="D1846" s="2" t="s">
        <v>151</v>
      </c>
      <c r="E1846" s="2" t="s">
        <v>122</v>
      </c>
      <c r="F1846" s="2" t="s">
        <v>395</v>
      </c>
      <c r="G1846" s="2" t="s">
        <v>53</v>
      </c>
      <c r="I1846">
        <f>HEX2DEC(_0811_173439[[#This Row],[580C]])*B$4/B$5+B$6</f>
        <v>760</v>
      </c>
      <c r="J1846">
        <f>HEX2DEC(_0811_173439[[#This Row],[4402]])*C$4/C$5+C$6</f>
        <v>38</v>
      </c>
      <c r="K1846">
        <f>HEX2DEC(_0811_173439[[#This Row],[580F]])*D$4/D$5+D$6</f>
        <v>30</v>
      </c>
      <c r="L1846">
        <f>ROUND(HEX2DEC(_0811_173439[[#This Row],[58F0]])*E$4/E$5+E$6,0)</f>
        <v>71</v>
      </c>
      <c r="M1846">
        <f>ROUND(HEX2DEC(_0811_173439[[#This Row],[5805]])*F$4/F$5+F$6,0)</f>
        <v>47</v>
      </c>
      <c r="N1846">
        <f>ROUND(HEX2DEC(_0811_173439[[#This Row],[58DD]])*G$4/G$5+G$6,2)</f>
        <v>-0.03</v>
      </c>
      <c r="P1846">
        <v>760</v>
      </c>
      <c r="Q1846">
        <v>38</v>
      </c>
      <c r="R1846">
        <v>30</v>
      </c>
      <c r="S1846">
        <v>71</v>
      </c>
      <c r="T1846">
        <v>46</v>
      </c>
      <c r="U1846">
        <v>-0.03</v>
      </c>
      <c r="W1846">
        <f>DataLog_T717420_Aug11_4_59_37pm[[#This Row],[RPM '[1/MIN']]]-Table3[[#This Row],[580C]]</f>
        <v>0</v>
      </c>
      <c r="X1846">
        <f>DataLog_T717420_Aug11_4_59_37pm[[#This Row],[OIL TEMP '[Â°C']]]-Table3[[#This Row],[4402]]</f>
        <v>0</v>
      </c>
      <c r="Y1846">
        <f>DataLog_T717420_Aug11_4_59_37pm[[#This Row],[INTAKE TEMP '[Â°C']]]-Table3[[#This Row],[580F]]</f>
        <v>0</v>
      </c>
      <c r="Z1846">
        <f>DataLog_T717420_Aug11_4_59_37pm[[#This Row],[HPFP PRES. '[BAR']]]-Table3[[#This Row],[58F0]]</f>
        <v>0</v>
      </c>
      <c r="AA1846">
        <f>DataLog_T717420_Aug11_4_59_37pm[[#This Row],[COOLANT TEMP '[Â°C']]]-Table3[[#This Row],[5805]]</f>
        <v>-1</v>
      </c>
      <c r="AB1846">
        <f>DataLog_T717420_Aug11_4_59_37pm[[#This Row],[BOOST '[BAR']]]-Table3[[#This Row],[58DD]]</f>
        <v>0</v>
      </c>
    </row>
    <row r="1847" spans="2:28" x14ac:dyDescent="0.25">
      <c r="B1847" s="2" t="s">
        <v>189</v>
      </c>
      <c r="C1847" s="2" t="s">
        <v>397</v>
      </c>
      <c r="D1847" s="2" t="s">
        <v>151</v>
      </c>
      <c r="E1847" s="2" t="s">
        <v>157</v>
      </c>
      <c r="F1847" s="2" t="s">
        <v>395</v>
      </c>
      <c r="G1847" s="2" t="s">
        <v>187</v>
      </c>
      <c r="I1847">
        <f>HEX2DEC(_0811_173439[[#This Row],[580C]])*B$4/B$5+B$6</f>
        <v>760</v>
      </c>
      <c r="J1847">
        <f>HEX2DEC(_0811_173439[[#This Row],[4402]])*C$4/C$5+C$6</f>
        <v>38</v>
      </c>
      <c r="K1847">
        <f>HEX2DEC(_0811_173439[[#This Row],[580F]])*D$4/D$5+D$6</f>
        <v>30</v>
      </c>
      <c r="L1847">
        <f>ROUND(HEX2DEC(_0811_173439[[#This Row],[58F0]])*E$4/E$5+E$6,0)</f>
        <v>70</v>
      </c>
      <c r="M1847">
        <f>ROUND(HEX2DEC(_0811_173439[[#This Row],[5805]])*F$4/F$5+F$6,0)</f>
        <v>47</v>
      </c>
      <c r="N1847">
        <f>ROUND(HEX2DEC(_0811_173439[[#This Row],[58DD]])*G$4/G$5+G$6,2)</f>
        <v>-0.03</v>
      </c>
      <c r="P1847">
        <v>760</v>
      </c>
      <c r="Q1847">
        <v>38</v>
      </c>
      <c r="R1847">
        <v>30</v>
      </c>
      <c r="S1847">
        <v>70</v>
      </c>
      <c r="T1847">
        <v>46</v>
      </c>
      <c r="U1847">
        <v>-0.03</v>
      </c>
      <c r="W1847">
        <f>DataLog_T717420_Aug11_4_59_37pm[[#This Row],[RPM '[1/MIN']]]-Table3[[#This Row],[580C]]</f>
        <v>0</v>
      </c>
      <c r="X1847">
        <f>DataLog_T717420_Aug11_4_59_37pm[[#This Row],[OIL TEMP '[Â°C']]]-Table3[[#This Row],[4402]]</f>
        <v>0</v>
      </c>
      <c r="Y1847">
        <f>DataLog_T717420_Aug11_4_59_37pm[[#This Row],[INTAKE TEMP '[Â°C']]]-Table3[[#This Row],[580F]]</f>
        <v>0</v>
      </c>
      <c r="Z1847">
        <f>DataLog_T717420_Aug11_4_59_37pm[[#This Row],[HPFP PRES. '[BAR']]]-Table3[[#This Row],[58F0]]</f>
        <v>0</v>
      </c>
      <c r="AA1847">
        <f>DataLog_T717420_Aug11_4_59_37pm[[#This Row],[COOLANT TEMP '[Â°C']]]-Table3[[#This Row],[5805]]</f>
        <v>-1</v>
      </c>
      <c r="AB1847">
        <f>DataLog_T717420_Aug11_4_59_37pm[[#This Row],[BOOST '[BAR']]]-Table3[[#This Row],[58DD]]</f>
        <v>0</v>
      </c>
    </row>
    <row r="1848" spans="2:28" x14ac:dyDescent="0.25">
      <c r="B1848" s="2" t="s">
        <v>189</v>
      </c>
      <c r="C1848" s="2" t="s">
        <v>397</v>
      </c>
      <c r="D1848" s="2" t="s">
        <v>151</v>
      </c>
      <c r="E1848" s="2" t="s">
        <v>93</v>
      </c>
      <c r="F1848" s="2" t="s">
        <v>395</v>
      </c>
      <c r="G1848" s="2" t="s">
        <v>71</v>
      </c>
      <c r="I1848">
        <f>HEX2DEC(_0811_173439[[#This Row],[580C]])*B$4/B$5+B$6</f>
        <v>760</v>
      </c>
      <c r="J1848">
        <f>HEX2DEC(_0811_173439[[#This Row],[4402]])*C$4/C$5+C$6</f>
        <v>38</v>
      </c>
      <c r="K1848">
        <f>HEX2DEC(_0811_173439[[#This Row],[580F]])*D$4/D$5+D$6</f>
        <v>30</v>
      </c>
      <c r="L1848">
        <f>ROUND(HEX2DEC(_0811_173439[[#This Row],[58F0]])*E$4/E$5+E$6,0)</f>
        <v>70</v>
      </c>
      <c r="M1848">
        <f>ROUND(HEX2DEC(_0811_173439[[#This Row],[5805]])*F$4/F$5+F$6,0)</f>
        <v>47</v>
      </c>
      <c r="N1848">
        <f>ROUND(HEX2DEC(_0811_173439[[#This Row],[58DD]])*G$4/G$5+G$6,2)</f>
        <v>-0.03</v>
      </c>
      <c r="P1848">
        <v>760</v>
      </c>
      <c r="Q1848">
        <v>38</v>
      </c>
      <c r="R1848">
        <v>30</v>
      </c>
      <c r="S1848">
        <v>70</v>
      </c>
      <c r="T1848">
        <v>46</v>
      </c>
      <c r="U1848">
        <v>-0.03</v>
      </c>
      <c r="W1848">
        <f>DataLog_T717420_Aug11_4_59_37pm[[#This Row],[RPM '[1/MIN']]]-Table3[[#This Row],[580C]]</f>
        <v>0</v>
      </c>
      <c r="X1848">
        <f>DataLog_T717420_Aug11_4_59_37pm[[#This Row],[OIL TEMP '[Â°C']]]-Table3[[#This Row],[4402]]</f>
        <v>0</v>
      </c>
      <c r="Y1848">
        <f>DataLog_T717420_Aug11_4_59_37pm[[#This Row],[INTAKE TEMP '[Â°C']]]-Table3[[#This Row],[580F]]</f>
        <v>0</v>
      </c>
      <c r="Z1848">
        <f>DataLog_T717420_Aug11_4_59_37pm[[#This Row],[HPFP PRES. '[BAR']]]-Table3[[#This Row],[58F0]]</f>
        <v>0</v>
      </c>
      <c r="AA1848">
        <f>DataLog_T717420_Aug11_4_59_37pm[[#This Row],[COOLANT TEMP '[Â°C']]]-Table3[[#This Row],[5805]]</f>
        <v>-1</v>
      </c>
      <c r="AB1848">
        <f>DataLog_T717420_Aug11_4_59_37pm[[#This Row],[BOOST '[BAR']]]-Table3[[#This Row],[58DD]]</f>
        <v>0</v>
      </c>
    </row>
    <row r="1849" spans="2:28" x14ac:dyDescent="0.25">
      <c r="B1849" s="2" t="s">
        <v>189</v>
      </c>
      <c r="C1849" s="2" t="s">
        <v>397</v>
      </c>
      <c r="D1849" s="2" t="s">
        <v>151</v>
      </c>
      <c r="E1849" s="2" t="s">
        <v>122</v>
      </c>
      <c r="F1849" s="2" t="s">
        <v>395</v>
      </c>
      <c r="G1849" s="2" t="s">
        <v>236</v>
      </c>
      <c r="I1849">
        <f>HEX2DEC(_0811_173439[[#This Row],[580C]])*B$4/B$5+B$6</f>
        <v>760</v>
      </c>
      <c r="J1849">
        <f>HEX2DEC(_0811_173439[[#This Row],[4402]])*C$4/C$5+C$6</f>
        <v>38</v>
      </c>
      <c r="K1849">
        <f>HEX2DEC(_0811_173439[[#This Row],[580F]])*D$4/D$5+D$6</f>
        <v>30</v>
      </c>
      <c r="L1849">
        <f>ROUND(HEX2DEC(_0811_173439[[#This Row],[58F0]])*E$4/E$5+E$6,0)</f>
        <v>71</v>
      </c>
      <c r="M1849">
        <f>ROUND(HEX2DEC(_0811_173439[[#This Row],[5805]])*F$4/F$5+F$6,0)</f>
        <v>47</v>
      </c>
      <c r="N1849">
        <f>ROUND(HEX2DEC(_0811_173439[[#This Row],[58DD]])*G$4/G$5+G$6,2)</f>
        <v>-0.03</v>
      </c>
      <c r="P1849">
        <v>760</v>
      </c>
      <c r="Q1849">
        <v>38</v>
      </c>
      <c r="R1849">
        <v>30</v>
      </c>
      <c r="S1849">
        <v>71</v>
      </c>
      <c r="T1849">
        <v>46</v>
      </c>
      <c r="U1849">
        <v>-0.03</v>
      </c>
      <c r="W1849">
        <f>DataLog_T717420_Aug11_4_59_37pm[[#This Row],[RPM '[1/MIN']]]-Table3[[#This Row],[580C]]</f>
        <v>0</v>
      </c>
      <c r="X1849">
        <f>DataLog_T717420_Aug11_4_59_37pm[[#This Row],[OIL TEMP '[Â°C']]]-Table3[[#This Row],[4402]]</f>
        <v>0</v>
      </c>
      <c r="Y1849">
        <f>DataLog_T717420_Aug11_4_59_37pm[[#This Row],[INTAKE TEMP '[Â°C']]]-Table3[[#This Row],[580F]]</f>
        <v>0</v>
      </c>
      <c r="Z1849">
        <f>DataLog_T717420_Aug11_4_59_37pm[[#This Row],[HPFP PRES. '[BAR']]]-Table3[[#This Row],[58F0]]</f>
        <v>0</v>
      </c>
      <c r="AA1849">
        <f>DataLog_T717420_Aug11_4_59_37pm[[#This Row],[COOLANT TEMP '[Â°C']]]-Table3[[#This Row],[5805]]</f>
        <v>-1</v>
      </c>
      <c r="AB1849">
        <f>DataLog_T717420_Aug11_4_59_37pm[[#This Row],[BOOST '[BAR']]]-Table3[[#This Row],[58DD]]</f>
        <v>0</v>
      </c>
    </row>
    <row r="1850" spans="2:28" x14ac:dyDescent="0.25">
      <c r="B1850" s="2" t="s">
        <v>189</v>
      </c>
      <c r="C1850" s="2" t="s">
        <v>397</v>
      </c>
      <c r="D1850" s="2" t="s">
        <v>151</v>
      </c>
      <c r="E1850" s="2" t="s">
        <v>121</v>
      </c>
      <c r="F1850" s="2" t="s">
        <v>395</v>
      </c>
      <c r="G1850" s="2" t="s">
        <v>190</v>
      </c>
      <c r="I1850">
        <f>HEX2DEC(_0811_173439[[#This Row],[580C]])*B$4/B$5+B$6</f>
        <v>760</v>
      </c>
      <c r="J1850">
        <f>HEX2DEC(_0811_173439[[#This Row],[4402]])*C$4/C$5+C$6</f>
        <v>38</v>
      </c>
      <c r="K1850">
        <f>HEX2DEC(_0811_173439[[#This Row],[580F]])*D$4/D$5+D$6</f>
        <v>30</v>
      </c>
      <c r="L1850">
        <f>ROUND(HEX2DEC(_0811_173439[[#This Row],[58F0]])*E$4/E$5+E$6,0)</f>
        <v>71</v>
      </c>
      <c r="M1850">
        <f>ROUND(HEX2DEC(_0811_173439[[#This Row],[5805]])*F$4/F$5+F$6,0)</f>
        <v>47</v>
      </c>
      <c r="N1850">
        <f>ROUND(HEX2DEC(_0811_173439[[#This Row],[58DD]])*G$4/G$5+G$6,2)</f>
        <v>-0.03</v>
      </c>
      <c r="P1850">
        <v>760</v>
      </c>
      <c r="Q1850">
        <v>38</v>
      </c>
      <c r="R1850">
        <v>30</v>
      </c>
      <c r="S1850">
        <v>71</v>
      </c>
      <c r="T1850">
        <v>46</v>
      </c>
      <c r="U1850">
        <v>-0.03</v>
      </c>
      <c r="W1850">
        <f>DataLog_T717420_Aug11_4_59_37pm[[#This Row],[RPM '[1/MIN']]]-Table3[[#This Row],[580C]]</f>
        <v>0</v>
      </c>
      <c r="X1850">
        <f>DataLog_T717420_Aug11_4_59_37pm[[#This Row],[OIL TEMP '[Â°C']]]-Table3[[#This Row],[4402]]</f>
        <v>0</v>
      </c>
      <c r="Y1850">
        <f>DataLog_T717420_Aug11_4_59_37pm[[#This Row],[INTAKE TEMP '[Â°C']]]-Table3[[#This Row],[580F]]</f>
        <v>0</v>
      </c>
      <c r="Z1850">
        <f>DataLog_T717420_Aug11_4_59_37pm[[#This Row],[HPFP PRES. '[BAR']]]-Table3[[#This Row],[58F0]]</f>
        <v>0</v>
      </c>
      <c r="AA1850">
        <f>DataLog_T717420_Aug11_4_59_37pm[[#This Row],[COOLANT TEMP '[Â°C']]]-Table3[[#This Row],[5805]]</f>
        <v>-1</v>
      </c>
      <c r="AB1850">
        <f>DataLog_T717420_Aug11_4_59_37pm[[#This Row],[BOOST '[BAR']]]-Table3[[#This Row],[58DD]]</f>
        <v>0</v>
      </c>
    </row>
    <row r="1851" spans="2:28" x14ac:dyDescent="0.25">
      <c r="B1851" s="2" t="s">
        <v>189</v>
      </c>
      <c r="C1851" s="2" t="s">
        <v>397</v>
      </c>
      <c r="D1851" s="2" t="s">
        <v>151</v>
      </c>
      <c r="E1851" s="2" t="s">
        <v>93</v>
      </c>
      <c r="F1851" s="2" t="s">
        <v>395</v>
      </c>
      <c r="G1851" s="2" t="s">
        <v>96</v>
      </c>
      <c r="I1851">
        <f>HEX2DEC(_0811_173439[[#This Row],[580C]])*B$4/B$5+B$6</f>
        <v>760</v>
      </c>
      <c r="J1851">
        <f>HEX2DEC(_0811_173439[[#This Row],[4402]])*C$4/C$5+C$6</f>
        <v>38</v>
      </c>
      <c r="K1851">
        <f>HEX2DEC(_0811_173439[[#This Row],[580F]])*D$4/D$5+D$6</f>
        <v>30</v>
      </c>
      <c r="L1851">
        <f>ROUND(HEX2DEC(_0811_173439[[#This Row],[58F0]])*E$4/E$5+E$6,0)</f>
        <v>70</v>
      </c>
      <c r="M1851">
        <f>ROUND(HEX2DEC(_0811_173439[[#This Row],[5805]])*F$4/F$5+F$6,0)</f>
        <v>47</v>
      </c>
      <c r="N1851">
        <f>ROUND(HEX2DEC(_0811_173439[[#This Row],[58DD]])*G$4/G$5+G$6,2)</f>
        <v>-0.03</v>
      </c>
      <c r="P1851">
        <v>760</v>
      </c>
      <c r="Q1851">
        <v>38</v>
      </c>
      <c r="R1851">
        <v>30</v>
      </c>
      <c r="S1851">
        <v>70</v>
      </c>
      <c r="T1851">
        <v>46</v>
      </c>
      <c r="U1851">
        <v>-0.03</v>
      </c>
      <c r="W1851">
        <f>DataLog_T717420_Aug11_4_59_37pm[[#This Row],[RPM '[1/MIN']]]-Table3[[#This Row],[580C]]</f>
        <v>0</v>
      </c>
      <c r="X1851">
        <f>DataLog_T717420_Aug11_4_59_37pm[[#This Row],[OIL TEMP '[Â°C']]]-Table3[[#This Row],[4402]]</f>
        <v>0</v>
      </c>
      <c r="Y1851">
        <f>DataLog_T717420_Aug11_4_59_37pm[[#This Row],[INTAKE TEMP '[Â°C']]]-Table3[[#This Row],[580F]]</f>
        <v>0</v>
      </c>
      <c r="Z1851">
        <f>DataLog_T717420_Aug11_4_59_37pm[[#This Row],[HPFP PRES. '[BAR']]]-Table3[[#This Row],[58F0]]</f>
        <v>0</v>
      </c>
      <c r="AA1851">
        <f>DataLog_T717420_Aug11_4_59_37pm[[#This Row],[COOLANT TEMP '[Â°C']]]-Table3[[#This Row],[5805]]</f>
        <v>-1</v>
      </c>
      <c r="AB1851">
        <f>DataLog_T717420_Aug11_4_59_37pm[[#This Row],[BOOST '[BAR']]]-Table3[[#This Row],[58DD]]</f>
        <v>0</v>
      </c>
    </row>
    <row r="1852" spans="2:28" x14ac:dyDescent="0.25">
      <c r="B1852" s="2" t="s">
        <v>189</v>
      </c>
      <c r="C1852" s="2" t="s">
        <v>397</v>
      </c>
      <c r="D1852" s="2" t="s">
        <v>151</v>
      </c>
      <c r="E1852" s="2" t="s">
        <v>122</v>
      </c>
      <c r="F1852" s="2" t="s">
        <v>395</v>
      </c>
      <c r="G1852" s="2" t="s">
        <v>190</v>
      </c>
      <c r="I1852">
        <f>HEX2DEC(_0811_173439[[#This Row],[580C]])*B$4/B$5+B$6</f>
        <v>760</v>
      </c>
      <c r="J1852">
        <f>HEX2DEC(_0811_173439[[#This Row],[4402]])*C$4/C$5+C$6</f>
        <v>38</v>
      </c>
      <c r="K1852">
        <f>HEX2DEC(_0811_173439[[#This Row],[580F]])*D$4/D$5+D$6</f>
        <v>30</v>
      </c>
      <c r="L1852">
        <f>ROUND(HEX2DEC(_0811_173439[[#This Row],[58F0]])*E$4/E$5+E$6,0)</f>
        <v>71</v>
      </c>
      <c r="M1852">
        <f>ROUND(HEX2DEC(_0811_173439[[#This Row],[5805]])*F$4/F$5+F$6,0)</f>
        <v>47</v>
      </c>
      <c r="N1852">
        <f>ROUND(HEX2DEC(_0811_173439[[#This Row],[58DD]])*G$4/G$5+G$6,2)</f>
        <v>-0.03</v>
      </c>
      <c r="P1852">
        <v>760</v>
      </c>
      <c r="Q1852">
        <v>38</v>
      </c>
      <c r="R1852">
        <v>30</v>
      </c>
      <c r="S1852">
        <v>71</v>
      </c>
      <c r="T1852">
        <v>46</v>
      </c>
      <c r="U1852">
        <v>-0.03</v>
      </c>
      <c r="W1852">
        <f>DataLog_T717420_Aug11_4_59_37pm[[#This Row],[RPM '[1/MIN']]]-Table3[[#This Row],[580C]]</f>
        <v>0</v>
      </c>
      <c r="X1852">
        <f>DataLog_T717420_Aug11_4_59_37pm[[#This Row],[OIL TEMP '[Â°C']]]-Table3[[#This Row],[4402]]</f>
        <v>0</v>
      </c>
      <c r="Y1852">
        <f>DataLog_T717420_Aug11_4_59_37pm[[#This Row],[INTAKE TEMP '[Â°C']]]-Table3[[#This Row],[580F]]</f>
        <v>0</v>
      </c>
      <c r="Z1852">
        <f>DataLog_T717420_Aug11_4_59_37pm[[#This Row],[HPFP PRES. '[BAR']]]-Table3[[#This Row],[58F0]]</f>
        <v>0</v>
      </c>
      <c r="AA1852">
        <f>DataLog_T717420_Aug11_4_59_37pm[[#This Row],[COOLANT TEMP '[Â°C']]]-Table3[[#This Row],[5805]]</f>
        <v>-1</v>
      </c>
      <c r="AB1852">
        <f>DataLog_T717420_Aug11_4_59_37pm[[#This Row],[BOOST '[BAR']]]-Table3[[#This Row],[58DD]]</f>
        <v>0</v>
      </c>
    </row>
    <row r="1853" spans="2:28" x14ac:dyDescent="0.25">
      <c r="B1853" s="2" t="s">
        <v>189</v>
      </c>
      <c r="C1853" s="2" t="s">
        <v>397</v>
      </c>
      <c r="D1853" s="2" t="s">
        <v>151</v>
      </c>
      <c r="E1853" s="2" t="s">
        <v>123</v>
      </c>
      <c r="F1853" s="2" t="s">
        <v>395</v>
      </c>
      <c r="G1853" s="2" t="s">
        <v>236</v>
      </c>
      <c r="I1853">
        <f>HEX2DEC(_0811_173439[[#This Row],[580C]])*B$4/B$5+B$6</f>
        <v>760</v>
      </c>
      <c r="J1853">
        <f>HEX2DEC(_0811_173439[[#This Row],[4402]])*C$4/C$5+C$6</f>
        <v>38</v>
      </c>
      <c r="K1853">
        <f>HEX2DEC(_0811_173439[[#This Row],[580F]])*D$4/D$5+D$6</f>
        <v>30</v>
      </c>
      <c r="L1853">
        <f>ROUND(HEX2DEC(_0811_173439[[#This Row],[58F0]])*E$4/E$5+E$6,0)</f>
        <v>71</v>
      </c>
      <c r="M1853">
        <f>ROUND(HEX2DEC(_0811_173439[[#This Row],[5805]])*F$4/F$5+F$6,0)</f>
        <v>47</v>
      </c>
      <c r="N1853">
        <f>ROUND(HEX2DEC(_0811_173439[[#This Row],[58DD]])*G$4/G$5+G$6,2)</f>
        <v>-0.03</v>
      </c>
      <c r="P1853">
        <v>760</v>
      </c>
      <c r="Q1853">
        <v>38</v>
      </c>
      <c r="R1853">
        <v>30</v>
      </c>
      <c r="S1853">
        <v>71</v>
      </c>
      <c r="T1853">
        <v>46</v>
      </c>
      <c r="U1853">
        <v>-0.03</v>
      </c>
      <c r="W1853">
        <f>DataLog_T717420_Aug11_4_59_37pm[[#This Row],[RPM '[1/MIN']]]-Table3[[#This Row],[580C]]</f>
        <v>0</v>
      </c>
      <c r="X1853">
        <f>DataLog_T717420_Aug11_4_59_37pm[[#This Row],[OIL TEMP '[Â°C']]]-Table3[[#This Row],[4402]]</f>
        <v>0</v>
      </c>
      <c r="Y1853">
        <f>DataLog_T717420_Aug11_4_59_37pm[[#This Row],[INTAKE TEMP '[Â°C']]]-Table3[[#This Row],[580F]]</f>
        <v>0</v>
      </c>
      <c r="Z1853">
        <f>DataLog_T717420_Aug11_4_59_37pm[[#This Row],[HPFP PRES. '[BAR']]]-Table3[[#This Row],[58F0]]</f>
        <v>0</v>
      </c>
      <c r="AA1853">
        <f>DataLog_T717420_Aug11_4_59_37pm[[#This Row],[COOLANT TEMP '[Â°C']]]-Table3[[#This Row],[5805]]</f>
        <v>-1</v>
      </c>
      <c r="AB1853">
        <f>DataLog_T717420_Aug11_4_59_37pm[[#This Row],[BOOST '[BAR']]]-Table3[[#This Row],[58DD]]</f>
        <v>0</v>
      </c>
    </row>
    <row r="1854" spans="2:28" x14ac:dyDescent="0.25">
      <c r="B1854" s="2" t="s">
        <v>189</v>
      </c>
      <c r="C1854" s="2" t="s">
        <v>397</v>
      </c>
      <c r="D1854" s="2" t="s">
        <v>151</v>
      </c>
      <c r="E1854" s="2" t="s">
        <v>93</v>
      </c>
      <c r="F1854" s="2" t="s">
        <v>395</v>
      </c>
      <c r="G1854" s="2" t="s">
        <v>245</v>
      </c>
      <c r="I1854">
        <f>HEX2DEC(_0811_173439[[#This Row],[580C]])*B$4/B$5+B$6</f>
        <v>760</v>
      </c>
      <c r="J1854">
        <f>HEX2DEC(_0811_173439[[#This Row],[4402]])*C$4/C$5+C$6</f>
        <v>38</v>
      </c>
      <c r="K1854">
        <f>HEX2DEC(_0811_173439[[#This Row],[580F]])*D$4/D$5+D$6</f>
        <v>30</v>
      </c>
      <c r="L1854">
        <f>ROUND(HEX2DEC(_0811_173439[[#This Row],[58F0]])*E$4/E$5+E$6,0)</f>
        <v>70</v>
      </c>
      <c r="M1854">
        <f>ROUND(HEX2DEC(_0811_173439[[#This Row],[5805]])*F$4/F$5+F$6,0)</f>
        <v>47</v>
      </c>
      <c r="N1854">
        <f>ROUND(HEX2DEC(_0811_173439[[#This Row],[58DD]])*G$4/G$5+G$6,2)</f>
        <v>-0.03</v>
      </c>
      <c r="P1854">
        <v>760</v>
      </c>
      <c r="Q1854">
        <v>38</v>
      </c>
      <c r="R1854">
        <v>30</v>
      </c>
      <c r="S1854">
        <v>70</v>
      </c>
      <c r="T1854">
        <v>46</v>
      </c>
      <c r="U1854">
        <v>-0.03</v>
      </c>
      <c r="W1854">
        <f>DataLog_T717420_Aug11_4_59_37pm[[#This Row],[RPM '[1/MIN']]]-Table3[[#This Row],[580C]]</f>
        <v>0</v>
      </c>
      <c r="X1854">
        <f>DataLog_T717420_Aug11_4_59_37pm[[#This Row],[OIL TEMP '[Â°C']]]-Table3[[#This Row],[4402]]</f>
        <v>0</v>
      </c>
      <c r="Y1854">
        <f>DataLog_T717420_Aug11_4_59_37pm[[#This Row],[INTAKE TEMP '[Â°C']]]-Table3[[#This Row],[580F]]</f>
        <v>0</v>
      </c>
      <c r="Z1854">
        <f>DataLog_T717420_Aug11_4_59_37pm[[#This Row],[HPFP PRES. '[BAR']]]-Table3[[#This Row],[58F0]]</f>
        <v>0</v>
      </c>
      <c r="AA1854">
        <f>DataLog_T717420_Aug11_4_59_37pm[[#This Row],[COOLANT TEMP '[Â°C']]]-Table3[[#This Row],[5805]]</f>
        <v>-1</v>
      </c>
      <c r="AB1854">
        <f>DataLog_T717420_Aug11_4_59_37pm[[#This Row],[BOOST '[BAR']]]-Table3[[#This Row],[58DD]]</f>
        <v>0</v>
      </c>
    </row>
    <row r="1855" spans="2:28" x14ac:dyDescent="0.25">
      <c r="B1855" s="2" t="s">
        <v>189</v>
      </c>
      <c r="C1855" s="2" t="s">
        <v>397</v>
      </c>
      <c r="D1855" s="2" t="s">
        <v>151</v>
      </c>
      <c r="E1855" s="2" t="s">
        <v>122</v>
      </c>
      <c r="F1855" s="2" t="s">
        <v>395</v>
      </c>
      <c r="G1855" s="2" t="s">
        <v>216</v>
      </c>
      <c r="I1855">
        <f>HEX2DEC(_0811_173439[[#This Row],[580C]])*B$4/B$5+B$6</f>
        <v>760</v>
      </c>
      <c r="J1855">
        <f>HEX2DEC(_0811_173439[[#This Row],[4402]])*C$4/C$5+C$6</f>
        <v>38</v>
      </c>
      <c r="K1855">
        <f>HEX2DEC(_0811_173439[[#This Row],[580F]])*D$4/D$5+D$6</f>
        <v>30</v>
      </c>
      <c r="L1855">
        <f>ROUND(HEX2DEC(_0811_173439[[#This Row],[58F0]])*E$4/E$5+E$6,0)</f>
        <v>71</v>
      </c>
      <c r="M1855">
        <f>ROUND(HEX2DEC(_0811_173439[[#This Row],[5805]])*F$4/F$5+F$6,0)</f>
        <v>47</v>
      </c>
      <c r="N1855">
        <f>ROUND(HEX2DEC(_0811_173439[[#This Row],[58DD]])*G$4/G$5+G$6,2)</f>
        <v>-0.03</v>
      </c>
      <c r="P1855">
        <v>760</v>
      </c>
      <c r="Q1855">
        <v>38</v>
      </c>
      <c r="R1855">
        <v>30</v>
      </c>
      <c r="S1855">
        <v>71</v>
      </c>
      <c r="T1855">
        <v>46</v>
      </c>
      <c r="U1855">
        <v>-0.03</v>
      </c>
      <c r="W1855">
        <f>DataLog_T717420_Aug11_4_59_37pm[[#This Row],[RPM '[1/MIN']]]-Table3[[#This Row],[580C]]</f>
        <v>0</v>
      </c>
      <c r="X1855">
        <f>DataLog_T717420_Aug11_4_59_37pm[[#This Row],[OIL TEMP '[Â°C']]]-Table3[[#This Row],[4402]]</f>
        <v>0</v>
      </c>
      <c r="Y1855">
        <f>DataLog_T717420_Aug11_4_59_37pm[[#This Row],[INTAKE TEMP '[Â°C']]]-Table3[[#This Row],[580F]]</f>
        <v>0</v>
      </c>
      <c r="Z1855">
        <f>DataLog_T717420_Aug11_4_59_37pm[[#This Row],[HPFP PRES. '[BAR']]]-Table3[[#This Row],[58F0]]</f>
        <v>0</v>
      </c>
      <c r="AA1855">
        <f>DataLog_T717420_Aug11_4_59_37pm[[#This Row],[COOLANT TEMP '[Â°C']]]-Table3[[#This Row],[5805]]</f>
        <v>-1</v>
      </c>
      <c r="AB1855">
        <f>DataLog_T717420_Aug11_4_59_37pm[[#This Row],[BOOST '[BAR']]]-Table3[[#This Row],[58DD]]</f>
        <v>0</v>
      </c>
    </row>
    <row r="1856" spans="2:28" x14ac:dyDescent="0.25">
      <c r="B1856" s="2" t="s">
        <v>189</v>
      </c>
      <c r="C1856" s="2" t="s">
        <v>397</v>
      </c>
      <c r="D1856" s="2" t="s">
        <v>151</v>
      </c>
      <c r="E1856" s="2" t="s">
        <v>154</v>
      </c>
      <c r="F1856" s="2" t="s">
        <v>395</v>
      </c>
      <c r="G1856" s="2" t="s">
        <v>90</v>
      </c>
      <c r="I1856">
        <f>HEX2DEC(_0811_173439[[#This Row],[580C]])*B$4/B$5+B$6</f>
        <v>760</v>
      </c>
      <c r="J1856">
        <f>HEX2DEC(_0811_173439[[#This Row],[4402]])*C$4/C$5+C$6</f>
        <v>38</v>
      </c>
      <c r="K1856">
        <f>HEX2DEC(_0811_173439[[#This Row],[580F]])*D$4/D$5+D$6</f>
        <v>30</v>
      </c>
      <c r="L1856">
        <f>ROUND(HEX2DEC(_0811_173439[[#This Row],[58F0]])*E$4/E$5+E$6,0)</f>
        <v>71</v>
      </c>
      <c r="M1856">
        <f>ROUND(HEX2DEC(_0811_173439[[#This Row],[5805]])*F$4/F$5+F$6,0)</f>
        <v>47</v>
      </c>
      <c r="N1856">
        <f>ROUND(HEX2DEC(_0811_173439[[#This Row],[58DD]])*G$4/G$5+G$6,2)</f>
        <v>-0.03</v>
      </c>
      <c r="P1856">
        <v>760</v>
      </c>
      <c r="Q1856">
        <v>38</v>
      </c>
      <c r="R1856">
        <v>30</v>
      </c>
      <c r="S1856">
        <v>71</v>
      </c>
      <c r="T1856">
        <v>46</v>
      </c>
      <c r="U1856">
        <v>-0.03</v>
      </c>
      <c r="W1856">
        <f>DataLog_T717420_Aug11_4_59_37pm[[#This Row],[RPM '[1/MIN']]]-Table3[[#This Row],[580C]]</f>
        <v>0</v>
      </c>
      <c r="X1856">
        <f>DataLog_T717420_Aug11_4_59_37pm[[#This Row],[OIL TEMP '[Â°C']]]-Table3[[#This Row],[4402]]</f>
        <v>0</v>
      </c>
      <c r="Y1856">
        <f>DataLog_T717420_Aug11_4_59_37pm[[#This Row],[INTAKE TEMP '[Â°C']]]-Table3[[#This Row],[580F]]</f>
        <v>0</v>
      </c>
      <c r="Z1856">
        <f>DataLog_T717420_Aug11_4_59_37pm[[#This Row],[HPFP PRES. '[BAR']]]-Table3[[#This Row],[58F0]]</f>
        <v>0</v>
      </c>
      <c r="AA1856">
        <f>DataLog_T717420_Aug11_4_59_37pm[[#This Row],[COOLANT TEMP '[Â°C']]]-Table3[[#This Row],[5805]]</f>
        <v>-1</v>
      </c>
      <c r="AB1856">
        <f>DataLog_T717420_Aug11_4_59_37pm[[#This Row],[BOOST '[BAR']]]-Table3[[#This Row],[58DD]]</f>
        <v>0</v>
      </c>
    </row>
    <row r="1857" spans="2:28" x14ac:dyDescent="0.25">
      <c r="B1857" s="2" t="s">
        <v>189</v>
      </c>
      <c r="C1857" s="2" t="s">
        <v>397</v>
      </c>
      <c r="D1857" s="2" t="s">
        <v>151</v>
      </c>
      <c r="E1857" s="2" t="s">
        <v>157</v>
      </c>
      <c r="F1857" s="2" t="s">
        <v>395</v>
      </c>
      <c r="G1857" s="2" t="s">
        <v>255</v>
      </c>
      <c r="I1857">
        <f>HEX2DEC(_0811_173439[[#This Row],[580C]])*B$4/B$5+B$6</f>
        <v>760</v>
      </c>
      <c r="J1857">
        <f>HEX2DEC(_0811_173439[[#This Row],[4402]])*C$4/C$5+C$6</f>
        <v>38</v>
      </c>
      <c r="K1857">
        <f>HEX2DEC(_0811_173439[[#This Row],[580F]])*D$4/D$5+D$6</f>
        <v>30</v>
      </c>
      <c r="L1857">
        <f>ROUND(HEX2DEC(_0811_173439[[#This Row],[58F0]])*E$4/E$5+E$6,0)</f>
        <v>70</v>
      </c>
      <c r="M1857">
        <f>ROUND(HEX2DEC(_0811_173439[[#This Row],[5805]])*F$4/F$5+F$6,0)</f>
        <v>47</v>
      </c>
      <c r="N1857">
        <f>ROUND(HEX2DEC(_0811_173439[[#This Row],[58DD]])*G$4/G$5+G$6,2)</f>
        <v>-0.03</v>
      </c>
      <c r="P1857">
        <v>760</v>
      </c>
      <c r="Q1857">
        <v>38</v>
      </c>
      <c r="R1857">
        <v>30</v>
      </c>
      <c r="S1857">
        <v>70</v>
      </c>
      <c r="T1857">
        <v>46</v>
      </c>
      <c r="U1857">
        <v>-0.03</v>
      </c>
      <c r="W1857">
        <f>DataLog_T717420_Aug11_4_59_37pm[[#This Row],[RPM '[1/MIN']]]-Table3[[#This Row],[580C]]</f>
        <v>0</v>
      </c>
      <c r="X1857">
        <f>DataLog_T717420_Aug11_4_59_37pm[[#This Row],[OIL TEMP '[Â°C']]]-Table3[[#This Row],[4402]]</f>
        <v>0</v>
      </c>
      <c r="Y1857">
        <f>DataLog_T717420_Aug11_4_59_37pm[[#This Row],[INTAKE TEMP '[Â°C']]]-Table3[[#This Row],[580F]]</f>
        <v>0</v>
      </c>
      <c r="Z1857">
        <f>DataLog_T717420_Aug11_4_59_37pm[[#This Row],[HPFP PRES. '[BAR']]]-Table3[[#This Row],[58F0]]</f>
        <v>0</v>
      </c>
      <c r="AA1857">
        <f>DataLog_T717420_Aug11_4_59_37pm[[#This Row],[COOLANT TEMP '[Â°C']]]-Table3[[#This Row],[5805]]</f>
        <v>-1</v>
      </c>
      <c r="AB1857">
        <f>DataLog_T717420_Aug11_4_59_37pm[[#This Row],[BOOST '[BAR']]]-Table3[[#This Row],[58DD]]</f>
        <v>0</v>
      </c>
    </row>
    <row r="1858" spans="2:28" x14ac:dyDescent="0.25">
      <c r="B1858" s="2" t="s">
        <v>189</v>
      </c>
      <c r="C1858" s="2" t="s">
        <v>397</v>
      </c>
      <c r="D1858" s="2" t="s">
        <v>151</v>
      </c>
      <c r="E1858" s="2" t="s">
        <v>139</v>
      </c>
      <c r="F1858" s="2" t="s">
        <v>395</v>
      </c>
      <c r="G1858" s="2" t="s">
        <v>258</v>
      </c>
      <c r="I1858">
        <f>HEX2DEC(_0811_173439[[#This Row],[580C]])*B$4/B$5+B$6</f>
        <v>760</v>
      </c>
      <c r="J1858">
        <f>HEX2DEC(_0811_173439[[#This Row],[4402]])*C$4/C$5+C$6</f>
        <v>38</v>
      </c>
      <c r="K1858">
        <f>HEX2DEC(_0811_173439[[#This Row],[580F]])*D$4/D$5+D$6</f>
        <v>30</v>
      </c>
      <c r="L1858">
        <f>ROUND(HEX2DEC(_0811_173439[[#This Row],[58F0]])*E$4/E$5+E$6,0)</f>
        <v>71</v>
      </c>
      <c r="M1858">
        <f>ROUND(HEX2DEC(_0811_173439[[#This Row],[5805]])*F$4/F$5+F$6,0)</f>
        <v>47</v>
      </c>
      <c r="N1858">
        <f>ROUND(HEX2DEC(_0811_173439[[#This Row],[58DD]])*G$4/G$5+G$6,2)</f>
        <v>-0.03</v>
      </c>
      <c r="P1858">
        <v>760</v>
      </c>
      <c r="Q1858">
        <v>38</v>
      </c>
      <c r="R1858">
        <v>30</v>
      </c>
      <c r="S1858">
        <v>71</v>
      </c>
      <c r="T1858">
        <v>46</v>
      </c>
      <c r="U1858">
        <v>-0.03</v>
      </c>
      <c r="W1858">
        <f>DataLog_T717420_Aug11_4_59_37pm[[#This Row],[RPM '[1/MIN']]]-Table3[[#This Row],[580C]]</f>
        <v>0</v>
      </c>
      <c r="X1858">
        <f>DataLog_T717420_Aug11_4_59_37pm[[#This Row],[OIL TEMP '[Â°C']]]-Table3[[#This Row],[4402]]</f>
        <v>0</v>
      </c>
      <c r="Y1858">
        <f>DataLog_T717420_Aug11_4_59_37pm[[#This Row],[INTAKE TEMP '[Â°C']]]-Table3[[#This Row],[580F]]</f>
        <v>0</v>
      </c>
      <c r="Z1858">
        <f>DataLog_T717420_Aug11_4_59_37pm[[#This Row],[HPFP PRES. '[BAR']]]-Table3[[#This Row],[58F0]]</f>
        <v>0</v>
      </c>
      <c r="AA1858">
        <f>DataLog_T717420_Aug11_4_59_37pm[[#This Row],[COOLANT TEMP '[Â°C']]]-Table3[[#This Row],[5805]]</f>
        <v>-1</v>
      </c>
      <c r="AB1858">
        <f>DataLog_T717420_Aug11_4_59_37pm[[#This Row],[BOOST '[BAR']]]-Table3[[#This Row],[58DD]]</f>
        <v>0</v>
      </c>
    </row>
    <row r="1859" spans="2:28" x14ac:dyDescent="0.25">
      <c r="B1859" s="2" t="s">
        <v>189</v>
      </c>
      <c r="C1859" s="2" t="s">
        <v>397</v>
      </c>
      <c r="D1859" s="2" t="s">
        <v>151</v>
      </c>
      <c r="E1859" s="2" t="s">
        <v>140</v>
      </c>
      <c r="F1859" s="2" t="s">
        <v>395</v>
      </c>
      <c r="G1859" s="2" t="s">
        <v>236</v>
      </c>
      <c r="I1859">
        <f>HEX2DEC(_0811_173439[[#This Row],[580C]])*B$4/B$5+B$6</f>
        <v>760</v>
      </c>
      <c r="J1859">
        <f>HEX2DEC(_0811_173439[[#This Row],[4402]])*C$4/C$5+C$6</f>
        <v>38</v>
      </c>
      <c r="K1859">
        <f>HEX2DEC(_0811_173439[[#This Row],[580F]])*D$4/D$5+D$6</f>
        <v>30</v>
      </c>
      <c r="L1859">
        <f>ROUND(HEX2DEC(_0811_173439[[#This Row],[58F0]])*E$4/E$5+E$6,0)</f>
        <v>71</v>
      </c>
      <c r="M1859">
        <f>ROUND(HEX2DEC(_0811_173439[[#This Row],[5805]])*F$4/F$5+F$6,0)</f>
        <v>47</v>
      </c>
      <c r="N1859">
        <f>ROUND(HEX2DEC(_0811_173439[[#This Row],[58DD]])*G$4/G$5+G$6,2)</f>
        <v>-0.03</v>
      </c>
      <c r="P1859">
        <v>760</v>
      </c>
      <c r="Q1859">
        <v>38</v>
      </c>
      <c r="R1859">
        <v>30</v>
      </c>
      <c r="S1859">
        <v>71</v>
      </c>
      <c r="T1859">
        <v>46</v>
      </c>
      <c r="U1859">
        <v>-0.03</v>
      </c>
      <c r="W1859">
        <f>DataLog_T717420_Aug11_4_59_37pm[[#This Row],[RPM '[1/MIN']]]-Table3[[#This Row],[580C]]</f>
        <v>0</v>
      </c>
      <c r="X1859">
        <f>DataLog_T717420_Aug11_4_59_37pm[[#This Row],[OIL TEMP '[Â°C']]]-Table3[[#This Row],[4402]]</f>
        <v>0</v>
      </c>
      <c r="Y1859">
        <f>DataLog_T717420_Aug11_4_59_37pm[[#This Row],[INTAKE TEMP '[Â°C']]]-Table3[[#This Row],[580F]]</f>
        <v>0</v>
      </c>
      <c r="Z1859">
        <f>DataLog_T717420_Aug11_4_59_37pm[[#This Row],[HPFP PRES. '[BAR']]]-Table3[[#This Row],[58F0]]</f>
        <v>0</v>
      </c>
      <c r="AA1859">
        <f>DataLog_T717420_Aug11_4_59_37pm[[#This Row],[COOLANT TEMP '[Â°C']]]-Table3[[#This Row],[5805]]</f>
        <v>-1</v>
      </c>
      <c r="AB1859">
        <f>DataLog_T717420_Aug11_4_59_37pm[[#This Row],[BOOST '[BAR']]]-Table3[[#This Row],[58DD]]</f>
        <v>0</v>
      </c>
    </row>
    <row r="1860" spans="2:28" x14ac:dyDescent="0.25">
      <c r="B1860" s="2" t="s">
        <v>189</v>
      </c>
      <c r="C1860" s="2" t="s">
        <v>397</v>
      </c>
      <c r="D1860" s="2" t="s">
        <v>151</v>
      </c>
      <c r="E1860" s="2" t="s">
        <v>152</v>
      </c>
      <c r="F1860" s="2" t="s">
        <v>395</v>
      </c>
      <c r="G1860" s="2" t="s">
        <v>71</v>
      </c>
      <c r="I1860">
        <f>HEX2DEC(_0811_173439[[#This Row],[580C]])*B$4/B$5+B$6</f>
        <v>760</v>
      </c>
      <c r="J1860">
        <f>HEX2DEC(_0811_173439[[#This Row],[4402]])*C$4/C$5+C$6</f>
        <v>38</v>
      </c>
      <c r="K1860">
        <f>HEX2DEC(_0811_173439[[#This Row],[580F]])*D$4/D$5+D$6</f>
        <v>30</v>
      </c>
      <c r="L1860">
        <f>ROUND(HEX2DEC(_0811_173439[[#This Row],[58F0]])*E$4/E$5+E$6,0)</f>
        <v>70</v>
      </c>
      <c r="M1860">
        <f>ROUND(HEX2DEC(_0811_173439[[#This Row],[5805]])*F$4/F$5+F$6,0)</f>
        <v>47</v>
      </c>
      <c r="N1860">
        <f>ROUND(HEX2DEC(_0811_173439[[#This Row],[58DD]])*G$4/G$5+G$6,2)</f>
        <v>-0.03</v>
      </c>
      <c r="P1860">
        <v>760</v>
      </c>
      <c r="Q1860">
        <v>38</v>
      </c>
      <c r="R1860">
        <v>30</v>
      </c>
      <c r="S1860">
        <v>70</v>
      </c>
      <c r="T1860">
        <v>46</v>
      </c>
      <c r="U1860">
        <v>-0.03</v>
      </c>
      <c r="W1860">
        <f>DataLog_T717420_Aug11_4_59_37pm[[#This Row],[RPM '[1/MIN']]]-Table3[[#This Row],[580C]]</f>
        <v>0</v>
      </c>
      <c r="X1860">
        <f>DataLog_T717420_Aug11_4_59_37pm[[#This Row],[OIL TEMP '[Â°C']]]-Table3[[#This Row],[4402]]</f>
        <v>0</v>
      </c>
      <c r="Y1860">
        <f>DataLog_T717420_Aug11_4_59_37pm[[#This Row],[INTAKE TEMP '[Â°C']]]-Table3[[#This Row],[580F]]</f>
        <v>0</v>
      </c>
      <c r="Z1860">
        <f>DataLog_T717420_Aug11_4_59_37pm[[#This Row],[HPFP PRES. '[BAR']]]-Table3[[#This Row],[58F0]]</f>
        <v>0</v>
      </c>
      <c r="AA1860">
        <f>DataLog_T717420_Aug11_4_59_37pm[[#This Row],[COOLANT TEMP '[Â°C']]]-Table3[[#This Row],[5805]]</f>
        <v>-1</v>
      </c>
      <c r="AB1860">
        <f>DataLog_T717420_Aug11_4_59_37pm[[#This Row],[BOOST '[BAR']]]-Table3[[#This Row],[58DD]]</f>
        <v>0</v>
      </c>
    </row>
    <row r="1861" spans="2:28" x14ac:dyDescent="0.25">
      <c r="B1861" s="2" t="s">
        <v>189</v>
      </c>
      <c r="C1861" s="2" t="s">
        <v>397</v>
      </c>
      <c r="D1861" s="2" t="s">
        <v>151</v>
      </c>
      <c r="E1861" s="2" t="s">
        <v>127</v>
      </c>
      <c r="F1861" s="2" t="s">
        <v>395</v>
      </c>
      <c r="G1861" s="2" t="s">
        <v>255</v>
      </c>
      <c r="I1861">
        <f>HEX2DEC(_0811_173439[[#This Row],[580C]])*B$4/B$5+B$6</f>
        <v>760</v>
      </c>
      <c r="J1861">
        <f>HEX2DEC(_0811_173439[[#This Row],[4402]])*C$4/C$5+C$6</f>
        <v>38</v>
      </c>
      <c r="K1861">
        <f>HEX2DEC(_0811_173439[[#This Row],[580F]])*D$4/D$5+D$6</f>
        <v>30</v>
      </c>
      <c r="L1861">
        <f>ROUND(HEX2DEC(_0811_173439[[#This Row],[58F0]])*E$4/E$5+E$6,0)</f>
        <v>70</v>
      </c>
      <c r="M1861">
        <f>ROUND(HEX2DEC(_0811_173439[[#This Row],[5805]])*F$4/F$5+F$6,0)</f>
        <v>47</v>
      </c>
      <c r="N1861">
        <f>ROUND(HEX2DEC(_0811_173439[[#This Row],[58DD]])*G$4/G$5+G$6,2)</f>
        <v>-0.03</v>
      </c>
      <c r="P1861">
        <v>760</v>
      </c>
      <c r="Q1861">
        <v>38</v>
      </c>
      <c r="R1861">
        <v>30</v>
      </c>
      <c r="S1861">
        <v>70</v>
      </c>
      <c r="T1861">
        <v>46</v>
      </c>
      <c r="U1861">
        <v>-0.03</v>
      </c>
      <c r="W1861">
        <f>DataLog_T717420_Aug11_4_59_37pm[[#This Row],[RPM '[1/MIN']]]-Table3[[#This Row],[580C]]</f>
        <v>0</v>
      </c>
      <c r="X1861">
        <f>DataLog_T717420_Aug11_4_59_37pm[[#This Row],[OIL TEMP '[Â°C']]]-Table3[[#This Row],[4402]]</f>
        <v>0</v>
      </c>
      <c r="Y1861">
        <f>DataLog_T717420_Aug11_4_59_37pm[[#This Row],[INTAKE TEMP '[Â°C']]]-Table3[[#This Row],[580F]]</f>
        <v>0</v>
      </c>
      <c r="Z1861">
        <f>DataLog_T717420_Aug11_4_59_37pm[[#This Row],[HPFP PRES. '[BAR']]]-Table3[[#This Row],[58F0]]</f>
        <v>0</v>
      </c>
      <c r="AA1861">
        <f>DataLog_T717420_Aug11_4_59_37pm[[#This Row],[COOLANT TEMP '[Â°C']]]-Table3[[#This Row],[5805]]</f>
        <v>-1</v>
      </c>
      <c r="AB1861">
        <f>DataLog_T717420_Aug11_4_59_37pm[[#This Row],[BOOST '[BAR']]]-Table3[[#This Row],[58DD]]</f>
        <v>0</v>
      </c>
    </row>
    <row r="1862" spans="2:28" x14ac:dyDescent="0.25">
      <c r="B1862" s="2" t="s">
        <v>189</v>
      </c>
      <c r="C1862" s="2" t="s">
        <v>397</v>
      </c>
      <c r="D1862" s="2" t="s">
        <v>151</v>
      </c>
      <c r="E1862" s="2" t="s">
        <v>121</v>
      </c>
      <c r="F1862" s="2" t="s">
        <v>395</v>
      </c>
      <c r="G1862" s="2" t="s">
        <v>53</v>
      </c>
      <c r="I1862">
        <f>HEX2DEC(_0811_173439[[#This Row],[580C]])*B$4/B$5+B$6</f>
        <v>760</v>
      </c>
      <c r="J1862">
        <f>HEX2DEC(_0811_173439[[#This Row],[4402]])*C$4/C$5+C$6</f>
        <v>38</v>
      </c>
      <c r="K1862">
        <f>HEX2DEC(_0811_173439[[#This Row],[580F]])*D$4/D$5+D$6</f>
        <v>30</v>
      </c>
      <c r="L1862">
        <f>ROUND(HEX2DEC(_0811_173439[[#This Row],[58F0]])*E$4/E$5+E$6,0)</f>
        <v>71</v>
      </c>
      <c r="M1862">
        <f>ROUND(HEX2DEC(_0811_173439[[#This Row],[5805]])*F$4/F$5+F$6,0)</f>
        <v>47</v>
      </c>
      <c r="N1862">
        <f>ROUND(HEX2DEC(_0811_173439[[#This Row],[58DD]])*G$4/G$5+G$6,2)</f>
        <v>-0.03</v>
      </c>
      <c r="P1862">
        <v>760</v>
      </c>
      <c r="Q1862">
        <v>38</v>
      </c>
      <c r="R1862">
        <v>30</v>
      </c>
      <c r="S1862">
        <v>71</v>
      </c>
      <c r="T1862">
        <v>46</v>
      </c>
      <c r="U1862">
        <v>-0.03</v>
      </c>
      <c r="W1862">
        <f>DataLog_T717420_Aug11_4_59_37pm[[#This Row],[RPM '[1/MIN']]]-Table3[[#This Row],[580C]]</f>
        <v>0</v>
      </c>
      <c r="X1862">
        <f>DataLog_T717420_Aug11_4_59_37pm[[#This Row],[OIL TEMP '[Â°C']]]-Table3[[#This Row],[4402]]</f>
        <v>0</v>
      </c>
      <c r="Y1862">
        <f>DataLog_T717420_Aug11_4_59_37pm[[#This Row],[INTAKE TEMP '[Â°C']]]-Table3[[#This Row],[580F]]</f>
        <v>0</v>
      </c>
      <c r="Z1862">
        <f>DataLog_T717420_Aug11_4_59_37pm[[#This Row],[HPFP PRES. '[BAR']]]-Table3[[#This Row],[58F0]]</f>
        <v>0</v>
      </c>
      <c r="AA1862">
        <f>DataLog_T717420_Aug11_4_59_37pm[[#This Row],[COOLANT TEMP '[Â°C']]]-Table3[[#This Row],[5805]]</f>
        <v>-1</v>
      </c>
      <c r="AB1862">
        <f>DataLog_T717420_Aug11_4_59_37pm[[#This Row],[BOOST '[BAR']]]-Table3[[#This Row],[58DD]]</f>
        <v>0</v>
      </c>
    </row>
    <row r="1863" spans="2:28" x14ac:dyDescent="0.25">
      <c r="B1863" s="2" t="s">
        <v>189</v>
      </c>
      <c r="C1863" s="2" t="s">
        <v>397</v>
      </c>
      <c r="D1863" s="2" t="s">
        <v>151</v>
      </c>
      <c r="E1863" s="2" t="s">
        <v>165</v>
      </c>
      <c r="F1863" s="2" t="s">
        <v>395</v>
      </c>
      <c r="G1863" s="2" t="s">
        <v>255</v>
      </c>
      <c r="I1863">
        <f>HEX2DEC(_0811_173439[[#This Row],[580C]])*B$4/B$5+B$6</f>
        <v>760</v>
      </c>
      <c r="J1863">
        <f>HEX2DEC(_0811_173439[[#This Row],[4402]])*C$4/C$5+C$6</f>
        <v>38</v>
      </c>
      <c r="K1863">
        <f>HEX2DEC(_0811_173439[[#This Row],[580F]])*D$4/D$5+D$6</f>
        <v>30</v>
      </c>
      <c r="L1863">
        <f>ROUND(HEX2DEC(_0811_173439[[#This Row],[58F0]])*E$4/E$5+E$6,0)</f>
        <v>70</v>
      </c>
      <c r="M1863">
        <f>ROUND(HEX2DEC(_0811_173439[[#This Row],[5805]])*F$4/F$5+F$6,0)</f>
        <v>47</v>
      </c>
      <c r="N1863">
        <f>ROUND(HEX2DEC(_0811_173439[[#This Row],[58DD]])*G$4/G$5+G$6,2)</f>
        <v>-0.03</v>
      </c>
      <c r="P1863">
        <v>760</v>
      </c>
      <c r="Q1863">
        <v>38</v>
      </c>
      <c r="R1863">
        <v>30</v>
      </c>
      <c r="S1863">
        <v>70</v>
      </c>
      <c r="T1863">
        <v>46</v>
      </c>
      <c r="U1863">
        <v>-0.03</v>
      </c>
      <c r="W1863">
        <f>DataLog_T717420_Aug11_4_59_37pm[[#This Row],[RPM '[1/MIN']]]-Table3[[#This Row],[580C]]</f>
        <v>0</v>
      </c>
      <c r="X1863">
        <f>DataLog_T717420_Aug11_4_59_37pm[[#This Row],[OIL TEMP '[Â°C']]]-Table3[[#This Row],[4402]]</f>
        <v>0</v>
      </c>
      <c r="Y1863">
        <f>DataLog_T717420_Aug11_4_59_37pm[[#This Row],[INTAKE TEMP '[Â°C']]]-Table3[[#This Row],[580F]]</f>
        <v>0</v>
      </c>
      <c r="Z1863">
        <f>DataLog_T717420_Aug11_4_59_37pm[[#This Row],[HPFP PRES. '[BAR']]]-Table3[[#This Row],[58F0]]</f>
        <v>0</v>
      </c>
      <c r="AA1863">
        <f>DataLog_T717420_Aug11_4_59_37pm[[#This Row],[COOLANT TEMP '[Â°C']]]-Table3[[#This Row],[5805]]</f>
        <v>-1</v>
      </c>
      <c r="AB1863">
        <f>DataLog_T717420_Aug11_4_59_37pm[[#This Row],[BOOST '[BAR']]]-Table3[[#This Row],[58DD]]</f>
        <v>0</v>
      </c>
    </row>
    <row r="1864" spans="2:28" x14ac:dyDescent="0.25">
      <c r="B1864" s="2" t="s">
        <v>189</v>
      </c>
      <c r="C1864" s="2" t="s">
        <v>397</v>
      </c>
      <c r="D1864" s="2" t="s">
        <v>151</v>
      </c>
      <c r="E1864" s="2" t="s">
        <v>155</v>
      </c>
      <c r="F1864" s="2" t="s">
        <v>395</v>
      </c>
      <c r="G1864" s="2" t="s">
        <v>71</v>
      </c>
      <c r="I1864">
        <f>HEX2DEC(_0811_173439[[#This Row],[580C]])*B$4/B$5+B$6</f>
        <v>760</v>
      </c>
      <c r="J1864">
        <f>HEX2DEC(_0811_173439[[#This Row],[4402]])*C$4/C$5+C$6</f>
        <v>38</v>
      </c>
      <c r="K1864">
        <f>HEX2DEC(_0811_173439[[#This Row],[580F]])*D$4/D$5+D$6</f>
        <v>30</v>
      </c>
      <c r="L1864">
        <f>ROUND(HEX2DEC(_0811_173439[[#This Row],[58F0]])*E$4/E$5+E$6,0)</f>
        <v>70</v>
      </c>
      <c r="M1864">
        <f>ROUND(HEX2DEC(_0811_173439[[#This Row],[5805]])*F$4/F$5+F$6,0)</f>
        <v>47</v>
      </c>
      <c r="N1864">
        <f>ROUND(HEX2DEC(_0811_173439[[#This Row],[58DD]])*G$4/G$5+G$6,2)</f>
        <v>-0.03</v>
      </c>
      <c r="P1864">
        <v>760</v>
      </c>
      <c r="Q1864">
        <v>38</v>
      </c>
      <c r="R1864">
        <v>30</v>
      </c>
      <c r="S1864">
        <v>70</v>
      </c>
      <c r="T1864">
        <v>46</v>
      </c>
      <c r="U1864">
        <v>-0.03</v>
      </c>
      <c r="W1864">
        <f>DataLog_T717420_Aug11_4_59_37pm[[#This Row],[RPM '[1/MIN']]]-Table3[[#This Row],[580C]]</f>
        <v>0</v>
      </c>
      <c r="X1864">
        <f>DataLog_T717420_Aug11_4_59_37pm[[#This Row],[OIL TEMP '[Â°C']]]-Table3[[#This Row],[4402]]</f>
        <v>0</v>
      </c>
      <c r="Y1864">
        <f>DataLog_T717420_Aug11_4_59_37pm[[#This Row],[INTAKE TEMP '[Â°C']]]-Table3[[#This Row],[580F]]</f>
        <v>0</v>
      </c>
      <c r="Z1864">
        <f>DataLog_T717420_Aug11_4_59_37pm[[#This Row],[HPFP PRES. '[BAR']]]-Table3[[#This Row],[58F0]]</f>
        <v>0</v>
      </c>
      <c r="AA1864">
        <f>DataLog_T717420_Aug11_4_59_37pm[[#This Row],[COOLANT TEMP '[Â°C']]]-Table3[[#This Row],[5805]]</f>
        <v>-1</v>
      </c>
      <c r="AB1864">
        <f>DataLog_T717420_Aug11_4_59_37pm[[#This Row],[BOOST '[BAR']]]-Table3[[#This Row],[58DD]]</f>
        <v>0</v>
      </c>
    </row>
    <row r="1865" spans="2:28" x14ac:dyDescent="0.25">
      <c r="B1865" s="2" t="s">
        <v>189</v>
      </c>
      <c r="C1865" s="2" t="s">
        <v>397</v>
      </c>
      <c r="D1865" s="2" t="s">
        <v>151</v>
      </c>
      <c r="E1865" s="2" t="s">
        <v>248</v>
      </c>
      <c r="F1865" s="2" t="s">
        <v>395</v>
      </c>
      <c r="G1865" s="2" t="s">
        <v>90</v>
      </c>
      <c r="I1865">
        <f>HEX2DEC(_0811_173439[[#This Row],[580C]])*B$4/B$5+B$6</f>
        <v>760</v>
      </c>
      <c r="J1865">
        <f>HEX2DEC(_0811_173439[[#This Row],[4402]])*C$4/C$5+C$6</f>
        <v>38</v>
      </c>
      <c r="K1865">
        <f>HEX2DEC(_0811_173439[[#This Row],[580F]])*D$4/D$5+D$6</f>
        <v>30</v>
      </c>
      <c r="L1865">
        <f>ROUND(HEX2DEC(_0811_173439[[#This Row],[58F0]])*E$4/E$5+E$6,0)</f>
        <v>70</v>
      </c>
      <c r="M1865">
        <f>ROUND(HEX2DEC(_0811_173439[[#This Row],[5805]])*F$4/F$5+F$6,0)</f>
        <v>47</v>
      </c>
      <c r="N1865">
        <f>ROUND(HEX2DEC(_0811_173439[[#This Row],[58DD]])*G$4/G$5+G$6,2)</f>
        <v>-0.03</v>
      </c>
      <c r="P1865">
        <v>760</v>
      </c>
      <c r="Q1865">
        <v>38</v>
      </c>
      <c r="R1865">
        <v>30</v>
      </c>
      <c r="S1865">
        <v>70</v>
      </c>
      <c r="T1865">
        <v>46</v>
      </c>
      <c r="U1865">
        <v>-0.03</v>
      </c>
      <c r="W1865">
        <f>DataLog_T717420_Aug11_4_59_37pm[[#This Row],[RPM '[1/MIN']]]-Table3[[#This Row],[580C]]</f>
        <v>0</v>
      </c>
      <c r="X1865">
        <f>DataLog_T717420_Aug11_4_59_37pm[[#This Row],[OIL TEMP '[Â°C']]]-Table3[[#This Row],[4402]]</f>
        <v>0</v>
      </c>
      <c r="Y1865">
        <f>DataLog_T717420_Aug11_4_59_37pm[[#This Row],[INTAKE TEMP '[Â°C']]]-Table3[[#This Row],[580F]]</f>
        <v>0</v>
      </c>
      <c r="Z1865">
        <f>DataLog_T717420_Aug11_4_59_37pm[[#This Row],[HPFP PRES. '[BAR']]]-Table3[[#This Row],[58F0]]</f>
        <v>0</v>
      </c>
      <c r="AA1865">
        <f>DataLog_T717420_Aug11_4_59_37pm[[#This Row],[COOLANT TEMP '[Â°C']]]-Table3[[#This Row],[5805]]</f>
        <v>-1</v>
      </c>
      <c r="AB1865">
        <f>DataLog_T717420_Aug11_4_59_37pm[[#This Row],[BOOST '[BAR']]]-Table3[[#This Row],[58DD]]</f>
        <v>0</v>
      </c>
    </row>
    <row r="1866" spans="2:28" x14ac:dyDescent="0.25">
      <c r="B1866" s="2" t="s">
        <v>189</v>
      </c>
      <c r="C1866" s="2" t="s">
        <v>397</v>
      </c>
      <c r="D1866" s="2" t="s">
        <v>151</v>
      </c>
      <c r="E1866" s="2" t="s">
        <v>207</v>
      </c>
      <c r="F1866" s="2" t="s">
        <v>395</v>
      </c>
      <c r="G1866" s="2" t="s">
        <v>255</v>
      </c>
      <c r="I1866">
        <f>HEX2DEC(_0811_173439[[#This Row],[580C]])*B$4/B$5+B$6</f>
        <v>760</v>
      </c>
      <c r="J1866">
        <f>HEX2DEC(_0811_173439[[#This Row],[4402]])*C$4/C$5+C$6</f>
        <v>38</v>
      </c>
      <c r="K1866">
        <f>HEX2DEC(_0811_173439[[#This Row],[580F]])*D$4/D$5+D$6</f>
        <v>30</v>
      </c>
      <c r="L1866">
        <f>ROUND(HEX2DEC(_0811_173439[[#This Row],[58F0]])*E$4/E$5+E$6,0)</f>
        <v>70</v>
      </c>
      <c r="M1866">
        <f>ROUND(HEX2DEC(_0811_173439[[#This Row],[5805]])*F$4/F$5+F$6,0)</f>
        <v>47</v>
      </c>
      <c r="N1866">
        <f>ROUND(HEX2DEC(_0811_173439[[#This Row],[58DD]])*G$4/G$5+G$6,2)</f>
        <v>-0.03</v>
      </c>
      <c r="P1866">
        <v>760</v>
      </c>
      <c r="Q1866">
        <v>38</v>
      </c>
      <c r="R1866">
        <v>30</v>
      </c>
      <c r="S1866">
        <v>70</v>
      </c>
      <c r="T1866">
        <v>46</v>
      </c>
      <c r="U1866">
        <v>-0.03</v>
      </c>
      <c r="W1866">
        <f>DataLog_T717420_Aug11_4_59_37pm[[#This Row],[RPM '[1/MIN']]]-Table3[[#This Row],[580C]]</f>
        <v>0</v>
      </c>
      <c r="X1866">
        <f>DataLog_T717420_Aug11_4_59_37pm[[#This Row],[OIL TEMP '[Â°C']]]-Table3[[#This Row],[4402]]</f>
        <v>0</v>
      </c>
      <c r="Y1866">
        <f>DataLog_T717420_Aug11_4_59_37pm[[#This Row],[INTAKE TEMP '[Â°C']]]-Table3[[#This Row],[580F]]</f>
        <v>0</v>
      </c>
      <c r="Z1866">
        <f>DataLog_T717420_Aug11_4_59_37pm[[#This Row],[HPFP PRES. '[BAR']]]-Table3[[#This Row],[58F0]]</f>
        <v>0</v>
      </c>
      <c r="AA1866">
        <f>DataLog_T717420_Aug11_4_59_37pm[[#This Row],[COOLANT TEMP '[Â°C']]]-Table3[[#This Row],[5805]]</f>
        <v>-1</v>
      </c>
      <c r="AB1866">
        <f>DataLog_T717420_Aug11_4_59_37pm[[#This Row],[BOOST '[BAR']]]-Table3[[#This Row],[58DD]]</f>
        <v>0</v>
      </c>
    </row>
    <row r="1867" spans="2:28" x14ac:dyDescent="0.25">
      <c r="B1867" s="2" t="s">
        <v>189</v>
      </c>
      <c r="C1867" s="2" t="s">
        <v>397</v>
      </c>
      <c r="D1867" s="2" t="s">
        <v>151</v>
      </c>
      <c r="E1867" s="2" t="s">
        <v>212</v>
      </c>
      <c r="F1867" s="2" t="s">
        <v>395</v>
      </c>
      <c r="G1867" s="2" t="s">
        <v>90</v>
      </c>
      <c r="I1867">
        <f>HEX2DEC(_0811_173439[[#This Row],[580C]])*B$4/B$5+B$6</f>
        <v>760</v>
      </c>
      <c r="J1867">
        <f>HEX2DEC(_0811_173439[[#This Row],[4402]])*C$4/C$5+C$6</f>
        <v>38</v>
      </c>
      <c r="K1867">
        <f>HEX2DEC(_0811_173439[[#This Row],[580F]])*D$4/D$5+D$6</f>
        <v>30</v>
      </c>
      <c r="L1867">
        <f>ROUND(HEX2DEC(_0811_173439[[#This Row],[58F0]])*E$4/E$5+E$6,0)</f>
        <v>69</v>
      </c>
      <c r="M1867">
        <f>ROUND(HEX2DEC(_0811_173439[[#This Row],[5805]])*F$4/F$5+F$6,0)</f>
        <v>47</v>
      </c>
      <c r="N1867">
        <f>ROUND(HEX2DEC(_0811_173439[[#This Row],[58DD]])*G$4/G$5+G$6,2)</f>
        <v>-0.03</v>
      </c>
      <c r="P1867">
        <v>760</v>
      </c>
      <c r="Q1867">
        <v>38</v>
      </c>
      <c r="R1867">
        <v>30</v>
      </c>
      <c r="S1867">
        <v>69</v>
      </c>
      <c r="T1867">
        <v>46</v>
      </c>
      <c r="U1867">
        <v>-0.03</v>
      </c>
      <c r="W1867">
        <f>DataLog_T717420_Aug11_4_59_37pm[[#This Row],[RPM '[1/MIN']]]-Table3[[#This Row],[580C]]</f>
        <v>0</v>
      </c>
      <c r="X1867">
        <f>DataLog_T717420_Aug11_4_59_37pm[[#This Row],[OIL TEMP '[Â°C']]]-Table3[[#This Row],[4402]]</f>
        <v>0</v>
      </c>
      <c r="Y1867">
        <f>DataLog_T717420_Aug11_4_59_37pm[[#This Row],[INTAKE TEMP '[Â°C']]]-Table3[[#This Row],[580F]]</f>
        <v>0</v>
      </c>
      <c r="Z1867">
        <f>DataLog_T717420_Aug11_4_59_37pm[[#This Row],[HPFP PRES. '[BAR']]]-Table3[[#This Row],[58F0]]</f>
        <v>0</v>
      </c>
      <c r="AA1867">
        <f>DataLog_T717420_Aug11_4_59_37pm[[#This Row],[COOLANT TEMP '[Â°C']]]-Table3[[#This Row],[5805]]</f>
        <v>-1</v>
      </c>
      <c r="AB1867">
        <f>DataLog_T717420_Aug11_4_59_37pm[[#This Row],[BOOST '[BAR']]]-Table3[[#This Row],[58DD]]</f>
        <v>0</v>
      </c>
    </row>
    <row r="1868" spans="2:28" x14ac:dyDescent="0.25">
      <c r="B1868" s="2" t="s">
        <v>189</v>
      </c>
      <c r="C1868" s="2" t="s">
        <v>397</v>
      </c>
      <c r="D1868" s="2" t="s">
        <v>151</v>
      </c>
      <c r="E1868" s="2" t="s">
        <v>209</v>
      </c>
      <c r="F1868" s="2" t="s">
        <v>395</v>
      </c>
      <c r="G1868" s="2" t="s">
        <v>71</v>
      </c>
      <c r="I1868">
        <f>HEX2DEC(_0811_173439[[#This Row],[580C]])*B$4/B$5+B$6</f>
        <v>760</v>
      </c>
      <c r="J1868">
        <f>HEX2DEC(_0811_173439[[#This Row],[4402]])*C$4/C$5+C$6</f>
        <v>38</v>
      </c>
      <c r="K1868">
        <f>HEX2DEC(_0811_173439[[#This Row],[580F]])*D$4/D$5+D$6</f>
        <v>30</v>
      </c>
      <c r="L1868">
        <f>ROUND(HEX2DEC(_0811_173439[[#This Row],[58F0]])*E$4/E$5+E$6,0)</f>
        <v>70</v>
      </c>
      <c r="M1868">
        <f>ROUND(HEX2DEC(_0811_173439[[#This Row],[5805]])*F$4/F$5+F$6,0)</f>
        <v>47</v>
      </c>
      <c r="N1868">
        <f>ROUND(HEX2DEC(_0811_173439[[#This Row],[58DD]])*G$4/G$5+G$6,2)</f>
        <v>-0.03</v>
      </c>
      <c r="P1868">
        <v>760</v>
      </c>
      <c r="Q1868">
        <v>38</v>
      </c>
      <c r="R1868">
        <v>30</v>
      </c>
      <c r="S1868">
        <v>70</v>
      </c>
      <c r="T1868">
        <v>46</v>
      </c>
      <c r="U1868">
        <v>-0.03</v>
      </c>
      <c r="W1868">
        <f>DataLog_T717420_Aug11_4_59_37pm[[#This Row],[RPM '[1/MIN']]]-Table3[[#This Row],[580C]]</f>
        <v>0</v>
      </c>
      <c r="X1868">
        <f>DataLog_T717420_Aug11_4_59_37pm[[#This Row],[OIL TEMP '[Â°C']]]-Table3[[#This Row],[4402]]</f>
        <v>0</v>
      </c>
      <c r="Y1868">
        <f>DataLog_T717420_Aug11_4_59_37pm[[#This Row],[INTAKE TEMP '[Â°C']]]-Table3[[#This Row],[580F]]</f>
        <v>0</v>
      </c>
      <c r="Z1868">
        <f>DataLog_T717420_Aug11_4_59_37pm[[#This Row],[HPFP PRES. '[BAR']]]-Table3[[#This Row],[58F0]]</f>
        <v>0</v>
      </c>
      <c r="AA1868">
        <f>DataLog_T717420_Aug11_4_59_37pm[[#This Row],[COOLANT TEMP '[Â°C']]]-Table3[[#This Row],[5805]]</f>
        <v>-1</v>
      </c>
      <c r="AB1868">
        <f>DataLog_T717420_Aug11_4_59_37pm[[#This Row],[BOOST '[BAR']]]-Table3[[#This Row],[58DD]]</f>
        <v>0</v>
      </c>
    </row>
    <row r="1869" spans="2:28" x14ac:dyDescent="0.25">
      <c r="B1869" s="2" t="s">
        <v>189</v>
      </c>
      <c r="C1869" s="2" t="s">
        <v>397</v>
      </c>
      <c r="D1869" s="2" t="s">
        <v>151</v>
      </c>
      <c r="E1869" s="2" t="s">
        <v>150</v>
      </c>
      <c r="F1869" s="2" t="s">
        <v>395</v>
      </c>
      <c r="G1869" s="2" t="s">
        <v>247</v>
      </c>
      <c r="I1869">
        <f>HEX2DEC(_0811_173439[[#This Row],[580C]])*B$4/B$5+B$6</f>
        <v>760</v>
      </c>
      <c r="J1869">
        <f>HEX2DEC(_0811_173439[[#This Row],[4402]])*C$4/C$5+C$6</f>
        <v>38</v>
      </c>
      <c r="K1869">
        <f>HEX2DEC(_0811_173439[[#This Row],[580F]])*D$4/D$5+D$6</f>
        <v>30</v>
      </c>
      <c r="L1869">
        <f>ROUND(HEX2DEC(_0811_173439[[#This Row],[58F0]])*E$4/E$5+E$6,0)</f>
        <v>70</v>
      </c>
      <c r="M1869">
        <f>ROUND(HEX2DEC(_0811_173439[[#This Row],[5805]])*F$4/F$5+F$6,0)</f>
        <v>47</v>
      </c>
      <c r="N1869">
        <f>ROUND(HEX2DEC(_0811_173439[[#This Row],[58DD]])*G$4/G$5+G$6,2)</f>
        <v>-0.03</v>
      </c>
      <c r="P1869">
        <v>760</v>
      </c>
      <c r="Q1869">
        <v>38</v>
      </c>
      <c r="R1869">
        <v>30</v>
      </c>
      <c r="S1869">
        <v>70</v>
      </c>
      <c r="T1869">
        <v>46</v>
      </c>
      <c r="U1869">
        <v>-0.03</v>
      </c>
      <c r="W1869">
        <f>DataLog_T717420_Aug11_4_59_37pm[[#This Row],[RPM '[1/MIN']]]-Table3[[#This Row],[580C]]</f>
        <v>0</v>
      </c>
      <c r="X1869">
        <f>DataLog_T717420_Aug11_4_59_37pm[[#This Row],[OIL TEMP '[Â°C']]]-Table3[[#This Row],[4402]]</f>
        <v>0</v>
      </c>
      <c r="Y1869">
        <f>DataLog_T717420_Aug11_4_59_37pm[[#This Row],[INTAKE TEMP '[Â°C']]]-Table3[[#This Row],[580F]]</f>
        <v>0</v>
      </c>
      <c r="Z1869">
        <f>DataLog_T717420_Aug11_4_59_37pm[[#This Row],[HPFP PRES. '[BAR']]]-Table3[[#This Row],[58F0]]</f>
        <v>0</v>
      </c>
      <c r="AA1869">
        <f>DataLog_T717420_Aug11_4_59_37pm[[#This Row],[COOLANT TEMP '[Â°C']]]-Table3[[#This Row],[5805]]</f>
        <v>-1</v>
      </c>
      <c r="AB1869">
        <f>DataLog_T717420_Aug11_4_59_37pm[[#This Row],[BOOST '[BAR']]]-Table3[[#This Row],[58DD]]</f>
        <v>0</v>
      </c>
    </row>
    <row r="1870" spans="2:28" x14ac:dyDescent="0.25">
      <c r="B1870" s="2" t="s">
        <v>189</v>
      </c>
      <c r="C1870" s="2" t="s">
        <v>397</v>
      </c>
      <c r="D1870" s="2" t="s">
        <v>151</v>
      </c>
      <c r="E1870" s="2" t="s">
        <v>159</v>
      </c>
      <c r="F1870" s="2" t="s">
        <v>395</v>
      </c>
      <c r="G1870" s="2" t="s">
        <v>71</v>
      </c>
      <c r="I1870">
        <f>HEX2DEC(_0811_173439[[#This Row],[580C]])*B$4/B$5+B$6</f>
        <v>760</v>
      </c>
      <c r="J1870">
        <f>HEX2DEC(_0811_173439[[#This Row],[4402]])*C$4/C$5+C$6</f>
        <v>38</v>
      </c>
      <c r="K1870">
        <f>HEX2DEC(_0811_173439[[#This Row],[580F]])*D$4/D$5+D$6</f>
        <v>30</v>
      </c>
      <c r="L1870">
        <f>ROUND(HEX2DEC(_0811_173439[[#This Row],[58F0]])*E$4/E$5+E$6,0)</f>
        <v>70</v>
      </c>
      <c r="M1870">
        <f>ROUND(HEX2DEC(_0811_173439[[#This Row],[5805]])*F$4/F$5+F$6,0)</f>
        <v>47</v>
      </c>
      <c r="N1870">
        <f>ROUND(HEX2DEC(_0811_173439[[#This Row],[58DD]])*G$4/G$5+G$6,2)</f>
        <v>-0.03</v>
      </c>
      <c r="P1870">
        <v>760</v>
      </c>
      <c r="Q1870">
        <v>38</v>
      </c>
      <c r="R1870">
        <v>30</v>
      </c>
      <c r="S1870">
        <v>70</v>
      </c>
      <c r="T1870">
        <v>46</v>
      </c>
      <c r="U1870">
        <v>-0.03</v>
      </c>
      <c r="W1870">
        <f>DataLog_T717420_Aug11_4_59_37pm[[#This Row],[RPM '[1/MIN']]]-Table3[[#This Row],[580C]]</f>
        <v>0</v>
      </c>
      <c r="X1870">
        <f>DataLog_T717420_Aug11_4_59_37pm[[#This Row],[OIL TEMP '[Â°C']]]-Table3[[#This Row],[4402]]</f>
        <v>0</v>
      </c>
      <c r="Y1870">
        <f>DataLog_T717420_Aug11_4_59_37pm[[#This Row],[INTAKE TEMP '[Â°C']]]-Table3[[#This Row],[580F]]</f>
        <v>0</v>
      </c>
      <c r="Z1870">
        <f>DataLog_T717420_Aug11_4_59_37pm[[#This Row],[HPFP PRES. '[BAR']]]-Table3[[#This Row],[58F0]]</f>
        <v>0</v>
      </c>
      <c r="AA1870">
        <f>DataLog_T717420_Aug11_4_59_37pm[[#This Row],[COOLANT TEMP '[Â°C']]]-Table3[[#This Row],[5805]]</f>
        <v>-1</v>
      </c>
      <c r="AB1870">
        <f>DataLog_T717420_Aug11_4_59_37pm[[#This Row],[BOOST '[BAR']]]-Table3[[#This Row],[58DD]]</f>
        <v>0</v>
      </c>
    </row>
    <row r="1871" spans="2:28" x14ac:dyDescent="0.25">
      <c r="B1871" s="2" t="s">
        <v>189</v>
      </c>
      <c r="C1871" s="2" t="s">
        <v>397</v>
      </c>
      <c r="D1871" s="2" t="s">
        <v>151</v>
      </c>
      <c r="E1871" s="2" t="s">
        <v>214</v>
      </c>
      <c r="F1871" s="2" t="s">
        <v>395</v>
      </c>
      <c r="G1871" s="2" t="s">
        <v>71</v>
      </c>
      <c r="I1871">
        <f>HEX2DEC(_0811_173439[[#This Row],[580C]])*B$4/B$5+B$6</f>
        <v>760</v>
      </c>
      <c r="J1871">
        <f>HEX2DEC(_0811_173439[[#This Row],[4402]])*C$4/C$5+C$6</f>
        <v>38</v>
      </c>
      <c r="K1871">
        <f>HEX2DEC(_0811_173439[[#This Row],[580F]])*D$4/D$5+D$6</f>
        <v>30</v>
      </c>
      <c r="L1871">
        <f>ROUND(HEX2DEC(_0811_173439[[#This Row],[58F0]])*E$4/E$5+E$6,0)</f>
        <v>70</v>
      </c>
      <c r="M1871">
        <f>ROUND(HEX2DEC(_0811_173439[[#This Row],[5805]])*F$4/F$5+F$6,0)</f>
        <v>47</v>
      </c>
      <c r="N1871">
        <f>ROUND(HEX2DEC(_0811_173439[[#This Row],[58DD]])*G$4/G$5+G$6,2)</f>
        <v>-0.03</v>
      </c>
      <c r="P1871">
        <v>760</v>
      </c>
      <c r="Q1871">
        <v>38</v>
      </c>
      <c r="R1871">
        <v>30</v>
      </c>
      <c r="S1871">
        <v>70</v>
      </c>
      <c r="T1871">
        <v>46</v>
      </c>
      <c r="U1871">
        <v>-0.03</v>
      </c>
      <c r="W1871">
        <f>DataLog_T717420_Aug11_4_59_37pm[[#This Row],[RPM '[1/MIN']]]-Table3[[#This Row],[580C]]</f>
        <v>0</v>
      </c>
      <c r="X1871">
        <f>DataLog_T717420_Aug11_4_59_37pm[[#This Row],[OIL TEMP '[Â°C']]]-Table3[[#This Row],[4402]]</f>
        <v>0</v>
      </c>
      <c r="Y1871">
        <f>DataLog_T717420_Aug11_4_59_37pm[[#This Row],[INTAKE TEMP '[Â°C']]]-Table3[[#This Row],[580F]]</f>
        <v>0</v>
      </c>
      <c r="Z1871">
        <f>DataLog_T717420_Aug11_4_59_37pm[[#This Row],[HPFP PRES. '[BAR']]]-Table3[[#This Row],[58F0]]</f>
        <v>0</v>
      </c>
      <c r="AA1871">
        <f>DataLog_T717420_Aug11_4_59_37pm[[#This Row],[COOLANT TEMP '[Â°C']]]-Table3[[#This Row],[5805]]</f>
        <v>-1</v>
      </c>
      <c r="AB1871">
        <f>DataLog_T717420_Aug11_4_59_37pm[[#This Row],[BOOST '[BAR']]]-Table3[[#This Row],[58DD]]</f>
        <v>0</v>
      </c>
    </row>
    <row r="1872" spans="2:28" x14ac:dyDescent="0.25">
      <c r="B1872" s="2" t="s">
        <v>189</v>
      </c>
      <c r="C1872" s="2" t="s">
        <v>397</v>
      </c>
      <c r="D1872" s="2" t="s">
        <v>151</v>
      </c>
      <c r="E1872" s="2" t="s">
        <v>157</v>
      </c>
      <c r="F1872" s="2" t="s">
        <v>395</v>
      </c>
      <c r="G1872" s="2" t="s">
        <v>398</v>
      </c>
      <c r="I1872">
        <f>HEX2DEC(_0811_173439[[#This Row],[580C]])*B$4/B$5+B$6</f>
        <v>760</v>
      </c>
      <c r="J1872">
        <f>HEX2DEC(_0811_173439[[#This Row],[4402]])*C$4/C$5+C$6</f>
        <v>38</v>
      </c>
      <c r="K1872">
        <f>HEX2DEC(_0811_173439[[#This Row],[580F]])*D$4/D$5+D$6</f>
        <v>30</v>
      </c>
      <c r="L1872">
        <f>ROUND(HEX2DEC(_0811_173439[[#This Row],[58F0]])*E$4/E$5+E$6,0)</f>
        <v>70</v>
      </c>
      <c r="M1872">
        <f>ROUND(HEX2DEC(_0811_173439[[#This Row],[5805]])*F$4/F$5+F$6,0)</f>
        <v>47</v>
      </c>
      <c r="N1872">
        <f>ROUND(HEX2DEC(_0811_173439[[#This Row],[58DD]])*G$4/G$5+G$6,2)</f>
        <v>-0.03</v>
      </c>
      <c r="P1872">
        <v>760</v>
      </c>
      <c r="Q1872">
        <v>38</v>
      </c>
      <c r="R1872">
        <v>30</v>
      </c>
      <c r="S1872">
        <v>70</v>
      </c>
      <c r="T1872">
        <v>46</v>
      </c>
      <c r="U1872">
        <v>-0.03</v>
      </c>
      <c r="W1872">
        <f>DataLog_T717420_Aug11_4_59_37pm[[#This Row],[RPM '[1/MIN']]]-Table3[[#This Row],[580C]]</f>
        <v>0</v>
      </c>
      <c r="X1872">
        <f>DataLog_T717420_Aug11_4_59_37pm[[#This Row],[OIL TEMP '[Â°C']]]-Table3[[#This Row],[4402]]</f>
        <v>0</v>
      </c>
      <c r="Y1872">
        <f>DataLog_T717420_Aug11_4_59_37pm[[#This Row],[INTAKE TEMP '[Â°C']]]-Table3[[#This Row],[580F]]</f>
        <v>0</v>
      </c>
      <c r="Z1872">
        <f>DataLog_T717420_Aug11_4_59_37pm[[#This Row],[HPFP PRES. '[BAR']]]-Table3[[#This Row],[58F0]]</f>
        <v>0</v>
      </c>
      <c r="AA1872">
        <f>DataLog_T717420_Aug11_4_59_37pm[[#This Row],[COOLANT TEMP '[Â°C']]]-Table3[[#This Row],[5805]]</f>
        <v>-1</v>
      </c>
      <c r="AB1872">
        <f>DataLog_T717420_Aug11_4_59_37pm[[#This Row],[BOOST '[BAR']]]-Table3[[#This Row],[58DD]]</f>
        <v>0</v>
      </c>
    </row>
    <row r="1873" spans="2:28" x14ac:dyDescent="0.25">
      <c r="B1873" s="2" t="s">
        <v>189</v>
      </c>
      <c r="C1873" s="2" t="s">
        <v>397</v>
      </c>
      <c r="D1873" s="2" t="s">
        <v>151</v>
      </c>
      <c r="E1873" s="2" t="s">
        <v>399</v>
      </c>
      <c r="F1873" s="2" t="s">
        <v>395</v>
      </c>
      <c r="G1873" s="2" t="s">
        <v>236</v>
      </c>
      <c r="I1873">
        <f>HEX2DEC(_0811_173439[[#This Row],[580C]])*B$4/B$5+B$6</f>
        <v>760</v>
      </c>
      <c r="J1873">
        <f>HEX2DEC(_0811_173439[[#This Row],[4402]])*C$4/C$5+C$6</f>
        <v>38</v>
      </c>
      <c r="K1873">
        <f>HEX2DEC(_0811_173439[[#This Row],[580F]])*D$4/D$5+D$6</f>
        <v>30</v>
      </c>
      <c r="L1873">
        <f>ROUND(HEX2DEC(_0811_173439[[#This Row],[58F0]])*E$4/E$5+E$6,0)</f>
        <v>70</v>
      </c>
      <c r="M1873">
        <f>ROUND(HEX2DEC(_0811_173439[[#This Row],[5805]])*F$4/F$5+F$6,0)</f>
        <v>47</v>
      </c>
      <c r="N1873">
        <f>ROUND(HEX2DEC(_0811_173439[[#This Row],[58DD]])*G$4/G$5+G$6,2)</f>
        <v>-0.03</v>
      </c>
      <c r="P1873">
        <v>760</v>
      </c>
      <c r="Q1873">
        <v>38</v>
      </c>
      <c r="R1873">
        <v>30</v>
      </c>
      <c r="S1873">
        <v>70</v>
      </c>
      <c r="T1873">
        <v>46</v>
      </c>
      <c r="U1873">
        <v>-0.03</v>
      </c>
      <c r="W1873">
        <f>DataLog_T717420_Aug11_4_59_37pm[[#This Row],[RPM '[1/MIN']]]-Table3[[#This Row],[580C]]</f>
        <v>0</v>
      </c>
      <c r="X1873">
        <f>DataLog_T717420_Aug11_4_59_37pm[[#This Row],[OIL TEMP '[Â°C']]]-Table3[[#This Row],[4402]]</f>
        <v>0</v>
      </c>
      <c r="Y1873">
        <f>DataLog_T717420_Aug11_4_59_37pm[[#This Row],[INTAKE TEMP '[Â°C']]]-Table3[[#This Row],[580F]]</f>
        <v>0</v>
      </c>
      <c r="Z1873">
        <f>DataLog_T717420_Aug11_4_59_37pm[[#This Row],[HPFP PRES. '[BAR']]]-Table3[[#This Row],[58F0]]</f>
        <v>0</v>
      </c>
      <c r="AA1873">
        <f>DataLog_T717420_Aug11_4_59_37pm[[#This Row],[COOLANT TEMP '[Â°C']]]-Table3[[#This Row],[5805]]</f>
        <v>-1</v>
      </c>
      <c r="AB1873">
        <f>DataLog_T717420_Aug11_4_59_37pm[[#This Row],[BOOST '[BAR']]]-Table3[[#This Row],[58DD]]</f>
        <v>0</v>
      </c>
    </row>
    <row r="1874" spans="2:28" x14ac:dyDescent="0.25">
      <c r="B1874" s="2" t="s">
        <v>189</v>
      </c>
      <c r="C1874" s="2" t="s">
        <v>397</v>
      </c>
      <c r="D1874" s="2" t="s">
        <v>151</v>
      </c>
      <c r="E1874" s="2" t="s">
        <v>156</v>
      </c>
      <c r="F1874" s="2" t="s">
        <v>395</v>
      </c>
      <c r="G1874" s="2" t="s">
        <v>236</v>
      </c>
      <c r="I1874">
        <f>HEX2DEC(_0811_173439[[#This Row],[580C]])*B$4/B$5+B$6</f>
        <v>760</v>
      </c>
      <c r="J1874">
        <f>HEX2DEC(_0811_173439[[#This Row],[4402]])*C$4/C$5+C$6</f>
        <v>38</v>
      </c>
      <c r="K1874">
        <f>HEX2DEC(_0811_173439[[#This Row],[580F]])*D$4/D$5+D$6</f>
        <v>30</v>
      </c>
      <c r="L1874">
        <f>ROUND(HEX2DEC(_0811_173439[[#This Row],[58F0]])*E$4/E$5+E$6,0)</f>
        <v>70</v>
      </c>
      <c r="M1874">
        <f>ROUND(HEX2DEC(_0811_173439[[#This Row],[5805]])*F$4/F$5+F$6,0)</f>
        <v>47</v>
      </c>
      <c r="N1874">
        <f>ROUND(HEX2DEC(_0811_173439[[#This Row],[58DD]])*G$4/G$5+G$6,2)</f>
        <v>-0.03</v>
      </c>
      <c r="P1874">
        <v>760</v>
      </c>
      <c r="Q1874">
        <v>38</v>
      </c>
      <c r="R1874">
        <v>30</v>
      </c>
      <c r="S1874">
        <v>70</v>
      </c>
      <c r="T1874">
        <v>46</v>
      </c>
      <c r="U1874">
        <v>-0.03</v>
      </c>
      <c r="W1874">
        <f>DataLog_T717420_Aug11_4_59_37pm[[#This Row],[RPM '[1/MIN']]]-Table3[[#This Row],[580C]]</f>
        <v>0</v>
      </c>
      <c r="X1874">
        <f>DataLog_T717420_Aug11_4_59_37pm[[#This Row],[OIL TEMP '[Â°C']]]-Table3[[#This Row],[4402]]</f>
        <v>0</v>
      </c>
      <c r="Y1874">
        <f>DataLog_T717420_Aug11_4_59_37pm[[#This Row],[INTAKE TEMP '[Â°C']]]-Table3[[#This Row],[580F]]</f>
        <v>0</v>
      </c>
      <c r="Z1874">
        <f>DataLog_T717420_Aug11_4_59_37pm[[#This Row],[HPFP PRES. '[BAR']]]-Table3[[#This Row],[58F0]]</f>
        <v>0</v>
      </c>
      <c r="AA1874">
        <f>DataLog_T717420_Aug11_4_59_37pm[[#This Row],[COOLANT TEMP '[Â°C']]]-Table3[[#This Row],[5805]]</f>
        <v>-1</v>
      </c>
      <c r="AB1874">
        <f>DataLog_T717420_Aug11_4_59_37pm[[#This Row],[BOOST '[BAR']]]-Table3[[#This Row],[58DD]]</f>
        <v>0</v>
      </c>
    </row>
    <row r="1875" spans="2:28" x14ac:dyDescent="0.25">
      <c r="B1875" s="2" t="s">
        <v>189</v>
      </c>
      <c r="C1875" s="2" t="s">
        <v>397</v>
      </c>
      <c r="D1875" s="2" t="s">
        <v>151</v>
      </c>
      <c r="E1875" s="2" t="s">
        <v>157</v>
      </c>
      <c r="F1875" s="2" t="s">
        <v>395</v>
      </c>
      <c r="G1875" s="2" t="s">
        <v>258</v>
      </c>
      <c r="I1875">
        <f>HEX2DEC(_0811_173439[[#This Row],[580C]])*B$4/B$5+B$6</f>
        <v>760</v>
      </c>
      <c r="J1875">
        <f>HEX2DEC(_0811_173439[[#This Row],[4402]])*C$4/C$5+C$6</f>
        <v>38</v>
      </c>
      <c r="K1875">
        <f>HEX2DEC(_0811_173439[[#This Row],[580F]])*D$4/D$5+D$6</f>
        <v>30</v>
      </c>
      <c r="L1875">
        <f>ROUND(HEX2DEC(_0811_173439[[#This Row],[58F0]])*E$4/E$5+E$6,0)</f>
        <v>70</v>
      </c>
      <c r="M1875">
        <f>ROUND(HEX2DEC(_0811_173439[[#This Row],[5805]])*F$4/F$5+F$6,0)</f>
        <v>47</v>
      </c>
      <c r="N1875">
        <f>ROUND(HEX2DEC(_0811_173439[[#This Row],[58DD]])*G$4/G$5+G$6,2)</f>
        <v>-0.03</v>
      </c>
      <c r="P1875">
        <v>760</v>
      </c>
      <c r="Q1875">
        <v>38</v>
      </c>
      <c r="R1875">
        <v>30</v>
      </c>
      <c r="S1875">
        <v>70</v>
      </c>
      <c r="T1875">
        <v>46</v>
      </c>
      <c r="U1875">
        <v>-0.03</v>
      </c>
      <c r="W1875">
        <f>DataLog_T717420_Aug11_4_59_37pm[[#This Row],[RPM '[1/MIN']]]-Table3[[#This Row],[580C]]</f>
        <v>0</v>
      </c>
      <c r="X1875">
        <f>DataLog_T717420_Aug11_4_59_37pm[[#This Row],[OIL TEMP '[Â°C']]]-Table3[[#This Row],[4402]]</f>
        <v>0</v>
      </c>
      <c r="Y1875">
        <f>DataLog_T717420_Aug11_4_59_37pm[[#This Row],[INTAKE TEMP '[Â°C']]]-Table3[[#This Row],[580F]]</f>
        <v>0</v>
      </c>
      <c r="Z1875">
        <f>DataLog_T717420_Aug11_4_59_37pm[[#This Row],[HPFP PRES. '[BAR']]]-Table3[[#This Row],[58F0]]</f>
        <v>0</v>
      </c>
      <c r="AA1875">
        <f>DataLog_T717420_Aug11_4_59_37pm[[#This Row],[COOLANT TEMP '[Â°C']]]-Table3[[#This Row],[5805]]</f>
        <v>-1</v>
      </c>
      <c r="AB1875">
        <f>DataLog_T717420_Aug11_4_59_37pm[[#This Row],[BOOST '[BAR']]]-Table3[[#This Row],[58DD]]</f>
        <v>0</v>
      </c>
    </row>
    <row r="1876" spans="2:28" x14ac:dyDescent="0.25">
      <c r="B1876" s="2" t="s">
        <v>189</v>
      </c>
      <c r="C1876" s="2" t="s">
        <v>397</v>
      </c>
      <c r="D1876" s="2" t="s">
        <v>151</v>
      </c>
      <c r="E1876" s="2" t="s">
        <v>150</v>
      </c>
      <c r="F1876" s="2" t="s">
        <v>395</v>
      </c>
      <c r="G1876" s="2" t="s">
        <v>255</v>
      </c>
      <c r="I1876">
        <f>HEX2DEC(_0811_173439[[#This Row],[580C]])*B$4/B$5+B$6</f>
        <v>760</v>
      </c>
      <c r="J1876">
        <f>HEX2DEC(_0811_173439[[#This Row],[4402]])*C$4/C$5+C$6</f>
        <v>38</v>
      </c>
      <c r="K1876">
        <f>HEX2DEC(_0811_173439[[#This Row],[580F]])*D$4/D$5+D$6</f>
        <v>30</v>
      </c>
      <c r="L1876">
        <f>ROUND(HEX2DEC(_0811_173439[[#This Row],[58F0]])*E$4/E$5+E$6,0)</f>
        <v>70</v>
      </c>
      <c r="M1876">
        <f>ROUND(HEX2DEC(_0811_173439[[#This Row],[5805]])*F$4/F$5+F$6,0)</f>
        <v>47</v>
      </c>
      <c r="N1876">
        <f>ROUND(HEX2DEC(_0811_173439[[#This Row],[58DD]])*G$4/G$5+G$6,2)</f>
        <v>-0.03</v>
      </c>
      <c r="P1876">
        <v>760</v>
      </c>
      <c r="Q1876">
        <v>38</v>
      </c>
      <c r="R1876">
        <v>30</v>
      </c>
      <c r="S1876">
        <v>70</v>
      </c>
      <c r="T1876">
        <v>46</v>
      </c>
      <c r="U1876">
        <v>-0.03</v>
      </c>
      <c r="W1876">
        <f>DataLog_T717420_Aug11_4_59_37pm[[#This Row],[RPM '[1/MIN']]]-Table3[[#This Row],[580C]]</f>
        <v>0</v>
      </c>
      <c r="X1876">
        <f>DataLog_T717420_Aug11_4_59_37pm[[#This Row],[OIL TEMP '[Â°C']]]-Table3[[#This Row],[4402]]</f>
        <v>0</v>
      </c>
      <c r="Y1876">
        <f>DataLog_T717420_Aug11_4_59_37pm[[#This Row],[INTAKE TEMP '[Â°C']]]-Table3[[#This Row],[580F]]</f>
        <v>0</v>
      </c>
      <c r="Z1876">
        <f>DataLog_T717420_Aug11_4_59_37pm[[#This Row],[HPFP PRES. '[BAR']]]-Table3[[#This Row],[58F0]]</f>
        <v>0</v>
      </c>
      <c r="AA1876">
        <f>DataLog_T717420_Aug11_4_59_37pm[[#This Row],[COOLANT TEMP '[Â°C']]]-Table3[[#This Row],[5805]]</f>
        <v>-1</v>
      </c>
      <c r="AB1876">
        <f>DataLog_T717420_Aug11_4_59_37pm[[#This Row],[BOOST '[BAR']]]-Table3[[#This Row],[58DD]]</f>
        <v>0</v>
      </c>
    </row>
    <row r="1877" spans="2:28" x14ac:dyDescent="0.25">
      <c r="B1877" s="2" t="s">
        <v>189</v>
      </c>
      <c r="C1877" s="2" t="s">
        <v>397</v>
      </c>
      <c r="D1877" s="2" t="s">
        <v>151</v>
      </c>
      <c r="E1877" s="2" t="s">
        <v>163</v>
      </c>
      <c r="F1877" s="2" t="s">
        <v>395</v>
      </c>
      <c r="G1877" s="2" t="s">
        <v>96</v>
      </c>
      <c r="I1877">
        <f>HEX2DEC(_0811_173439[[#This Row],[580C]])*B$4/B$5+B$6</f>
        <v>760</v>
      </c>
      <c r="J1877">
        <f>HEX2DEC(_0811_173439[[#This Row],[4402]])*C$4/C$5+C$6</f>
        <v>38</v>
      </c>
      <c r="K1877">
        <f>HEX2DEC(_0811_173439[[#This Row],[580F]])*D$4/D$5+D$6</f>
        <v>30</v>
      </c>
      <c r="L1877">
        <f>ROUND(HEX2DEC(_0811_173439[[#This Row],[58F0]])*E$4/E$5+E$6,0)</f>
        <v>70</v>
      </c>
      <c r="M1877">
        <f>ROUND(HEX2DEC(_0811_173439[[#This Row],[5805]])*F$4/F$5+F$6,0)</f>
        <v>47</v>
      </c>
      <c r="N1877">
        <f>ROUND(HEX2DEC(_0811_173439[[#This Row],[58DD]])*G$4/G$5+G$6,2)</f>
        <v>-0.03</v>
      </c>
      <c r="P1877">
        <v>760</v>
      </c>
      <c r="Q1877">
        <v>38</v>
      </c>
      <c r="R1877">
        <v>30</v>
      </c>
      <c r="S1877">
        <v>70</v>
      </c>
      <c r="T1877">
        <v>46</v>
      </c>
      <c r="U1877">
        <v>-0.03</v>
      </c>
      <c r="W1877">
        <f>DataLog_T717420_Aug11_4_59_37pm[[#This Row],[RPM '[1/MIN']]]-Table3[[#This Row],[580C]]</f>
        <v>0</v>
      </c>
      <c r="X1877">
        <f>DataLog_T717420_Aug11_4_59_37pm[[#This Row],[OIL TEMP '[Â°C']]]-Table3[[#This Row],[4402]]</f>
        <v>0</v>
      </c>
      <c r="Y1877">
        <f>DataLog_T717420_Aug11_4_59_37pm[[#This Row],[INTAKE TEMP '[Â°C']]]-Table3[[#This Row],[580F]]</f>
        <v>0</v>
      </c>
      <c r="Z1877">
        <f>DataLog_T717420_Aug11_4_59_37pm[[#This Row],[HPFP PRES. '[BAR']]]-Table3[[#This Row],[58F0]]</f>
        <v>0</v>
      </c>
      <c r="AA1877">
        <f>DataLog_T717420_Aug11_4_59_37pm[[#This Row],[COOLANT TEMP '[Â°C']]]-Table3[[#This Row],[5805]]</f>
        <v>-1</v>
      </c>
      <c r="AB1877">
        <f>DataLog_T717420_Aug11_4_59_37pm[[#This Row],[BOOST '[BAR']]]-Table3[[#This Row],[58DD]]</f>
        <v>0</v>
      </c>
    </row>
    <row r="1878" spans="2:28" x14ac:dyDescent="0.25">
      <c r="B1878" s="2" t="s">
        <v>189</v>
      </c>
      <c r="C1878" s="2" t="s">
        <v>397</v>
      </c>
      <c r="D1878" s="2" t="s">
        <v>151</v>
      </c>
      <c r="E1878" s="2" t="s">
        <v>121</v>
      </c>
      <c r="F1878" s="2" t="s">
        <v>395</v>
      </c>
      <c r="G1878" s="2" t="s">
        <v>250</v>
      </c>
      <c r="I1878">
        <f>HEX2DEC(_0811_173439[[#This Row],[580C]])*B$4/B$5+B$6</f>
        <v>760</v>
      </c>
      <c r="J1878">
        <f>HEX2DEC(_0811_173439[[#This Row],[4402]])*C$4/C$5+C$6</f>
        <v>38</v>
      </c>
      <c r="K1878">
        <f>HEX2DEC(_0811_173439[[#This Row],[580F]])*D$4/D$5+D$6</f>
        <v>30</v>
      </c>
      <c r="L1878">
        <f>ROUND(HEX2DEC(_0811_173439[[#This Row],[58F0]])*E$4/E$5+E$6,0)</f>
        <v>71</v>
      </c>
      <c r="M1878">
        <f>ROUND(HEX2DEC(_0811_173439[[#This Row],[5805]])*F$4/F$5+F$6,0)</f>
        <v>47</v>
      </c>
      <c r="N1878">
        <f>ROUND(HEX2DEC(_0811_173439[[#This Row],[58DD]])*G$4/G$5+G$6,2)</f>
        <v>-0.03</v>
      </c>
      <c r="P1878">
        <v>760</v>
      </c>
      <c r="Q1878">
        <v>38</v>
      </c>
      <c r="R1878">
        <v>30</v>
      </c>
      <c r="S1878">
        <v>71</v>
      </c>
      <c r="T1878">
        <v>46</v>
      </c>
      <c r="U1878">
        <v>-0.03</v>
      </c>
      <c r="W1878">
        <f>DataLog_T717420_Aug11_4_59_37pm[[#This Row],[RPM '[1/MIN']]]-Table3[[#This Row],[580C]]</f>
        <v>0</v>
      </c>
      <c r="X1878">
        <f>DataLog_T717420_Aug11_4_59_37pm[[#This Row],[OIL TEMP '[Â°C']]]-Table3[[#This Row],[4402]]</f>
        <v>0</v>
      </c>
      <c r="Y1878">
        <f>DataLog_T717420_Aug11_4_59_37pm[[#This Row],[INTAKE TEMP '[Â°C']]]-Table3[[#This Row],[580F]]</f>
        <v>0</v>
      </c>
      <c r="Z1878">
        <f>DataLog_T717420_Aug11_4_59_37pm[[#This Row],[HPFP PRES. '[BAR']]]-Table3[[#This Row],[58F0]]</f>
        <v>0</v>
      </c>
      <c r="AA1878">
        <f>DataLog_T717420_Aug11_4_59_37pm[[#This Row],[COOLANT TEMP '[Â°C']]]-Table3[[#This Row],[5805]]</f>
        <v>-1</v>
      </c>
      <c r="AB1878">
        <f>DataLog_T717420_Aug11_4_59_37pm[[#This Row],[BOOST '[BAR']]]-Table3[[#This Row],[58DD]]</f>
        <v>0</v>
      </c>
    </row>
    <row r="1879" spans="2:28" x14ac:dyDescent="0.25">
      <c r="B1879" s="2" t="s">
        <v>189</v>
      </c>
      <c r="C1879" s="2" t="s">
        <v>397</v>
      </c>
      <c r="D1879" s="2" t="s">
        <v>151</v>
      </c>
      <c r="E1879" s="2" t="s">
        <v>147</v>
      </c>
      <c r="F1879" s="2" t="s">
        <v>395</v>
      </c>
      <c r="G1879" s="2" t="s">
        <v>236</v>
      </c>
      <c r="I1879">
        <f>HEX2DEC(_0811_173439[[#This Row],[580C]])*B$4/B$5+B$6</f>
        <v>760</v>
      </c>
      <c r="J1879">
        <f>HEX2DEC(_0811_173439[[#This Row],[4402]])*C$4/C$5+C$6</f>
        <v>38</v>
      </c>
      <c r="K1879">
        <f>HEX2DEC(_0811_173439[[#This Row],[580F]])*D$4/D$5+D$6</f>
        <v>30</v>
      </c>
      <c r="L1879">
        <f>ROUND(HEX2DEC(_0811_173439[[#This Row],[58F0]])*E$4/E$5+E$6,0)</f>
        <v>71</v>
      </c>
      <c r="M1879">
        <f>ROUND(HEX2DEC(_0811_173439[[#This Row],[5805]])*F$4/F$5+F$6,0)</f>
        <v>47</v>
      </c>
      <c r="N1879">
        <f>ROUND(HEX2DEC(_0811_173439[[#This Row],[58DD]])*G$4/G$5+G$6,2)</f>
        <v>-0.03</v>
      </c>
      <c r="P1879">
        <v>760</v>
      </c>
      <c r="Q1879">
        <v>38</v>
      </c>
      <c r="R1879">
        <v>30</v>
      </c>
      <c r="S1879">
        <v>71</v>
      </c>
      <c r="T1879">
        <v>46</v>
      </c>
      <c r="U1879">
        <v>-0.03</v>
      </c>
      <c r="W1879">
        <f>DataLog_T717420_Aug11_4_59_37pm[[#This Row],[RPM '[1/MIN']]]-Table3[[#This Row],[580C]]</f>
        <v>0</v>
      </c>
      <c r="X1879">
        <f>DataLog_T717420_Aug11_4_59_37pm[[#This Row],[OIL TEMP '[Â°C']]]-Table3[[#This Row],[4402]]</f>
        <v>0</v>
      </c>
      <c r="Y1879">
        <f>DataLog_T717420_Aug11_4_59_37pm[[#This Row],[INTAKE TEMP '[Â°C']]]-Table3[[#This Row],[580F]]</f>
        <v>0</v>
      </c>
      <c r="Z1879">
        <f>DataLog_T717420_Aug11_4_59_37pm[[#This Row],[HPFP PRES. '[BAR']]]-Table3[[#This Row],[58F0]]</f>
        <v>0</v>
      </c>
      <c r="AA1879">
        <f>DataLog_T717420_Aug11_4_59_37pm[[#This Row],[COOLANT TEMP '[Â°C']]]-Table3[[#This Row],[5805]]</f>
        <v>-1</v>
      </c>
      <c r="AB1879">
        <f>DataLog_T717420_Aug11_4_59_37pm[[#This Row],[BOOST '[BAR']]]-Table3[[#This Row],[58DD]]</f>
        <v>0</v>
      </c>
    </row>
    <row r="1880" spans="2:28" x14ac:dyDescent="0.25">
      <c r="B1880" s="2" t="s">
        <v>189</v>
      </c>
      <c r="C1880" s="2" t="s">
        <v>397</v>
      </c>
      <c r="D1880" s="2" t="s">
        <v>151</v>
      </c>
      <c r="E1880" s="2" t="s">
        <v>194</v>
      </c>
      <c r="F1880" s="2" t="s">
        <v>395</v>
      </c>
      <c r="G1880" s="2" t="s">
        <v>236</v>
      </c>
      <c r="I1880">
        <f>HEX2DEC(_0811_173439[[#This Row],[580C]])*B$4/B$5+B$6</f>
        <v>760</v>
      </c>
      <c r="J1880">
        <f>HEX2DEC(_0811_173439[[#This Row],[4402]])*C$4/C$5+C$6</f>
        <v>38</v>
      </c>
      <c r="K1880">
        <f>HEX2DEC(_0811_173439[[#This Row],[580F]])*D$4/D$5+D$6</f>
        <v>30</v>
      </c>
      <c r="L1880">
        <f>ROUND(HEX2DEC(_0811_173439[[#This Row],[58F0]])*E$4/E$5+E$6,0)</f>
        <v>70</v>
      </c>
      <c r="M1880">
        <f>ROUND(HEX2DEC(_0811_173439[[#This Row],[5805]])*F$4/F$5+F$6,0)</f>
        <v>47</v>
      </c>
      <c r="N1880">
        <f>ROUND(HEX2DEC(_0811_173439[[#This Row],[58DD]])*G$4/G$5+G$6,2)</f>
        <v>-0.03</v>
      </c>
      <c r="P1880">
        <v>760</v>
      </c>
      <c r="Q1880">
        <v>38</v>
      </c>
      <c r="R1880">
        <v>30</v>
      </c>
      <c r="S1880">
        <v>70</v>
      </c>
      <c r="T1880">
        <v>46</v>
      </c>
      <c r="U1880">
        <v>-0.03</v>
      </c>
      <c r="W1880">
        <f>DataLog_T717420_Aug11_4_59_37pm[[#This Row],[RPM '[1/MIN']]]-Table3[[#This Row],[580C]]</f>
        <v>0</v>
      </c>
      <c r="X1880">
        <f>DataLog_T717420_Aug11_4_59_37pm[[#This Row],[OIL TEMP '[Â°C']]]-Table3[[#This Row],[4402]]</f>
        <v>0</v>
      </c>
      <c r="Y1880">
        <f>DataLog_T717420_Aug11_4_59_37pm[[#This Row],[INTAKE TEMP '[Â°C']]]-Table3[[#This Row],[580F]]</f>
        <v>0</v>
      </c>
      <c r="Z1880">
        <f>DataLog_T717420_Aug11_4_59_37pm[[#This Row],[HPFP PRES. '[BAR']]]-Table3[[#This Row],[58F0]]</f>
        <v>0</v>
      </c>
      <c r="AA1880">
        <f>DataLog_T717420_Aug11_4_59_37pm[[#This Row],[COOLANT TEMP '[Â°C']]]-Table3[[#This Row],[5805]]</f>
        <v>-1</v>
      </c>
      <c r="AB1880">
        <f>DataLog_T717420_Aug11_4_59_37pm[[#This Row],[BOOST '[BAR']]]-Table3[[#This Row],[58DD]]</f>
        <v>0</v>
      </c>
    </row>
    <row r="1881" spans="2:28" x14ac:dyDescent="0.25">
      <c r="B1881" s="2" t="s">
        <v>189</v>
      </c>
      <c r="C1881" s="2" t="s">
        <v>397</v>
      </c>
      <c r="D1881" s="2" t="s">
        <v>151</v>
      </c>
      <c r="E1881" s="2" t="s">
        <v>93</v>
      </c>
      <c r="F1881" s="2" t="s">
        <v>395</v>
      </c>
      <c r="G1881" s="2" t="s">
        <v>27</v>
      </c>
      <c r="I1881">
        <f>HEX2DEC(_0811_173439[[#This Row],[580C]])*B$4/B$5+B$6</f>
        <v>760</v>
      </c>
      <c r="J1881">
        <f>HEX2DEC(_0811_173439[[#This Row],[4402]])*C$4/C$5+C$6</f>
        <v>38</v>
      </c>
      <c r="K1881">
        <f>HEX2DEC(_0811_173439[[#This Row],[580F]])*D$4/D$5+D$6</f>
        <v>30</v>
      </c>
      <c r="L1881">
        <f>ROUND(HEX2DEC(_0811_173439[[#This Row],[58F0]])*E$4/E$5+E$6,0)</f>
        <v>70</v>
      </c>
      <c r="M1881">
        <f>ROUND(HEX2DEC(_0811_173439[[#This Row],[5805]])*F$4/F$5+F$6,0)</f>
        <v>47</v>
      </c>
      <c r="N1881">
        <f>ROUND(HEX2DEC(_0811_173439[[#This Row],[58DD]])*G$4/G$5+G$6,2)</f>
        <v>-0.03</v>
      </c>
      <c r="P1881">
        <v>760</v>
      </c>
      <c r="Q1881">
        <v>38</v>
      </c>
      <c r="R1881">
        <v>30</v>
      </c>
      <c r="S1881">
        <v>70</v>
      </c>
      <c r="T1881">
        <v>46</v>
      </c>
      <c r="U1881">
        <v>-0.03</v>
      </c>
      <c r="W1881">
        <f>DataLog_T717420_Aug11_4_59_37pm[[#This Row],[RPM '[1/MIN']]]-Table3[[#This Row],[580C]]</f>
        <v>0</v>
      </c>
      <c r="X1881">
        <f>DataLog_T717420_Aug11_4_59_37pm[[#This Row],[OIL TEMP '[Â°C']]]-Table3[[#This Row],[4402]]</f>
        <v>0</v>
      </c>
      <c r="Y1881">
        <f>DataLog_T717420_Aug11_4_59_37pm[[#This Row],[INTAKE TEMP '[Â°C']]]-Table3[[#This Row],[580F]]</f>
        <v>0</v>
      </c>
      <c r="Z1881">
        <f>DataLog_T717420_Aug11_4_59_37pm[[#This Row],[HPFP PRES. '[BAR']]]-Table3[[#This Row],[58F0]]</f>
        <v>0</v>
      </c>
      <c r="AA1881">
        <f>DataLog_T717420_Aug11_4_59_37pm[[#This Row],[COOLANT TEMP '[Â°C']]]-Table3[[#This Row],[5805]]</f>
        <v>-1</v>
      </c>
      <c r="AB1881">
        <f>DataLog_T717420_Aug11_4_59_37pm[[#This Row],[BOOST '[BAR']]]-Table3[[#This Row],[58DD]]</f>
        <v>0</v>
      </c>
    </row>
    <row r="1882" spans="2:28" x14ac:dyDescent="0.25">
      <c r="B1882" s="2" t="s">
        <v>189</v>
      </c>
      <c r="C1882" s="2" t="s">
        <v>397</v>
      </c>
      <c r="D1882" s="2" t="s">
        <v>151</v>
      </c>
      <c r="E1882" s="2" t="s">
        <v>93</v>
      </c>
      <c r="F1882" s="2" t="s">
        <v>395</v>
      </c>
      <c r="G1882" s="2" t="s">
        <v>28</v>
      </c>
      <c r="I1882">
        <f>HEX2DEC(_0811_173439[[#This Row],[580C]])*B$4/B$5+B$6</f>
        <v>760</v>
      </c>
      <c r="J1882">
        <f>HEX2DEC(_0811_173439[[#This Row],[4402]])*C$4/C$5+C$6</f>
        <v>38</v>
      </c>
      <c r="K1882">
        <f>HEX2DEC(_0811_173439[[#This Row],[580F]])*D$4/D$5+D$6</f>
        <v>30</v>
      </c>
      <c r="L1882">
        <f>ROUND(HEX2DEC(_0811_173439[[#This Row],[58F0]])*E$4/E$5+E$6,0)</f>
        <v>70</v>
      </c>
      <c r="M1882">
        <f>ROUND(HEX2DEC(_0811_173439[[#This Row],[5805]])*F$4/F$5+F$6,0)</f>
        <v>47</v>
      </c>
      <c r="N1882">
        <f>ROUND(HEX2DEC(_0811_173439[[#This Row],[58DD]])*G$4/G$5+G$6,2)</f>
        <v>-0.02</v>
      </c>
      <c r="P1882">
        <v>760</v>
      </c>
      <c r="Q1882">
        <v>38</v>
      </c>
      <c r="R1882">
        <v>30</v>
      </c>
      <c r="S1882">
        <v>70</v>
      </c>
      <c r="T1882">
        <v>46</v>
      </c>
      <c r="U1882">
        <v>-0.02</v>
      </c>
      <c r="W1882">
        <f>DataLog_T717420_Aug11_4_59_37pm[[#This Row],[RPM '[1/MIN']]]-Table3[[#This Row],[580C]]</f>
        <v>0</v>
      </c>
      <c r="X1882">
        <f>DataLog_T717420_Aug11_4_59_37pm[[#This Row],[OIL TEMP '[Â°C']]]-Table3[[#This Row],[4402]]</f>
        <v>0</v>
      </c>
      <c r="Y1882">
        <f>DataLog_T717420_Aug11_4_59_37pm[[#This Row],[INTAKE TEMP '[Â°C']]]-Table3[[#This Row],[580F]]</f>
        <v>0</v>
      </c>
      <c r="Z1882">
        <f>DataLog_T717420_Aug11_4_59_37pm[[#This Row],[HPFP PRES. '[BAR']]]-Table3[[#This Row],[58F0]]</f>
        <v>0</v>
      </c>
      <c r="AA1882">
        <f>DataLog_T717420_Aug11_4_59_37pm[[#This Row],[COOLANT TEMP '[Â°C']]]-Table3[[#This Row],[5805]]</f>
        <v>-1</v>
      </c>
      <c r="AB1882">
        <f>DataLog_T717420_Aug11_4_59_37pm[[#This Row],[BOOST '[BAR']]]-Table3[[#This Row],[58DD]]</f>
        <v>0</v>
      </c>
    </row>
    <row r="1883" spans="2:28" x14ac:dyDescent="0.25">
      <c r="B1883" s="2" t="s">
        <v>400</v>
      </c>
      <c r="C1883" s="2" t="s">
        <v>397</v>
      </c>
      <c r="D1883" s="2" t="s">
        <v>151</v>
      </c>
      <c r="E1883" s="2" t="s">
        <v>93</v>
      </c>
      <c r="F1883" s="2" t="s">
        <v>395</v>
      </c>
      <c r="G1883" s="2" t="s">
        <v>28</v>
      </c>
      <c r="I1883">
        <f>HEX2DEC(_0811_173439[[#This Row],[580C]])*B$4/B$5+B$6</f>
        <v>720</v>
      </c>
      <c r="J1883">
        <f>HEX2DEC(_0811_173439[[#This Row],[4402]])*C$4/C$5+C$6</f>
        <v>38</v>
      </c>
      <c r="K1883">
        <f>HEX2DEC(_0811_173439[[#This Row],[580F]])*D$4/D$5+D$6</f>
        <v>30</v>
      </c>
      <c r="L1883">
        <f>ROUND(HEX2DEC(_0811_173439[[#This Row],[58F0]])*E$4/E$5+E$6,0)</f>
        <v>70</v>
      </c>
      <c r="M1883">
        <f>ROUND(HEX2DEC(_0811_173439[[#This Row],[5805]])*F$4/F$5+F$6,0)</f>
        <v>47</v>
      </c>
      <c r="N1883">
        <f>ROUND(HEX2DEC(_0811_173439[[#This Row],[58DD]])*G$4/G$5+G$6,2)</f>
        <v>-0.02</v>
      </c>
      <c r="P1883">
        <v>720</v>
      </c>
      <c r="Q1883">
        <v>38</v>
      </c>
      <c r="R1883">
        <v>30</v>
      </c>
      <c r="S1883">
        <v>70</v>
      </c>
      <c r="T1883">
        <v>46</v>
      </c>
      <c r="U1883">
        <v>-0.02</v>
      </c>
      <c r="W1883">
        <f>DataLog_T717420_Aug11_4_59_37pm[[#This Row],[RPM '[1/MIN']]]-Table3[[#This Row],[580C]]</f>
        <v>0</v>
      </c>
      <c r="X1883">
        <f>DataLog_T717420_Aug11_4_59_37pm[[#This Row],[OIL TEMP '[Â°C']]]-Table3[[#This Row],[4402]]</f>
        <v>0</v>
      </c>
      <c r="Y1883">
        <f>DataLog_T717420_Aug11_4_59_37pm[[#This Row],[INTAKE TEMP '[Â°C']]]-Table3[[#This Row],[580F]]</f>
        <v>0</v>
      </c>
      <c r="Z1883">
        <f>DataLog_T717420_Aug11_4_59_37pm[[#This Row],[HPFP PRES. '[BAR']]]-Table3[[#This Row],[58F0]]</f>
        <v>0</v>
      </c>
      <c r="AA1883">
        <f>DataLog_T717420_Aug11_4_59_37pm[[#This Row],[COOLANT TEMP '[Â°C']]]-Table3[[#This Row],[5805]]</f>
        <v>-1</v>
      </c>
      <c r="AB1883">
        <f>DataLog_T717420_Aug11_4_59_37pm[[#This Row],[BOOST '[BAR']]]-Table3[[#This Row],[58DD]]</f>
        <v>0</v>
      </c>
    </row>
    <row r="1884" spans="2:28" x14ac:dyDescent="0.25">
      <c r="B1884" s="2" t="s">
        <v>401</v>
      </c>
      <c r="C1884" s="2" t="s">
        <v>397</v>
      </c>
      <c r="D1884" s="2" t="s">
        <v>151</v>
      </c>
      <c r="E1884" s="2" t="s">
        <v>93</v>
      </c>
      <c r="F1884" s="2" t="s">
        <v>395</v>
      </c>
      <c r="G1884" s="2" t="s">
        <v>28</v>
      </c>
      <c r="I1884">
        <f>HEX2DEC(_0811_173439[[#This Row],[580C]])*B$4/B$5+B$6</f>
        <v>600</v>
      </c>
      <c r="J1884">
        <f>HEX2DEC(_0811_173439[[#This Row],[4402]])*C$4/C$5+C$6</f>
        <v>38</v>
      </c>
      <c r="K1884">
        <f>HEX2DEC(_0811_173439[[#This Row],[580F]])*D$4/D$5+D$6</f>
        <v>30</v>
      </c>
      <c r="L1884">
        <f>ROUND(HEX2DEC(_0811_173439[[#This Row],[58F0]])*E$4/E$5+E$6,0)</f>
        <v>70</v>
      </c>
      <c r="M1884">
        <f>ROUND(HEX2DEC(_0811_173439[[#This Row],[5805]])*F$4/F$5+F$6,0)</f>
        <v>47</v>
      </c>
      <c r="N1884">
        <f>ROUND(HEX2DEC(_0811_173439[[#This Row],[58DD]])*G$4/G$5+G$6,2)</f>
        <v>-0.02</v>
      </c>
      <c r="P1884">
        <v>600</v>
      </c>
      <c r="Q1884">
        <v>38</v>
      </c>
      <c r="R1884">
        <v>30</v>
      </c>
      <c r="S1884">
        <v>70</v>
      </c>
      <c r="T1884">
        <v>46</v>
      </c>
      <c r="U1884">
        <v>-0.02</v>
      </c>
      <c r="W1884">
        <f>DataLog_T717420_Aug11_4_59_37pm[[#This Row],[RPM '[1/MIN']]]-Table3[[#This Row],[580C]]</f>
        <v>0</v>
      </c>
      <c r="X1884">
        <f>DataLog_T717420_Aug11_4_59_37pm[[#This Row],[OIL TEMP '[Â°C']]]-Table3[[#This Row],[4402]]</f>
        <v>0</v>
      </c>
      <c r="Y1884">
        <f>DataLog_T717420_Aug11_4_59_37pm[[#This Row],[INTAKE TEMP '[Â°C']]]-Table3[[#This Row],[580F]]</f>
        <v>0</v>
      </c>
      <c r="Z1884">
        <f>DataLog_T717420_Aug11_4_59_37pm[[#This Row],[HPFP PRES. '[BAR']]]-Table3[[#This Row],[58F0]]</f>
        <v>0</v>
      </c>
      <c r="AA1884">
        <f>DataLog_T717420_Aug11_4_59_37pm[[#This Row],[COOLANT TEMP '[Â°C']]]-Table3[[#This Row],[5805]]</f>
        <v>-1</v>
      </c>
      <c r="AB1884">
        <f>DataLog_T717420_Aug11_4_59_37pm[[#This Row],[BOOST '[BAR']]]-Table3[[#This Row],[58DD]]</f>
        <v>0</v>
      </c>
    </row>
    <row r="1885" spans="2:28" x14ac:dyDescent="0.25">
      <c r="B1885" s="2" t="s">
        <v>402</v>
      </c>
      <c r="C1885" s="2" t="s">
        <v>397</v>
      </c>
      <c r="D1885" s="2" t="s">
        <v>151</v>
      </c>
      <c r="E1885" s="2" t="s">
        <v>93</v>
      </c>
      <c r="F1885" s="2" t="s">
        <v>395</v>
      </c>
      <c r="G1885" s="2" t="s">
        <v>27</v>
      </c>
      <c r="I1885">
        <f>HEX2DEC(_0811_173439[[#This Row],[580C]])*B$4/B$5+B$6</f>
        <v>560</v>
      </c>
      <c r="J1885">
        <f>HEX2DEC(_0811_173439[[#This Row],[4402]])*C$4/C$5+C$6</f>
        <v>38</v>
      </c>
      <c r="K1885">
        <f>HEX2DEC(_0811_173439[[#This Row],[580F]])*D$4/D$5+D$6</f>
        <v>30</v>
      </c>
      <c r="L1885">
        <f>ROUND(HEX2DEC(_0811_173439[[#This Row],[58F0]])*E$4/E$5+E$6,0)</f>
        <v>70</v>
      </c>
      <c r="M1885">
        <f>ROUND(HEX2DEC(_0811_173439[[#This Row],[5805]])*F$4/F$5+F$6,0)</f>
        <v>47</v>
      </c>
      <c r="N1885">
        <f>ROUND(HEX2DEC(_0811_173439[[#This Row],[58DD]])*G$4/G$5+G$6,2)</f>
        <v>-0.03</v>
      </c>
      <c r="P1885">
        <v>560</v>
      </c>
      <c r="Q1885">
        <v>38</v>
      </c>
      <c r="R1885">
        <v>30</v>
      </c>
      <c r="S1885">
        <v>70</v>
      </c>
      <c r="T1885">
        <v>46</v>
      </c>
      <c r="U1885">
        <v>-0.03</v>
      </c>
      <c r="W1885">
        <f>DataLog_T717420_Aug11_4_59_37pm[[#This Row],[RPM '[1/MIN']]]-Table3[[#This Row],[580C]]</f>
        <v>0</v>
      </c>
      <c r="X1885">
        <f>DataLog_T717420_Aug11_4_59_37pm[[#This Row],[OIL TEMP '[Â°C']]]-Table3[[#This Row],[4402]]</f>
        <v>0</v>
      </c>
      <c r="Y1885">
        <f>DataLog_T717420_Aug11_4_59_37pm[[#This Row],[INTAKE TEMP '[Â°C']]]-Table3[[#This Row],[580F]]</f>
        <v>0</v>
      </c>
      <c r="Z1885">
        <f>DataLog_T717420_Aug11_4_59_37pm[[#This Row],[HPFP PRES. '[BAR']]]-Table3[[#This Row],[58F0]]</f>
        <v>0</v>
      </c>
      <c r="AA1885">
        <f>DataLog_T717420_Aug11_4_59_37pm[[#This Row],[COOLANT TEMP '[Â°C']]]-Table3[[#This Row],[5805]]</f>
        <v>-1</v>
      </c>
      <c r="AB1885">
        <f>DataLog_T717420_Aug11_4_59_37pm[[#This Row],[BOOST '[BAR']]]-Table3[[#This Row],[58DD]]</f>
        <v>0</v>
      </c>
    </row>
    <row r="1886" spans="2:28" x14ac:dyDescent="0.25">
      <c r="B1886" s="2" t="s">
        <v>63</v>
      </c>
      <c r="C1886" s="2" t="s">
        <v>397</v>
      </c>
      <c r="D1886" s="2" t="s">
        <v>151</v>
      </c>
      <c r="E1886" s="2" t="s">
        <v>122</v>
      </c>
      <c r="F1886" s="2" t="s">
        <v>395</v>
      </c>
      <c r="G1886" s="2" t="s">
        <v>27</v>
      </c>
      <c r="I1886">
        <f>HEX2DEC(_0811_173439[[#This Row],[580C]])*B$4/B$5+B$6</f>
        <v>520</v>
      </c>
      <c r="J1886">
        <f>HEX2DEC(_0811_173439[[#This Row],[4402]])*C$4/C$5+C$6</f>
        <v>38</v>
      </c>
      <c r="K1886">
        <f>HEX2DEC(_0811_173439[[#This Row],[580F]])*D$4/D$5+D$6</f>
        <v>30</v>
      </c>
      <c r="L1886">
        <f>ROUND(HEX2DEC(_0811_173439[[#This Row],[58F0]])*E$4/E$5+E$6,0)</f>
        <v>71</v>
      </c>
      <c r="M1886">
        <f>ROUND(HEX2DEC(_0811_173439[[#This Row],[5805]])*F$4/F$5+F$6,0)</f>
        <v>47</v>
      </c>
      <c r="N1886">
        <f>ROUND(HEX2DEC(_0811_173439[[#This Row],[58DD]])*G$4/G$5+G$6,2)</f>
        <v>-0.03</v>
      </c>
      <c r="P1886">
        <v>520</v>
      </c>
      <c r="Q1886">
        <v>38</v>
      </c>
      <c r="R1886">
        <v>30</v>
      </c>
      <c r="S1886">
        <v>71</v>
      </c>
      <c r="T1886">
        <v>46</v>
      </c>
      <c r="U1886">
        <v>-0.03</v>
      </c>
      <c r="W1886">
        <f>DataLog_T717420_Aug11_4_59_37pm[[#This Row],[RPM '[1/MIN']]]-Table3[[#This Row],[580C]]</f>
        <v>0</v>
      </c>
      <c r="X1886">
        <f>DataLog_T717420_Aug11_4_59_37pm[[#This Row],[OIL TEMP '[Â°C']]]-Table3[[#This Row],[4402]]</f>
        <v>0</v>
      </c>
      <c r="Y1886">
        <f>DataLog_T717420_Aug11_4_59_37pm[[#This Row],[INTAKE TEMP '[Â°C']]]-Table3[[#This Row],[580F]]</f>
        <v>0</v>
      </c>
      <c r="Z1886">
        <f>DataLog_T717420_Aug11_4_59_37pm[[#This Row],[HPFP PRES. '[BAR']]]-Table3[[#This Row],[58F0]]</f>
        <v>0</v>
      </c>
      <c r="AA1886">
        <f>DataLog_T717420_Aug11_4_59_37pm[[#This Row],[COOLANT TEMP '[Â°C']]]-Table3[[#This Row],[5805]]</f>
        <v>-1</v>
      </c>
      <c r="AB1886">
        <f>DataLog_T717420_Aug11_4_59_37pm[[#This Row],[BOOST '[BAR']]]-Table3[[#This Row],[58DD]]</f>
        <v>0</v>
      </c>
    </row>
    <row r="1887" spans="2:28" x14ac:dyDescent="0.25">
      <c r="B1887" s="2" t="s">
        <v>403</v>
      </c>
      <c r="C1887" s="2" t="s">
        <v>397</v>
      </c>
      <c r="D1887" s="2" t="s">
        <v>151</v>
      </c>
      <c r="E1887" s="2" t="s">
        <v>122</v>
      </c>
      <c r="F1887" s="2" t="s">
        <v>395</v>
      </c>
      <c r="G1887" s="2" t="s">
        <v>27</v>
      </c>
      <c r="I1887">
        <f>HEX2DEC(_0811_173439[[#This Row],[580C]])*B$4/B$5+B$6</f>
        <v>440</v>
      </c>
      <c r="J1887">
        <f>HEX2DEC(_0811_173439[[#This Row],[4402]])*C$4/C$5+C$6</f>
        <v>38</v>
      </c>
      <c r="K1887">
        <f>HEX2DEC(_0811_173439[[#This Row],[580F]])*D$4/D$5+D$6</f>
        <v>30</v>
      </c>
      <c r="L1887">
        <f>ROUND(HEX2DEC(_0811_173439[[#This Row],[58F0]])*E$4/E$5+E$6,0)</f>
        <v>71</v>
      </c>
      <c r="M1887">
        <f>ROUND(HEX2DEC(_0811_173439[[#This Row],[5805]])*F$4/F$5+F$6,0)</f>
        <v>47</v>
      </c>
      <c r="N1887">
        <f>ROUND(HEX2DEC(_0811_173439[[#This Row],[58DD]])*G$4/G$5+G$6,2)</f>
        <v>-0.03</v>
      </c>
      <c r="P1887">
        <v>440</v>
      </c>
      <c r="Q1887">
        <v>38</v>
      </c>
      <c r="R1887">
        <v>30</v>
      </c>
      <c r="S1887">
        <v>71</v>
      </c>
      <c r="T1887">
        <v>46</v>
      </c>
      <c r="U1887">
        <v>-0.03</v>
      </c>
      <c r="W1887">
        <f>DataLog_T717420_Aug11_4_59_37pm[[#This Row],[RPM '[1/MIN']]]-Table3[[#This Row],[580C]]</f>
        <v>0</v>
      </c>
      <c r="X1887">
        <f>DataLog_T717420_Aug11_4_59_37pm[[#This Row],[OIL TEMP '[Â°C']]]-Table3[[#This Row],[4402]]</f>
        <v>0</v>
      </c>
      <c r="Y1887">
        <f>DataLog_T717420_Aug11_4_59_37pm[[#This Row],[INTAKE TEMP '[Â°C']]]-Table3[[#This Row],[580F]]</f>
        <v>0</v>
      </c>
      <c r="Z1887">
        <f>DataLog_T717420_Aug11_4_59_37pm[[#This Row],[HPFP PRES. '[BAR']]]-Table3[[#This Row],[58F0]]</f>
        <v>0</v>
      </c>
      <c r="AA1887">
        <f>DataLog_T717420_Aug11_4_59_37pm[[#This Row],[COOLANT TEMP '[Â°C']]]-Table3[[#This Row],[5805]]</f>
        <v>-1</v>
      </c>
      <c r="AB1887">
        <f>DataLog_T717420_Aug11_4_59_37pm[[#This Row],[BOOST '[BAR']]]-Table3[[#This Row],[58DD]]</f>
        <v>0</v>
      </c>
    </row>
    <row r="1888" spans="2:28" x14ac:dyDescent="0.25">
      <c r="B1888" s="2" t="s">
        <v>404</v>
      </c>
      <c r="C1888" s="2" t="s">
        <v>397</v>
      </c>
      <c r="D1888" s="2" t="s">
        <v>151</v>
      </c>
      <c r="E1888" s="2" t="s">
        <v>122</v>
      </c>
      <c r="F1888" s="2" t="s">
        <v>395</v>
      </c>
      <c r="G1888" s="2" t="s">
        <v>28</v>
      </c>
      <c r="I1888">
        <f>HEX2DEC(_0811_173439[[#This Row],[580C]])*B$4/B$5+B$6</f>
        <v>400</v>
      </c>
      <c r="J1888">
        <f>HEX2DEC(_0811_173439[[#This Row],[4402]])*C$4/C$5+C$6</f>
        <v>38</v>
      </c>
      <c r="K1888">
        <f>HEX2DEC(_0811_173439[[#This Row],[580F]])*D$4/D$5+D$6</f>
        <v>30</v>
      </c>
      <c r="L1888">
        <f>ROUND(HEX2DEC(_0811_173439[[#This Row],[58F0]])*E$4/E$5+E$6,0)</f>
        <v>71</v>
      </c>
      <c r="M1888">
        <f>ROUND(HEX2DEC(_0811_173439[[#This Row],[5805]])*F$4/F$5+F$6,0)</f>
        <v>47</v>
      </c>
      <c r="N1888">
        <f>ROUND(HEX2DEC(_0811_173439[[#This Row],[58DD]])*G$4/G$5+G$6,2)</f>
        <v>-0.02</v>
      </c>
      <c r="P1888">
        <v>400</v>
      </c>
      <c r="Q1888">
        <v>38</v>
      </c>
      <c r="R1888">
        <v>30</v>
      </c>
      <c r="S1888">
        <v>71</v>
      </c>
      <c r="T1888">
        <v>46</v>
      </c>
      <c r="U1888">
        <v>-0.02</v>
      </c>
      <c r="W1888">
        <f>DataLog_T717420_Aug11_4_59_37pm[[#This Row],[RPM '[1/MIN']]]-Table3[[#This Row],[580C]]</f>
        <v>0</v>
      </c>
      <c r="X1888">
        <f>DataLog_T717420_Aug11_4_59_37pm[[#This Row],[OIL TEMP '[Â°C']]]-Table3[[#This Row],[4402]]</f>
        <v>0</v>
      </c>
      <c r="Y1888">
        <f>DataLog_T717420_Aug11_4_59_37pm[[#This Row],[INTAKE TEMP '[Â°C']]]-Table3[[#This Row],[580F]]</f>
        <v>0</v>
      </c>
      <c r="Z1888">
        <f>DataLog_T717420_Aug11_4_59_37pm[[#This Row],[HPFP PRES. '[BAR']]]-Table3[[#This Row],[58F0]]</f>
        <v>0</v>
      </c>
      <c r="AA1888">
        <f>DataLog_T717420_Aug11_4_59_37pm[[#This Row],[COOLANT TEMP '[Â°C']]]-Table3[[#This Row],[5805]]</f>
        <v>-1</v>
      </c>
      <c r="AB1888">
        <f>DataLog_T717420_Aug11_4_59_37pm[[#This Row],[BOOST '[BAR']]]-Table3[[#This Row],[58DD]]</f>
        <v>0</v>
      </c>
    </row>
    <row r="1889" spans="2:28" x14ac:dyDescent="0.25">
      <c r="B1889" s="2" t="s">
        <v>405</v>
      </c>
      <c r="C1889" s="2" t="s">
        <v>397</v>
      </c>
      <c r="D1889" s="2" t="s">
        <v>151</v>
      </c>
      <c r="E1889" s="2" t="s">
        <v>122</v>
      </c>
      <c r="F1889" s="2" t="s">
        <v>395</v>
      </c>
      <c r="G1889" s="2" t="s">
        <v>27</v>
      </c>
      <c r="I1889">
        <f>HEX2DEC(_0811_173439[[#This Row],[580C]])*B$4/B$5+B$6</f>
        <v>360</v>
      </c>
      <c r="J1889">
        <f>HEX2DEC(_0811_173439[[#This Row],[4402]])*C$4/C$5+C$6</f>
        <v>38</v>
      </c>
      <c r="K1889">
        <f>HEX2DEC(_0811_173439[[#This Row],[580F]])*D$4/D$5+D$6</f>
        <v>30</v>
      </c>
      <c r="L1889">
        <f>ROUND(HEX2DEC(_0811_173439[[#This Row],[58F0]])*E$4/E$5+E$6,0)</f>
        <v>71</v>
      </c>
      <c r="M1889">
        <f>ROUND(HEX2DEC(_0811_173439[[#This Row],[5805]])*F$4/F$5+F$6,0)</f>
        <v>47</v>
      </c>
      <c r="N1889">
        <f>ROUND(HEX2DEC(_0811_173439[[#This Row],[58DD]])*G$4/G$5+G$6,2)</f>
        <v>-0.03</v>
      </c>
      <c r="P1889">
        <v>360</v>
      </c>
      <c r="Q1889">
        <v>38</v>
      </c>
      <c r="R1889">
        <v>30</v>
      </c>
      <c r="S1889">
        <v>71</v>
      </c>
      <c r="T1889">
        <v>46</v>
      </c>
      <c r="U1889">
        <v>-0.03</v>
      </c>
      <c r="W1889">
        <f>DataLog_T717420_Aug11_4_59_37pm[[#This Row],[RPM '[1/MIN']]]-Table3[[#This Row],[580C]]</f>
        <v>0</v>
      </c>
      <c r="X1889">
        <f>DataLog_T717420_Aug11_4_59_37pm[[#This Row],[OIL TEMP '[Â°C']]]-Table3[[#This Row],[4402]]</f>
        <v>0</v>
      </c>
      <c r="Y1889">
        <f>DataLog_T717420_Aug11_4_59_37pm[[#This Row],[INTAKE TEMP '[Â°C']]]-Table3[[#This Row],[580F]]</f>
        <v>0</v>
      </c>
      <c r="Z1889">
        <f>DataLog_T717420_Aug11_4_59_37pm[[#This Row],[HPFP PRES. '[BAR']]]-Table3[[#This Row],[58F0]]</f>
        <v>0</v>
      </c>
      <c r="AA1889">
        <f>DataLog_T717420_Aug11_4_59_37pm[[#This Row],[COOLANT TEMP '[Â°C']]]-Table3[[#This Row],[5805]]</f>
        <v>-1</v>
      </c>
      <c r="AB1889">
        <f>DataLog_T717420_Aug11_4_59_37pm[[#This Row],[BOOST '[BAR']]]-Table3[[#This Row],[58DD]]</f>
        <v>0</v>
      </c>
    </row>
    <row r="1890" spans="2:28" x14ac:dyDescent="0.25">
      <c r="B1890" s="2" t="s">
        <v>405</v>
      </c>
      <c r="C1890" s="2" t="s">
        <v>397</v>
      </c>
      <c r="D1890" s="2" t="s">
        <v>151</v>
      </c>
      <c r="E1890" s="2" t="s">
        <v>122</v>
      </c>
      <c r="F1890" s="2" t="s">
        <v>395</v>
      </c>
      <c r="G1890" s="2" t="s">
        <v>28</v>
      </c>
      <c r="I1890">
        <f>HEX2DEC(_0811_173439[[#This Row],[580C]])*B$4/B$5+B$6</f>
        <v>360</v>
      </c>
      <c r="J1890">
        <f>HEX2DEC(_0811_173439[[#This Row],[4402]])*C$4/C$5+C$6</f>
        <v>38</v>
      </c>
      <c r="K1890">
        <f>HEX2DEC(_0811_173439[[#This Row],[580F]])*D$4/D$5+D$6</f>
        <v>30</v>
      </c>
      <c r="L1890">
        <f>ROUND(HEX2DEC(_0811_173439[[#This Row],[58F0]])*E$4/E$5+E$6,0)</f>
        <v>71</v>
      </c>
      <c r="M1890">
        <f>ROUND(HEX2DEC(_0811_173439[[#This Row],[5805]])*F$4/F$5+F$6,0)</f>
        <v>47</v>
      </c>
      <c r="N1890">
        <f>ROUND(HEX2DEC(_0811_173439[[#This Row],[58DD]])*G$4/G$5+G$6,2)</f>
        <v>-0.02</v>
      </c>
      <c r="P1890">
        <v>360</v>
      </c>
      <c r="Q1890">
        <v>38</v>
      </c>
      <c r="R1890">
        <v>30</v>
      </c>
      <c r="S1890">
        <v>71</v>
      </c>
      <c r="T1890">
        <v>46</v>
      </c>
      <c r="U1890">
        <v>-0.02</v>
      </c>
      <c r="W1890">
        <f>DataLog_T717420_Aug11_4_59_37pm[[#This Row],[RPM '[1/MIN']]]-Table3[[#This Row],[580C]]</f>
        <v>0</v>
      </c>
      <c r="X1890">
        <f>DataLog_T717420_Aug11_4_59_37pm[[#This Row],[OIL TEMP '[Â°C']]]-Table3[[#This Row],[4402]]</f>
        <v>0</v>
      </c>
      <c r="Y1890">
        <f>DataLog_T717420_Aug11_4_59_37pm[[#This Row],[INTAKE TEMP '[Â°C']]]-Table3[[#This Row],[580F]]</f>
        <v>0</v>
      </c>
      <c r="Z1890">
        <f>DataLog_T717420_Aug11_4_59_37pm[[#This Row],[HPFP PRES. '[BAR']]]-Table3[[#This Row],[58F0]]</f>
        <v>0</v>
      </c>
      <c r="AA1890">
        <f>DataLog_T717420_Aug11_4_59_37pm[[#This Row],[COOLANT TEMP '[Â°C']]]-Table3[[#This Row],[5805]]</f>
        <v>-1</v>
      </c>
      <c r="AB1890">
        <f>DataLog_T717420_Aug11_4_59_37pm[[#This Row],[BOOST '[BAR']]]-Table3[[#This Row],[58DD]]</f>
        <v>0</v>
      </c>
    </row>
    <row r="1891" spans="2:28" x14ac:dyDescent="0.25">
      <c r="B1891" s="2" t="s">
        <v>406</v>
      </c>
      <c r="C1891" s="2" t="s">
        <v>397</v>
      </c>
      <c r="D1891" s="2" t="s">
        <v>151</v>
      </c>
      <c r="E1891" s="2" t="s">
        <v>122</v>
      </c>
      <c r="F1891" s="2" t="s">
        <v>395</v>
      </c>
      <c r="G1891" s="2" t="s">
        <v>28</v>
      </c>
      <c r="I1891">
        <f>HEX2DEC(_0811_173439[[#This Row],[580C]])*B$4/B$5+B$6</f>
        <v>320</v>
      </c>
      <c r="J1891">
        <f>HEX2DEC(_0811_173439[[#This Row],[4402]])*C$4/C$5+C$6</f>
        <v>38</v>
      </c>
      <c r="K1891">
        <f>HEX2DEC(_0811_173439[[#This Row],[580F]])*D$4/D$5+D$6</f>
        <v>30</v>
      </c>
      <c r="L1891">
        <f>ROUND(HEX2DEC(_0811_173439[[#This Row],[58F0]])*E$4/E$5+E$6,0)</f>
        <v>71</v>
      </c>
      <c r="M1891">
        <f>ROUND(HEX2DEC(_0811_173439[[#This Row],[5805]])*F$4/F$5+F$6,0)</f>
        <v>47</v>
      </c>
      <c r="N1891">
        <f>ROUND(HEX2DEC(_0811_173439[[#This Row],[58DD]])*G$4/G$5+G$6,2)</f>
        <v>-0.02</v>
      </c>
      <c r="P1891">
        <v>320</v>
      </c>
      <c r="Q1891">
        <v>38</v>
      </c>
      <c r="R1891">
        <v>30</v>
      </c>
      <c r="S1891">
        <v>71</v>
      </c>
      <c r="T1891">
        <v>46</v>
      </c>
      <c r="U1891">
        <v>-0.02</v>
      </c>
      <c r="W1891">
        <f>DataLog_T717420_Aug11_4_59_37pm[[#This Row],[RPM '[1/MIN']]]-Table3[[#This Row],[580C]]</f>
        <v>0</v>
      </c>
      <c r="X1891">
        <f>DataLog_T717420_Aug11_4_59_37pm[[#This Row],[OIL TEMP '[Â°C']]]-Table3[[#This Row],[4402]]</f>
        <v>0</v>
      </c>
      <c r="Y1891">
        <f>DataLog_T717420_Aug11_4_59_37pm[[#This Row],[INTAKE TEMP '[Â°C']]]-Table3[[#This Row],[580F]]</f>
        <v>0</v>
      </c>
      <c r="Z1891">
        <f>DataLog_T717420_Aug11_4_59_37pm[[#This Row],[HPFP PRES. '[BAR']]]-Table3[[#This Row],[58F0]]</f>
        <v>0</v>
      </c>
      <c r="AA1891">
        <f>DataLog_T717420_Aug11_4_59_37pm[[#This Row],[COOLANT TEMP '[Â°C']]]-Table3[[#This Row],[5805]]</f>
        <v>-1</v>
      </c>
      <c r="AB1891">
        <f>DataLog_T717420_Aug11_4_59_37pm[[#This Row],[BOOST '[BAR']]]-Table3[[#This Row],[58DD]]</f>
        <v>0</v>
      </c>
    </row>
    <row r="1892" spans="2:28" x14ac:dyDescent="0.25">
      <c r="B1892" s="2" t="s">
        <v>61</v>
      </c>
      <c r="C1892" s="2" t="s">
        <v>397</v>
      </c>
      <c r="D1892" s="2" t="s">
        <v>151</v>
      </c>
      <c r="E1892" s="2" t="s">
        <v>122</v>
      </c>
      <c r="F1892" s="2" t="s">
        <v>395</v>
      </c>
      <c r="G1892" s="2" t="s">
        <v>27</v>
      </c>
      <c r="I1892">
        <f>HEX2DEC(_0811_173439[[#This Row],[580C]])*B$4/B$5+B$6</f>
        <v>280</v>
      </c>
      <c r="J1892">
        <f>HEX2DEC(_0811_173439[[#This Row],[4402]])*C$4/C$5+C$6</f>
        <v>38</v>
      </c>
      <c r="K1892">
        <f>HEX2DEC(_0811_173439[[#This Row],[580F]])*D$4/D$5+D$6</f>
        <v>30</v>
      </c>
      <c r="L1892">
        <f>ROUND(HEX2DEC(_0811_173439[[#This Row],[58F0]])*E$4/E$5+E$6,0)</f>
        <v>71</v>
      </c>
      <c r="M1892">
        <f>ROUND(HEX2DEC(_0811_173439[[#This Row],[5805]])*F$4/F$5+F$6,0)</f>
        <v>47</v>
      </c>
      <c r="N1892">
        <f>ROUND(HEX2DEC(_0811_173439[[#This Row],[58DD]])*G$4/G$5+G$6,2)</f>
        <v>-0.03</v>
      </c>
      <c r="P1892">
        <v>280</v>
      </c>
      <c r="Q1892">
        <v>38</v>
      </c>
      <c r="R1892">
        <v>30</v>
      </c>
      <c r="S1892">
        <v>71</v>
      </c>
      <c r="T1892">
        <v>46</v>
      </c>
      <c r="U1892">
        <v>-0.03</v>
      </c>
      <c r="W1892">
        <f>DataLog_T717420_Aug11_4_59_37pm[[#This Row],[RPM '[1/MIN']]]-Table3[[#This Row],[580C]]</f>
        <v>0</v>
      </c>
      <c r="X1892">
        <f>DataLog_T717420_Aug11_4_59_37pm[[#This Row],[OIL TEMP '[Â°C']]]-Table3[[#This Row],[4402]]</f>
        <v>0</v>
      </c>
      <c r="Y1892">
        <f>DataLog_T717420_Aug11_4_59_37pm[[#This Row],[INTAKE TEMP '[Â°C']]]-Table3[[#This Row],[580F]]</f>
        <v>0</v>
      </c>
      <c r="Z1892">
        <f>DataLog_T717420_Aug11_4_59_37pm[[#This Row],[HPFP PRES. '[BAR']]]-Table3[[#This Row],[58F0]]</f>
        <v>0</v>
      </c>
      <c r="AA1892">
        <f>DataLog_T717420_Aug11_4_59_37pm[[#This Row],[COOLANT TEMP '[Â°C']]]-Table3[[#This Row],[5805]]</f>
        <v>-1</v>
      </c>
      <c r="AB1892">
        <f>DataLog_T717420_Aug11_4_59_37pm[[#This Row],[BOOST '[BAR']]]-Table3[[#This Row],[58DD]]</f>
        <v>0</v>
      </c>
    </row>
    <row r="1893" spans="2:28" x14ac:dyDescent="0.25">
      <c r="B1893" s="2" t="s">
        <v>407</v>
      </c>
      <c r="C1893" s="2" t="s">
        <v>397</v>
      </c>
      <c r="D1893" s="2" t="s">
        <v>151</v>
      </c>
      <c r="E1893" s="2" t="s">
        <v>122</v>
      </c>
      <c r="F1893" s="2" t="s">
        <v>395</v>
      </c>
      <c r="G1893" s="2" t="s">
        <v>27</v>
      </c>
      <c r="I1893">
        <f>HEX2DEC(_0811_173439[[#This Row],[580C]])*B$4/B$5+B$6</f>
        <v>240</v>
      </c>
      <c r="J1893">
        <f>HEX2DEC(_0811_173439[[#This Row],[4402]])*C$4/C$5+C$6</f>
        <v>38</v>
      </c>
      <c r="K1893">
        <f>HEX2DEC(_0811_173439[[#This Row],[580F]])*D$4/D$5+D$6</f>
        <v>30</v>
      </c>
      <c r="L1893">
        <f>ROUND(HEX2DEC(_0811_173439[[#This Row],[58F0]])*E$4/E$5+E$6,0)</f>
        <v>71</v>
      </c>
      <c r="M1893">
        <f>ROUND(HEX2DEC(_0811_173439[[#This Row],[5805]])*F$4/F$5+F$6,0)</f>
        <v>47</v>
      </c>
      <c r="N1893">
        <f>ROUND(HEX2DEC(_0811_173439[[#This Row],[58DD]])*G$4/G$5+G$6,2)</f>
        <v>-0.03</v>
      </c>
      <c r="P1893">
        <v>240</v>
      </c>
      <c r="Q1893">
        <v>38</v>
      </c>
      <c r="R1893">
        <v>30</v>
      </c>
      <c r="S1893">
        <v>71</v>
      </c>
      <c r="T1893">
        <v>46</v>
      </c>
      <c r="U1893">
        <v>-0.03</v>
      </c>
      <c r="W1893">
        <f>DataLog_T717420_Aug11_4_59_37pm[[#This Row],[RPM '[1/MIN']]]-Table3[[#This Row],[580C]]</f>
        <v>0</v>
      </c>
      <c r="X1893">
        <f>DataLog_T717420_Aug11_4_59_37pm[[#This Row],[OIL TEMP '[Â°C']]]-Table3[[#This Row],[4402]]</f>
        <v>0</v>
      </c>
      <c r="Y1893">
        <f>DataLog_T717420_Aug11_4_59_37pm[[#This Row],[INTAKE TEMP '[Â°C']]]-Table3[[#This Row],[580F]]</f>
        <v>0</v>
      </c>
      <c r="Z1893">
        <f>DataLog_T717420_Aug11_4_59_37pm[[#This Row],[HPFP PRES. '[BAR']]]-Table3[[#This Row],[58F0]]</f>
        <v>0</v>
      </c>
      <c r="AA1893">
        <f>DataLog_T717420_Aug11_4_59_37pm[[#This Row],[COOLANT TEMP '[Â°C']]]-Table3[[#This Row],[5805]]</f>
        <v>-1</v>
      </c>
      <c r="AB1893">
        <f>DataLog_T717420_Aug11_4_59_37pm[[#This Row],[BOOST '[BAR']]]-Table3[[#This Row],[58DD]]</f>
        <v>0</v>
      </c>
    </row>
    <row r="1894" spans="2:28" x14ac:dyDescent="0.25">
      <c r="B1894" s="2" t="s">
        <v>408</v>
      </c>
      <c r="C1894" s="2" t="s">
        <v>397</v>
      </c>
      <c r="D1894" s="2" t="s">
        <v>151</v>
      </c>
      <c r="E1894" s="2" t="s">
        <v>122</v>
      </c>
      <c r="F1894" s="2" t="s">
        <v>395</v>
      </c>
      <c r="G1894" s="2" t="s">
        <v>27</v>
      </c>
      <c r="I1894">
        <f>HEX2DEC(_0811_173439[[#This Row],[580C]])*B$4/B$5+B$6</f>
        <v>200</v>
      </c>
      <c r="J1894">
        <f>HEX2DEC(_0811_173439[[#This Row],[4402]])*C$4/C$5+C$6</f>
        <v>38</v>
      </c>
      <c r="K1894">
        <f>HEX2DEC(_0811_173439[[#This Row],[580F]])*D$4/D$5+D$6</f>
        <v>30</v>
      </c>
      <c r="L1894">
        <f>ROUND(HEX2DEC(_0811_173439[[#This Row],[58F0]])*E$4/E$5+E$6,0)</f>
        <v>71</v>
      </c>
      <c r="M1894">
        <f>ROUND(HEX2DEC(_0811_173439[[#This Row],[5805]])*F$4/F$5+F$6,0)</f>
        <v>47</v>
      </c>
      <c r="N1894">
        <f>ROUND(HEX2DEC(_0811_173439[[#This Row],[58DD]])*G$4/G$5+G$6,2)</f>
        <v>-0.03</v>
      </c>
      <c r="P1894">
        <v>200</v>
      </c>
      <c r="Q1894">
        <v>38</v>
      </c>
      <c r="R1894">
        <v>30</v>
      </c>
      <c r="S1894">
        <v>71</v>
      </c>
      <c r="T1894">
        <v>46</v>
      </c>
      <c r="U1894">
        <v>-0.03</v>
      </c>
      <c r="W1894">
        <f>DataLog_T717420_Aug11_4_59_37pm[[#This Row],[RPM '[1/MIN']]]-Table3[[#This Row],[580C]]</f>
        <v>0</v>
      </c>
      <c r="X1894">
        <f>DataLog_T717420_Aug11_4_59_37pm[[#This Row],[OIL TEMP '[Â°C']]]-Table3[[#This Row],[4402]]</f>
        <v>0</v>
      </c>
      <c r="Y1894">
        <f>DataLog_T717420_Aug11_4_59_37pm[[#This Row],[INTAKE TEMP '[Â°C']]]-Table3[[#This Row],[580F]]</f>
        <v>0</v>
      </c>
      <c r="Z1894">
        <f>DataLog_T717420_Aug11_4_59_37pm[[#This Row],[HPFP PRES. '[BAR']]]-Table3[[#This Row],[58F0]]</f>
        <v>0</v>
      </c>
      <c r="AA1894">
        <f>DataLog_T717420_Aug11_4_59_37pm[[#This Row],[COOLANT TEMP '[Â°C']]]-Table3[[#This Row],[5805]]</f>
        <v>-1</v>
      </c>
      <c r="AB1894">
        <f>DataLog_T717420_Aug11_4_59_37pm[[#This Row],[BOOST '[BAR']]]-Table3[[#This Row],[58DD]]</f>
        <v>0</v>
      </c>
    </row>
    <row r="1895" spans="2:28" x14ac:dyDescent="0.25">
      <c r="B1895" s="2" t="s">
        <v>56</v>
      </c>
      <c r="C1895" s="2" t="s">
        <v>397</v>
      </c>
      <c r="D1895" s="2" t="s">
        <v>151</v>
      </c>
      <c r="E1895" s="2" t="s">
        <v>122</v>
      </c>
      <c r="F1895" s="2" t="s">
        <v>395</v>
      </c>
      <c r="G1895" s="2" t="s">
        <v>27</v>
      </c>
      <c r="I1895">
        <f>HEX2DEC(_0811_173439[[#This Row],[580C]])*B$4/B$5+B$6</f>
        <v>160</v>
      </c>
      <c r="J1895">
        <f>HEX2DEC(_0811_173439[[#This Row],[4402]])*C$4/C$5+C$6</f>
        <v>38</v>
      </c>
      <c r="K1895">
        <f>HEX2DEC(_0811_173439[[#This Row],[580F]])*D$4/D$5+D$6</f>
        <v>30</v>
      </c>
      <c r="L1895">
        <f>ROUND(HEX2DEC(_0811_173439[[#This Row],[58F0]])*E$4/E$5+E$6,0)</f>
        <v>71</v>
      </c>
      <c r="M1895">
        <f>ROUND(HEX2DEC(_0811_173439[[#This Row],[5805]])*F$4/F$5+F$6,0)</f>
        <v>47</v>
      </c>
      <c r="N1895">
        <f>ROUND(HEX2DEC(_0811_173439[[#This Row],[58DD]])*G$4/G$5+G$6,2)</f>
        <v>-0.03</v>
      </c>
      <c r="P1895">
        <v>160</v>
      </c>
      <c r="Q1895">
        <v>38</v>
      </c>
      <c r="R1895">
        <v>30</v>
      </c>
      <c r="S1895">
        <v>71</v>
      </c>
      <c r="T1895">
        <v>46</v>
      </c>
      <c r="U1895">
        <v>-0.03</v>
      </c>
      <c r="W1895">
        <f>DataLog_T717420_Aug11_4_59_37pm[[#This Row],[RPM '[1/MIN']]]-Table3[[#This Row],[580C]]</f>
        <v>0</v>
      </c>
      <c r="X1895">
        <f>DataLog_T717420_Aug11_4_59_37pm[[#This Row],[OIL TEMP '[Â°C']]]-Table3[[#This Row],[4402]]</f>
        <v>0</v>
      </c>
      <c r="Y1895">
        <f>DataLog_T717420_Aug11_4_59_37pm[[#This Row],[INTAKE TEMP '[Â°C']]]-Table3[[#This Row],[580F]]</f>
        <v>0</v>
      </c>
      <c r="Z1895">
        <f>DataLog_T717420_Aug11_4_59_37pm[[#This Row],[HPFP PRES. '[BAR']]]-Table3[[#This Row],[58F0]]</f>
        <v>0</v>
      </c>
      <c r="AA1895">
        <f>DataLog_T717420_Aug11_4_59_37pm[[#This Row],[COOLANT TEMP '[Â°C']]]-Table3[[#This Row],[5805]]</f>
        <v>-1</v>
      </c>
      <c r="AB1895">
        <f>DataLog_T717420_Aug11_4_59_37pm[[#This Row],[BOOST '[BAR']]]-Table3[[#This Row],[58DD]]</f>
        <v>0</v>
      </c>
    </row>
    <row r="1896" spans="2:28" x14ac:dyDescent="0.25">
      <c r="B1896" s="2" t="s">
        <v>52</v>
      </c>
      <c r="C1896" s="2" t="s">
        <v>397</v>
      </c>
      <c r="D1896" s="2" t="s">
        <v>151</v>
      </c>
      <c r="E1896" s="2" t="s">
        <v>122</v>
      </c>
      <c r="F1896" s="2" t="s">
        <v>395</v>
      </c>
      <c r="G1896" s="2" t="s">
        <v>27</v>
      </c>
      <c r="I1896">
        <f>HEX2DEC(_0811_173439[[#This Row],[580C]])*B$4/B$5+B$6</f>
        <v>120</v>
      </c>
      <c r="J1896">
        <f>HEX2DEC(_0811_173439[[#This Row],[4402]])*C$4/C$5+C$6</f>
        <v>38</v>
      </c>
      <c r="K1896">
        <f>HEX2DEC(_0811_173439[[#This Row],[580F]])*D$4/D$5+D$6</f>
        <v>30</v>
      </c>
      <c r="L1896">
        <f>ROUND(HEX2DEC(_0811_173439[[#This Row],[58F0]])*E$4/E$5+E$6,0)</f>
        <v>71</v>
      </c>
      <c r="M1896">
        <f>ROUND(HEX2DEC(_0811_173439[[#This Row],[5805]])*F$4/F$5+F$6,0)</f>
        <v>47</v>
      </c>
      <c r="N1896">
        <f>ROUND(HEX2DEC(_0811_173439[[#This Row],[58DD]])*G$4/G$5+G$6,2)</f>
        <v>-0.03</v>
      </c>
      <c r="P1896">
        <v>120</v>
      </c>
      <c r="Q1896">
        <v>38</v>
      </c>
      <c r="R1896">
        <v>30</v>
      </c>
      <c r="S1896">
        <v>71</v>
      </c>
      <c r="T1896">
        <v>46</v>
      </c>
      <c r="U1896">
        <v>-0.03</v>
      </c>
      <c r="W1896">
        <f>DataLog_T717420_Aug11_4_59_37pm[[#This Row],[RPM '[1/MIN']]]-Table3[[#This Row],[580C]]</f>
        <v>0</v>
      </c>
      <c r="X1896">
        <f>DataLog_T717420_Aug11_4_59_37pm[[#This Row],[OIL TEMP '[Â°C']]]-Table3[[#This Row],[4402]]</f>
        <v>0</v>
      </c>
      <c r="Y1896">
        <f>DataLog_T717420_Aug11_4_59_37pm[[#This Row],[INTAKE TEMP '[Â°C']]]-Table3[[#This Row],[580F]]</f>
        <v>0</v>
      </c>
      <c r="Z1896">
        <f>DataLog_T717420_Aug11_4_59_37pm[[#This Row],[HPFP PRES. '[BAR']]]-Table3[[#This Row],[58F0]]</f>
        <v>0</v>
      </c>
      <c r="AA1896">
        <f>DataLog_T717420_Aug11_4_59_37pm[[#This Row],[COOLANT TEMP '[Â°C']]]-Table3[[#This Row],[5805]]</f>
        <v>-1</v>
      </c>
      <c r="AB1896">
        <f>DataLog_T717420_Aug11_4_59_37pm[[#This Row],[BOOST '[BAR']]]-Table3[[#This Row],[58DD]]</f>
        <v>0</v>
      </c>
    </row>
    <row r="1897" spans="2:28" x14ac:dyDescent="0.25">
      <c r="B1897" s="2" t="s">
        <v>52</v>
      </c>
      <c r="C1897" s="2" t="s">
        <v>397</v>
      </c>
      <c r="D1897" s="2" t="s">
        <v>151</v>
      </c>
      <c r="E1897" s="2" t="s">
        <v>122</v>
      </c>
      <c r="F1897" s="2" t="s">
        <v>395</v>
      </c>
      <c r="G1897" s="2" t="s">
        <v>27</v>
      </c>
      <c r="I1897">
        <f>HEX2DEC(_0811_173439[[#This Row],[580C]])*B$4/B$5+B$6</f>
        <v>120</v>
      </c>
      <c r="J1897">
        <f>HEX2DEC(_0811_173439[[#This Row],[4402]])*C$4/C$5+C$6</f>
        <v>38</v>
      </c>
      <c r="K1897">
        <f>HEX2DEC(_0811_173439[[#This Row],[580F]])*D$4/D$5+D$6</f>
        <v>30</v>
      </c>
      <c r="L1897">
        <f>ROUND(HEX2DEC(_0811_173439[[#This Row],[58F0]])*E$4/E$5+E$6,0)</f>
        <v>71</v>
      </c>
      <c r="M1897">
        <f>ROUND(HEX2DEC(_0811_173439[[#This Row],[5805]])*F$4/F$5+F$6,0)</f>
        <v>47</v>
      </c>
      <c r="N1897">
        <f>ROUND(HEX2DEC(_0811_173439[[#This Row],[58DD]])*G$4/G$5+G$6,2)</f>
        <v>-0.03</v>
      </c>
      <c r="P1897">
        <v>120</v>
      </c>
      <c r="Q1897">
        <v>38</v>
      </c>
      <c r="R1897">
        <v>30</v>
      </c>
      <c r="S1897">
        <v>71</v>
      </c>
      <c r="T1897">
        <v>46</v>
      </c>
      <c r="U1897">
        <v>-0.03</v>
      </c>
      <c r="W1897">
        <f>DataLog_T717420_Aug11_4_59_37pm[[#This Row],[RPM '[1/MIN']]]-Table3[[#This Row],[580C]]</f>
        <v>0</v>
      </c>
      <c r="X1897">
        <f>DataLog_T717420_Aug11_4_59_37pm[[#This Row],[OIL TEMP '[Â°C']]]-Table3[[#This Row],[4402]]</f>
        <v>0</v>
      </c>
      <c r="Y1897">
        <f>DataLog_T717420_Aug11_4_59_37pm[[#This Row],[INTAKE TEMP '[Â°C']]]-Table3[[#This Row],[580F]]</f>
        <v>0</v>
      </c>
      <c r="Z1897">
        <f>DataLog_T717420_Aug11_4_59_37pm[[#This Row],[HPFP PRES. '[BAR']]]-Table3[[#This Row],[58F0]]</f>
        <v>0</v>
      </c>
      <c r="AA1897">
        <f>DataLog_T717420_Aug11_4_59_37pm[[#This Row],[COOLANT TEMP '[Â°C']]]-Table3[[#This Row],[5805]]</f>
        <v>-1</v>
      </c>
      <c r="AB1897">
        <f>DataLog_T717420_Aug11_4_59_37pm[[#This Row],[BOOST '[BAR']]]-Table3[[#This Row],[58DD]]</f>
        <v>0</v>
      </c>
    </row>
    <row r="1898" spans="2:28" x14ac:dyDescent="0.25">
      <c r="B1898" s="2" t="s">
        <v>52</v>
      </c>
      <c r="C1898" s="2" t="s">
        <v>397</v>
      </c>
      <c r="D1898" s="2" t="s">
        <v>151</v>
      </c>
      <c r="E1898" s="2" t="s">
        <v>122</v>
      </c>
      <c r="F1898" s="2" t="s">
        <v>395</v>
      </c>
      <c r="G1898" s="2" t="s">
        <v>27</v>
      </c>
      <c r="I1898">
        <f>HEX2DEC(_0811_173439[[#This Row],[580C]])*B$4/B$5+B$6</f>
        <v>120</v>
      </c>
      <c r="J1898">
        <f>HEX2DEC(_0811_173439[[#This Row],[4402]])*C$4/C$5+C$6</f>
        <v>38</v>
      </c>
      <c r="K1898">
        <f>HEX2DEC(_0811_173439[[#This Row],[580F]])*D$4/D$5+D$6</f>
        <v>30</v>
      </c>
      <c r="L1898">
        <f>ROUND(HEX2DEC(_0811_173439[[#This Row],[58F0]])*E$4/E$5+E$6,0)</f>
        <v>71</v>
      </c>
      <c r="M1898">
        <f>ROUND(HEX2DEC(_0811_173439[[#This Row],[5805]])*F$4/F$5+F$6,0)</f>
        <v>47</v>
      </c>
      <c r="N1898">
        <f>ROUND(HEX2DEC(_0811_173439[[#This Row],[58DD]])*G$4/G$5+G$6,2)</f>
        <v>-0.03</v>
      </c>
      <c r="P1898">
        <v>120</v>
      </c>
      <c r="Q1898">
        <v>38</v>
      </c>
      <c r="R1898">
        <v>30</v>
      </c>
      <c r="S1898">
        <v>71</v>
      </c>
      <c r="T1898">
        <v>46</v>
      </c>
      <c r="U1898">
        <v>-0.03</v>
      </c>
      <c r="W1898">
        <f>DataLog_T717420_Aug11_4_59_37pm[[#This Row],[RPM '[1/MIN']]]-Table3[[#This Row],[580C]]</f>
        <v>0</v>
      </c>
      <c r="X1898">
        <f>DataLog_T717420_Aug11_4_59_37pm[[#This Row],[OIL TEMP '[Â°C']]]-Table3[[#This Row],[4402]]</f>
        <v>0</v>
      </c>
      <c r="Y1898">
        <f>DataLog_T717420_Aug11_4_59_37pm[[#This Row],[INTAKE TEMP '[Â°C']]]-Table3[[#This Row],[580F]]</f>
        <v>0</v>
      </c>
      <c r="Z1898">
        <f>DataLog_T717420_Aug11_4_59_37pm[[#This Row],[HPFP PRES. '[BAR']]]-Table3[[#This Row],[58F0]]</f>
        <v>0</v>
      </c>
      <c r="AA1898">
        <f>DataLog_T717420_Aug11_4_59_37pm[[#This Row],[COOLANT TEMP '[Â°C']]]-Table3[[#This Row],[5805]]</f>
        <v>-1</v>
      </c>
      <c r="AB1898">
        <f>DataLog_T717420_Aug11_4_59_37pm[[#This Row],[BOOST '[BAR']]]-Table3[[#This Row],[58DD]]</f>
        <v>0</v>
      </c>
    </row>
    <row r="1899" spans="2:28" x14ac:dyDescent="0.25">
      <c r="B1899" s="2" t="s">
        <v>52</v>
      </c>
      <c r="C1899" s="2" t="s">
        <v>397</v>
      </c>
      <c r="D1899" s="2" t="s">
        <v>151</v>
      </c>
      <c r="E1899" s="2" t="s">
        <v>122</v>
      </c>
      <c r="F1899" s="2" t="s">
        <v>395</v>
      </c>
      <c r="G1899" s="2" t="s">
        <v>27</v>
      </c>
      <c r="I1899">
        <f>HEX2DEC(_0811_173439[[#This Row],[580C]])*B$4/B$5+B$6</f>
        <v>120</v>
      </c>
      <c r="J1899">
        <f>HEX2DEC(_0811_173439[[#This Row],[4402]])*C$4/C$5+C$6</f>
        <v>38</v>
      </c>
      <c r="K1899">
        <f>HEX2DEC(_0811_173439[[#This Row],[580F]])*D$4/D$5+D$6</f>
        <v>30</v>
      </c>
      <c r="L1899">
        <f>ROUND(HEX2DEC(_0811_173439[[#This Row],[58F0]])*E$4/E$5+E$6,0)</f>
        <v>71</v>
      </c>
      <c r="M1899">
        <f>ROUND(HEX2DEC(_0811_173439[[#This Row],[5805]])*F$4/F$5+F$6,0)</f>
        <v>47</v>
      </c>
      <c r="N1899">
        <f>ROUND(HEX2DEC(_0811_173439[[#This Row],[58DD]])*G$4/G$5+G$6,2)</f>
        <v>-0.03</v>
      </c>
      <c r="P1899">
        <v>120</v>
      </c>
      <c r="Q1899">
        <v>38</v>
      </c>
      <c r="R1899">
        <v>30</v>
      </c>
      <c r="S1899">
        <v>71</v>
      </c>
      <c r="T1899">
        <v>46</v>
      </c>
      <c r="U1899">
        <v>-0.03</v>
      </c>
      <c r="W1899">
        <f>DataLog_T717420_Aug11_4_59_37pm[[#This Row],[RPM '[1/MIN']]]-Table3[[#This Row],[580C]]</f>
        <v>0</v>
      </c>
      <c r="X1899">
        <f>DataLog_T717420_Aug11_4_59_37pm[[#This Row],[OIL TEMP '[Â°C']]]-Table3[[#This Row],[4402]]</f>
        <v>0</v>
      </c>
      <c r="Y1899">
        <f>DataLog_T717420_Aug11_4_59_37pm[[#This Row],[INTAKE TEMP '[Â°C']]]-Table3[[#This Row],[580F]]</f>
        <v>0</v>
      </c>
      <c r="Z1899">
        <f>DataLog_T717420_Aug11_4_59_37pm[[#This Row],[HPFP PRES. '[BAR']]]-Table3[[#This Row],[58F0]]</f>
        <v>0</v>
      </c>
      <c r="AA1899">
        <f>DataLog_T717420_Aug11_4_59_37pm[[#This Row],[COOLANT TEMP '[Â°C']]]-Table3[[#This Row],[5805]]</f>
        <v>-1</v>
      </c>
      <c r="AB1899">
        <f>DataLog_T717420_Aug11_4_59_37pm[[#This Row],[BOOST '[BAR']]]-Table3[[#This Row],[58DD]]</f>
        <v>0</v>
      </c>
    </row>
    <row r="1900" spans="2:28" x14ac:dyDescent="0.25">
      <c r="B1900" s="2" t="s">
        <v>52</v>
      </c>
      <c r="C1900" s="2" t="s">
        <v>397</v>
      </c>
      <c r="D1900" s="2" t="s">
        <v>151</v>
      </c>
      <c r="E1900" s="2" t="s">
        <v>122</v>
      </c>
      <c r="F1900" s="2" t="s">
        <v>395</v>
      </c>
      <c r="G1900" s="2" t="s">
        <v>27</v>
      </c>
      <c r="I1900">
        <f>HEX2DEC(_0811_173439[[#This Row],[580C]])*B$4/B$5+B$6</f>
        <v>120</v>
      </c>
      <c r="J1900">
        <f>HEX2DEC(_0811_173439[[#This Row],[4402]])*C$4/C$5+C$6</f>
        <v>38</v>
      </c>
      <c r="K1900">
        <f>HEX2DEC(_0811_173439[[#This Row],[580F]])*D$4/D$5+D$6</f>
        <v>30</v>
      </c>
      <c r="L1900">
        <f>ROUND(HEX2DEC(_0811_173439[[#This Row],[58F0]])*E$4/E$5+E$6,0)</f>
        <v>71</v>
      </c>
      <c r="M1900">
        <f>ROUND(HEX2DEC(_0811_173439[[#This Row],[5805]])*F$4/F$5+F$6,0)</f>
        <v>47</v>
      </c>
      <c r="N1900">
        <f>ROUND(HEX2DEC(_0811_173439[[#This Row],[58DD]])*G$4/G$5+G$6,2)</f>
        <v>-0.03</v>
      </c>
      <c r="P1900">
        <v>120</v>
      </c>
      <c r="Q1900">
        <v>38</v>
      </c>
      <c r="R1900">
        <v>30</v>
      </c>
      <c r="S1900">
        <v>71</v>
      </c>
      <c r="T1900">
        <v>46</v>
      </c>
      <c r="U1900">
        <v>-0.03</v>
      </c>
      <c r="W1900">
        <f>DataLog_T717420_Aug11_4_59_37pm[[#This Row],[RPM '[1/MIN']]]-Table3[[#This Row],[580C]]</f>
        <v>0</v>
      </c>
      <c r="X1900">
        <f>DataLog_T717420_Aug11_4_59_37pm[[#This Row],[OIL TEMP '[Â°C']]]-Table3[[#This Row],[4402]]</f>
        <v>0</v>
      </c>
      <c r="Y1900">
        <f>DataLog_T717420_Aug11_4_59_37pm[[#This Row],[INTAKE TEMP '[Â°C']]]-Table3[[#This Row],[580F]]</f>
        <v>0</v>
      </c>
      <c r="Z1900">
        <f>DataLog_T717420_Aug11_4_59_37pm[[#This Row],[HPFP PRES. '[BAR']]]-Table3[[#This Row],[58F0]]</f>
        <v>0</v>
      </c>
      <c r="AA1900">
        <f>DataLog_T717420_Aug11_4_59_37pm[[#This Row],[COOLANT TEMP '[Â°C']]]-Table3[[#This Row],[5805]]</f>
        <v>-1</v>
      </c>
      <c r="AB1900">
        <f>DataLog_T717420_Aug11_4_59_37pm[[#This Row],[BOOST '[BAR']]]-Table3[[#This Row],[58DD]]</f>
        <v>0</v>
      </c>
    </row>
    <row r="1901" spans="2:28" x14ac:dyDescent="0.25">
      <c r="B1901" s="2" t="s">
        <v>52</v>
      </c>
      <c r="C1901" s="2" t="s">
        <v>397</v>
      </c>
      <c r="D1901" s="2" t="s">
        <v>151</v>
      </c>
      <c r="E1901" s="2" t="s">
        <v>122</v>
      </c>
      <c r="F1901" s="2" t="s">
        <v>395</v>
      </c>
      <c r="G1901" s="2" t="s">
        <v>27</v>
      </c>
      <c r="I1901">
        <f>HEX2DEC(_0811_173439[[#This Row],[580C]])*B$4/B$5+B$6</f>
        <v>120</v>
      </c>
      <c r="J1901">
        <f>HEX2DEC(_0811_173439[[#This Row],[4402]])*C$4/C$5+C$6</f>
        <v>38</v>
      </c>
      <c r="K1901">
        <f>HEX2DEC(_0811_173439[[#This Row],[580F]])*D$4/D$5+D$6</f>
        <v>30</v>
      </c>
      <c r="L1901">
        <f>ROUND(HEX2DEC(_0811_173439[[#This Row],[58F0]])*E$4/E$5+E$6,0)</f>
        <v>71</v>
      </c>
      <c r="M1901">
        <f>ROUND(HEX2DEC(_0811_173439[[#This Row],[5805]])*F$4/F$5+F$6,0)</f>
        <v>47</v>
      </c>
      <c r="N1901">
        <f>ROUND(HEX2DEC(_0811_173439[[#This Row],[58DD]])*G$4/G$5+G$6,2)</f>
        <v>-0.03</v>
      </c>
      <c r="P1901">
        <v>120</v>
      </c>
      <c r="Q1901">
        <v>38</v>
      </c>
      <c r="R1901">
        <v>30</v>
      </c>
      <c r="S1901">
        <v>71</v>
      </c>
      <c r="T1901">
        <v>46</v>
      </c>
      <c r="U1901">
        <v>-0.03</v>
      </c>
      <c r="W1901">
        <f>DataLog_T717420_Aug11_4_59_37pm[[#This Row],[RPM '[1/MIN']]]-Table3[[#This Row],[580C]]</f>
        <v>0</v>
      </c>
      <c r="X1901">
        <f>DataLog_T717420_Aug11_4_59_37pm[[#This Row],[OIL TEMP '[Â°C']]]-Table3[[#This Row],[4402]]</f>
        <v>0</v>
      </c>
      <c r="Y1901">
        <f>DataLog_T717420_Aug11_4_59_37pm[[#This Row],[INTAKE TEMP '[Â°C']]]-Table3[[#This Row],[580F]]</f>
        <v>0</v>
      </c>
      <c r="Z1901">
        <f>DataLog_T717420_Aug11_4_59_37pm[[#This Row],[HPFP PRES. '[BAR']]]-Table3[[#This Row],[58F0]]</f>
        <v>0</v>
      </c>
      <c r="AA1901">
        <f>DataLog_T717420_Aug11_4_59_37pm[[#This Row],[COOLANT TEMP '[Â°C']]]-Table3[[#This Row],[5805]]</f>
        <v>-1</v>
      </c>
      <c r="AB1901">
        <f>DataLog_T717420_Aug11_4_59_37pm[[#This Row],[BOOST '[BAR']]]-Table3[[#This Row],[58DD]]</f>
        <v>0</v>
      </c>
    </row>
    <row r="1902" spans="2:28" x14ac:dyDescent="0.25">
      <c r="B1902" s="2" t="s">
        <v>52</v>
      </c>
      <c r="C1902" s="2" t="s">
        <v>397</v>
      </c>
      <c r="D1902" s="2" t="s">
        <v>151</v>
      </c>
      <c r="E1902" s="2" t="s">
        <v>122</v>
      </c>
      <c r="F1902" s="2" t="s">
        <v>395</v>
      </c>
      <c r="G1902" s="2" t="s">
        <v>27</v>
      </c>
      <c r="I1902">
        <f>HEX2DEC(_0811_173439[[#This Row],[580C]])*B$4/B$5+B$6</f>
        <v>120</v>
      </c>
      <c r="J1902">
        <f>HEX2DEC(_0811_173439[[#This Row],[4402]])*C$4/C$5+C$6</f>
        <v>38</v>
      </c>
      <c r="K1902">
        <f>HEX2DEC(_0811_173439[[#This Row],[580F]])*D$4/D$5+D$6</f>
        <v>30</v>
      </c>
      <c r="L1902">
        <f>ROUND(HEX2DEC(_0811_173439[[#This Row],[58F0]])*E$4/E$5+E$6,0)</f>
        <v>71</v>
      </c>
      <c r="M1902">
        <f>ROUND(HEX2DEC(_0811_173439[[#This Row],[5805]])*F$4/F$5+F$6,0)</f>
        <v>47</v>
      </c>
      <c r="N1902">
        <f>ROUND(HEX2DEC(_0811_173439[[#This Row],[58DD]])*G$4/G$5+G$6,2)</f>
        <v>-0.03</v>
      </c>
      <c r="P1902">
        <v>120</v>
      </c>
      <c r="Q1902">
        <v>38</v>
      </c>
      <c r="R1902">
        <v>30</v>
      </c>
      <c r="S1902">
        <v>71</v>
      </c>
      <c r="T1902">
        <v>46</v>
      </c>
      <c r="U1902">
        <v>-0.03</v>
      </c>
      <c r="W1902">
        <f>DataLog_T717420_Aug11_4_59_37pm[[#This Row],[RPM '[1/MIN']]]-Table3[[#This Row],[580C]]</f>
        <v>0</v>
      </c>
      <c r="X1902">
        <f>DataLog_T717420_Aug11_4_59_37pm[[#This Row],[OIL TEMP '[Â°C']]]-Table3[[#This Row],[4402]]</f>
        <v>0</v>
      </c>
      <c r="Y1902">
        <f>DataLog_T717420_Aug11_4_59_37pm[[#This Row],[INTAKE TEMP '[Â°C']]]-Table3[[#This Row],[580F]]</f>
        <v>0</v>
      </c>
      <c r="Z1902">
        <f>DataLog_T717420_Aug11_4_59_37pm[[#This Row],[HPFP PRES. '[BAR']]]-Table3[[#This Row],[58F0]]</f>
        <v>0</v>
      </c>
      <c r="AA1902">
        <f>DataLog_T717420_Aug11_4_59_37pm[[#This Row],[COOLANT TEMP '[Â°C']]]-Table3[[#This Row],[5805]]</f>
        <v>-1</v>
      </c>
      <c r="AB1902">
        <f>DataLog_T717420_Aug11_4_59_37pm[[#This Row],[BOOST '[BAR']]]-Table3[[#This Row],[58DD]]</f>
        <v>0</v>
      </c>
    </row>
    <row r="1903" spans="2:28" x14ac:dyDescent="0.25">
      <c r="B1903" s="2" t="s">
        <v>52</v>
      </c>
      <c r="C1903" s="2" t="s">
        <v>397</v>
      </c>
      <c r="D1903" s="2" t="s">
        <v>151</v>
      </c>
      <c r="E1903" s="2" t="s">
        <v>122</v>
      </c>
      <c r="F1903" s="2" t="s">
        <v>395</v>
      </c>
      <c r="G1903" s="2" t="s">
        <v>27</v>
      </c>
      <c r="I1903">
        <f>HEX2DEC(_0811_173439[[#This Row],[580C]])*B$4/B$5+B$6</f>
        <v>120</v>
      </c>
      <c r="J1903">
        <f>HEX2DEC(_0811_173439[[#This Row],[4402]])*C$4/C$5+C$6</f>
        <v>38</v>
      </c>
      <c r="K1903">
        <f>HEX2DEC(_0811_173439[[#This Row],[580F]])*D$4/D$5+D$6</f>
        <v>30</v>
      </c>
      <c r="L1903">
        <f>ROUND(HEX2DEC(_0811_173439[[#This Row],[58F0]])*E$4/E$5+E$6,0)</f>
        <v>71</v>
      </c>
      <c r="M1903">
        <f>ROUND(HEX2DEC(_0811_173439[[#This Row],[5805]])*F$4/F$5+F$6,0)</f>
        <v>47</v>
      </c>
      <c r="N1903">
        <f>ROUND(HEX2DEC(_0811_173439[[#This Row],[58DD]])*G$4/G$5+G$6,2)</f>
        <v>-0.03</v>
      </c>
      <c r="P1903">
        <v>120</v>
      </c>
      <c r="Q1903">
        <v>38</v>
      </c>
      <c r="R1903">
        <v>30</v>
      </c>
      <c r="S1903">
        <v>71</v>
      </c>
      <c r="T1903">
        <v>46</v>
      </c>
      <c r="U1903">
        <v>-0.03</v>
      </c>
      <c r="W1903">
        <f>DataLog_T717420_Aug11_4_59_37pm[[#This Row],[RPM '[1/MIN']]]-Table3[[#This Row],[580C]]</f>
        <v>0</v>
      </c>
      <c r="X1903">
        <f>DataLog_T717420_Aug11_4_59_37pm[[#This Row],[OIL TEMP '[Â°C']]]-Table3[[#This Row],[4402]]</f>
        <v>0</v>
      </c>
      <c r="Y1903">
        <f>DataLog_T717420_Aug11_4_59_37pm[[#This Row],[INTAKE TEMP '[Â°C']]]-Table3[[#This Row],[580F]]</f>
        <v>0</v>
      </c>
      <c r="Z1903">
        <f>DataLog_T717420_Aug11_4_59_37pm[[#This Row],[HPFP PRES. '[BAR']]]-Table3[[#This Row],[58F0]]</f>
        <v>0</v>
      </c>
      <c r="AA1903">
        <f>DataLog_T717420_Aug11_4_59_37pm[[#This Row],[COOLANT TEMP '[Â°C']]]-Table3[[#This Row],[5805]]</f>
        <v>-1</v>
      </c>
      <c r="AB1903">
        <f>DataLog_T717420_Aug11_4_59_37pm[[#This Row],[BOOST '[BAR']]]-Table3[[#This Row],[58DD]]</f>
        <v>0</v>
      </c>
    </row>
    <row r="1904" spans="2:28" x14ac:dyDescent="0.25">
      <c r="B1904" s="2" t="s">
        <v>52</v>
      </c>
      <c r="C1904" s="2" t="s">
        <v>397</v>
      </c>
      <c r="D1904" s="2" t="s">
        <v>151</v>
      </c>
      <c r="E1904" s="2" t="s">
        <v>122</v>
      </c>
      <c r="F1904" s="2" t="s">
        <v>395</v>
      </c>
      <c r="G1904" s="2" t="s">
        <v>27</v>
      </c>
      <c r="I1904">
        <f>HEX2DEC(_0811_173439[[#This Row],[580C]])*B$4/B$5+B$6</f>
        <v>120</v>
      </c>
      <c r="J1904">
        <f>HEX2DEC(_0811_173439[[#This Row],[4402]])*C$4/C$5+C$6</f>
        <v>38</v>
      </c>
      <c r="K1904">
        <f>HEX2DEC(_0811_173439[[#This Row],[580F]])*D$4/D$5+D$6</f>
        <v>30</v>
      </c>
      <c r="L1904">
        <f>ROUND(HEX2DEC(_0811_173439[[#This Row],[58F0]])*E$4/E$5+E$6,0)</f>
        <v>71</v>
      </c>
      <c r="M1904">
        <f>ROUND(HEX2DEC(_0811_173439[[#This Row],[5805]])*F$4/F$5+F$6,0)</f>
        <v>47</v>
      </c>
      <c r="N1904">
        <f>ROUND(HEX2DEC(_0811_173439[[#This Row],[58DD]])*G$4/G$5+G$6,2)</f>
        <v>-0.03</v>
      </c>
      <c r="P1904">
        <v>120</v>
      </c>
      <c r="Q1904">
        <v>38</v>
      </c>
      <c r="R1904">
        <v>30</v>
      </c>
      <c r="S1904">
        <v>71</v>
      </c>
      <c r="T1904">
        <v>46</v>
      </c>
      <c r="U1904">
        <v>-0.03</v>
      </c>
      <c r="W1904">
        <f>DataLog_T717420_Aug11_4_59_37pm[[#This Row],[RPM '[1/MIN']]]-Table3[[#This Row],[580C]]</f>
        <v>0</v>
      </c>
      <c r="X1904">
        <f>DataLog_T717420_Aug11_4_59_37pm[[#This Row],[OIL TEMP '[Â°C']]]-Table3[[#This Row],[4402]]</f>
        <v>0</v>
      </c>
      <c r="Y1904">
        <f>DataLog_T717420_Aug11_4_59_37pm[[#This Row],[INTAKE TEMP '[Â°C']]]-Table3[[#This Row],[580F]]</f>
        <v>0</v>
      </c>
      <c r="Z1904">
        <f>DataLog_T717420_Aug11_4_59_37pm[[#This Row],[HPFP PRES. '[BAR']]]-Table3[[#This Row],[58F0]]</f>
        <v>0</v>
      </c>
      <c r="AA1904">
        <f>DataLog_T717420_Aug11_4_59_37pm[[#This Row],[COOLANT TEMP '[Â°C']]]-Table3[[#This Row],[5805]]</f>
        <v>-1</v>
      </c>
      <c r="AB1904">
        <f>DataLog_T717420_Aug11_4_59_37pm[[#This Row],[BOOST '[BAR']]]-Table3[[#This Row],[58DD]]</f>
        <v>0</v>
      </c>
    </row>
    <row r="1905" spans="2:28" x14ac:dyDescent="0.25">
      <c r="B1905" s="2" t="s">
        <v>23</v>
      </c>
      <c r="C1905" s="2" t="s">
        <v>397</v>
      </c>
      <c r="D1905" s="2" t="s">
        <v>151</v>
      </c>
      <c r="E1905" s="2" t="s">
        <v>124</v>
      </c>
      <c r="F1905" s="2" t="s">
        <v>395</v>
      </c>
      <c r="G1905" s="2" t="s">
        <v>28</v>
      </c>
      <c r="I1905">
        <f>HEX2DEC(_0811_173439[[#This Row],[580C]])*B$4/B$5+B$6</f>
        <v>0</v>
      </c>
      <c r="J1905">
        <f>HEX2DEC(_0811_173439[[#This Row],[4402]])*C$4/C$5+C$6</f>
        <v>38</v>
      </c>
      <c r="K1905">
        <f>HEX2DEC(_0811_173439[[#This Row],[580F]])*D$4/D$5+D$6</f>
        <v>30</v>
      </c>
      <c r="L1905">
        <f>ROUND(HEX2DEC(_0811_173439[[#This Row],[58F0]])*E$4/E$5+E$6,0)</f>
        <v>71</v>
      </c>
      <c r="M1905">
        <f>ROUND(HEX2DEC(_0811_173439[[#This Row],[5805]])*F$4/F$5+F$6,0)</f>
        <v>47</v>
      </c>
      <c r="N1905">
        <f>ROUND(HEX2DEC(_0811_173439[[#This Row],[58DD]])*G$4/G$5+G$6,2)</f>
        <v>-0.02</v>
      </c>
      <c r="P1905">
        <v>0</v>
      </c>
      <c r="Q1905">
        <v>38</v>
      </c>
      <c r="R1905">
        <v>30</v>
      </c>
      <c r="S1905">
        <v>71</v>
      </c>
      <c r="T1905">
        <v>46</v>
      </c>
      <c r="U1905">
        <v>-0.02</v>
      </c>
      <c r="W1905">
        <f>DataLog_T717420_Aug11_4_59_37pm[[#This Row],[RPM '[1/MIN']]]-Table3[[#This Row],[580C]]</f>
        <v>0</v>
      </c>
      <c r="X1905">
        <f>DataLog_T717420_Aug11_4_59_37pm[[#This Row],[OIL TEMP '[Â°C']]]-Table3[[#This Row],[4402]]</f>
        <v>0</v>
      </c>
      <c r="Y1905">
        <f>DataLog_T717420_Aug11_4_59_37pm[[#This Row],[INTAKE TEMP '[Â°C']]]-Table3[[#This Row],[580F]]</f>
        <v>0</v>
      </c>
      <c r="Z1905">
        <f>DataLog_T717420_Aug11_4_59_37pm[[#This Row],[HPFP PRES. '[BAR']]]-Table3[[#This Row],[58F0]]</f>
        <v>0</v>
      </c>
      <c r="AA1905">
        <f>DataLog_T717420_Aug11_4_59_37pm[[#This Row],[COOLANT TEMP '[Â°C']]]-Table3[[#This Row],[5805]]</f>
        <v>-1</v>
      </c>
      <c r="AB1905">
        <f>DataLog_T717420_Aug11_4_59_37pm[[#This Row],[BOOST '[BAR']]]-Table3[[#This Row],[58DD]]</f>
        <v>0</v>
      </c>
    </row>
    <row r="1906" spans="2:28" x14ac:dyDescent="0.25">
      <c r="B1906" s="2" t="s">
        <v>23</v>
      </c>
      <c r="C1906" s="2" t="s">
        <v>397</v>
      </c>
      <c r="D1906" s="2" t="s">
        <v>151</v>
      </c>
      <c r="E1906" s="2" t="s">
        <v>122</v>
      </c>
      <c r="F1906" s="2" t="s">
        <v>395</v>
      </c>
      <c r="G1906" s="2" t="s">
        <v>28</v>
      </c>
      <c r="I1906">
        <f>HEX2DEC(_0811_173439[[#This Row],[580C]])*B$4/B$5+B$6</f>
        <v>0</v>
      </c>
      <c r="J1906">
        <f>HEX2DEC(_0811_173439[[#This Row],[4402]])*C$4/C$5+C$6</f>
        <v>38</v>
      </c>
      <c r="K1906">
        <f>HEX2DEC(_0811_173439[[#This Row],[580F]])*D$4/D$5+D$6</f>
        <v>30</v>
      </c>
      <c r="L1906">
        <f>ROUND(HEX2DEC(_0811_173439[[#This Row],[58F0]])*E$4/E$5+E$6,0)</f>
        <v>71</v>
      </c>
      <c r="M1906">
        <f>ROUND(HEX2DEC(_0811_173439[[#This Row],[5805]])*F$4/F$5+F$6,0)</f>
        <v>47</v>
      </c>
      <c r="N1906">
        <f>ROUND(HEX2DEC(_0811_173439[[#This Row],[58DD]])*G$4/G$5+G$6,2)</f>
        <v>-0.02</v>
      </c>
      <c r="P1906">
        <v>0</v>
      </c>
      <c r="Q1906">
        <v>38</v>
      </c>
      <c r="R1906">
        <v>30</v>
      </c>
      <c r="S1906">
        <v>71</v>
      </c>
      <c r="T1906">
        <v>46</v>
      </c>
      <c r="U1906">
        <v>-0.02</v>
      </c>
      <c r="W1906">
        <f>DataLog_T717420_Aug11_4_59_37pm[[#This Row],[RPM '[1/MIN']]]-Table3[[#This Row],[580C]]</f>
        <v>0</v>
      </c>
      <c r="X1906">
        <f>DataLog_T717420_Aug11_4_59_37pm[[#This Row],[OIL TEMP '[Â°C']]]-Table3[[#This Row],[4402]]</f>
        <v>0</v>
      </c>
      <c r="Y1906">
        <f>DataLog_T717420_Aug11_4_59_37pm[[#This Row],[INTAKE TEMP '[Â°C']]]-Table3[[#This Row],[580F]]</f>
        <v>0</v>
      </c>
      <c r="Z1906">
        <f>DataLog_T717420_Aug11_4_59_37pm[[#This Row],[HPFP PRES. '[BAR']]]-Table3[[#This Row],[58F0]]</f>
        <v>0</v>
      </c>
      <c r="AA1906">
        <f>DataLog_T717420_Aug11_4_59_37pm[[#This Row],[COOLANT TEMP '[Â°C']]]-Table3[[#This Row],[5805]]</f>
        <v>-1</v>
      </c>
      <c r="AB1906">
        <f>DataLog_T717420_Aug11_4_59_37pm[[#This Row],[BOOST '[BAR']]]-Table3[[#This Row],[58DD]]</f>
        <v>0</v>
      </c>
    </row>
    <row r="1907" spans="2:28" x14ac:dyDescent="0.25">
      <c r="B1907" s="2" t="s">
        <v>23</v>
      </c>
      <c r="C1907" s="2" t="s">
        <v>397</v>
      </c>
      <c r="D1907" s="2" t="s">
        <v>151</v>
      </c>
      <c r="E1907" s="2" t="s">
        <v>124</v>
      </c>
      <c r="F1907" s="2" t="s">
        <v>395</v>
      </c>
      <c r="G1907" s="2" t="s">
        <v>27</v>
      </c>
      <c r="I1907">
        <f>HEX2DEC(_0811_173439[[#This Row],[580C]])*B$4/B$5+B$6</f>
        <v>0</v>
      </c>
      <c r="J1907">
        <f>HEX2DEC(_0811_173439[[#This Row],[4402]])*C$4/C$5+C$6</f>
        <v>38</v>
      </c>
      <c r="K1907">
        <f>HEX2DEC(_0811_173439[[#This Row],[580F]])*D$4/D$5+D$6</f>
        <v>30</v>
      </c>
      <c r="L1907">
        <f>ROUND(HEX2DEC(_0811_173439[[#This Row],[58F0]])*E$4/E$5+E$6,0)</f>
        <v>71</v>
      </c>
      <c r="M1907">
        <f>ROUND(HEX2DEC(_0811_173439[[#This Row],[5805]])*F$4/F$5+F$6,0)</f>
        <v>47</v>
      </c>
      <c r="N1907">
        <f>ROUND(HEX2DEC(_0811_173439[[#This Row],[58DD]])*G$4/G$5+G$6,2)</f>
        <v>-0.03</v>
      </c>
      <c r="P1907">
        <v>0</v>
      </c>
      <c r="Q1907">
        <v>38</v>
      </c>
      <c r="R1907">
        <v>30</v>
      </c>
      <c r="S1907">
        <v>71</v>
      </c>
      <c r="T1907">
        <v>46</v>
      </c>
      <c r="U1907">
        <v>-0.03</v>
      </c>
      <c r="W1907">
        <f>DataLog_T717420_Aug11_4_59_37pm[[#This Row],[RPM '[1/MIN']]]-Table3[[#This Row],[580C]]</f>
        <v>0</v>
      </c>
      <c r="X1907">
        <f>DataLog_T717420_Aug11_4_59_37pm[[#This Row],[OIL TEMP '[Â°C']]]-Table3[[#This Row],[4402]]</f>
        <v>0</v>
      </c>
      <c r="Y1907">
        <f>DataLog_T717420_Aug11_4_59_37pm[[#This Row],[INTAKE TEMP '[Â°C']]]-Table3[[#This Row],[580F]]</f>
        <v>0</v>
      </c>
      <c r="Z1907">
        <f>DataLog_T717420_Aug11_4_59_37pm[[#This Row],[HPFP PRES. '[BAR']]]-Table3[[#This Row],[58F0]]</f>
        <v>0</v>
      </c>
      <c r="AA1907">
        <f>DataLog_T717420_Aug11_4_59_37pm[[#This Row],[COOLANT TEMP '[Â°C']]]-Table3[[#This Row],[5805]]</f>
        <v>-1</v>
      </c>
      <c r="AB1907">
        <f>DataLog_T717420_Aug11_4_59_37pm[[#This Row],[BOOST '[BAR']]]-Table3[[#This Row],[58DD]]</f>
        <v>0</v>
      </c>
    </row>
    <row r="1908" spans="2:28" x14ac:dyDescent="0.25">
      <c r="B1908" s="2" t="s">
        <v>23</v>
      </c>
      <c r="C1908" s="2" t="s">
        <v>397</v>
      </c>
      <c r="D1908" s="2" t="s">
        <v>151</v>
      </c>
      <c r="E1908" s="2" t="s">
        <v>124</v>
      </c>
      <c r="F1908" s="2" t="s">
        <v>395</v>
      </c>
      <c r="G1908" s="2" t="s">
        <v>27</v>
      </c>
      <c r="I1908">
        <f>HEX2DEC(_0811_173439[[#This Row],[580C]])*B$4/B$5+B$6</f>
        <v>0</v>
      </c>
      <c r="J1908">
        <f>HEX2DEC(_0811_173439[[#This Row],[4402]])*C$4/C$5+C$6</f>
        <v>38</v>
      </c>
      <c r="K1908">
        <f>HEX2DEC(_0811_173439[[#This Row],[580F]])*D$4/D$5+D$6</f>
        <v>30</v>
      </c>
      <c r="L1908">
        <f>ROUND(HEX2DEC(_0811_173439[[#This Row],[58F0]])*E$4/E$5+E$6,0)</f>
        <v>71</v>
      </c>
      <c r="M1908">
        <f>ROUND(HEX2DEC(_0811_173439[[#This Row],[5805]])*F$4/F$5+F$6,0)</f>
        <v>47</v>
      </c>
      <c r="N1908">
        <f>ROUND(HEX2DEC(_0811_173439[[#This Row],[58DD]])*G$4/G$5+G$6,2)</f>
        <v>-0.03</v>
      </c>
      <c r="P1908">
        <v>0</v>
      </c>
      <c r="Q1908">
        <v>38</v>
      </c>
      <c r="R1908">
        <v>30</v>
      </c>
      <c r="S1908">
        <v>71</v>
      </c>
      <c r="T1908">
        <v>46</v>
      </c>
      <c r="U1908">
        <v>-0.03</v>
      </c>
      <c r="W1908">
        <f>DataLog_T717420_Aug11_4_59_37pm[[#This Row],[RPM '[1/MIN']]]-Table3[[#This Row],[580C]]</f>
        <v>0</v>
      </c>
      <c r="X1908">
        <f>DataLog_T717420_Aug11_4_59_37pm[[#This Row],[OIL TEMP '[Â°C']]]-Table3[[#This Row],[4402]]</f>
        <v>0</v>
      </c>
      <c r="Y1908">
        <f>DataLog_T717420_Aug11_4_59_37pm[[#This Row],[INTAKE TEMP '[Â°C']]]-Table3[[#This Row],[580F]]</f>
        <v>0</v>
      </c>
      <c r="Z1908">
        <f>DataLog_T717420_Aug11_4_59_37pm[[#This Row],[HPFP PRES. '[BAR']]]-Table3[[#This Row],[58F0]]</f>
        <v>0</v>
      </c>
      <c r="AA1908">
        <f>DataLog_T717420_Aug11_4_59_37pm[[#This Row],[COOLANT TEMP '[Â°C']]]-Table3[[#This Row],[5805]]</f>
        <v>-1</v>
      </c>
      <c r="AB1908">
        <f>DataLog_T717420_Aug11_4_59_37pm[[#This Row],[BOOST '[BAR']]]-Table3[[#This Row],[58DD]]</f>
        <v>0</v>
      </c>
    </row>
    <row r="1909" spans="2:28" x14ac:dyDescent="0.25">
      <c r="B1909" s="2" t="s">
        <v>23</v>
      </c>
      <c r="C1909" s="2" t="s">
        <v>397</v>
      </c>
      <c r="D1909" s="2" t="s">
        <v>151</v>
      </c>
      <c r="E1909" s="2" t="s">
        <v>124</v>
      </c>
      <c r="F1909" s="2" t="s">
        <v>395</v>
      </c>
      <c r="G1909" s="2" t="s">
        <v>28</v>
      </c>
      <c r="I1909">
        <f>HEX2DEC(_0811_173439[[#This Row],[580C]])*B$4/B$5+B$6</f>
        <v>0</v>
      </c>
      <c r="J1909">
        <f>HEX2DEC(_0811_173439[[#This Row],[4402]])*C$4/C$5+C$6</f>
        <v>38</v>
      </c>
      <c r="K1909">
        <f>HEX2DEC(_0811_173439[[#This Row],[580F]])*D$4/D$5+D$6</f>
        <v>30</v>
      </c>
      <c r="L1909">
        <f>ROUND(HEX2DEC(_0811_173439[[#This Row],[58F0]])*E$4/E$5+E$6,0)</f>
        <v>71</v>
      </c>
      <c r="M1909">
        <f>ROUND(HEX2DEC(_0811_173439[[#This Row],[5805]])*F$4/F$5+F$6,0)</f>
        <v>47</v>
      </c>
      <c r="N1909">
        <f>ROUND(HEX2DEC(_0811_173439[[#This Row],[58DD]])*G$4/G$5+G$6,2)</f>
        <v>-0.02</v>
      </c>
      <c r="P1909">
        <v>0</v>
      </c>
      <c r="Q1909">
        <v>38</v>
      </c>
      <c r="R1909">
        <v>30</v>
      </c>
      <c r="S1909">
        <v>71</v>
      </c>
      <c r="T1909">
        <v>46</v>
      </c>
      <c r="U1909">
        <v>-0.02</v>
      </c>
      <c r="W1909">
        <f>DataLog_T717420_Aug11_4_59_37pm[[#This Row],[RPM '[1/MIN']]]-Table3[[#This Row],[580C]]</f>
        <v>0</v>
      </c>
      <c r="X1909">
        <f>DataLog_T717420_Aug11_4_59_37pm[[#This Row],[OIL TEMP '[Â°C']]]-Table3[[#This Row],[4402]]</f>
        <v>0</v>
      </c>
      <c r="Y1909">
        <f>DataLog_T717420_Aug11_4_59_37pm[[#This Row],[INTAKE TEMP '[Â°C']]]-Table3[[#This Row],[580F]]</f>
        <v>0</v>
      </c>
      <c r="Z1909">
        <f>DataLog_T717420_Aug11_4_59_37pm[[#This Row],[HPFP PRES. '[BAR']]]-Table3[[#This Row],[58F0]]</f>
        <v>0</v>
      </c>
      <c r="AA1909">
        <f>DataLog_T717420_Aug11_4_59_37pm[[#This Row],[COOLANT TEMP '[Â°C']]]-Table3[[#This Row],[5805]]</f>
        <v>-1</v>
      </c>
      <c r="AB1909">
        <f>DataLog_T717420_Aug11_4_59_37pm[[#This Row],[BOOST '[BAR']]]-Table3[[#This Row],[58DD]]</f>
        <v>0</v>
      </c>
    </row>
    <row r="1910" spans="2:28" x14ac:dyDescent="0.25">
      <c r="B1910" s="2" t="s">
        <v>23</v>
      </c>
      <c r="C1910" s="2" t="s">
        <v>397</v>
      </c>
      <c r="D1910" s="2" t="s">
        <v>151</v>
      </c>
      <c r="E1910" s="2" t="s">
        <v>124</v>
      </c>
      <c r="F1910" s="2" t="s">
        <v>395</v>
      </c>
      <c r="G1910" s="2" t="s">
        <v>27</v>
      </c>
      <c r="I1910">
        <f>HEX2DEC(_0811_173439[[#This Row],[580C]])*B$4/B$5+B$6</f>
        <v>0</v>
      </c>
      <c r="J1910">
        <f>HEX2DEC(_0811_173439[[#This Row],[4402]])*C$4/C$5+C$6</f>
        <v>38</v>
      </c>
      <c r="K1910">
        <f>HEX2DEC(_0811_173439[[#This Row],[580F]])*D$4/D$5+D$6</f>
        <v>30</v>
      </c>
      <c r="L1910">
        <f>ROUND(HEX2DEC(_0811_173439[[#This Row],[58F0]])*E$4/E$5+E$6,0)</f>
        <v>71</v>
      </c>
      <c r="M1910">
        <f>ROUND(HEX2DEC(_0811_173439[[#This Row],[5805]])*F$4/F$5+F$6,0)</f>
        <v>47</v>
      </c>
      <c r="N1910">
        <f>ROUND(HEX2DEC(_0811_173439[[#This Row],[58DD]])*G$4/G$5+G$6,2)</f>
        <v>-0.03</v>
      </c>
      <c r="P1910">
        <v>0</v>
      </c>
      <c r="Q1910">
        <v>38</v>
      </c>
      <c r="R1910">
        <v>30</v>
      </c>
      <c r="S1910">
        <v>71</v>
      </c>
      <c r="T1910">
        <v>46</v>
      </c>
      <c r="U1910">
        <v>-0.03</v>
      </c>
      <c r="W1910">
        <f>DataLog_T717420_Aug11_4_59_37pm[[#This Row],[RPM '[1/MIN']]]-Table3[[#This Row],[580C]]</f>
        <v>0</v>
      </c>
      <c r="X1910">
        <f>DataLog_T717420_Aug11_4_59_37pm[[#This Row],[OIL TEMP '[Â°C']]]-Table3[[#This Row],[4402]]</f>
        <v>0</v>
      </c>
      <c r="Y1910">
        <f>DataLog_T717420_Aug11_4_59_37pm[[#This Row],[INTAKE TEMP '[Â°C']]]-Table3[[#This Row],[580F]]</f>
        <v>0</v>
      </c>
      <c r="Z1910">
        <f>DataLog_T717420_Aug11_4_59_37pm[[#This Row],[HPFP PRES. '[BAR']]]-Table3[[#This Row],[58F0]]</f>
        <v>0</v>
      </c>
      <c r="AA1910">
        <f>DataLog_T717420_Aug11_4_59_37pm[[#This Row],[COOLANT TEMP '[Â°C']]]-Table3[[#This Row],[5805]]</f>
        <v>-1</v>
      </c>
      <c r="AB1910">
        <f>DataLog_T717420_Aug11_4_59_37pm[[#This Row],[BOOST '[BAR']]]-Table3[[#This Row],[58DD]]</f>
        <v>0</v>
      </c>
    </row>
    <row r="1911" spans="2:28" x14ac:dyDescent="0.25">
      <c r="B1911" s="2" t="s">
        <v>23</v>
      </c>
      <c r="C1911" s="2" t="s">
        <v>397</v>
      </c>
      <c r="D1911" s="2" t="s">
        <v>151</v>
      </c>
      <c r="E1911" s="2" t="s">
        <v>124</v>
      </c>
      <c r="F1911" s="2" t="s">
        <v>395</v>
      </c>
      <c r="G1911" s="2" t="s">
        <v>28</v>
      </c>
      <c r="I1911">
        <f>HEX2DEC(_0811_173439[[#This Row],[580C]])*B$4/B$5+B$6</f>
        <v>0</v>
      </c>
      <c r="J1911">
        <f>HEX2DEC(_0811_173439[[#This Row],[4402]])*C$4/C$5+C$6</f>
        <v>38</v>
      </c>
      <c r="K1911">
        <f>HEX2DEC(_0811_173439[[#This Row],[580F]])*D$4/D$5+D$6</f>
        <v>30</v>
      </c>
      <c r="L1911">
        <f>ROUND(HEX2DEC(_0811_173439[[#This Row],[58F0]])*E$4/E$5+E$6,0)</f>
        <v>71</v>
      </c>
      <c r="M1911">
        <f>ROUND(HEX2DEC(_0811_173439[[#This Row],[5805]])*F$4/F$5+F$6,0)</f>
        <v>47</v>
      </c>
      <c r="N1911">
        <f>ROUND(HEX2DEC(_0811_173439[[#This Row],[58DD]])*G$4/G$5+G$6,2)</f>
        <v>-0.02</v>
      </c>
      <c r="P1911">
        <v>0</v>
      </c>
      <c r="Q1911">
        <v>38</v>
      </c>
      <c r="R1911">
        <v>30</v>
      </c>
      <c r="S1911">
        <v>71</v>
      </c>
      <c r="T1911">
        <v>46</v>
      </c>
      <c r="U1911">
        <v>-0.02</v>
      </c>
      <c r="W1911">
        <f>DataLog_T717420_Aug11_4_59_37pm[[#This Row],[RPM '[1/MIN']]]-Table3[[#This Row],[580C]]</f>
        <v>0</v>
      </c>
      <c r="X1911">
        <f>DataLog_T717420_Aug11_4_59_37pm[[#This Row],[OIL TEMP '[Â°C']]]-Table3[[#This Row],[4402]]</f>
        <v>0</v>
      </c>
      <c r="Y1911">
        <f>DataLog_T717420_Aug11_4_59_37pm[[#This Row],[INTAKE TEMP '[Â°C']]]-Table3[[#This Row],[580F]]</f>
        <v>0</v>
      </c>
      <c r="Z1911">
        <f>DataLog_T717420_Aug11_4_59_37pm[[#This Row],[HPFP PRES. '[BAR']]]-Table3[[#This Row],[58F0]]</f>
        <v>0</v>
      </c>
      <c r="AA1911">
        <f>DataLog_T717420_Aug11_4_59_37pm[[#This Row],[COOLANT TEMP '[Â°C']]]-Table3[[#This Row],[5805]]</f>
        <v>-1</v>
      </c>
      <c r="AB1911">
        <f>DataLog_T717420_Aug11_4_59_37pm[[#This Row],[BOOST '[BAR']]]-Table3[[#This Row],[58DD]]</f>
        <v>0</v>
      </c>
    </row>
    <row r="1912" spans="2:28" x14ac:dyDescent="0.25">
      <c r="B1912" s="2" t="s">
        <v>23</v>
      </c>
      <c r="C1912" s="2" t="s">
        <v>397</v>
      </c>
      <c r="D1912" s="2" t="s">
        <v>151</v>
      </c>
      <c r="E1912" s="2" t="s">
        <v>124</v>
      </c>
      <c r="F1912" s="2" t="s">
        <v>395</v>
      </c>
      <c r="G1912" s="2" t="s">
        <v>27</v>
      </c>
      <c r="I1912">
        <f>HEX2DEC(_0811_173439[[#This Row],[580C]])*B$4/B$5+B$6</f>
        <v>0</v>
      </c>
      <c r="J1912">
        <f>HEX2DEC(_0811_173439[[#This Row],[4402]])*C$4/C$5+C$6</f>
        <v>38</v>
      </c>
      <c r="K1912">
        <f>HEX2DEC(_0811_173439[[#This Row],[580F]])*D$4/D$5+D$6</f>
        <v>30</v>
      </c>
      <c r="L1912">
        <f>ROUND(HEX2DEC(_0811_173439[[#This Row],[58F0]])*E$4/E$5+E$6,0)</f>
        <v>71</v>
      </c>
      <c r="M1912">
        <f>ROUND(HEX2DEC(_0811_173439[[#This Row],[5805]])*F$4/F$5+F$6,0)</f>
        <v>47</v>
      </c>
      <c r="N1912">
        <f>ROUND(HEX2DEC(_0811_173439[[#This Row],[58DD]])*G$4/G$5+G$6,2)</f>
        <v>-0.03</v>
      </c>
      <c r="P1912">
        <v>0</v>
      </c>
      <c r="Q1912">
        <v>38</v>
      </c>
      <c r="R1912">
        <v>30</v>
      </c>
      <c r="S1912">
        <v>71</v>
      </c>
      <c r="T1912">
        <v>46</v>
      </c>
      <c r="U1912">
        <v>-0.03</v>
      </c>
      <c r="W1912">
        <f>DataLog_T717420_Aug11_4_59_37pm[[#This Row],[RPM '[1/MIN']]]-Table3[[#This Row],[580C]]</f>
        <v>0</v>
      </c>
      <c r="X1912">
        <f>DataLog_T717420_Aug11_4_59_37pm[[#This Row],[OIL TEMP '[Â°C']]]-Table3[[#This Row],[4402]]</f>
        <v>0</v>
      </c>
      <c r="Y1912">
        <f>DataLog_T717420_Aug11_4_59_37pm[[#This Row],[INTAKE TEMP '[Â°C']]]-Table3[[#This Row],[580F]]</f>
        <v>0</v>
      </c>
      <c r="Z1912">
        <f>DataLog_T717420_Aug11_4_59_37pm[[#This Row],[HPFP PRES. '[BAR']]]-Table3[[#This Row],[58F0]]</f>
        <v>0</v>
      </c>
      <c r="AA1912">
        <f>DataLog_T717420_Aug11_4_59_37pm[[#This Row],[COOLANT TEMP '[Â°C']]]-Table3[[#This Row],[5805]]</f>
        <v>-1</v>
      </c>
      <c r="AB1912">
        <f>DataLog_T717420_Aug11_4_59_37pm[[#This Row],[BOOST '[BAR']]]-Table3[[#This Row],[58DD]]</f>
        <v>0</v>
      </c>
    </row>
    <row r="1913" spans="2:28" x14ac:dyDescent="0.25">
      <c r="B1913" s="2" t="s">
        <v>23</v>
      </c>
      <c r="C1913" s="2" t="s">
        <v>397</v>
      </c>
      <c r="D1913" s="2" t="s">
        <v>151</v>
      </c>
      <c r="E1913" s="2" t="s">
        <v>124</v>
      </c>
      <c r="F1913" s="2" t="s">
        <v>395</v>
      </c>
      <c r="G1913" s="2" t="s">
        <v>27</v>
      </c>
      <c r="I1913">
        <f>HEX2DEC(_0811_173439[[#This Row],[580C]])*B$4/B$5+B$6</f>
        <v>0</v>
      </c>
      <c r="J1913">
        <f>HEX2DEC(_0811_173439[[#This Row],[4402]])*C$4/C$5+C$6</f>
        <v>38</v>
      </c>
      <c r="K1913">
        <f>HEX2DEC(_0811_173439[[#This Row],[580F]])*D$4/D$5+D$6</f>
        <v>30</v>
      </c>
      <c r="L1913">
        <f>ROUND(HEX2DEC(_0811_173439[[#This Row],[58F0]])*E$4/E$5+E$6,0)</f>
        <v>71</v>
      </c>
      <c r="M1913">
        <f>ROUND(HEX2DEC(_0811_173439[[#This Row],[5805]])*F$4/F$5+F$6,0)</f>
        <v>47</v>
      </c>
      <c r="N1913">
        <f>ROUND(HEX2DEC(_0811_173439[[#This Row],[58DD]])*G$4/G$5+G$6,2)</f>
        <v>-0.03</v>
      </c>
      <c r="P1913">
        <v>0</v>
      </c>
      <c r="Q1913">
        <v>38</v>
      </c>
      <c r="R1913">
        <v>30</v>
      </c>
      <c r="S1913">
        <v>71</v>
      </c>
      <c r="T1913">
        <v>46</v>
      </c>
      <c r="U1913">
        <v>-0.03</v>
      </c>
      <c r="W1913">
        <f>DataLog_T717420_Aug11_4_59_37pm[[#This Row],[RPM '[1/MIN']]]-Table3[[#This Row],[580C]]</f>
        <v>0</v>
      </c>
      <c r="X1913">
        <f>DataLog_T717420_Aug11_4_59_37pm[[#This Row],[OIL TEMP '[Â°C']]]-Table3[[#This Row],[4402]]</f>
        <v>0</v>
      </c>
      <c r="Y1913">
        <f>DataLog_T717420_Aug11_4_59_37pm[[#This Row],[INTAKE TEMP '[Â°C']]]-Table3[[#This Row],[580F]]</f>
        <v>0</v>
      </c>
      <c r="Z1913">
        <f>DataLog_T717420_Aug11_4_59_37pm[[#This Row],[HPFP PRES. '[BAR']]]-Table3[[#This Row],[58F0]]</f>
        <v>0</v>
      </c>
      <c r="AA1913">
        <f>DataLog_T717420_Aug11_4_59_37pm[[#This Row],[COOLANT TEMP '[Â°C']]]-Table3[[#This Row],[5805]]</f>
        <v>-1</v>
      </c>
      <c r="AB1913">
        <f>DataLog_T717420_Aug11_4_59_37pm[[#This Row],[BOOST '[BAR']]]-Table3[[#This Row],[58DD]]</f>
        <v>0</v>
      </c>
    </row>
    <row r="1914" spans="2:28" x14ac:dyDescent="0.25">
      <c r="B1914" s="2" t="s">
        <v>23</v>
      </c>
      <c r="C1914" s="2" t="s">
        <v>397</v>
      </c>
      <c r="D1914" s="2" t="s">
        <v>151</v>
      </c>
      <c r="E1914" s="2" t="s">
        <v>124</v>
      </c>
      <c r="F1914" s="2" t="s">
        <v>395</v>
      </c>
      <c r="G1914" s="2" t="s">
        <v>28</v>
      </c>
      <c r="I1914">
        <f>HEX2DEC(_0811_173439[[#This Row],[580C]])*B$4/B$5+B$6</f>
        <v>0</v>
      </c>
      <c r="J1914">
        <f>HEX2DEC(_0811_173439[[#This Row],[4402]])*C$4/C$5+C$6</f>
        <v>38</v>
      </c>
      <c r="K1914">
        <f>HEX2DEC(_0811_173439[[#This Row],[580F]])*D$4/D$5+D$6</f>
        <v>30</v>
      </c>
      <c r="L1914">
        <f>ROUND(HEX2DEC(_0811_173439[[#This Row],[58F0]])*E$4/E$5+E$6,0)</f>
        <v>71</v>
      </c>
      <c r="M1914">
        <f>ROUND(HEX2DEC(_0811_173439[[#This Row],[5805]])*F$4/F$5+F$6,0)</f>
        <v>47</v>
      </c>
      <c r="N1914">
        <f>ROUND(HEX2DEC(_0811_173439[[#This Row],[58DD]])*G$4/G$5+G$6,2)</f>
        <v>-0.02</v>
      </c>
      <c r="P1914">
        <v>0</v>
      </c>
      <c r="Q1914">
        <v>38</v>
      </c>
      <c r="R1914">
        <v>30</v>
      </c>
      <c r="S1914">
        <v>71</v>
      </c>
      <c r="T1914">
        <v>46</v>
      </c>
      <c r="U1914">
        <v>-0.02</v>
      </c>
      <c r="W1914">
        <f>DataLog_T717420_Aug11_4_59_37pm[[#This Row],[RPM '[1/MIN']]]-Table3[[#This Row],[580C]]</f>
        <v>0</v>
      </c>
      <c r="X1914">
        <f>DataLog_T717420_Aug11_4_59_37pm[[#This Row],[OIL TEMP '[Â°C']]]-Table3[[#This Row],[4402]]</f>
        <v>0</v>
      </c>
      <c r="Y1914">
        <f>DataLog_T717420_Aug11_4_59_37pm[[#This Row],[INTAKE TEMP '[Â°C']]]-Table3[[#This Row],[580F]]</f>
        <v>0</v>
      </c>
      <c r="Z1914">
        <f>DataLog_T717420_Aug11_4_59_37pm[[#This Row],[HPFP PRES. '[BAR']]]-Table3[[#This Row],[58F0]]</f>
        <v>0</v>
      </c>
      <c r="AA1914">
        <f>DataLog_T717420_Aug11_4_59_37pm[[#This Row],[COOLANT TEMP '[Â°C']]]-Table3[[#This Row],[5805]]</f>
        <v>-1</v>
      </c>
      <c r="AB1914">
        <f>DataLog_T717420_Aug11_4_59_37pm[[#This Row],[BOOST '[BAR']]]-Table3[[#This Row],[58DD]]</f>
        <v>0</v>
      </c>
    </row>
    <row r="1915" spans="2:28" x14ac:dyDescent="0.25">
      <c r="B1915" s="2" t="s">
        <v>23</v>
      </c>
      <c r="C1915" s="2" t="s">
        <v>397</v>
      </c>
      <c r="D1915" s="2" t="s">
        <v>151</v>
      </c>
      <c r="E1915" s="2" t="s">
        <v>124</v>
      </c>
      <c r="F1915" s="2" t="s">
        <v>395</v>
      </c>
      <c r="G1915" s="2" t="s">
        <v>27</v>
      </c>
      <c r="I1915">
        <f>HEX2DEC(_0811_173439[[#This Row],[580C]])*B$4/B$5+B$6</f>
        <v>0</v>
      </c>
      <c r="J1915">
        <f>HEX2DEC(_0811_173439[[#This Row],[4402]])*C$4/C$5+C$6</f>
        <v>38</v>
      </c>
      <c r="K1915">
        <f>HEX2DEC(_0811_173439[[#This Row],[580F]])*D$4/D$5+D$6</f>
        <v>30</v>
      </c>
      <c r="L1915">
        <f>ROUND(HEX2DEC(_0811_173439[[#This Row],[58F0]])*E$4/E$5+E$6,0)</f>
        <v>71</v>
      </c>
      <c r="M1915">
        <f>ROUND(HEX2DEC(_0811_173439[[#This Row],[5805]])*F$4/F$5+F$6,0)</f>
        <v>47</v>
      </c>
      <c r="N1915">
        <f>ROUND(HEX2DEC(_0811_173439[[#This Row],[58DD]])*G$4/G$5+G$6,2)</f>
        <v>-0.03</v>
      </c>
      <c r="P1915">
        <v>0</v>
      </c>
      <c r="Q1915">
        <v>38</v>
      </c>
      <c r="R1915">
        <v>30</v>
      </c>
      <c r="S1915">
        <v>71</v>
      </c>
      <c r="T1915">
        <v>46</v>
      </c>
      <c r="U1915">
        <v>-0.03</v>
      </c>
      <c r="W1915">
        <f>DataLog_T717420_Aug11_4_59_37pm[[#This Row],[RPM '[1/MIN']]]-Table3[[#This Row],[580C]]</f>
        <v>0</v>
      </c>
      <c r="X1915">
        <f>DataLog_T717420_Aug11_4_59_37pm[[#This Row],[OIL TEMP '[Â°C']]]-Table3[[#This Row],[4402]]</f>
        <v>0</v>
      </c>
      <c r="Y1915">
        <f>DataLog_T717420_Aug11_4_59_37pm[[#This Row],[INTAKE TEMP '[Â°C']]]-Table3[[#This Row],[580F]]</f>
        <v>0</v>
      </c>
      <c r="Z1915">
        <f>DataLog_T717420_Aug11_4_59_37pm[[#This Row],[HPFP PRES. '[BAR']]]-Table3[[#This Row],[58F0]]</f>
        <v>0</v>
      </c>
      <c r="AA1915">
        <f>DataLog_T717420_Aug11_4_59_37pm[[#This Row],[COOLANT TEMP '[Â°C']]]-Table3[[#This Row],[5805]]</f>
        <v>-1</v>
      </c>
      <c r="AB1915">
        <f>DataLog_T717420_Aug11_4_59_37pm[[#This Row],[BOOST '[BAR']]]-Table3[[#This Row],[58DD]]</f>
        <v>0</v>
      </c>
    </row>
    <row r="1916" spans="2:28" x14ac:dyDescent="0.25">
      <c r="B1916" s="2" t="s">
        <v>23</v>
      </c>
      <c r="C1916" s="2" t="s">
        <v>397</v>
      </c>
      <c r="D1916" s="2" t="s">
        <v>151</v>
      </c>
      <c r="E1916" s="2" t="s">
        <v>124</v>
      </c>
      <c r="F1916" s="2" t="s">
        <v>395</v>
      </c>
      <c r="G1916" s="2" t="s">
        <v>27</v>
      </c>
      <c r="I1916">
        <f>HEX2DEC(_0811_173439[[#This Row],[580C]])*B$4/B$5+B$6</f>
        <v>0</v>
      </c>
      <c r="J1916">
        <f>HEX2DEC(_0811_173439[[#This Row],[4402]])*C$4/C$5+C$6</f>
        <v>38</v>
      </c>
      <c r="K1916">
        <f>HEX2DEC(_0811_173439[[#This Row],[580F]])*D$4/D$5+D$6</f>
        <v>30</v>
      </c>
      <c r="L1916">
        <f>ROUND(HEX2DEC(_0811_173439[[#This Row],[58F0]])*E$4/E$5+E$6,0)</f>
        <v>71</v>
      </c>
      <c r="M1916">
        <f>ROUND(HEX2DEC(_0811_173439[[#This Row],[5805]])*F$4/F$5+F$6,0)</f>
        <v>47</v>
      </c>
      <c r="N1916">
        <f>ROUND(HEX2DEC(_0811_173439[[#This Row],[58DD]])*G$4/G$5+G$6,2)</f>
        <v>-0.03</v>
      </c>
      <c r="P1916">
        <v>0</v>
      </c>
      <c r="Q1916">
        <v>38</v>
      </c>
      <c r="R1916">
        <v>30</v>
      </c>
      <c r="S1916">
        <v>71</v>
      </c>
      <c r="T1916">
        <v>46</v>
      </c>
      <c r="U1916">
        <v>-0.03</v>
      </c>
      <c r="W1916">
        <f>DataLog_T717420_Aug11_4_59_37pm[[#This Row],[RPM '[1/MIN']]]-Table3[[#This Row],[580C]]</f>
        <v>0</v>
      </c>
      <c r="X1916">
        <f>DataLog_T717420_Aug11_4_59_37pm[[#This Row],[OIL TEMP '[Â°C']]]-Table3[[#This Row],[4402]]</f>
        <v>0</v>
      </c>
      <c r="Y1916">
        <f>DataLog_T717420_Aug11_4_59_37pm[[#This Row],[INTAKE TEMP '[Â°C']]]-Table3[[#This Row],[580F]]</f>
        <v>0</v>
      </c>
      <c r="Z1916">
        <f>DataLog_T717420_Aug11_4_59_37pm[[#This Row],[HPFP PRES. '[BAR']]]-Table3[[#This Row],[58F0]]</f>
        <v>0</v>
      </c>
      <c r="AA1916">
        <f>DataLog_T717420_Aug11_4_59_37pm[[#This Row],[COOLANT TEMP '[Â°C']]]-Table3[[#This Row],[5805]]</f>
        <v>-1</v>
      </c>
      <c r="AB1916">
        <f>DataLog_T717420_Aug11_4_59_37pm[[#This Row],[BOOST '[BAR']]]-Table3[[#This Row],[58DD]]</f>
        <v>0</v>
      </c>
    </row>
    <row r="1917" spans="2:28" x14ac:dyDescent="0.25">
      <c r="B1917" s="2" t="s">
        <v>23</v>
      </c>
      <c r="C1917" s="2" t="s">
        <v>397</v>
      </c>
      <c r="D1917" s="2" t="s">
        <v>151</v>
      </c>
      <c r="E1917" s="2" t="s">
        <v>124</v>
      </c>
      <c r="F1917" s="2" t="s">
        <v>395</v>
      </c>
      <c r="G1917" s="2" t="s">
        <v>27</v>
      </c>
      <c r="I1917">
        <f>HEX2DEC(_0811_173439[[#This Row],[580C]])*B$4/B$5+B$6</f>
        <v>0</v>
      </c>
      <c r="J1917">
        <f>HEX2DEC(_0811_173439[[#This Row],[4402]])*C$4/C$5+C$6</f>
        <v>38</v>
      </c>
      <c r="K1917">
        <f>HEX2DEC(_0811_173439[[#This Row],[580F]])*D$4/D$5+D$6</f>
        <v>30</v>
      </c>
      <c r="L1917">
        <f>ROUND(HEX2DEC(_0811_173439[[#This Row],[58F0]])*E$4/E$5+E$6,0)</f>
        <v>71</v>
      </c>
      <c r="M1917">
        <f>ROUND(HEX2DEC(_0811_173439[[#This Row],[5805]])*F$4/F$5+F$6,0)</f>
        <v>47</v>
      </c>
      <c r="N1917">
        <f>ROUND(HEX2DEC(_0811_173439[[#This Row],[58DD]])*G$4/G$5+G$6,2)</f>
        <v>-0.03</v>
      </c>
      <c r="P1917">
        <v>0</v>
      </c>
      <c r="Q1917">
        <v>38</v>
      </c>
      <c r="R1917">
        <v>30</v>
      </c>
      <c r="S1917">
        <v>71</v>
      </c>
      <c r="T1917">
        <v>46</v>
      </c>
      <c r="U1917">
        <v>-0.03</v>
      </c>
      <c r="W1917">
        <f>DataLog_T717420_Aug11_4_59_37pm[[#This Row],[RPM '[1/MIN']]]-Table3[[#This Row],[580C]]</f>
        <v>0</v>
      </c>
      <c r="X1917">
        <f>DataLog_T717420_Aug11_4_59_37pm[[#This Row],[OIL TEMP '[Â°C']]]-Table3[[#This Row],[4402]]</f>
        <v>0</v>
      </c>
      <c r="Y1917">
        <f>DataLog_T717420_Aug11_4_59_37pm[[#This Row],[INTAKE TEMP '[Â°C']]]-Table3[[#This Row],[580F]]</f>
        <v>0</v>
      </c>
      <c r="Z1917">
        <f>DataLog_T717420_Aug11_4_59_37pm[[#This Row],[HPFP PRES. '[BAR']]]-Table3[[#This Row],[58F0]]</f>
        <v>0</v>
      </c>
      <c r="AA1917">
        <f>DataLog_T717420_Aug11_4_59_37pm[[#This Row],[COOLANT TEMP '[Â°C']]]-Table3[[#This Row],[5805]]</f>
        <v>-1</v>
      </c>
      <c r="AB1917">
        <f>DataLog_T717420_Aug11_4_59_37pm[[#This Row],[BOOST '[BAR']]]-Table3[[#This Row],[58DD]]</f>
        <v>0</v>
      </c>
    </row>
    <row r="1918" spans="2:28" x14ac:dyDescent="0.25">
      <c r="B1918" s="2" t="s">
        <v>23</v>
      </c>
      <c r="C1918" s="2" t="s">
        <v>397</v>
      </c>
      <c r="D1918" s="2" t="s">
        <v>151</v>
      </c>
      <c r="E1918" s="2" t="s">
        <v>124</v>
      </c>
      <c r="F1918" s="2" t="s">
        <v>395</v>
      </c>
      <c r="G1918" s="2" t="s">
        <v>28</v>
      </c>
      <c r="I1918">
        <f>HEX2DEC(_0811_173439[[#This Row],[580C]])*B$4/B$5+B$6</f>
        <v>0</v>
      </c>
      <c r="J1918">
        <f>HEX2DEC(_0811_173439[[#This Row],[4402]])*C$4/C$5+C$6</f>
        <v>38</v>
      </c>
      <c r="K1918">
        <f>HEX2DEC(_0811_173439[[#This Row],[580F]])*D$4/D$5+D$6</f>
        <v>30</v>
      </c>
      <c r="L1918">
        <f>ROUND(HEX2DEC(_0811_173439[[#This Row],[58F0]])*E$4/E$5+E$6,0)</f>
        <v>71</v>
      </c>
      <c r="M1918">
        <f>ROUND(HEX2DEC(_0811_173439[[#This Row],[5805]])*F$4/F$5+F$6,0)</f>
        <v>47</v>
      </c>
      <c r="N1918">
        <f>ROUND(HEX2DEC(_0811_173439[[#This Row],[58DD]])*G$4/G$5+G$6,2)</f>
        <v>-0.02</v>
      </c>
      <c r="P1918">
        <v>0</v>
      </c>
      <c r="Q1918">
        <v>38</v>
      </c>
      <c r="R1918">
        <v>30</v>
      </c>
      <c r="S1918">
        <v>71</v>
      </c>
      <c r="T1918">
        <v>46</v>
      </c>
      <c r="U1918">
        <v>-0.02</v>
      </c>
      <c r="W1918">
        <f>DataLog_T717420_Aug11_4_59_37pm[[#This Row],[RPM '[1/MIN']]]-Table3[[#This Row],[580C]]</f>
        <v>0</v>
      </c>
      <c r="X1918">
        <f>DataLog_T717420_Aug11_4_59_37pm[[#This Row],[OIL TEMP '[Â°C']]]-Table3[[#This Row],[4402]]</f>
        <v>0</v>
      </c>
      <c r="Y1918">
        <f>DataLog_T717420_Aug11_4_59_37pm[[#This Row],[INTAKE TEMP '[Â°C']]]-Table3[[#This Row],[580F]]</f>
        <v>0</v>
      </c>
      <c r="Z1918">
        <f>DataLog_T717420_Aug11_4_59_37pm[[#This Row],[HPFP PRES. '[BAR']]]-Table3[[#This Row],[58F0]]</f>
        <v>0</v>
      </c>
      <c r="AA1918">
        <f>DataLog_T717420_Aug11_4_59_37pm[[#This Row],[COOLANT TEMP '[Â°C']]]-Table3[[#This Row],[5805]]</f>
        <v>-1</v>
      </c>
      <c r="AB1918">
        <f>DataLog_T717420_Aug11_4_59_37pm[[#This Row],[BOOST '[BAR']]]-Table3[[#This Row],[58DD]]</f>
        <v>0</v>
      </c>
    </row>
    <row r="1919" spans="2:28" x14ac:dyDescent="0.25">
      <c r="B1919" s="2" t="s">
        <v>23</v>
      </c>
      <c r="C1919" s="2" t="s">
        <v>397</v>
      </c>
      <c r="D1919" s="2" t="s">
        <v>151</v>
      </c>
      <c r="E1919" s="2" t="s">
        <v>124</v>
      </c>
      <c r="F1919" s="2" t="s">
        <v>395</v>
      </c>
      <c r="G1919" s="2" t="s">
        <v>27</v>
      </c>
      <c r="I1919">
        <f>HEX2DEC(_0811_173439[[#This Row],[580C]])*B$4/B$5+B$6</f>
        <v>0</v>
      </c>
      <c r="J1919">
        <f>HEX2DEC(_0811_173439[[#This Row],[4402]])*C$4/C$5+C$6</f>
        <v>38</v>
      </c>
      <c r="K1919">
        <f>HEX2DEC(_0811_173439[[#This Row],[580F]])*D$4/D$5+D$6</f>
        <v>30</v>
      </c>
      <c r="L1919">
        <f>ROUND(HEX2DEC(_0811_173439[[#This Row],[58F0]])*E$4/E$5+E$6,0)</f>
        <v>71</v>
      </c>
      <c r="M1919">
        <f>ROUND(HEX2DEC(_0811_173439[[#This Row],[5805]])*F$4/F$5+F$6,0)</f>
        <v>47</v>
      </c>
      <c r="N1919">
        <f>ROUND(HEX2DEC(_0811_173439[[#This Row],[58DD]])*G$4/G$5+G$6,2)</f>
        <v>-0.03</v>
      </c>
      <c r="P1919">
        <v>0</v>
      </c>
      <c r="Q1919">
        <v>38</v>
      </c>
      <c r="R1919">
        <v>30</v>
      </c>
      <c r="S1919">
        <v>71</v>
      </c>
      <c r="T1919">
        <v>46</v>
      </c>
      <c r="U1919">
        <v>-0.03</v>
      </c>
      <c r="W1919">
        <f>DataLog_T717420_Aug11_4_59_37pm[[#This Row],[RPM '[1/MIN']]]-Table3[[#This Row],[580C]]</f>
        <v>0</v>
      </c>
      <c r="X1919">
        <f>DataLog_T717420_Aug11_4_59_37pm[[#This Row],[OIL TEMP '[Â°C']]]-Table3[[#This Row],[4402]]</f>
        <v>0</v>
      </c>
      <c r="Y1919">
        <f>DataLog_T717420_Aug11_4_59_37pm[[#This Row],[INTAKE TEMP '[Â°C']]]-Table3[[#This Row],[580F]]</f>
        <v>0</v>
      </c>
      <c r="Z1919">
        <f>DataLog_T717420_Aug11_4_59_37pm[[#This Row],[HPFP PRES. '[BAR']]]-Table3[[#This Row],[58F0]]</f>
        <v>0</v>
      </c>
      <c r="AA1919">
        <f>DataLog_T717420_Aug11_4_59_37pm[[#This Row],[COOLANT TEMP '[Â°C']]]-Table3[[#This Row],[5805]]</f>
        <v>-1</v>
      </c>
      <c r="AB1919">
        <f>DataLog_T717420_Aug11_4_59_37pm[[#This Row],[BOOST '[BAR']]]-Table3[[#This Row],[58DD]]</f>
        <v>0</v>
      </c>
    </row>
    <row r="1920" spans="2:28" x14ac:dyDescent="0.25">
      <c r="B1920" s="2" t="s">
        <v>23</v>
      </c>
      <c r="C1920" s="2" t="s">
        <v>397</v>
      </c>
      <c r="D1920" s="2" t="s">
        <v>151</v>
      </c>
      <c r="E1920" s="2" t="s">
        <v>124</v>
      </c>
      <c r="F1920" s="2" t="s">
        <v>409</v>
      </c>
      <c r="G1920" s="2" t="s">
        <v>27</v>
      </c>
      <c r="I1920">
        <f>HEX2DEC(_0811_173439[[#This Row],[580C]])*B$4/B$5+B$6</f>
        <v>0</v>
      </c>
      <c r="J1920">
        <f>HEX2DEC(_0811_173439[[#This Row],[4402]])*C$4/C$5+C$6</f>
        <v>38</v>
      </c>
      <c r="K1920">
        <f>HEX2DEC(_0811_173439[[#This Row],[580F]])*D$4/D$5+D$6</f>
        <v>30</v>
      </c>
      <c r="L1920">
        <f>ROUND(HEX2DEC(_0811_173439[[#This Row],[58F0]])*E$4/E$5+E$6,0)</f>
        <v>71</v>
      </c>
      <c r="M1920">
        <f>ROUND(HEX2DEC(_0811_173439[[#This Row],[5805]])*F$4/F$5+F$6,0)</f>
        <v>47</v>
      </c>
      <c r="N1920">
        <f>ROUND(HEX2DEC(_0811_173439[[#This Row],[58DD]])*G$4/G$5+G$6,2)</f>
        <v>-0.03</v>
      </c>
      <c r="P1920">
        <v>0</v>
      </c>
      <c r="Q1920">
        <v>38</v>
      </c>
      <c r="R1920">
        <v>30</v>
      </c>
      <c r="S1920">
        <v>71</v>
      </c>
      <c r="T1920">
        <v>47</v>
      </c>
      <c r="U1920">
        <v>-0.03</v>
      </c>
      <c r="W1920">
        <f>DataLog_T717420_Aug11_4_59_37pm[[#This Row],[RPM '[1/MIN']]]-Table3[[#This Row],[580C]]</f>
        <v>0</v>
      </c>
      <c r="X1920">
        <f>DataLog_T717420_Aug11_4_59_37pm[[#This Row],[OIL TEMP '[Â°C']]]-Table3[[#This Row],[4402]]</f>
        <v>0</v>
      </c>
      <c r="Y1920">
        <f>DataLog_T717420_Aug11_4_59_37pm[[#This Row],[INTAKE TEMP '[Â°C']]]-Table3[[#This Row],[580F]]</f>
        <v>0</v>
      </c>
      <c r="Z1920">
        <f>DataLog_T717420_Aug11_4_59_37pm[[#This Row],[HPFP PRES. '[BAR']]]-Table3[[#This Row],[58F0]]</f>
        <v>0</v>
      </c>
      <c r="AA1920">
        <f>DataLog_T717420_Aug11_4_59_37pm[[#This Row],[COOLANT TEMP '[Â°C']]]-Table3[[#This Row],[5805]]</f>
        <v>0</v>
      </c>
      <c r="AB1920">
        <f>DataLog_T717420_Aug11_4_59_37pm[[#This Row],[BOOST '[BAR']]]-Table3[[#This Row],[58DD]]</f>
        <v>0</v>
      </c>
    </row>
    <row r="1921" spans="2:28" x14ac:dyDescent="0.25">
      <c r="B1921" s="2" t="s">
        <v>23</v>
      </c>
      <c r="C1921" s="2" t="s">
        <v>397</v>
      </c>
      <c r="D1921" s="2" t="s">
        <v>151</v>
      </c>
      <c r="E1921" s="2" t="s">
        <v>124</v>
      </c>
      <c r="F1921" s="2" t="s">
        <v>409</v>
      </c>
      <c r="G1921" s="2" t="s">
        <v>28</v>
      </c>
      <c r="I1921">
        <f>HEX2DEC(_0811_173439[[#This Row],[580C]])*B$4/B$5+B$6</f>
        <v>0</v>
      </c>
      <c r="J1921">
        <f>HEX2DEC(_0811_173439[[#This Row],[4402]])*C$4/C$5+C$6</f>
        <v>38</v>
      </c>
      <c r="K1921">
        <f>HEX2DEC(_0811_173439[[#This Row],[580F]])*D$4/D$5+D$6</f>
        <v>30</v>
      </c>
      <c r="L1921">
        <f>ROUND(HEX2DEC(_0811_173439[[#This Row],[58F0]])*E$4/E$5+E$6,0)</f>
        <v>71</v>
      </c>
      <c r="M1921">
        <f>ROUND(HEX2DEC(_0811_173439[[#This Row],[5805]])*F$4/F$5+F$6,0)</f>
        <v>47</v>
      </c>
      <c r="N1921">
        <f>ROUND(HEX2DEC(_0811_173439[[#This Row],[58DD]])*G$4/G$5+G$6,2)</f>
        <v>-0.02</v>
      </c>
      <c r="P1921">
        <v>0</v>
      </c>
      <c r="Q1921">
        <v>38</v>
      </c>
      <c r="R1921">
        <v>30</v>
      </c>
      <c r="S1921">
        <v>71</v>
      </c>
      <c r="T1921">
        <v>47</v>
      </c>
      <c r="U1921">
        <v>-0.02</v>
      </c>
      <c r="W1921">
        <f>DataLog_T717420_Aug11_4_59_37pm[[#This Row],[RPM '[1/MIN']]]-Table3[[#This Row],[580C]]</f>
        <v>0</v>
      </c>
      <c r="X1921">
        <f>DataLog_T717420_Aug11_4_59_37pm[[#This Row],[OIL TEMP '[Â°C']]]-Table3[[#This Row],[4402]]</f>
        <v>0</v>
      </c>
      <c r="Y1921">
        <f>DataLog_T717420_Aug11_4_59_37pm[[#This Row],[INTAKE TEMP '[Â°C']]]-Table3[[#This Row],[580F]]</f>
        <v>0</v>
      </c>
      <c r="Z1921">
        <f>DataLog_T717420_Aug11_4_59_37pm[[#This Row],[HPFP PRES. '[BAR']]]-Table3[[#This Row],[58F0]]</f>
        <v>0</v>
      </c>
      <c r="AA1921">
        <f>DataLog_T717420_Aug11_4_59_37pm[[#This Row],[COOLANT TEMP '[Â°C']]]-Table3[[#This Row],[5805]]</f>
        <v>0</v>
      </c>
      <c r="AB1921">
        <f>DataLog_T717420_Aug11_4_59_37pm[[#This Row],[BOOST '[BAR']]]-Table3[[#This Row],[58DD]]</f>
        <v>0</v>
      </c>
    </row>
    <row r="1922" spans="2:28" x14ac:dyDescent="0.25">
      <c r="B1922" s="2" t="s">
        <v>23</v>
      </c>
      <c r="C1922" s="2" t="s">
        <v>397</v>
      </c>
      <c r="D1922" s="2" t="s">
        <v>151</v>
      </c>
      <c r="E1922" s="2" t="s">
        <v>124</v>
      </c>
      <c r="F1922" s="2" t="s">
        <v>409</v>
      </c>
      <c r="G1922" s="2" t="s">
        <v>27</v>
      </c>
      <c r="I1922">
        <f>HEX2DEC(_0811_173439[[#This Row],[580C]])*B$4/B$5+B$6</f>
        <v>0</v>
      </c>
      <c r="J1922">
        <f>HEX2DEC(_0811_173439[[#This Row],[4402]])*C$4/C$5+C$6</f>
        <v>38</v>
      </c>
      <c r="K1922">
        <f>HEX2DEC(_0811_173439[[#This Row],[580F]])*D$4/D$5+D$6</f>
        <v>30</v>
      </c>
      <c r="L1922">
        <f>ROUND(HEX2DEC(_0811_173439[[#This Row],[58F0]])*E$4/E$5+E$6,0)</f>
        <v>71</v>
      </c>
      <c r="M1922">
        <f>ROUND(HEX2DEC(_0811_173439[[#This Row],[5805]])*F$4/F$5+F$6,0)</f>
        <v>47</v>
      </c>
      <c r="N1922">
        <f>ROUND(HEX2DEC(_0811_173439[[#This Row],[58DD]])*G$4/G$5+G$6,2)</f>
        <v>-0.03</v>
      </c>
      <c r="P1922">
        <v>0</v>
      </c>
      <c r="Q1922">
        <v>38</v>
      </c>
      <c r="R1922">
        <v>30</v>
      </c>
      <c r="S1922">
        <v>71</v>
      </c>
      <c r="T1922">
        <v>47</v>
      </c>
      <c r="U1922">
        <v>-0.03</v>
      </c>
      <c r="W1922">
        <f>DataLog_T717420_Aug11_4_59_37pm[[#This Row],[RPM '[1/MIN']]]-Table3[[#This Row],[580C]]</f>
        <v>0</v>
      </c>
      <c r="X1922">
        <f>DataLog_T717420_Aug11_4_59_37pm[[#This Row],[OIL TEMP '[Â°C']]]-Table3[[#This Row],[4402]]</f>
        <v>0</v>
      </c>
      <c r="Y1922">
        <f>DataLog_T717420_Aug11_4_59_37pm[[#This Row],[INTAKE TEMP '[Â°C']]]-Table3[[#This Row],[580F]]</f>
        <v>0</v>
      </c>
      <c r="Z1922">
        <f>DataLog_T717420_Aug11_4_59_37pm[[#This Row],[HPFP PRES. '[BAR']]]-Table3[[#This Row],[58F0]]</f>
        <v>0</v>
      </c>
      <c r="AA1922">
        <f>DataLog_T717420_Aug11_4_59_37pm[[#This Row],[COOLANT TEMP '[Â°C']]]-Table3[[#This Row],[5805]]</f>
        <v>0</v>
      </c>
      <c r="AB1922">
        <f>DataLog_T717420_Aug11_4_59_37pm[[#This Row],[BOOST '[BAR']]]-Table3[[#This Row],[58DD]]</f>
        <v>0</v>
      </c>
    </row>
    <row r="1923" spans="2:28" x14ac:dyDescent="0.25">
      <c r="B1923" s="2" t="s">
        <v>23</v>
      </c>
      <c r="C1923" s="2" t="s">
        <v>397</v>
      </c>
      <c r="D1923" s="2" t="s">
        <v>151</v>
      </c>
      <c r="E1923" s="2" t="s">
        <v>124</v>
      </c>
      <c r="F1923" s="2" t="s">
        <v>409</v>
      </c>
      <c r="G1923" s="2" t="s">
        <v>27</v>
      </c>
      <c r="I1923">
        <f>HEX2DEC(_0811_173439[[#This Row],[580C]])*B$4/B$5+B$6</f>
        <v>0</v>
      </c>
      <c r="J1923">
        <f>HEX2DEC(_0811_173439[[#This Row],[4402]])*C$4/C$5+C$6</f>
        <v>38</v>
      </c>
      <c r="K1923">
        <f>HEX2DEC(_0811_173439[[#This Row],[580F]])*D$4/D$5+D$6</f>
        <v>30</v>
      </c>
      <c r="L1923">
        <f>ROUND(HEX2DEC(_0811_173439[[#This Row],[58F0]])*E$4/E$5+E$6,0)</f>
        <v>71</v>
      </c>
      <c r="M1923">
        <f>ROUND(HEX2DEC(_0811_173439[[#This Row],[5805]])*F$4/F$5+F$6,0)</f>
        <v>47</v>
      </c>
      <c r="N1923">
        <f>ROUND(HEX2DEC(_0811_173439[[#This Row],[58DD]])*G$4/G$5+G$6,2)</f>
        <v>-0.03</v>
      </c>
      <c r="P1923">
        <v>0</v>
      </c>
      <c r="Q1923">
        <v>38</v>
      </c>
      <c r="R1923">
        <v>30</v>
      </c>
      <c r="S1923">
        <v>71</v>
      </c>
      <c r="T1923">
        <v>47</v>
      </c>
      <c r="U1923">
        <v>-0.03</v>
      </c>
      <c r="W1923">
        <f>DataLog_T717420_Aug11_4_59_37pm[[#This Row],[RPM '[1/MIN']]]-Table3[[#This Row],[580C]]</f>
        <v>0</v>
      </c>
      <c r="X1923">
        <f>DataLog_T717420_Aug11_4_59_37pm[[#This Row],[OIL TEMP '[Â°C']]]-Table3[[#This Row],[4402]]</f>
        <v>0</v>
      </c>
      <c r="Y1923">
        <f>DataLog_T717420_Aug11_4_59_37pm[[#This Row],[INTAKE TEMP '[Â°C']]]-Table3[[#This Row],[580F]]</f>
        <v>0</v>
      </c>
      <c r="Z1923">
        <f>DataLog_T717420_Aug11_4_59_37pm[[#This Row],[HPFP PRES. '[BAR']]]-Table3[[#This Row],[58F0]]</f>
        <v>0</v>
      </c>
      <c r="AA1923">
        <f>DataLog_T717420_Aug11_4_59_37pm[[#This Row],[COOLANT TEMP '[Â°C']]]-Table3[[#This Row],[5805]]</f>
        <v>0</v>
      </c>
      <c r="AB1923">
        <f>DataLog_T717420_Aug11_4_59_37pm[[#This Row],[BOOST '[BAR']]]-Table3[[#This Row],[58DD]]</f>
        <v>0</v>
      </c>
    </row>
    <row r="1924" spans="2:28" x14ac:dyDescent="0.25">
      <c r="B1924" s="2" t="s">
        <v>23</v>
      </c>
      <c r="C1924" s="2" t="s">
        <v>397</v>
      </c>
      <c r="D1924" s="2" t="s">
        <v>151</v>
      </c>
      <c r="E1924" s="2" t="s">
        <v>124</v>
      </c>
      <c r="F1924" s="2" t="s">
        <v>409</v>
      </c>
      <c r="G1924" s="2" t="s">
        <v>27</v>
      </c>
      <c r="I1924">
        <f>HEX2DEC(_0811_173439[[#This Row],[580C]])*B$4/B$5+B$6</f>
        <v>0</v>
      </c>
      <c r="J1924">
        <f>HEX2DEC(_0811_173439[[#This Row],[4402]])*C$4/C$5+C$6</f>
        <v>38</v>
      </c>
      <c r="K1924">
        <f>HEX2DEC(_0811_173439[[#This Row],[580F]])*D$4/D$5+D$6</f>
        <v>30</v>
      </c>
      <c r="L1924">
        <f>ROUND(HEX2DEC(_0811_173439[[#This Row],[58F0]])*E$4/E$5+E$6,0)</f>
        <v>71</v>
      </c>
      <c r="M1924">
        <f>ROUND(HEX2DEC(_0811_173439[[#This Row],[5805]])*F$4/F$5+F$6,0)</f>
        <v>47</v>
      </c>
      <c r="N1924">
        <f>ROUND(HEX2DEC(_0811_173439[[#This Row],[58DD]])*G$4/G$5+G$6,2)</f>
        <v>-0.03</v>
      </c>
      <c r="P1924">
        <v>0</v>
      </c>
      <c r="Q1924">
        <v>38</v>
      </c>
      <c r="R1924">
        <v>30</v>
      </c>
      <c r="S1924">
        <v>71</v>
      </c>
      <c r="T1924">
        <v>47</v>
      </c>
      <c r="U1924">
        <v>-0.03</v>
      </c>
      <c r="W1924">
        <f>DataLog_T717420_Aug11_4_59_37pm[[#This Row],[RPM '[1/MIN']]]-Table3[[#This Row],[580C]]</f>
        <v>0</v>
      </c>
      <c r="X1924">
        <f>DataLog_T717420_Aug11_4_59_37pm[[#This Row],[OIL TEMP '[Â°C']]]-Table3[[#This Row],[4402]]</f>
        <v>0</v>
      </c>
      <c r="Y1924">
        <f>DataLog_T717420_Aug11_4_59_37pm[[#This Row],[INTAKE TEMP '[Â°C']]]-Table3[[#This Row],[580F]]</f>
        <v>0</v>
      </c>
      <c r="Z1924">
        <f>DataLog_T717420_Aug11_4_59_37pm[[#This Row],[HPFP PRES. '[BAR']]]-Table3[[#This Row],[58F0]]</f>
        <v>0</v>
      </c>
      <c r="AA1924">
        <f>DataLog_T717420_Aug11_4_59_37pm[[#This Row],[COOLANT TEMP '[Â°C']]]-Table3[[#This Row],[5805]]</f>
        <v>0</v>
      </c>
      <c r="AB1924">
        <f>DataLog_T717420_Aug11_4_59_37pm[[#This Row],[BOOST '[BAR']]]-Table3[[#This Row],[58DD]]</f>
        <v>0</v>
      </c>
    </row>
    <row r="1925" spans="2:28" x14ac:dyDescent="0.25">
      <c r="B1925" s="2" t="s">
        <v>23</v>
      </c>
      <c r="C1925" s="2" t="s">
        <v>397</v>
      </c>
      <c r="D1925" s="2" t="s">
        <v>151</v>
      </c>
      <c r="E1925" s="2" t="s">
        <v>124</v>
      </c>
      <c r="F1925" s="2" t="s">
        <v>409</v>
      </c>
      <c r="G1925" s="2" t="s">
        <v>27</v>
      </c>
      <c r="I1925">
        <f>HEX2DEC(_0811_173439[[#This Row],[580C]])*B$4/B$5+B$6</f>
        <v>0</v>
      </c>
      <c r="J1925">
        <f>HEX2DEC(_0811_173439[[#This Row],[4402]])*C$4/C$5+C$6</f>
        <v>38</v>
      </c>
      <c r="K1925">
        <f>HEX2DEC(_0811_173439[[#This Row],[580F]])*D$4/D$5+D$6</f>
        <v>30</v>
      </c>
      <c r="L1925">
        <f>ROUND(HEX2DEC(_0811_173439[[#This Row],[58F0]])*E$4/E$5+E$6,0)</f>
        <v>71</v>
      </c>
      <c r="M1925">
        <f>ROUND(HEX2DEC(_0811_173439[[#This Row],[5805]])*F$4/F$5+F$6,0)</f>
        <v>47</v>
      </c>
      <c r="N1925">
        <f>ROUND(HEX2DEC(_0811_173439[[#This Row],[58DD]])*G$4/G$5+G$6,2)</f>
        <v>-0.03</v>
      </c>
      <c r="P1925">
        <v>0</v>
      </c>
      <c r="Q1925">
        <v>38</v>
      </c>
      <c r="R1925">
        <v>30</v>
      </c>
      <c r="S1925">
        <v>71</v>
      </c>
      <c r="T1925">
        <v>47</v>
      </c>
      <c r="U1925">
        <v>-0.03</v>
      </c>
      <c r="W1925">
        <f>DataLog_T717420_Aug11_4_59_37pm[[#This Row],[RPM '[1/MIN']]]-Table3[[#This Row],[580C]]</f>
        <v>0</v>
      </c>
      <c r="X1925">
        <f>DataLog_T717420_Aug11_4_59_37pm[[#This Row],[OIL TEMP '[Â°C']]]-Table3[[#This Row],[4402]]</f>
        <v>0</v>
      </c>
      <c r="Y1925">
        <f>DataLog_T717420_Aug11_4_59_37pm[[#This Row],[INTAKE TEMP '[Â°C']]]-Table3[[#This Row],[580F]]</f>
        <v>0</v>
      </c>
      <c r="Z1925">
        <f>DataLog_T717420_Aug11_4_59_37pm[[#This Row],[HPFP PRES. '[BAR']]]-Table3[[#This Row],[58F0]]</f>
        <v>0</v>
      </c>
      <c r="AA1925">
        <f>DataLog_T717420_Aug11_4_59_37pm[[#This Row],[COOLANT TEMP '[Â°C']]]-Table3[[#This Row],[5805]]</f>
        <v>0</v>
      </c>
      <c r="AB1925">
        <f>DataLog_T717420_Aug11_4_59_37pm[[#This Row],[BOOST '[BAR']]]-Table3[[#This Row],[58DD]]</f>
        <v>0</v>
      </c>
    </row>
    <row r="1926" spans="2:28" x14ac:dyDescent="0.25">
      <c r="B1926" s="2" t="s">
        <v>23</v>
      </c>
      <c r="C1926" s="2" t="s">
        <v>410</v>
      </c>
      <c r="D1926" s="2" t="s">
        <v>151</v>
      </c>
      <c r="E1926" s="2" t="s">
        <v>124</v>
      </c>
      <c r="F1926" s="2" t="s">
        <v>409</v>
      </c>
      <c r="G1926" s="2" t="s">
        <v>27</v>
      </c>
      <c r="I1926">
        <f>HEX2DEC(_0811_173439[[#This Row],[580C]])*B$4/B$5+B$6</f>
        <v>0</v>
      </c>
      <c r="J1926">
        <f>HEX2DEC(_0811_173439[[#This Row],[4402]])*C$4/C$5+C$6</f>
        <v>39</v>
      </c>
      <c r="K1926">
        <f>HEX2DEC(_0811_173439[[#This Row],[580F]])*D$4/D$5+D$6</f>
        <v>30</v>
      </c>
      <c r="L1926">
        <f>ROUND(HEX2DEC(_0811_173439[[#This Row],[58F0]])*E$4/E$5+E$6,0)</f>
        <v>71</v>
      </c>
      <c r="M1926">
        <f>ROUND(HEX2DEC(_0811_173439[[#This Row],[5805]])*F$4/F$5+F$6,0)</f>
        <v>47</v>
      </c>
      <c r="N1926">
        <f>ROUND(HEX2DEC(_0811_173439[[#This Row],[58DD]])*G$4/G$5+G$6,2)</f>
        <v>-0.03</v>
      </c>
      <c r="P1926">
        <v>0</v>
      </c>
      <c r="Q1926">
        <v>39</v>
      </c>
      <c r="R1926">
        <v>30</v>
      </c>
      <c r="S1926">
        <v>71</v>
      </c>
      <c r="T1926">
        <v>47</v>
      </c>
      <c r="U1926">
        <v>-0.03</v>
      </c>
      <c r="W1926">
        <f>DataLog_T717420_Aug11_4_59_37pm[[#This Row],[RPM '[1/MIN']]]-Table3[[#This Row],[580C]]</f>
        <v>0</v>
      </c>
      <c r="X1926">
        <f>DataLog_T717420_Aug11_4_59_37pm[[#This Row],[OIL TEMP '[Â°C']]]-Table3[[#This Row],[4402]]</f>
        <v>0</v>
      </c>
      <c r="Y1926">
        <f>DataLog_T717420_Aug11_4_59_37pm[[#This Row],[INTAKE TEMP '[Â°C']]]-Table3[[#This Row],[580F]]</f>
        <v>0</v>
      </c>
      <c r="Z1926">
        <f>DataLog_T717420_Aug11_4_59_37pm[[#This Row],[HPFP PRES. '[BAR']]]-Table3[[#This Row],[58F0]]</f>
        <v>0</v>
      </c>
      <c r="AA1926">
        <f>DataLog_T717420_Aug11_4_59_37pm[[#This Row],[COOLANT TEMP '[Â°C']]]-Table3[[#This Row],[5805]]</f>
        <v>0</v>
      </c>
      <c r="AB1926">
        <f>DataLog_T717420_Aug11_4_59_37pm[[#This Row],[BOOST '[BAR']]]-Table3[[#This Row],[58DD]]</f>
        <v>0</v>
      </c>
    </row>
    <row r="1927" spans="2:28" x14ac:dyDescent="0.25">
      <c r="B1927" s="2" t="s">
        <v>23</v>
      </c>
      <c r="C1927" s="2" t="s">
        <v>410</v>
      </c>
      <c r="D1927" s="2" t="s">
        <v>151</v>
      </c>
      <c r="E1927" s="2" t="s">
        <v>124</v>
      </c>
      <c r="F1927" s="2" t="s">
        <v>409</v>
      </c>
      <c r="G1927" s="2" t="s">
        <v>27</v>
      </c>
      <c r="I1927">
        <f>HEX2DEC(_0811_173439[[#This Row],[580C]])*B$4/B$5+B$6</f>
        <v>0</v>
      </c>
      <c r="J1927">
        <f>HEX2DEC(_0811_173439[[#This Row],[4402]])*C$4/C$5+C$6</f>
        <v>39</v>
      </c>
      <c r="K1927">
        <f>HEX2DEC(_0811_173439[[#This Row],[580F]])*D$4/D$5+D$6</f>
        <v>30</v>
      </c>
      <c r="L1927">
        <f>ROUND(HEX2DEC(_0811_173439[[#This Row],[58F0]])*E$4/E$5+E$6,0)</f>
        <v>71</v>
      </c>
      <c r="M1927">
        <f>ROUND(HEX2DEC(_0811_173439[[#This Row],[5805]])*F$4/F$5+F$6,0)</f>
        <v>47</v>
      </c>
      <c r="N1927">
        <f>ROUND(HEX2DEC(_0811_173439[[#This Row],[58DD]])*G$4/G$5+G$6,2)</f>
        <v>-0.03</v>
      </c>
      <c r="P1927">
        <v>0</v>
      </c>
      <c r="Q1927">
        <v>39</v>
      </c>
      <c r="R1927">
        <v>30</v>
      </c>
      <c r="S1927">
        <v>71</v>
      </c>
      <c r="T1927">
        <v>47</v>
      </c>
      <c r="U1927">
        <v>-0.03</v>
      </c>
      <c r="W1927">
        <f>DataLog_T717420_Aug11_4_59_37pm[[#This Row],[RPM '[1/MIN']]]-Table3[[#This Row],[580C]]</f>
        <v>0</v>
      </c>
      <c r="X1927">
        <f>DataLog_T717420_Aug11_4_59_37pm[[#This Row],[OIL TEMP '[Â°C']]]-Table3[[#This Row],[4402]]</f>
        <v>0</v>
      </c>
      <c r="Y1927">
        <f>DataLog_T717420_Aug11_4_59_37pm[[#This Row],[INTAKE TEMP '[Â°C']]]-Table3[[#This Row],[580F]]</f>
        <v>0</v>
      </c>
      <c r="Z1927">
        <f>DataLog_T717420_Aug11_4_59_37pm[[#This Row],[HPFP PRES. '[BAR']]]-Table3[[#This Row],[58F0]]</f>
        <v>0</v>
      </c>
      <c r="AA1927">
        <f>DataLog_T717420_Aug11_4_59_37pm[[#This Row],[COOLANT TEMP '[Â°C']]]-Table3[[#This Row],[5805]]</f>
        <v>0</v>
      </c>
      <c r="AB1927">
        <f>DataLog_T717420_Aug11_4_59_37pm[[#This Row],[BOOST '[BAR']]]-Table3[[#This Row],[58DD]]</f>
        <v>0</v>
      </c>
    </row>
    <row r="1928" spans="2:28" x14ac:dyDescent="0.25">
      <c r="B1928" s="2" t="s">
        <v>23</v>
      </c>
      <c r="C1928" s="2" t="s">
        <v>410</v>
      </c>
      <c r="D1928" s="2" t="s">
        <v>151</v>
      </c>
      <c r="E1928" s="2" t="s">
        <v>124</v>
      </c>
      <c r="F1928" s="2" t="s">
        <v>409</v>
      </c>
      <c r="G1928" s="2" t="s">
        <v>27</v>
      </c>
      <c r="I1928">
        <f>HEX2DEC(_0811_173439[[#This Row],[580C]])*B$4/B$5+B$6</f>
        <v>0</v>
      </c>
      <c r="J1928">
        <f>HEX2DEC(_0811_173439[[#This Row],[4402]])*C$4/C$5+C$6</f>
        <v>39</v>
      </c>
      <c r="K1928">
        <f>HEX2DEC(_0811_173439[[#This Row],[580F]])*D$4/D$5+D$6</f>
        <v>30</v>
      </c>
      <c r="L1928">
        <f>ROUND(HEX2DEC(_0811_173439[[#This Row],[58F0]])*E$4/E$5+E$6,0)</f>
        <v>71</v>
      </c>
      <c r="M1928">
        <f>ROUND(HEX2DEC(_0811_173439[[#This Row],[5805]])*F$4/F$5+F$6,0)</f>
        <v>47</v>
      </c>
      <c r="N1928">
        <f>ROUND(HEX2DEC(_0811_173439[[#This Row],[58DD]])*G$4/G$5+G$6,2)</f>
        <v>-0.03</v>
      </c>
      <c r="P1928">
        <v>0</v>
      </c>
      <c r="Q1928">
        <v>39</v>
      </c>
      <c r="R1928">
        <v>30</v>
      </c>
      <c r="S1928">
        <v>71</v>
      </c>
      <c r="T1928">
        <v>47</v>
      </c>
      <c r="U1928">
        <v>-0.03</v>
      </c>
      <c r="W1928">
        <f>DataLog_T717420_Aug11_4_59_37pm[[#This Row],[RPM '[1/MIN']]]-Table3[[#This Row],[580C]]</f>
        <v>0</v>
      </c>
      <c r="X1928">
        <f>DataLog_T717420_Aug11_4_59_37pm[[#This Row],[OIL TEMP '[Â°C']]]-Table3[[#This Row],[4402]]</f>
        <v>0</v>
      </c>
      <c r="Y1928">
        <f>DataLog_T717420_Aug11_4_59_37pm[[#This Row],[INTAKE TEMP '[Â°C']]]-Table3[[#This Row],[580F]]</f>
        <v>0</v>
      </c>
      <c r="Z1928">
        <f>DataLog_T717420_Aug11_4_59_37pm[[#This Row],[HPFP PRES. '[BAR']]]-Table3[[#This Row],[58F0]]</f>
        <v>0</v>
      </c>
      <c r="AA1928">
        <f>DataLog_T717420_Aug11_4_59_37pm[[#This Row],[COOLANT TEMP '[Â°C']]]-Table3[[#This Row],[5805]]</f>
        <v>0</v>
      </c>
      <c r="AB1928">
        <f>DataLog_T717420_Aug11_4_59_37pm[[#This Row],[BOOST '[BAR']]]-Table3[[#This Row],[58DD]]</f>
        <v>0</v>
      </c>
    </row>
    <row r="1929" spans="2:28" x14ac:dyDescent="0.25">
      <c r="B1929" s="2" t="s">
        <v>23</v>
      </c>
      <c r="C1929" s="2" t="s">
        <v>410</v>
      </c>
      <c r="D1929" s="2" t="s">
        <v>151</v>
      </c>
      <c r="E1929" s="2" t="s">
        <v>124</v>
      </c>
      <c r="F1929" s="2" t="s">
        <v>409</v>
      </c>
      <c r="G1929" s="2" t="s">
        <v>28</v>
      </c>
      <c r="I1929">
        <f>HEX2DEC(_0811_173439[[#This Row],[580C]])*B$4/B$5+B$6</f>
        <v>0</v>
      </c>
      <c r="J1929">
        <f>HEX2DEC(_0811_173439[[#This Row],[4402]])*C$4/C$5+C$6</f>
        <v>39</v>
      </c>
      <c r="K1929">
        <f>HEX2DEC(_0811_173439[[#This Row],[580F]])*D$4/D$5+D$6</f>
        <v>30</v>
      </c>
      <c r="L1929">
        <f>ROUND(HEX2DEC(_0811_173439[[#This Row],[58F0]])*E$4/E$5+E$6,0)</f>
        <v>71</v>
      </c>
      <c r="M1929">
        <f>ROUND(HEX2DEC(_0811_173439[[#This Row],[5805]])*F$4/F$5+F$6,0)</f>
        <v>47</v>
      </c>
      <c r="N1929">
        <f>ROUND(HEX2DEC(_0811_173439[[#This Row],[58DD]])*G$4/G$5+G$6,2)</f>
        <v>-0.02</v>
      </c>
      <c r="P1929">
        <v>0</v>
      </c>
      <c r="Q1929">
        <v>39</v>
      </c>
      <c r="R1929">
        <v>30</v>
      </c>
      <c r="S1929">
        <v>71</v>
      </c>
      <c r="T1929">
        <v>47</v>
      </c>
      <c r="U1929">
        <v>-0.02</v>
      </c>
      <c r="W1929">
        <f>DataLog_T717420_Aug11_4_59_37pm[[#This Row],[RPM '[1/MIN']]]-Table3[[#This Row],[580C]]</f>
        <v>0</v>
      </c>
      <c r="X1929">
        <f>DataLog_T717420_Aug11_4_59_37pm[[#This Row],[OIL TEMP '[Â°C']]]-Table3[[#This Row],[4402]]</f>
        <v>0</v>
      </c>
      <c r="Y1929">
        <f>DataLog_T717420_Aug11_4_59_37pm[[#This Row],[INTAKE TEMP '[Â°C']]]-Table3[[#This Row],[580F]]</f>
        <v>0</v>
      </c>
      <c r="Z1929">
        <f>DataLog_T717420_Aug11_4_59_37pm[[#This Row],[HPFP PRES. '[BAR']]]-Table3[[#This Row],[58F0]]</f>
        <v>0</v>
      </c>
      <c r="AA1929">
        <f>DataLog_T717420_Aug11_4_59_37pm[[#This Row],[COOLANT TEMP '[Â°C']]]-Table3[[#This Row],[5805]]</f>
        <v>0</v>
      </c>
      <c r="AB1929">
        <f>DataLog_T717420_Aug11_4_59_37pm[[#This Row],[BOOST '[BAR']]]-Table3[[#This Row],[58DD]]</f>
        <v>0</v>
      </c>
    </row>
    <row r="1930" spans="2:28" x14ac:dyDescent="0.25">
      <c r="B1930" s="2" t="s">
        <v>23</v>
      </c>
      <c r="C1930" s="2" t="s">
        <v>410</v>
      </c>
      <c r="D1930" s="2" t="s">
        <v>151</v>
      </c>
      <c r="E1930" s="2" t="s">
        <v>91</v>
      </c>
      <c r="F1930" s="2" t="s">
        <v>409</v>
      </c>
      <c r="G1930" s="2" t="s">
        <v>27</v>
      </c>
      <c r="I1930">
        <f>HEX2DEC(_0811_173439[[#This Row],[580C]])*B$4/B$5+B$6</f>
        <v>0</v>
      </c>
      <c r="J1930">
        <f>HEX2DEC(_0811_173439[[#This Row],[4402]])*C$4/C$5+C$6</f>
        <v>39</v>
      </c>
      <c r="K1930">
        <f>HEX2DEC(_0811_173439[[#This Row],[580F]])*D$4/D$5+D$6</f>
        <v>30</v>
      </c>
      <c r="L1930">
        <f>ROUND(HEX2DEC(_0811_173439[[#This Row],[58F0]])*E$4/E$5+E$6,0)</f>
        <v>71</v>
      </c>
      <c r="M1930">
        <f>ROUND(HEX2DEC(_0811_173439[[#This Row],[5805]])*F$4/F$5+F$6,0)</f>
        <v>47</v>
      </c>
      <c r="N1930">
        <f>ROUND(HEX2DEC(_0811_173439[[#This Row],[58DD]])*G$4/G$5+G$6,2)</f>
        <v>-0.03</v>
      </c>
      <c r="P1930">
        <v>0</v>
      </c>
      <c r="Q1930">
        <v>39</v>
      </c>
      <c r="R1930">
        <v>30</v>
      </c>
      <c r="S1930">
        <v>71</v>
      </c>
      <c r="T1930">
        <v>47</v>
      </c>
      <c r="U1930">
        <v>-0.03</v>
      </c>
      <c r="W1930">
        <f>DataLog_T717420_Aug11_4_59_37pm[[#This Row],[RPM '[1/MIN']]]-Table3[[#This Row],[580C]]</f>
        <v>0</v>
      </c>
      <c r="X1930">
        <f>DataLog_T717420_Aug11_4_59_37pm[[#This Row],[OIL TEMP '[Â°C']]]-Table3[[#This Row],[4402]]</f>
        <v>0</v>
      </c>
      <c r="Y1930">
        <f>DataLog_T717420_Aug11_4_59_37pm[[#This Row],[INTAKE TEMP '[Â°C']]]-Table3[[#This Row],[580F]]</f>
        <v>0</v>
      </c>
      <c r="Z1930">
        <f>DataLog_T717420_Aug11_4_59_37pm[[#This Row],[HPFP PRES. '[BAR']]]-Table3[[#This Row],[58F0]]</f>
        <v>0</v>
      </c>
      <c r="AA1930">
        <f>DataLog_T717420_Aug11_4_59_37pm[[#This Row],[COOLANT TEMP '[Â°C']]]-Table3[[#This Row],[5805]]</f>
        <v>0</v>
      </c>
      <c r="AB1930">
        <f>DataLog_T717420_Aug11_4_59_37pm[[#This Row],[BOOST '[BAR']]]-Table3[[#This Row],[58DD]]</f>
        <v>0</v>
      </c>
    </row>
    <row r="1931" spans="2:28" x14ac:dyDescent="0.25">
      <c r="B1931" s="2" t="s">
        <v>23</v>
      </c>
      <c r="C1931" s="2" t="s">
        <v>410</v>
      </c>
      <c r="D1931" s="2" t="s">
        <v>151</v>
      </c>
      <c r="E1931" s="2" t="s">
        <v>124</v>
      </c>
      <c r="F1931" s="2" t="s">
        <v>409</v>
      </c>
      <c r="G1931" s="2" t="s">
        <v>27</v>
      </c>
      <c r="I1931">
        <f>HEX2DEC(_0811_173439[[#This Row],[580C]])*B$4/B$5+B$6</f>
        <v>0</v>
      </c>
      <c r="J1931">
        <f>HEX2DEC(_0811_173439[[#This Row],[4402]])*C$4/C$5+C$6</f>
        <v>39</v>
      </c>
      <c r="K1931">
        <f>HEX2DEC(_0811_173439[[#This Row],[580F]])*D$4/D$5+D$6</f>
        <v>30</v>
      </c>
      <c r="L1931">
        <f>ROUND(HEX2DEC(_0811_173439[[#This Row],[58F0]])*E$4/E$5+E$6,0)</f>
        <v>71</v>
      </c>
      <c r="M1931">
        <f>ROUND(HEX2DEC(_0811_173439[[#This Row],[5805]])*F$4/F$5+F$6,0)</f>
        <v>47</v>
      </c>
      <c r="N1931">
        <f>ROUND(HEX2DEC(_0811_173439[[#This Row],[58DD]])*G$4/G$5+G$6,2)</f>
        <v>-0.03</v>
      </c>
      <c r="P1931">
        <v>0</v>
      </c>
      <c r="Q1931">
        <v>39</v>
      </c>
      <c r="R1931">
        <v>30</v>
      </c>
      <c r="S1931">
        <v>71</v>
      </c>
      <c r="T1931">
        <v>47</v>
      </c>
      <c r="U1931">
        <v>-0.03</v>
      </c>
      <c r="W1931">
        <f>DataLog_T717420_Aug11_4_59_37pm[[#This Row],[RPM '[1/MIN']]]-Table3[[#This Row],[580C]]</f>
        <v>0</v>
      </c>
      <c r="X1931">
        <f>DataLog_T717420_Aug11_4_59_37pm[[#This Row],[OIL TEMP '[Â°C']]]-Table3[[#This Row],[4402]]</f>
        <v>0</v>
      </c>
      <c r="Y1931">
        <f>DataLog_T717420_Aug11_4_59_37pm[[#This Row],[INTAKE TEMP '[Â°C']]]-Table3[[#This Row],[580F]]</f>
        <v>0</v>
      </c>
      <c r="Z1931">
        <f>DataLog_T717420_Aug11_4_59_37pm[[#This Row],[HPFP PRES. '[BAR']]]-Table3[[#This Row],[58F0]]</f>
        <v>0</v>
      </c>
      <c r="AA1931">
        <f>DataLog_T717420_Aug11_4_59_37pm[[#This Row],[COOLANT TEMP '[Â°C']]]-Table3[[#This Row],[5805]]</f>
        <v>0</v>
      </c>
      <c r="AB1931">
        <f>DataLog_T717420_Aug11_4_59_37pm[[#This Row],[BOOST '[BAR']]]-Table3[[#This Row],[58DD]]</f>
        <v>0</v>
      </c>
    </row>
    <row r="1932" spans="2:28" x14ac:dyDescent="0.25">
      <c r="B1932" s="2" t="s">
        <v>23</v>
      </c>
      <c r="C1932" s="2" t="s">
        <v>410</v>
      </c>
      <c r="D1932" s="2" t="s">
        <v>151</v>
      </c>
      <c r="E1932" s="2" t="s">
        <v>124</v>
      </c>
      <c r="F1932" s="2" t="s">
        <v>409</v>
      </c>
      <c r="G1932" s="2" t="s">
        <v>28</v>
      </c>
      <c r="I1932">
        <f>HEX2DEC(_0811_173439[[#This Row],[580C]])*B$4/B$5+B$6</f>
        <v>0</v>
      </c>
      <c r="J1932">
        <f>HEX2DEC(_0811_173439[[#This Row],[4402]])*C$4/C$5+C$6</f>
        <v>39</v>
      </c>
      <c r="K1932">
        <f>HEX2DEC(_0811_173439[[#This Row],[580F]])*D$4/D$5+D$6</f>
        <v>30</v>
      </c>
      <c r="L1932">
        <f>ROUND(HEX2DEC(_0811_173439[[#This Row],[58F0]])*E$4/E$5+E$6,0)</f>
        <v>71</v>
      </c>
      <c r="M1932">
        <f>ROUND(HEX2DEC(_0811_173439[[#This Row],[5805]])*F$4/F$5+F$6,0)</f>
        <v>47</v>
      </c>
      <c r="N1932">
        <f>ROUND(HEX2DEC(_0811_173439[[#This Row],[58DD]])*G$4/G$5+G$6,2)</f>
        <v>-0.02</v>
      </c>
      <c r="P1932">
        <v>0</v>
      </c>
      <c r="Q1932">
        <v>39</v>
      </c>
      <c r="R1932">
        <v>30</v>
      </c>
      <c r="S1932">
        <v>71</v>
      </c>
      <c r="T1932">
        <v>47</v>
      </c>
      <c r="U1932">
        <v>-0.02</v>
      </c>
      <c r="W1932">
        <f>DataLog_T717420_Aug11_4_59_37pm[[#This Row],[RPM '[1/MIN']]]-Table3[[#This Row],[580C]]</f>
        <v>0</v>
      </c>
      <c r="X1932">
        <f>DataLog_T717420_Aug11_4_59_37pm[[#This Row],[OIL TEMP '[Â°C']]]-Table3[[#This Row],[4402]]</f>
        <v>0</v>
      </c>
      <c r="Y1932">
        <f>DataLog_T717420_Aug11_4_59_37pm[[#This Row],[INTAKE TEMP '[Â°C']]]-Table3[[#This Row],[580F]]</f>
        <v>0</v>
      </c>
      <c r="Z1932">
        <f>DataLog_T717420_Aug11_4_59_37pm[[#This Row],[HPFP PRES. '[BAR']]]-Table3[[#This Row],[58F0]]</f>
        <v>0</v>
      </c>
      <c r="AA1932">
        <f>DataLog_T717420_Aug11_4_59_37pm[[#This Row],[COOLANT TEMP '[Â°C']]]-Table3[[#This Row],[5805]]</f>
        <v>0</v>
      </c>
      <c r="AB1932">
        <f>DataLog_T717420_Aug11_4_59_37pm[[#This Row],[BOOST '[BAR']]]-Table3[[#This Row],[58DD]]</f>
        <v>0</v>
      </c>
    </row>
    <row r="1933" spans="2:28" x14ac:dyDescent="0.25">
      <c r="B1933" s="2" t="s">
        <v>23</v>
      </c>
      <c r="C1933" s="2" t="s">
        <v>410</v>
      </c>
      <c r="D1933" s="2" t="s">
        <v>151</v>
      </c>
      <c r="E1933" s="2" t="s">
        <v>91</v>
      </c>
      <c r="F1933" s="2" t="s">
        <v>409</v>
      </c>
      <c r="G1933" s="2" t="s">
        <v>27</v>
      </c>
      <c r="I1933">
        <f>HEX2DEC(_0811_173439[[#This Row],[580C]])*B$4/B$5+B$6</f>
        <v>0</v>
      </c>
      <c r="J1933">
        <f>HEX2DEC(_0811_173439[[#This Row],[4402]])*C$4/C$5+C$6</f>
        <v>39</v>
      </c>
      <c r="K1933">
        <f>HEX2DEC(_0811_173439[[#This Row],[580F]])*D$4/D$5+D$6</f>
        <v>30</v>
      </c>
      <c r="L1933">
        <f>ROUND(HEX2DEC(_0811_173439[[#This Row],[58F0]])*E$4/E$5+E$6,0)</f>
        <v>71</v>
      </c>
      <c r="M1933">
        <f>ROUND(HEX2DEC(_0811_173439[[#This Row],[5805]])*F$4/F$5+F$6,0)</f>
        <v>47</v>
      </c>
      <c r="N1933">
        <f>ROUND(HEX2DEC(_0811_173439[[#This Row],[58DD]])*G$4/G$5+G$6,2)</f>
        <v>-0.03</v>
      </c>
      <c r="P1933">
        <v>0</v>
      </c>
      <c r="Q1933">
        <v>39</v>
      </c>
      <c r="R1933">
        <v>30</v>
      </c>
      <c r="S1933">
        <v>71</v>
      </c>
      <c r="T1933">
        <v>47</v>
      </c>
      <c r="U1933">
        <v>-0.03</v>
      </c>
      <c r="W1933">
        <f>DataLog_T717420_Aug11_4_59_37pm[[#This Row],[RPM '[1/MIN']]]-Table3[[#This Row],[580C]]</f>
        <v>0</v>
      </c>
      <c r="X1933">
        <f>DataLog_T717420_Aug11_4_59_37pm[[#This Row],[OIL TEMP '[Â°C']]]-Table3[[#This Row],[4402]]</f>
        <v>0</v>
      </c>
      <c r="Y1933">
        <f>DataLog_T717420_Aug11_4_59_37pm[[#This Row],[INTAKE TEMP '[Â°C']]]-Table3[[#This Row],[580F]]</f>
        <v>0</v>
      </c>
      <c r="Z1933">
        <f>DataLog_T717420_Aug11_4_59_37pm[[#This Row],[HPFP PRES. '[BAR']]]-Table3[[#This Row],[58F0]]</f>
        <v>0</v>
      </c>
      <c r="AA1933">
        <f>DataLog_T717420_Aug11_4_59_37pm[[#This Row],[COOLANT TEMP '[Â°C']]]-Table3[[#This Row],[5805]]</f>
        <v>0</v>
      </c>
      <c r="AB1933">
        <f>DataLog_T717420_Aug11_4_59_37pm[[#This Row],[BOOST '[BAR']]]-Table3[[#This Row],[58DD]]</f>
        <v>0</v>
      </c>
    </row>
    <row r="1934" spans="2:28" x14ac:dyDescent="0.25">
      <c r="B1934" s="2" t="s">
        <v>23</v>
      </c>
      <c r="C1934" s="2" t="s">
        <v>410</v>
      </c>
      <c r="D1934" s="2" t="s">
        <v>151</v>
      </c>
      <c r="E1934" s="2" t="s">
        <v>91</v>
      </c>
      <c r="F1934" s="2" t="s">
        <v>409</v>
      </c>
      <c r="G1934" s="2" t="s">
        <v>27</v>
      </c>
      <c r="I1934">
        <f>HEX2DEC(_0811_173439[[#This Row],[580C]])*B$4/B$5+B$6</f>
        <v>0</v>
      </c>
      <c r="J1934">
        <f>HEX2DEC(_0811_173439[[#This Row],[4402]])*C$4/C$5+C$6</f>
        <v>39</v>
      </c>
      <c r="K1934">
        <f>HEX2DEC(_0811_173439[[#This Row],[580F]])*D$4/D$5+D$6</f>
        <v>30</v>
      </c>
      <c r="L1934">
        <f>ROUND(HEX2DEC(_0811_173439[[#This Row],[58F0]])*E$4/E$5+E$6,0)</f>
        <v>71</v>
      </c>
      <c r="M1934">
        <f>ROUND(HEX2DEC(_0811_173439[[#This Row],[5805]])*F$4/F$5+F$6,0)</f>
        <v>47</v>
      </c>
      <c r="N1934">
        <f>ROUND(HEX2DEC(_0811_173439[[#This Row],[58DD]])*G$4/G$5+G$6,2)</f>
        <v>-0.03</v>
      </c>
      <c r="P1934">
        <v>0</v>
      </c>
      <c r="Q1934">
        <v>39</v>
      </c>
      <c r="R1934">
        <v>30</v>
      </c>
      <c r="S1934">
        <v>71</v>
      </c>
      <c r="T1934">
        <v>47</v>
      </c>
      <c r="U1934">
        <v>-0.03</v>
      </c>
      <c r="W1934">
        <f>DataLog_T717420_Aug11_4_59_37pm[[#This Row],[RPM '[1/MIN']]]-Table3[[#This Row],[580C]]</f>
        <v>0</v>
      </c>
      <c r="X1934">
        <f>DataLog_T717420_Aug11_4_59_37pm[[#This Row],[OIL TEMP '[Â°C']]]-Table3[[#This Row],[4402]]</f>
        <v>0</v>
      </c>
      <c r="Y1934">
        <f>DataLog_T717420_Aug11_4_59_37pm[[#This Row],[INTAKE TEMP '[Â°C']]]-Table3[[#This Row],[580F]]</f>
        <v>0</v>
      </c>
      <c r="Z1934">
        <f>DataLog_T717420_Aug11_4_59_37pm[[#This Row],[HPFP PRES. '[BAR']]]-Table3[[#This Row],[58F0]]</f>
        <v>0</v>
      </c>
      <c r="AA1934">
        <f>DataLog_T717420_Aug11_4_59_37pm[[#This Row],[COOLANT TEMP '[Â°C']]]-Table3[[#This Row],[5805]]</f>
        <v>0</v>
      </c>
      <c r="AB1934">
        <f>DataLog_T717420_Aug11_4_59_37pm[[#This Row],[BOOST '[BAR']]]-Table3[[#This Row],[58DD]]</f>
        <v>0</v>
      </c>
    </row>
    <row r="1935" spans="2:28" x14ac:dyDescent="0.25">
      <c r="B1935" s="2" t="s">
        <v>23</v>
      </c>
      <c r="C1935" s="2" t="s">
        <v>410</v>
      </c>
      <c r="D1935" s="2" t="s">
        <v>151</v>
      </c>
      <c r="E1935" s="2" t="s">
        <v>91</v>
      </c>
      <c r="F1935" s="2" t="s">
        <v>409</v>
      </c>
      <c r="G1935" s="2" t="s">
        <v>27</v>
      </c>
      <c r="I1935">
        <f>HEX2DEC(_0811_173439[[#This Row],[580C]])*B$4/B$5+B$6</f>
        <v>0</v>
      </c>
      <c r="J1935">
        <f>HEX2DEC(_0811_173439[[#This Row],[4402]])*C$4/C$5+C$6</f>
        <v>39</v>
      </c>
      <c r="K1935">
        <f>HEX2DEC(_0811_173439[[#This Row],[580F]])*D$4/D$5+D$6</f>
        <v>30</v>
      </c>
      <c r="L1935">
        <f>ROUND(HEX2DEC(_0811_173439[[#This Row],[58F0]])*E$4/E$5+E$6,0)</f>
        <v>71</v>
      </c>
      <c r="M1935">
        <f>ROUND(HEX2DEC(_0811_173439[[#This Row],[5805]])*F$4/F$5+F$6,0)</f>
        <v>47</v>
      </c>
      <c r="N1935">
        <f>ROUND(HEX2DEC(_0811_173439[[#This Row],[58DD]])*G$4/G$5+G$6,2)</f>
        <v>-0.03</v>
      </c>
      <c r="P1935">
        <v>0</v>
      </c>
      <c r="Q1935">
        <v>39</v>
      </c>
      <c r="R1935">
        <v>30</v>
      </c>
      <c r="S1935">
        <v>71</v>
      </c>
      <c r="T1935">
        <v>47</v>
      </c>
      <c r="U1935">
        <v>-0.03</v>
      </c>
      <c r="W1935">
        <f>DataLog_T717420_Aug11_4_59_37pm[[#This Row],[RPM '[1/MIN']]]-Table3[[#This Row],[580C]]</f>
        <v>0</v>
      </c>
      <c r="X1935">
        <f>DataLog_T717420_Aug11_4_59_37pm[[#This Row],[OIL TEMP '[Â°C']]]-Table3[[#This Row],[4402]]</f>
        <v>0</v>
      </c>
      <c r="Y1935">
        <f>DataLog_T717420_Aug11_4_59_37pm[[#This Row],[INTAKE TEMP '[Â°C']]]-Table3[[#This Row],[580F]]</f>
        <v>0</v>
      </c>
      <c r="Z1935">
        <f>DataLog_T717420_Aug11_4_59_37pm[[#This Row],[HPFP PRES. '[BAR']]]-Table3[[#This Row],[58F0]]</f>
        <v>0</v>
      </c>
      <c r="AA1935">
        <f>DataLog_T717420_Aug11_4_59_37pm[[#This Row],[COOLANT TEMP '[Â°C']]]-Table3[[#This Row],[5805]]</f>
        <v>0</v>
      </c>
      <c r="AB1935">
        <f>DataLog_T717420_Aug11_4_59_37pm[[#This Row],[BOOST '[BAR']]]-Table3[[#This Row],[58DD]]</f>
        <v>0</v>
      </c>
    </row>
    <row r="1936" spans="2:28" x14ac:dyDescent="0.25">
      <c r="B1936" s="2" t="s">
        <v>23</v>
      </c>
      <c r="C1936" s="2" t="s">
        <v>410</v>
      </c>
      <c r="D1936" s="2" t="s">
        <v>151</v>
      </c>
      <c r="E1936" s="2" t="s">
        <v>91</v>
      </c>
      <c r="F1936" s="2" t="s">
        <v>409</v>
      </c>
      <c r="G1936" s="2" t="s">
        <v>28</v>
      </c>
      <c r="I1936">
        <f>HEX2DEC(_0811_173439[[#This Row],[580C]])*B$4/B$5+B$6</f>
        <v>0</v>
      </c>
      <c r="J1936">
        <f>HEX2DEC(_0811_173439[[#This Row],[4402]])*C$4/C$5+C$6</f>
        <v>39</v>
      </c>
      <c r="K1936">
        <f>HEX2DEC(_0811_173439[[#This Row],[580F]])*D$4/D$5+D$6</f>
        <v>30</v>
      </c>
      <c r="L1936">
        <f>ROUND(HEX2DEC(_0811_173439[[#This Row],[58F0]])*E$4/E$5+E$6,0)</f>
        <v>71</v>
      </c>
      <c r="M1936">
        <f>ROUND(HEX2DEC(_0811_173439[[#This Row],[5805]])*F$4/F$5+F$6,0)</f>
        <v>47</v>
      </c>
      <c r="N1936">
        <f>ROUND(HEX2DEC(_0811_173439[[#This Row],[58DD]])*G$4/G$5+G$6,2)</f>
        <v>-0.02</v>
      </c>
      <c r="P1936">
        <v>0</v>
      </c>
      <c r="Q1936">
        <v>39</v>
      </c>
      <c r="R1936">
        <v>30</v>
      </c>
      <c r="S1936">
        <v>71</v>
      </c>
      <c r="T1936">
        <v>47</v>
      </c>
      <c r="U1936">
        <v>-0.02</v>
      </c>
      <c r="W1936">
        <f>DataLog_T717420_Aug11_4_59_37pm[[#This Row],[RPM '[1/MIN']]]-Table3[[#This Row],[580C]]</f>
        <v>0</v>
      </c>
      <c r="X1936">
        <f>DataLog_T717420_Aug11_4_59_37pm[[#This Row],[OIL TEMP '[Â°C']]]-Table3[[#This Row],[4402]]</f>
        <v>0</v>
      </c>
      <c r="Y1936">
        <f>DataLog_T717420_Aug11_4_59_37pm[[#This Row],[INTAKE TEMP '[Â°C']]]-Table3[[#This Row],[580F]]</f>
        <v>0</v>
      </c>
      <c r="Z1936">
        <f>DataLog_T717420_Aug11_4_59_37pm[[#This Row],[HPFP PRES. '[BAR']]]-Table3[[#This Row],[58F0]]</f>
        <v>0</v>
      </c>
      <c r="AA1936">
        <f>DataLog_T717420_Aug11_4_59_37pm[[#This Row],[COOLANT TEMP '[Â°C']]]-Table3[[#This Row],[5805]]</f>
        <v>0</v>
      </c>
      <c r="AB1936">
        <f>DataLog_T717420_Aug11_4_59_37pm[[#This Row],[BOOST '[BAR']]]-Table3[[#This Row],[58DD]]</f>
        <v>0</v>
      </c>
    </row>
    <row r="1937" spans="2:28" x14ac:dyDescent="0.25">
      <c r="B1937" s="2" t="s">
        <v>23</v>
      </c>
      <c r="C1937" s="2" t="s">
        <v>410</v>
      </c>
      <c r="D1937" s="2" t="s">
        <v>151</v>
      </c>
      <c r="E1937" s="2" t="s">
        <v>91</v>
      </c>
      <c r="F1937" s="2" t="s">
        <v>409</v>
      </c>
      <c r="G1937" s="2" t="s">
        <v>27</v>
      </c>
      <c r="I1937">
        <f>HEX2DEC(_0811_173439[[#This Row],[580C]])*B$4/B$5+B$6</f>
        <v>0</v>
      </c>
      <c r="J1937">
        <f>HEX2DEC(_0811_173439[[#This Row],[4402]])*C$4/C$5+C$6</f>
        <v>39</v>
      </c>
      <c r="K1937">
        <f>HEX2DEC(_0811_173439[[#This Row],[580F]])*D$4/D$5+D$6</f>
        <v>30</v>
      </c>
      <c r="L1937">
        <f>ROUND(HEX2DEC(_0811_173439[[#This Row],[58F0]])*E$4/E$5+E$6,0)</f>
        <v>71</v>
      </c>
      <c r="M1937">
        <f>ROUND(HEX2DEC(_0811_173439[[#This Row],[5805]])*F$4/F$5+F$6,0)</f>
        <v>47</v>
      </c>
      <c r="N1937">
        <f>ROUND(HEX2DEC(_0811_173439[[#This Row],[58DD]])*G$4/G$5+G$6,2)</f>
        <v>-0.03</v>
      </c>
      <c r="P1937">
        <v>0</v>
      </c>
      <c r="Q1937">
        <v>39</v>
      </c>
      <c r="R1937">
        <v>30</v>
      </c>
      <c r="S1937">
        <v>71</v>
      </c>
      <c r="T1937">
        <v>47</v>
      </c>
      <c r="U1937">
        <v>-0.03</v>
      </c>
      <c r="W1937">
        <f>DataLog_T717420_Aug11_4_59_37pm[[#This Row],[RPM '[1/MIN']]]-Table3[[#This Row],[580C]]</f>
        <v>0</v>
      </c>
      <c r="X1937">
        <f>DataLog_T717420_Aug11_4_59_37pm[[#This Row],[OIL TEMP '[Â°C']]]-Table3[[#This Row],[4402]]</f>
        <v>0</v>
      </c>
      <c r="Y1937">
        <f>DataLog_T717420_Aug11_4_59_37pm[[#This Row],[INTAKE TEMP '[Â°C']]]-Table3[[#This Row],[580F]]</f>
        <v>0</v>
      </c>
      <c r="Z1937">
        <f>DataLog_T717420_Aug11_4_59_37pm[[#This Row],[HPFP PRES. '[BAR']]]-Table3[[#This Row],[58F0]]</f>
        <v>0</v>
      </c>
      <c r="AA1937">
        <f>DataLog_T717420_Aug11_4_59_37pm[[#This Row],[COOLANT TEMP '[Â°C']]]-Table3[[#This Row],[5805]]</f>
        <v>0</v>
      </c>
      <c r="AB1937">
        <f>DataLog_T717420_Aug11_4_59_37pm[[#This Row],[BOOST '[BAR']]]-Table3[[#This Row],[58DD]]</f>
        <v>0</v>
      </c>
    </row>
    <row r="1938" spans="2:28" x14ac:dyDescent="0.25">
      <c r="B1938" s="2" t="s">
        <v>23</v>
      </c>
      <c r="C1938" s="2" t="s">
        <v>410</v>
      </c>
      <c r="D1938" s="2" t="s">
        <v>151</v>
      </c>
      <c r="E1938" s="2" t="s">
        <v>91</v>
      </c>
      <c r="F1938" s="2" t="s">
        <v>409</v>
      </c>
      <c r="G1938" s="2" t="s">
        <v>27</v>
      </c>
      <c r="I1938">
        <f>HEX2DEC(_0811_173439[[#This Row],[580C]])*B$4/B$5+B$6</f>
        <v>0</v>
      </c>
      <c r="J1938">
        <f>HEX2DEC(_0811_173439[[#This Row],[4402]])*C$4/C$5+C$6</f>
        <v>39</v>
      </c>
      <c r="K1938">
        <f>HEX2DEC(_0811_173439[[#This Row],[580F]])*D$4/D$5+D$6</f>
        <v>30</v>
      </c>
      <c r="L1938">
        <f>ROUND(HEX2DEC(_0811_173439[[#This Row],[58F0]])*E$4/E$5+E$6,0)</f>
        <v>71</v>
      </c>
      <c r="M1938">
        <f>ROUND(HEX2DEC(_0811_173439[[#This Row],[5805]])*F$4/F$5+F$6,0)</f>
        <v>47</v>
      </c>
      <c r="N1938">
        <f>ROUND(HEX2DEC(_0811_173439[[#This Row],[58DD]])*G$4/G$5+G$6,2)</f>
        <v>-0.03</v>
      </c>
      <c r="P1938">
        <v>0</v>
      </c>
      <c r="Q1938">
        <v>39</v>
      </c>
      <c r="R1938">
        <v>30</v>
      </c>
      <c r="S1938">
        <v>71</v>
      </c>
      <c r="T1938">
        <v>47</v>
      </c>
      <c r="U1938">
        <v>-0.03</v>
      </c>
      <c r="W1938">
        <f>DataLog_T717420_Aug11_4_59_37pm[[#This Row],[RPM '[1/MIN']]]-Table3[[#This Row],[580C]]</f>
        <v>0</v>
      </c>
      <c r="X1938">
        <f>DataLog_T717420_Aug11_4_59_37pm[[#This Row],[OIL TEMP '[Â°C']]]-Table3[[#This Row],[4402]]</f>
        <v>0</v>
      </c>
      <c r="Y1938">
        <f>DataLog_T717420_Aug11_4_59_37pm[[#This Row],[INTAKE TEMP '[Â°C']]]-Table3[[#This Row],[580F]]</f>
        <v>0</v>
      </c>
      <c r="Z1938">
        <f>DataLog_T717420_Aug11_4_59_37pm[[#This Row],[HPFP PRES. '[BAR']]]-Table3[[#This Row],[58F0]]</f>
        <v>0</v>
      </c>
      <c r="AA1938">
        <f>DataLog_T717420_Aug11_4_59_37pm[[#This Row],[COOLANT TEMP '[Â°C']]]-Table3[[#This Row],[5805]]</f>
        <v>0</v>
      </c>
      <c r="AB1938">
        <f>DataLog_T717420_Aug11_4_59_37pm[[#This Row],[BOOST '[BAR']]]-Table3[[#This Row],[58DD]]</f>
        <v>0</v>
      </c>
    </row>
    <row r="1939" spans="2:28" x14ac:dyDescent="0.25">
      <c r="B1939" s="2" t="s">
        <v>23</v>
      </c>
      <c r="C1939" s="2" t="s">
        <v>410</v>
      </c>
      <c r="D1939" s="2" t="s">
        <v>151</v>
      </c>
      <c r="E1939" s="2" t="s">
        <v>91</v>
      </c>
      <c r="F1939" s="2" t="s">
        <v>409</v>
      </c>
      <c r="G1939" s="2" t="s">
        <v>27</v>
      </c>
      <c r="I1939">
        <f>HEX2DEC(_0811_173439[[#This Row],[580C]])*B$4/B$5+B$6</f>
        <v>0</v>
      </c>
      <c r="J1939">
        <f>HEX2DEC(_0811_173439[[#This Row],[4402]])*C$4/C$5+C$6</f>
        <v>39</v>
      </c>
      <c r="K1939">
        <f>HEX2DEC(_0811_173439[[#This Row],[580F]])*D$4/D$5+D$6</f>
        <v>30</v>
      </c>
      <c r="L1939">
        <f>ROUND(HEX2DEC(_0811_173439[[#This Row],[58F0]])*E$4/E$5+E$6,0)</f>
        <v>71</v>
      </c>
      <c r="M1939">
        <f>ROUND(HEX2DEC(_0811_173439[[#This Row],[5805]])*F$4/F$5+F$6,0)</f>
        <v>47</v>
      </c>
      <c r="N1939">
        <f>ROUND(HEX2DEC(_0811_173439[[#This Row],[58DD]])*G$4/G$5+G$6,2)</f>
        <v>-0.03</v>
      </c>
      <c r="P1939">
        <v>0</v>
      </c>
      <c r="Q1939">
        <v>39</v>
      </c>
      <c r="R1939">
        <v>30</v>
      </c>
      <c r="S1939">
        <v>71</v>
      </c>
      <c r="T1939">
        <v>47</v>
      </c>
      <c r="U1939">
        <v>-0.03</v>
      </c>
      <c r="W1939">
        <f>DataLog_T717420_Aug11_4_59_37pm[[#This Row],[RPM '[1/MIN']]]-Table3[[#This Row],[580C]]</f>
        <v>0</v>
      </c>
      <c r="X1939">
        <f>DataLog_T717420_Aug11_4_59_37pm[[#This Row],[OIL TEMP '[Â°C']]]-Table3[[#This Row],[4402]]</f>
        <v>0</v>
      </c>
      <c r="Y1939">
        <f>DataLog_T717420_Aug11_4_59_37pm[[#This Row],[INTAKE TEMP '[Â°C']]]-Table3[[#This Row],[580F]]</f>
        <v>0</v>
      </c>
      <c r="Z1939">
        <f>DataLog_T717420_Aug11_4_59_37pm[[#This Row],[HPFP PRES. '[BAR']]]-Table3[[#This Row],[58F0]]</f>
        <v>0</v>
      </c>
      <c r="AA1939">
        <f>DataLog_T717420_Aug11_4_59_37pm[[#This Row],[COOLANT TEMP '[Â°C']]]-Table3[[#This Row],[5805]]</f>
        <v>0</v>
      </c>
      <c r="AB1939">
        <f>DataLog_T717420_Aug11_4_59_37pm[[#This Row],[BOOST '[BAR']]]-Table3[[#This Row],[58DD]]</f>
        <v>0</v>
      </c>
    </row>
    <row r="1940" spans="2:28" x14ac:dyDescent="0.25">
      <c r="B1940" s="2" t="s">
        <v>23</v>
      </c>
      <c r="C1940" s="2" t="s">
        <v>410</v>
      </c>
      <c r="D1940" s="2" t="s">
        <v>151</v>
      </c>
      <c r="E1940" s="2" t="s">
        <v>91</v>
      </c>
      <c r="F1940" s="2" t="s">
        <v>409</v>
      </c>
      <c r="G1940" s="2" t="s">
        <v>27</v>
      </c>
      <c r="I1940">
        <f>HEX2DEC(_0811_173439[[#This Row],[580C]])*B$4/B$5+B$6</f>
        <v>0</v>
      </c>
      <c r="J1940">
        <f>HEX2DEC(_0811_173439[[#This Row],[4402]])*C$4/C$5+C$6</f>
        <v>39</v>
      </c>
      <c r="K1940">
        <f>HEX2DEC(_0811_173439[[#This Row],[580F]])*D$4/D$5+D$6</f>
        <v>30</v>
      </c>
      <c r="L1940">
        <f>ROUND(HEX2DEC(_0811_173439[[#This Row],[58F0]])*E$4/E$5+E$6,0)</f>
        <v>71</v>
      </c>
      <c r="M1940">
        <f>ROUND(HEX2DEC(_0811_173439[[#This Row],[5805]])*F$4/F$5+F$6,0)</f>
        <v>47</v>
      </c>
      <c r="N1940">
        <f>ROUND(HEX2DEC(_0811_173439[[#This Row],[58DD]])*G$4/G$5+G$6,2)</f>
        <v>-0.03</v>
      </c>
      <c r="P1940">
        <v>0</v>
      </c>
      <c r="Q1940">
        <v>39</v>
      </c>
      <c r="R1940">
        <v>30</v>
      </c>
      <c r="S1940">
        <v>71</v>
      </c>
      <c r="T1940">
        <v>47</v>
      </c>
      <c r="U1940">
        <v>-0.03</v>
      </c>
      <c r="W1940">
        <f>DataLog_T717420_Aug11_4_59_37pm[[#This Row],[RPM '[1/MIN']]]-Table3[[#This Row],[580C]]</f>
        <v>0</v>
      </c>
      <c r="X1940">
        <f>DataLog_T717420_Aug11_4_59_37pm[[#This Row],[OIL TEMP '[Â°C']]]-Table3[[#This Row],[4402]]</f>
        <v>0</v>
      </c>
      <c r="Y1940">
        <f>DataLog_T717420_Aug11_4_59_37pm[[#This Row],[INTAKE TEMP '[Â°C']]]-Table3[[#This Row],[580F]]</f>
        <v>0</v>
      </c>
      <c r="Z1940">
        <f>DataLog_T717420_Aug11_4_59_37pm[[#This Row],[HPFP PRES. '[BAR']]]-Table3[[#This Row],[58F0]]</f>
        <v>0</v>
      </c>
      <c r="AA1940">
        <f>DataLog_T717420_Aug11_4_59_37pm[[#This Row],[COOLANT TEMP '[Â°C']]]-Table3[[#This Row],[5805]]</f>
        <v>0</v>
      </c>
      <c r="AB1940">
        <f>DataLog_T717420_Aug11_4_59_37pm[[#This Row],[BOOST '[BAR']]]-Table3[[#This Row],[58DD]]</f>
        <v>0</v>
      </c>
    </row>
    <row r="1941" spans="2:28" x14ac:dyDescent="0.25">
      <c r="B1941" s="2" t="s">
        <v>23</v>
      </c>
      <c r="C1941" s="2" t="s">
        <v>410</v>
      </c>
      <c r="D1941" s="2" t="s">
        <v>151</v>
      </c>
      <c r="E1941" s="2" t="s">
        <v>91</v>
      </c>
      <c r="F1941" s="2" t="s">
        <v>409</v>
      </c>
      <c r="G1941" s="2" t="s">
        <v>27</v>
      </c>
      <c r="I1941">
        <f>HEX2DEC(_0811_173439[[#This Row],[580C]])*B$4/B$5+B$6</f>
        <v>0</v>
      </c>
      <c r="J1941">
        <f>HEX2DEC(_0811_173439[[#This Row],[4402]])*C$4/C$5+C$6</f>
        <v>39</v>
      </c>
      <c r="K1941">
        <f>HEX2DEC(_0811_173439[[#This Row],[580F]])*D$4/D$5+D$6</f>
        <v>30</v>
      </c>
      <c r="L1941">
        <f>ROUND(HEX2DEC(_0811_173439[[#This Row],[58F0]])*E$4/E$5+E$6,0)</f>
        <v>71</v>
      </c>
      <c r="M1941">
        <f>ROUND(HEX2DEC(_0811_173439[[#This Row],[5805]])*F$4/F$5+F$6,0)</f>
        <v>47</v>
      </c>
      <c r="N1941">
        <f>ROUND(HEX2DEC(_0811_173439[[#This Row],[58DD]])*G$4/G$5+G$6,2)</f>
        <v>-0.03</v>
      </c>
      <c r="P1941">
        <v>0</v>
      </c>
      <c r="Q1941">
        <v>39</v>
      </c>
      <c r="R1941">
        <v>30</v>
      </c>
      <c r="S1941">
        <v>71</v>
      </c>
      <c r="T1941">
        <v>47</v>
      </c>
      <c r="U1941">
        <v>-0.03</v>
      </c>
      <c r="W1941">
        <f>DataLog_T717420_Aug11_4_59_37pm[[#This Row],[RPM '[1/MIN']]]-Table3[[#This Row],[580C]]</f>
        <v>0</v>
      </c>
      <c r="X1941">
        <f>DataLog_T717420_Aug11_4_59_37pm[[#This Row],[OIL TEMP '[Â°C']]]-Table3[[#This Row],[4402]]</f>
        <v>0</v>
      </c>
      <c r="Y1941">
        <f>DataLog_T717420_Aug11_4_59_37pm[[#This Row],[INTAKE TEMP '[Â°C']]]-Table3[[#This Row],[580F]]</f>
        <v>0</v>
      </c>
      <c r="Z1941">
        <f>DataLog_T717420_Aug11_4_59_37pm[[#This Row],[HPFP PRES. '[BAR']]]-Table3[[#This Row],[58F0]]</f>
        <v>0</v>
      </c>
      <c r="AA1941">
        <f>DataLog_T717420_Aug11_4_59_37pm[[#This Row],[COOLANT TEMP '[Â°C']]]-Table3[[#This Row],[5805]]</f>
        <v>0</v>
      </c>
      <c r="AB1941">
        <f>DataLog_T717420_Aug11_4_59_37pm[[#This Row],[BOOST '[BAR']]]-Table3[[#This Row],[58DD]]</f>
        <v>0</v>
      </c>
    </row>
    <row r="1942" spans="2:28" x14ac:dyDescent="0.25">
      <c r="B1942" s="2" t="s">
        <v>23</v>
      </c>
      <c r="C1942" s="2" t="s">
        <v>410</v>
      </c>
      <c r="D1942" s="2" t="s">
        <v>151</v>
      </c>
      <c r="E1942" s="2" t="s">
        <v>91</v>
      </c>
      <c r="F1942" s="2" t="s">
        <v>409</v>
      </c>
      <c r="G1942" s="2" t="s">
        <v>28</v>
      </c>
      <c r="I1942">
        <f>HEX2DEC(_0811_173439[[#This Row],[580C]])*B$4/B$5+B$6</f>
        <v>0</v>
      </c>
      <c r="J1942">
        <f>HEX2DEC(_0811_173439[[#This Row],[4402]])*C$4/C$5+C$6</f>
        <v>39</v>
      </c>
      <c r="K1942">
        <f>HEX2DEC(_0811_173439[[#This Row],[580F]])*D$4/D$5+D$6</f>
        <v>30</v>
      </c>
      <c r="L1942">
        <f>ROUND(HEX2DEC(_0811_173439[[#This Row],[58F0]])*E$4/E$5+E$6,0)</f>
        <v>71</v>
      </c>
      <c r="M1942">
        <f>ROUND(HEX2DEC(_0811_173439[[#This Row],[5805]])*F$4/F$5+F$6,0)</f>
        <v>47</v>
      </c>
      <c r="N1942">
        <f>ROUND(HEX2DEC(_0811_173439[[#This Row],[58DD]])*G$4/G$5+G$6,2)</f>
        <v>-0.02</v>
      </c>
      <c r="P1942">
        <v>0</v>
      </c>
      <c r="Q1942">
        <v>39</v>
      </c>
      <c r="R1942">
        <v>30</v>
      </c>
      <c r="S1942">
        <v>71</v>
      </c>
      <c r="T1942">
        <v>47</v>
      </c>
      <c r="U1942">
        <v>-0.02</v>
      </c>
      <c r="W1942">
        <f>DataLog_T717420_Aug11_4_59_37pm[[#This Row],[RPM '[1/MIN']]]-Table3[[#This Row],[580C]]</f>
        <v>0</v>
      </c>
      <c r="X1942">
        <f>DataLog_T717420_Aug11_4_59_37pm[[#This Row],[OIL TEMP '[Â°C']]]-Table3[[#This Row],[4402]]</f>
        <v>0</v>
      </c>
      <c r="Y1942">
        <f>DataLog_T717420_Aug11_4_59_37pm[[#This Row],[INTAKE TEMP '[Â°C']]]-Table3[[#This Row],[580F]]</f>
        <v>0</v>
      </c>
      <c r="Z1942">
        <f>DataLog_T717420_Aug11_4_59_37pm[[#This Row],[HPFP PRES. '[BAR']]]-Table3[[#This Row],[58F0]]</f>
        <v>0</v>
      </c>
      <c r="AA1942">
        <f>DataLog_T717420_Aug11_4_59_37pm[[#This Row],[COOLANT TEMP '[Â°C']]]-Table3[[#This Row],[5805]]</f>
        <v>0</v>
      </c>
      <c r="AB1942">
        <f>DataLog_T717420_Aug11_4_59_37pm[[#This Row],[BOOST '[BAR']]]-Table3[[#This Row],[58DD]]</f>
        <v>0</v>
      </c>
    </row>
    <row r="1943" spans="2:28" x14ac:dyDescent="0.25">
      <c r="B1943" s="2" t="s">
        <v>23</v>
      </c>
      <c r="C1943" s="2" t="s">
        <v>410</v>
      </c>
      <c r="D1943" s="2" t="s">
        <v>151</v>
      </c>
      <c r="E1943" s="2" t="s">
        <v>91</v>
      </c>
      <c r="F1943" s="2" t="s">
        <v>409</v>
      </c>
      <c r="G1943" s="2" t="s">
        <v>28</v>
      </c>
      <c r="I1943">
        <f>HEX2DEC(_0811_173439[[#This Row],[580C]])*B$4/B$5+B$6</f>
        <v>0</v>
      </c>
      <c r="J1943">
        <f>HEX2DEC(_0811_173439[[#This Row],[4402]])*C$4/C$5+C$6</f>
        <v>39</v>
      </c>
      <c r="K1943">
        <f>HEX2DEC(_0811_173439[[#This Row],[580F]])*D$4/D$5+D$6</f>
        <v>30</v>
      </c>
      <c r="L1943">
        <f>ROUND(HEX2DEC(_0811_173439[[#This Row],[58F0]])*E$4/E$5+E$6,0)</f>
        <v>71</v>
      </c>
      <c r="M1943">
        <f>ROUND(HEX2DEC(_0811_173439[[#This Row],[5805]])*F$4/F$5+F$6,0)</f>
        <v>47</v>
      </c>
      <c r="N1943">
        <f>ROUND(HEX2DEC(_0811_173439[[#This Row],[58DD]])*G$4/G$5+G$6,2)</f>
        <v>-0.02</v>
      </c>
      <c r="P1943">
        <v>0</v>
      </c>
      <c r="Q1943">
        <v>39</v>
      </c>
      <c r="R1943">
        <v>30</v>
      </c>
      <c r="S1943">
        <v>71</v>
      </c>
      <c r="T1943">
        <v>47</v>
      </c>
      <c r="U1943">
        <v>-0.02</v>
      </c>
      <c r="W1943">
        <f>DataLog_T717420_Aug11_4_59_37pm[[#This Row],[RPM '[1/MIN']]]-Table3[[#This Row],[580C]]</f>
        <v>0</v>
      </c>
      <c r="X1943">
        <f>DataLog_T717420_Aug11_4_59_37pm[[#This Row],[OIL TEMP '[Â°C']]]-Table3[[#This Row],[4402]]</f>
        <v>0</v>
      </c>
      <c r="Y1943">
        <f>DataLog_T717420_Aug11_4_59_37pm[[#This Row],[INTAKE TEMP '[Â°C']]]-Table3[[#This Row],[580F]]</f>
        <v>0</v>
      </c>
      <c r="Z1943">
        <f>DataLog_T717420_Aug11_4_59_37pm[[#This Row],[HPFP PRES. '[BAR']]]-Table3[[#This Row],[58F0]]</f>
        <v>0</v>
      </c>
      <c r="AA1943">
        <f>DataLog_T717420_Aug11_4_59_37pm[[#This Row],[COOLANT TEMP '[Â°C']]]-Table3[[#This Row],[5805]]</f>
        <v>0</v>
      </c>
      <c r="AB1943">
        <f>DataLog_T717420_Aug11_4_59_37pm[[#This Row],[BOOST '[BAR']]]-Table3[[#This Row],[58DD]]</f>
        <v>0</v>
      </c>
    </row>
    <row r="1944" spans="2:28" x14ac:dyDescent="0.25">
      <c r="B1944" s="2" t="s">
        <v>23</v>
      </c>
      <c r="C1944" s="2" t="s">
        <v>410</v>
      </c>
      <c r="D1944" s="2" t="s">
        <v>151</v>
      </c>
      <c r="E1944" s="2" t="s">
        <v>91</v>
      </c>
      <c r="F1944" s="2" t="s">
        <v>409</v>
      </c>
      <c r="G1944" s="2" t="s">
        <v>27</v>
      </c>
      <c r="I1944">
        <f>HEX2DEC(_0811_173439[[#This Row],[580C]])*B$4/B$5+B$6</f>
        <v>0</v>
      </c>
      <c r="J1944">
        <f>HEX2DEC(_0811_173439[[#This Row],[4402]])*C$4/C$5+C$6</f>
        <v>39</v>
      </c>
      <c r="K1944">
        <f>HEX2DEC(_0811_173439[[#This Row],[580F]])*D$4/D$5+D$6</f>
        <v>30</v>
      </c>
      <c r="L1944">
        <f>ROUND(HEX2DEC(_0811_173439[[#This Row],[58F0]])*E$4/E$5+E$6,0)</f>
        <v>71</v>
      </c>
      <c r="M1944">
        <f>ROUND(HEX2DEC(_0811_173439[[#This Row],[5805]])*F$4/F$5+F$6,0)</f>
        <v>47</v>
      </c>
      <c r="N1944">
        <f>ROUND(HEX2DEC(_0811_173439[[#This Row],[58DD]])*G$4/G$5+G$6,2)</f>
        <v>-0.03</v>
      </c>
      <c r="P1944">
        <v>0</v>
      </c>
      <c r="Q1944">
        <v>39</v>
      </c>
      <c r="R1944">
        <v>30</v>
      </c>
      <c r="S1944">
        <v>71</v>
      </c>
      <c r="T1944">
        <v>47</v>
      </c>
      <c r="U1944">
        <v>-0.03</v>
      </c>
      <c r="W1944">
        <f>DataLog_T717420_Aug11_4_59_37pm[[#This Row],[RPM '[1/MIN']]]-Table3[[#This Row],[580C]]</f>
        <v>0</v>
      </c>
      <c r="X1944">
        <f>DataLog_T717420_Aug11_4_59_37pm[[#This Row],[OIL TEMP '[Â°C']]]-Table3[[#This Row],[4402]]</f>
        <v>0</v>
      </c>
      <c r="Y1944">
        <f>DataLog_T717420_Aug11_4_59_37pm[[#This Row],[INTAKE TEMP '[Â°C']]]-Table3[[#This Row],[580F]]</f>
        <v>0</v>
      </c>
      <c r="Z1944">
        <f>DataLog_T717420_Aug11_4_59_37pm[[#This Row],[HPFP PRES. '[BAR']]]-Table3[[#This Row],[58F0]]</f>
        <v>0</v>
      </c>
      <c r="AA1944">
        <f>DataLog_T717420_Aug11_4_59_37pm[[#This Row],[COOLANT TEMP '[Â°C']]]-Table3[[#This Row],[5805]]</f>
        <v>0</v>
      </c>
      <c r="AB1944">
        <f>DataLog_T717420_Aug11_4_59_37pm[[#This Row],[BOOST '[BAR']]]-Table3[[#This Row],[58DD]]</f>
        <v>0</v>
      </c>
    </row>
    <row r="1945" spans="2:28" x14ac:dyDescent="0.25">
      <c r="B1945" s="2" t="s">
        <v>23</v>
      </c>
      <c r="C1945" s="2" t="s">
        <v>410</v>
      </c>
      <c r="D1945" s="2" t="s">
        <v>151</v>
      </c>
      <c r="E1945" s="2" t="s">
        <v>91</v>
      </c>
      <c r="F1945" s="2" t="s">
        <v>409</v>
      </c>
      <c r="G1945" s="2" t="s">
        <v>27</v>
      </c>
      <c r="I1945">
        <f>HEX2DEC(_0811_173439[[#This Row],[580C]])*B$4/B$5+B$6</f>
        <v>0</v>
      </c>
      <c r="J1945">
        <f>HEX2DEC(_0811_173439[[#This Row],[4402]])*C$4/C$5+C$6</f>
        <v>39</v>
      </c>
      <c r="K1945">
        <f>HEX2DEC(_0811_173439[[#This Row],[580F]])*D$4/D$5+D$6</f>
        <v>30</v>
      </c>
      <c r="L1945">
        <f>ROUND(HEX2DEC(_0811_173439[[#This Row],[58F0]])*E$4/E$5+E$6,0)</f>
        <v>71</v>
      </c>
      <c r="M1945">
        <f>ROUND(HEX2DEC(_0811_173439[[#This Row],[5805]])*F$4/F$5+F$6,0)</f>
        <v>47</v>
      </c>
      <c r="N1945">
        <f>ROUND(HEX2DEC(_0811_173439[[#This Row],[58DD]])*G$4/G$5+G$6,2)</f>
        <v>-0.03</v>
      </c>
      <c r="P1945">
        <v>0</v>
      </c>
      <c r="Q1945">
        <v>39</v>
      </c>
      <c r="R1945">
        <v>30</v>
      </c>
      <c r="S1945">
        <v>71</v>
      </c>
      <c r="T1945">
        <v>47</v>
      </c>
      <c r="U1945">
        <v>-0.03</v>
      </c>
      <c r="W1945">
        <f>DataLog_T717420_Aug11_4_59_37pm[[#This Row],[RPM '[1/MIN']]]-Table3[[#This Row],[580C]]</f>
        <v>0</v>
      </c>
      <c r="X1945">
        <f>DataLog_T717420_Aug11_4_59_37pm[[#This Row],[OIL TEMP '[Â°C']]]-Table3[[#This Row],[4402]]</f>
        <v>0</v>
      </c>
      <c r="Y1945">
        <f>DataLog_T717420_Aug11_4_59_37pm[[#This Row],[INTAKE TEMP '[Â°C']]]-Table3[[#This Row],[580F]]</f>
        <v>0</v>
      </c>
      <c r="Z1945">
        <f>DataLog_T717420_Aug11_4_59_37pm[[#This Row],[HPFP PRES. '[BAR']]]-Table3[[#This Row],[58F0]]</f>
        <v>0</v>
      </c>
      <c r="AA1945">
        <f>DataLog_T717420_Aug11_4_59_37pm[[#This Row],[COOLANT TEMP '[Â°C']]]-Table3[[#This Row],[5805]]</f>
        <v>0</v>
      </c>
      <c r="AB1945">
        <f>DataLog_T717420_Aug11_4_59_37pm[[#This Row],[BOOST '[BAR']]]-Table3[[#This Row],[58DD]]</f>
        <v>0</v>
      </c>
    </row>
    <row r="1946" spans="2:28" x14ac:dyDescent="0.25">
      <c r="B1946" s="2" t="s">
        <v>23</v>
      </c>
      <c r="C1946" s="2" t="s">
        <v>410</v>
      </c>
      <c r="D1946" s="2" t="s">
        <v>151</v>
      </c>
      <c r="E1946" s="2" t="s">
        <v>91</v>
      </c>
      <c r="F1946" s="2" t="s">
        <v>409</v>
      </c>
      <c r="G1946" s="2" t="s">
        <v>27</v>
      </c>
      <c r="I1946">
        <f>HEX2DEC(_0811_173439[[#This Row],[580C]])*B$4/B$5+B$6</f>
        <v>0</v>
      </c>
      <c r="J1946">
        <f>HEX2DEC(_0811_173439[[#This Row],[4402]])*C$4/C$5+C$6</f>
        <v>39</v>
      </c>
      <c r="K1946">
        <f>HEX2DEC(_0811_173439[[#This Row],[580F]])*D$4/D$5+D$6</f>
        <v>30</v>
      </c>
      <c r="L1946">
        <f>ROUND(HEX2DEC(_0811_173439[[#This Row],[58F0]])*E$4/E$5+E$6,0)</f>
        <v>71</v>
      </c>
      <c r="M1946">
        <f>ROUND(HEX2DEC(_0811_173439[[#This Row],[5805]])*F$4/F$5+F$6,0)</f>
        <v>47</v>
      </c>
      <c r="N1946">
        <f>ROUND(HEX2DEC(_0811_173439[[#This Row],[58DD]])*G$4/G$5+G$6,2)</f>
        <v>-0.03</v>
      </c>
      <c r="P1946">
        <v>0</v>
      </c>
      <c r="Q1946">
        <v>39</v>
      </c>
      <c r="R1946">
        <v>30</v>
      </c>
      <c r="S1946">
        <v>71</v>
      </c>
      <c r="T1946">
        <v>47</v>
      </c>
      <c r="U1946">
        <v>-0.03</v>
      </c>
      <c r="W1946">
        <f>DataLog_T717420_Aug11_4_59_37pm[[#This Row],[RPM '[1/MIN']]]-Table3[[#This Row],[580C]]</f>
        <v>0</v>
      </c>
      <c r="X1946">
        <f>DataLog_T717420_Aug11_4_59_37pm[[#This Row],[OIL TEMP '[Â°C']]]-Table3[[#This Row],[4402]]</f>
        <v>0</v>
      </c>
      <c r="Y1946">
        <f>DataLog_T717420_Aug11_4_59_37pm[[#This Row],[INTAKE TEMP '[Â°C']]]-Table3[[#This Row],[580F]]</f>
        <v>0</v>
      </c>
      <c r="Z1946">
        <f>DataLog_T717420_Aug11_4_59_37pm[[#This Row],[HPFP PRES. '[BAR']]]-Table3[[#This Row],[58F0]]</f>
        <v>0</v>
      </c>
      <c r="AA1946">
        <f>DataLog_T717420_Aug11_4_59_37pm[[#This Row],[COOLANT TEMP '[Â°C']]]-Table3[[#This Row],[5805]]</f>
        <v>0</v>
      </c>
      <c r="AB1946">
        <f>DataLog_T717420_Aug11_4_59_37pm[[#This Row],[BOOST '[BAR']]]-Table3[[#This Row],[58DD]]</f>
        <v>0</v>
      </c>
    </row>
    <row r="1947" spans="2:28" x14ac:dyDescent="0.25">
      <c r="B1947" s="2" t="s">
        <v>23</v>
      </c>
      <c r="C1947" s="2" t="s">
        <v>410</v>
      </c>
      <c r="D1947" s="2" t="s">
        <v>151</v>
      </c>
      <c r="E1947" s="2" t="s">
        <v>91</v>
      </c>
      <c r="F1947" s="2" t="s">
        <v>409</v>
      </c>
      <c r="G1947" s="2" t="s">
        <v>27</v>
      </c>
      <c r="I1947">
        <f>HEX2DEC(_0811_173439[[#This Row],[580C]])*B$4/B$5+B$6</f>
        <v>0</v>
      </c>
      <c r="J1947">
        <f>HEX2DEC(_0811_173439[[#This Row],[4402]])*C$4/C$5+C$6</f>
        <v>39</v>
      </c>
      <c r="K1947">
        <f>HEX2DEC(_0811_173439[[#This Row],[580F]])*D$4/D$5+D$6</f>
        <v>30</v>
      </c>
      <c r="L1947">
        <f>ROUND(HEX2DEC(_0811_173439[[#This Row],[58F0]])*E$4/E$5+E$6,0)</f>
        <v>71</v>
      </c>
      <c r="M1947">
        <f>ROUND(HEX2DEC(_0811_173439[[#This Row],[5805]])*F$4/F$5+F$6,0)</f>
        <v>47</v>
      </c>
      <c r="N1947">
        <f>ROUND(HEX2DEC(_0811_173439[[#This Row],[58DD]])*G$4/G$5+G$6,2)</f>
        <v>-0.03</v>
      </c>
      <c r="P1947">
        <v>0</v>
      </c>
      <c r="Q1947">
        <v>39</v>
      </c>
      <c r="R1947">
        <v>30</v>
      </c>
      <c r="S1947">
        <v>71</v>
      </c>
      <c r="T1947">
        <v>47</v>
      </c>
      <c r="U1947">
        <v>-0.03</v>
      </c>
      <c r="W1947">
        <f>DataLog_T717420_Aug11_4_59_37pm[[#This Row],[RPM '[1/MIN']]]-Table3[[#This Row],[580C]]</f>
        <v>0</v>
      </c>
      <c r="X1947">
        <f>DataLog_T717420_Aug11_4_59_37pm[[#This Row],[OIL TEMP '[Â°C']]]-Table3[[#This Row],[4402]]</f>
        <v>0</v>
      </c>
      <c r="Y1947">
        <f>DataLog_T717420_Aug11_4_59_37pm[[#This Row],[INTAKE TEMP '[Â°C']]]-Table3[[#This Row],[580F]]</f>
        <v>0</v>
      </c>
      <c r="Z1947">
        <f>DataLog_T717420_Aug11_4_59_37pm[[#This Row],[HPFP PRES. '[BAR']]]-Table3[[#This Row],[58F0]]</f>
        <v>0</v>
      </c>
      <c r="AA1947">
        <f>DataLog_T717420_Aug11_4_59_37pm[[#This Row],[COOLANT TEMP '[Â°C']]]-Table3[[#This Row],[5805]]</f>
        <v>0</v>
      </c>
      <c r="AB1947">
        <f>DataLog_T717420_Aug11_4_59_37pm[[#This Row],[BOOST '[BAR']]]-Table3[[#This Row],[58DD]]</f>
        <v>0</v>
      </c>
    </row>
    <row r="1948" spans="2:28" x14ac:dyDescent="0.25">
      <c r="B1948" s="2" t="s">
        <v>23</v>
      </c>
      <c r="C1948" s="2" t="s">
        <v>410</v>
      </c>
      <c r="D1948" s="2" t="s">
        <v>151</v>
      </c>
      <c r="E1948" s="2" t="s">
        <v>91</v>
      </c>
      <c r="F1948" s="2" t="s">
        <v>409</v>
      </c>
      <c r="G1948" s="2" t="s">
        <v>27</v>
      </c>
      <c r="I1948">
        <f>HEX2DEC(_0811_173439[[#This Row],[580C]])*B$4/B$5+B$6</f>
        <v>0</v>
      </c>
      <c r="J1948">
        <f>HEX2DEC(_0811_173439[[#This Row],[4402]])*C$4/C$5+C$6</f>
        <v>39</v>
      </c>
      <c r="K1948">
        <f>HEX2DEC(_0811_173439[[#This Row],[580F]])*D$4/D$5+D$6</f>
        <v>30</v>
      </c>
      <c r="L1948">
        <f>ROUND(HEX2DEC(_0811_173439[[#This Row],[58F0]])*E$4/E$5+E$6,0)</f>
        <v>71</v>
      </c>
      <c r="M1948">
        <f>ROUND(HEX2DEC(_0811_173439[[#This Row],[5805]])*F$4/F$5+F$6,0)</f>
        <v>47</v>
      </c>
      <c r="N1948">
        <f>ROUND(HEX2DEC(_0811_173439[[#This Row],[58DD]])*G$4/G$5+G$6,2)</f>
        <v>-0.03</v>
      </c>
      <c r="P1948">
        <v>0</v>
      </c>
      <c r="Q1948">
        <v>39</v>
      </c>
      <c r="R1948">
        <v>30</v>
      </c>
      <c r="S1948">
        <v>71</v>
      </c>
      <c r="T1948">
        <v>47</v>
      </c>
      <c r="U1948">
        <v>-0.03</v>
      </c>
      <c r="W1948">
        <f>DataLog_T717420_Aug11_4_59_37pm[[#This Row],[RPM '[1/MIN']]]-Table3[[#This Row],[580C]]</f>
        <v>0</v>
      </c>
      <c r="X1948">
        <f>DataLog_T717420_Aug11_4_59_37pm[[#This Row],[OIL TEMP '[Â°C']]]-Table3[[#This Row],[4402]]</f>
        <v>0</v>
      </c>
      <c r="Y1948">
        <f>DataLog_T717420_Aug11_4_59_37pm[[#This Row],[INTAKE TEMP '[Â°C']]]-Table3[[#This Row],[580F]]</f>
        <v>0</v>
      </c>
      <c r="Z1948">
        <f>DataLog_T717420_Aug11_4_59_37pm[[#This Row],[HPFP PRES. '[BAR']]]-Table3[[#This Row],[58F0]]</f>
        <v>0</v>
      </c>
      <c r="AA1948">
        <f>DataLog_T717420_Aug11_4_59_37pm[[#This Row],[COOLANT TEMP '[Â°C']]]-Table3[[#This Row],[5805]]</f>
        <v>0</v>
      </c>
      <c r="AB1948">
        <f>DataLog_T717420_Aug11_4_59_37pm[[#This Row],[BOOST '[BAR']]]-Table3[[#This Row],[58DD]]</f>
        <v>0</v>
      </c>
    </row>
    <row r="1949" spans="2:28" x14ac:dyDescent="0.25">
      <c r="B1949" s="2" t="s">
        <v>23</v>
      </c>
      <c r="C1949" s="2" t="s">
        <v>410</v>
      </c>
      <c r="D1949" s="2" t="s">
        <v>151</v>
      </c>
      <c r="E1949" s="2" t="s">
        <v>91</v>
      </c>
      <c r="F1949" s="2" t="s">
        <v>409</v>
      </c>
      <c r="G1949" s="2" t="s">
        <v>27</v>
      </c>
      <c r="I1949">
        <f>HEX2DEC(_0811_173439[[#This Row],[580C]])*B$4/B$5+B$6</f>
        <v>0</v>
      </c>
      <c r="J1949">
        <f>HEX2DEC(_0811_173439[[#This Row],[4402]])*C$4/C$5+C$6</f>
        <v>39</v>
      </c>
      <c r="K1949">
        <f>HEX2DEC(_0811_173439[[#This Row],[580F]])*D$4/D$5+D$6</f>
        <v>30</v>
      </c>
      <c r="L1949">
        <f>ROUND(HEX2DEC(_0811_173439[[#This Row],[58F0]])*E$4/E$5+E$6,0)</f>
        <v>71</v>
      </c>
      <c r="M1949">
        <f>ROUND(HEX2DEC(_0811_173439[[#This Row],[5805]])*F$4/F$5+F$6,0)</f>
        <v>47</v>
      </c>
      <c r="N1949">
        <f>ROUND(HEX2DEC(_0811_173439[[#This Row],[58DD]])*G$4/G$5+G$6,2)</f>
        <v>-0.03</v>
      </c>
      <c r="P1949">
        <v>0</v>
      </c>
      <c r="Q1949">
        <v>39</v>
      </c>
      <c r="R1949">
        <v>30</v>
      </c>
      <c r="S1949">
        <v>71</v>
      </c>
      <c r="T1949">
        <v>47</v>
      </c>
      <c r="U1949">
        <v>-0.03</v>
      </c>
      <c r="W1949">
        <f>DataLog_T717420_Aug11_4_59_37pm[[#This Row],[RPM '[1/MIN']]]-Table3[[#This Row],[580C]]</f>
        <v>0</v>
      </c>
      <c r="X1949">
        <f>DataLog_T717420_Aug11_4_59_37pm[[#This Row],[OIL TEMP '[Â°C']]]-Table3[[#This Row],[4402]]</f>
        <v>0</v>
      </c>
      <c r="Y1949">
        <f>DataLog_T717420_Aug11_4_59_37pm[[#This Row],[INTAKE TEMP '[Â°C']]]-Table3[[#This Row],[580F]]</f>
        <v>0</v>
      </c>
      <c r="Z1949">
        <f>DataLog_T717420_Aug11_4_59_37pm[[#This Row],[HPFP PRES. '[BAR']]]-Table3[[#This Row],[58F0]]</f>
        <v>0</v>
      </c>
      <c r="AA1949">
        <f>DataLog_T717420_Aug11_4_59_37pm[[#This Row],[COOLANT TEMP '[Â°C']]]-Table3[[#This Row],[5805]]</f>
        <v>0</v>
      </c>
      <c r="AB1949">
        <f>DataLog_T717420_Aug11_4_59_37pm[[#This Row],[BOOST '[BAR']]]-Table3[[#This Row],[58DD]]</f>
        <v>0</v>
      </c>
    </row>
    <row r="1950" spans="2:28" x14ac:dyDescent="0.25">
      <c r="B1950" s="2" t="s">
        <v>23</v>
      </c>
      <c r="C1950" s="2" t="s">
        <v>410</v>
      </c>
      <c r="D1950" s="2" t="s">
        <v>151</v>
      </c>
      <c r="E1950" s="2" t="s">
        <v>91</v>
      </c>
      <c r="F1950" s="2" t="s">
        <v>409</v>
      </c>
      <c r="G1950" s="2" t="s">
        <v>27</v>
      </c>
      <c r="I1950">
        <f>HEX2DEC(_0811_173439[[#This Row],[580C]])*B$4/B$5+B$6</f>
        <v>0</v>
      </c>
      <c r="J1950">
        <f>HEX2DEC(_0811_173439[[#This Row],[4402]])*C$4/C$5+C$6</f>
        <v>39</v>
      </c>
      <c r="K1950">
        <f>HEX2DEC(_0811_173439[[#This Row],[580F]])*D$4/D$5+D$6</f>
        <v>30</v>
      </c>
      <c r="L1950">
        <f>ROUND(HEX2DEC(_0811_173439[[#This Row],[58F0]])*E$4/E$5+E$6,0)</f>
        <v>71</v>
      </c>
      <c r="M1950">
        <f>ROUND(HEX2DEC(_0811_173439[[#This Row],[5805]])*F$4/F$5+F$6,0)</f>
        <v>47</v>
      </c>
      <c r="N1950">
        <f>ROUND(HEX2DEC(_0811_173439[[#This Row],[58DD]])*G$4/G$5+G$6,2)</f>
        <v>-0.03</v>
      </c>
      <c r="P1950">
        <v>0</v>
      </c>
      <c r="Q1950">
        <v>39</v>
      </c>
      <c r="R1950">
        <v>30</v>
      </c>
      <c r="S1950">
        <v>71</v>
      </c>
      <c r="T1950">
        <v>47</v>
      </c>
      <c r="U1950">
        <v>-0.03</v>
      </c>
      <c r="W1950">
        <f>DataLog_T717420_Aug11_4_59_37pm[[#This Row],[RPM '[1/MIN']]]-Table3[[#This Row],[580C]]</f>
        <v>0</v>
      </c>
      <c r="X1950">
        <f>DataLog_T717420_Aug11_4_59_37pm[[#This Row],[OIL TEMP '[Â°C']]]-Table3[[#This Row],[4402]]</f>
        <v>0</v>
      </c>
      <c r="Y1950">
        <f>DataLog_T717420_Aug11_4_59_37pm[[#This Row],[INTAKE TEMP '[Â°C']]]-Table3[[#This Row],[580F]]</f>
        <v>0</v>
      </c>
      <c r="Z1950">
        <f>DataLog_T717420_Aug11_4_59_37pm[[#This Row],[HPFP PRES. '[BAR']]]-Table3[[#This Row],[58F0]]</f>
        <v>0</v>
      </c>
      <c r="AA1950">
        <f>DataLog_T717420_Aug11_4_59_37pm[[#This Row],[COOLANT TEMP '[Â°C']]]-Table3[[#This Row],[5805]]</f>
        <v>0</v>
      </c>
      <c r="AB1950">
        <f>DataLog_T717420_Aug11_4_59_37pm[[#This Row],[BOOST '[BAR']]]-Table3[[#This Row],[58DD]]</f>
        <v>0</v>
      </c>
    </row>
    <row r="1951" spans="2:28" x14ac:dyDescent="0.25">
      <c r="B1951" s="2" t="s">
        <v>23</v>
      </c>
      <c r="C1951" s="2" t="s">
        <v>410</v>
      </c>
      <c r="D1951" s="2" t="s">
        <v>151</v>
      </c>
      <c r="E1951" s="2" t="s">
        <v>91</v>
      </c>
      <c r="F1951" s="2" t="s">
        <v>409</v>
      </c>
      <c r="G1951" s="2" t="s">
        <v>27</v>
      </c>
      <c r="I1951">
        <f>HEX2DEC(_0811_173439[[#This Row],[580C]])*B$4/B$5+B$6</f>
        <v>0</v>
      </c>
      <c r="J1951">
        <f>HEX2DEC(_0811_173439[[#This Row],[4402]])*C$4/C$5+C$6</f>
        <v>39</v>
      </c>
      <c r="K1951">
        <f>HEX2DEC(_0811_173439[[#This Row],[580F]])*D$4/D$5+D$6</f>
        <v>30</v>
      </c>
      <c r="L1951">
        <f>ROUND(HEX2DEC(_0811_173439[[#This Row],[58F0]])*E$4/E$5+E$6,0)</f>
        <v>71</v>
      </c>
      <c r="M1951">
        <f>ROUND(HEX2DEC(_0811_173439[[#This Row],[5805]])*F$4/F$5+F$6,0)</f>
        <v>47</v>
      </c>
      <c r="N1951">
        <f>ROUND(HEX2DEC(_0811_173439[[#This Row],[58DD]])*G$4/G$5+G$6,2)</f>
        <v>-0.03</v>
      </c>
      <c r="P1951">
        <v>0</v>
      </c>
      <c r="Q1951">
        <v>39</v>
      </c>
      <c r="R1951">
        <v>30</v>
      </c>
      <c r="S1951">
        <v>71</v>
      </c>
      <c r="T1951">
        <v>47</v>
      </c>
      <c r="U1951">
        <v>-0.03</v>
      </c>
      <c r="W1951">
        <f>DataLog_T717420_Aug11_4_59_37pm[[#This Row],[RPM '[1/MIN']]]-Table3[[#This Row],[580C]]</f>
        <v>0</v>
      </c>
      <c r="X1951">
        <f>DataLog_T717420_Aug11_4_59_37pm[[#This Row],[OIL TEMP '[Â°C']]]-Table3[[#This Row],[4402]]</f>
        <v>0</v>
      </c>
      <c r="Y1951">
        <f>DataLog_T717420_Aug11_4_59_37pm[[#This Row],[INTAKE TEMP '[Â°C']]]-Table3[[#This Row],[580F]]</f>
        <v>0</v>
      </c>
      <c r="Z1951">
        <f>DataLog_T717420_Aug11_4_59_37pm[[#This Row],[HPFP PRES. '[BAR']]]-Table3[[#This Row],[58F0]]</f>
        <v>0</v>
      </c>
      <c r="AA1951">
        <f>DataLog_T717420_Aug11_4_59_37pm[[#This Row],[COOLANT TEMP '[Â°C']]]-Table3[[#This Row],[5805]]</f>
        <v>0</v>
      </c>
      <c r="AB1951">
        <f>DataLog_T717420_Aug11_4_59_37pm[[#This Row],[BOOST '[BAR']]]-Table3[[#This Row],[58DD]]</f>
        <v>0</v>
      </c>
    </row>
    <row r="1952" spans="2:28" x14ac:dyDescent="0.25">
      <c r="B1952" s="2" t="s">
        <v>23</v>
      </c>
      <c r="C1952" s="2" t="s">
        <v>410</v>
      </c>
      <c r="D1952" s="2" t="s">
        <v>151</v>
      </c>
      <c r="E1952" s="2" t="s">
        <v>91</v>
      </c>
      <c r="F1952" s="2" t="s">
        <v>409</v>
      </c>
      <c r="G1952" s="2" t="s">
        <v>27</v>
      </c>
      <c r="I1952">
        <f>HEX2DEC(_0811_173439[[#This Row],[580C]])*B$4/B$5+B$6</f>
        <v>0</v>
      </c>
      <c r="J1952">
        <f>HEX2DEC(_0811_173439[[#This Row],[4402]])*C$4/C$5+C$6</f>
        <v>39</v>
      </c>
      <c r="K1952">
        <f>HEX2DEC(_0811_173439[[#This Row],[580F]])*D$4/D$5+D$6</f>
        <v>30</v>
      </c>
      <c r="L1952">
        <f>ROUND(HEX2DEC(_0811_173439[[#This Row],[58F0]])*E$4/E$5+E$6,0)</f>
        <v>71</v>
      </c>
      <c r="M1952">
        <f>ROUND(HEX2DEC(_0811_173439[[#This Row],[5805]])*F$4/F$5+F$6,0)</f>
        <v>47</v>
      </c>
      <c r="N1952">
        <f>ROUND(HEX2DEC(_0811_173439[[#This Row],[58DD]])*G$4/G$5+G$6,2)</f>
        <v>-0.03</v>
      </c>
      <c r="P1952">
        <v>0</v>
      </c>
      <c r="Q1952">
        <v>39</v>
      </c>
      <c r="R1952">
        <v>30</v>
      </c>
      <c r="S1952">
        <v>71</v>
      </c>
      <c r="T1952">
        <v>47</v>
      </c>
      <c r="U1952">
        <v>-0.03</v>
      </c>
      <c r="W1952">
        <f>DataLog_T717420_Aug11_4_59_37pm[[#This Row],[RPM '[1/MIN']]]-Table3[[#This Row],[580C]]</f>
        <v>0</v>
      </c>
      <c r="X1952">
        <f>DataLog_T717420_Aug11_4_59_37pm[[#This Row],[OIL TEMP '[Â°C']]]-Table3[[#This Row],[4402]]</f>
        <v>0</v>
      </c>
      <c r="Y1952">
        <f>DataLog_T717420_Aug11_4_59_37pm[[#This Row],[INTAKE TEMP '[Â°C']]]-Table3[[#This Row],[580F]]</f>
        <v>0</v>
      </c>
      <c r="Z1952">
        <f>DataLog_T717420_Aug11_4_59_37pm[[#This Row],[HPFP PRES. '[BAR']]]-Table3[[#This Row],[58F0]]</f>
        <v>0</v>
      </c>
      <c r="AA1952">
        <f>DataLog_T717420_Aug11_4_59_37pm[[#This Row],[COOLANT TEMP '[Â°C']]]-Table3[[#This Row],[5805]]</f>
        <v>0</v>
      </c>
      <c r="AB1952">
        <f>DataLog_T717420_Aug11_4_59_37pm[[#This Row],[BOOST '[BAR']]]-Table3[[#This Row],[58DD]]</f>
        <v>0</v>
      </c>
    </row>
    <row r="1953" spans="2:28" x14ac:dyDescent="0.25">
      <c r="B1953" s="2" t="s">
        <v>23</v>
      </c>
      <c r="C1953" s="2" t="s">
        <v>410</v>
      </c>
      <c r="D1953" s="2" t="s">
        <v>151</v>
      </c>
      <c r="E1953" s="2" t="s">
        <v>91</v>
      </c>
      <c r="F1953" s="2" t="s">
        <v>409</v>
      </c>
      <c r="G1953" s="2" t="s">
        <v>27</v>
      </c>
      <c r="I1953">
        <f>HEX2DEC(_0811_173439[[#This Row],[580C]])*B$4/B$5+B$6</f>
        <v>0</v>
      </c>
      <c r="J1953">
        <f>HEX2DEC(_0811_173439[[#This Row],[4402]])*C$4/C$5+C$6</f>
        <v>39</v>
      </c>
      <c r="K1953">
        <f>HEX2DEC(_0811_173439[[#This Row],[580F]])*D$4/D$5+D$6</f>
        <v>30</v>
      </c>
      <c r="L1953">
        <f>ROUND(HEX2DEC(_0811_173439[[#This Row],[58F0]])*E$4/E$5+E$6,0)</f>
        <v>71</v>
      </c>
      <c r="M1953">
        <f>ROUND(HEX2DEC(_0811_173439[[#This Row],[5805]])*F$4/F$5+F$6,0)</f>
        <v>47</v>
      </c>
      <c r="N1953">
        <f>ROUND(HEX2DEC(_0811_173439[[#This Row],[58DD]])*G$4/G$5+G$6,2)</f>
        <v>-0.03</v>
      </c>
      <c r="P1953">
        <v>0</v>
      </c>
      <c r="Q1953">
        <v>39</v>
      </c>
      <c r="R1953">
        <v>30</v>
      </c>
      <c r="S1953">
        <v>71</v>
      </c>
      <c r="T1953">
        <v>47</v>
      </c>
      <c r="U1953">
        <v>-0.03</v>
      </c>
      <c r="W1953">
        <f>DataLog_T717420_Aug11_4_59_37pm[[#This Row],[RPM '[1/MIN']]]-Table3[[#This Row],[580C]]</f>
        <v>0</v>
      </c>
      <c r="X1953">
        <f>DataLog_T717420_Aug11_4_59_37pm[[#This Row],[OIL TEMP '[Â°C']]]-Table3[[#This Row],[4402]]</f>
        <v>0</v>
      </c>
      <c r="Y1953">
        <f>DataLog_T717420_Aug11_4_59_37pm[[#This Row],[INTAKE TEMP '[Â°C']]]-Table3[[#This Row],[580F]]</f>
        <v>0</v>
      </c>
      <c r="Z1953">
        <f>DataLog_T717420_Aug11_4_59_37pm[[#This Row],[HPFP PRES. '[BAR']]]-Table3[[#This Row],[58F0]]</f>
        <v>0</v>
      </c>
      <c r="AA1953">
        <f>DataLog_T717420_Aug11_4_59_37pm[[#This Row],[COOLANT TEMP '[Â°C']]]-Table3[[#This Row],[5805]]</f>
        <v>0</v>
      </c>
      <c r="AB1953">
        <f>DataLog_T717420_Aug11_4_59_37pm[[#This Row],[BOOST '[BAR']]]-Table3[[#This Row],[58DD]]</f>
        <v>0</v>
      </c>
    </row>
    <row r="1954" spans="2:28" x14ac:dyDescent="0.25">
      <c r="B1954" s="2" t="s">
        <v>23</v>
      </c>
      <c r="C1954" s="2" t="s">
        <v>410</v>
      </c>
      <c r="D1954" s="2" t="s">
        <v>151</v>
      </c>
      <c r="E1954" s="2" t="s">
        <v>91</v>
      </c>
      <c r="F1954" s="2" t="s">
        <v>409</v>
      </c>
      <c r="G1954" s="2" t="s">
        <v>27</v>
      </c>
      <c r="I1954">
        <f>HEX2DEC(_0811_173439[[#This Row],[580C]])*B$4/B$5+B$6</f>
        <v>0</v>
      </c>
      <c r="J1954">
        <f>HEX2DEC(_0811_173439[[#This Row],[4402]])*C$4/C$5+C$6</f>
        <v>39</v>
      </c>
      <c r="K1954">
        <f>HEX2DEC(_0811_173439[[#This Row],[580F]])*D$4/D$5+D$6</f>
        <v>30</v>
      </c>
      <c r="L1954">
        <f>ROUND(HEX2DEC(_0811_173439[[#This Row],[58F0]])*E$4/E$5+E$6,0)</f>
        <v>71</v>
      </c>
      <c r="M1954">
        <f>ROUND(HEX2DEC(_0811_173439[[#This Row],[5805]])*F$4/F$5+F$6,0)</f>
        <v>47</v>
      </c>
      <c r="N1954">
        <f>ROUND(HEX2DEC(_0811_173439[[#This Row],[58DD]])*G$4/G$5+G$6,2)</f>
        <v>-0.03</v>
      </c>
      <c r="P1954">
        <v>0</v>
      </c>
      <c r="Q1954">
        <v>39</v>
      </c>
      <c r="R1954">
        <v>30</v>
      </c>
      <c r="S1954">
        <v>71</v>
      </c>
      <c r="T1954">
        <v>47</v>
      </c>
      <c r="U1954">
        <v>-0.03</v>
      </c>
      <c r="W1954">
        <f>DataLog_T717420_Aug11_4_59_37pm[[#This Row],[RPM '[1/MIN']]]-Table3[[#This Row],[580C]]</f>
        <v>0</v>
      </c>
      <c r="X1954">
        <f>DataLog_T717420_Aug11_4_59_37pm[[#This Row],[OIL TEMP '[Â°C']]]-Table3[[#This Row],[4402]]</f>
        <v>0</v>
      </c>
      <c r="Y1954">
        <f>DataLog_T717420_Aug11_4_59_37pm[[#This Row],[INTAKE TEMP '[Â°C']]]-Table3[[#This Row],[580F]]</f>
        <v>0</v>
      </c>
      <c r="Z1954">
        <f>DataLog_T717420_Aug11_4_59_37pm[[#This Row],[HPFP PRES. '[BAR']]]-Table3[[#This Row],[58F0]]</f>
        <v>0</v>
      </c>
      <c r="AA1954">
        <f>DataLog_T717420_Aug11_4_59_37pm[[#This Row],[COOLANT TEMP '[Â°C']]]-Table3[[#This Row],[5805]]</f>
        <v>0</v>
      </c>
      <c r="AB1954">
        <f>DataLog_T717420_Aug11_4_59_37pm[[#This Row],[BOOST '[BAR']]]-Table3[[#This Row],[58DD]]</f>
        <v>0</v>
      </c>
    </row>
    <row r="1955" spans="2:28" x14ac:dyDescent="0.25">
      <c r="B1955" s="2" t="s">
        <v>23</v>
      </c>
      <c r="C1955" s="2" t="s">
        <v>410</v>
      </c>
      <c r="D1955" s="2" t="s">
        <v>151</v>
      </c>
      <c r="E1955" s="2" t="s">
        <v>91</v>
      </c>
      <c r="F1955" s="2" t="s">
        <v>409</v>
      </c>
      <c r="G1955" s="2" t="s">
        <v>27</v>
      </c>
      <c r="I1955">
        <f>HEX2DEC(_0811_173439[[#This Row],[580C]])*B$4/B$5+B$6</f>
        <v>0</v>
      </c>
      <c r="J1955">
        <f>HEX2DEC(_0811_173439[[#This Row],[4402]])*C$4/C$5+C$6</f>
        <v>39</v>
      </c>
      <c r="K1955">
        <f>HEX2DEC(_0811_173439[[#This Row],[580F]])*D$4/D$5+D$6</f>
        <v>30</v>
      </c>
      <c r="L1955">
        <f>ROUND(HEX2DEC(_0811_173439[[#This Row],[58F0]])*E$4/E$5+E$6,0)</f>
        <v>71</v>
      </c>
      <c r="M1955">
        <f>ROUND(HEX2DEC(_0811_173439[[#This Row],[5805]])*F$4/F$5+F$6,0)</f>
        <v>47</v>
      </c>
      <c r="N1955">
        <f>ROUND(HEX2DEC(_0811_173439[[#This Row],[58DD]])*G$4/G$5+G$6,2)</f>
        <v>-0.03</v>
      </c>
      <c r="P1955">
        <v>0</v>
      </c>
      <c r="Q1955">
        <v>39</v>
      </c>
      <c r="R1955">
        <v>30</v>
      </c>
      <c r="S1955">
        <v>71</v>
      </c>
      <c r="T1955">
        <v>47</v>
      </c>
      <c r="U1955">
        <v>-0.03</v>
      </c>
      <c r="W1955">
        <f>DataLog_T717420_Aug11_4_59_37pm[[#This Row],[RPM '[1/MIN']]]-Table3[[#This Row],[580C]]</f>
        <v>0</v>
      </c>
      <c r="X1955">
        <f>DataLog_T717420_Aug11_4_59_37pm[[#This Row],[OIL TEMP '[Â°C']]]-Table3[[#This Row],[4402]]</f>
        <v>0</v>
      </c>
      <c r="Y1955">
        <f>DataLog_T717420_Aug11_4_59_37pm[[#This Row],[INTAKE TEMP '[Â°C']]]-Table3[[#This Row],[580F]]</f>
        <v>0</v>
      </c>
      <c r="Z1955">
        <f>DataLog_T717420_Aug11_4_59_37pm[[#This Row],[HPFP PRES. '[BAR']]]-Table3[[#This Row],[58F0]]</f>
        <v>0</v>
      </c>
      <c r="AA1955">
        <f>DataLog_T717420_Aug11_4_59_37pm[[#This Row],[COOLANT TEMP '[Â°C']]]-Table3[[#This Row],[5805]]</f>
        <v>0</v>
      </c>
      <c r="AB1955">
        <f>DataLog_T717420_Aug11_4_59_37pm[[#This Row],[BOOST '[BAR']]]-Table3[[#This Row],[58DD]]</f>
        <v>0</v>
      </c>
    </row>
    <row r="1956" spans="2:28" x14ac:dyDescent="0.25">
      <c r="B1956" s="2" t="s">
        <v>23</v>
      </c>
      <c r="C1956" s="2" t="s">
        <v>410</v>
      </c>
      <c r="D1956" s="2" t="s">
        <v>151</v>
      </c>
      <c r="E1956" s="2" t="s">
        <v>91</v>
      </c>
      <c r="F1956" s="2" t="s">
        <v>409</v>
      </c>
      <c r="G1956" s="2" t="s">
        <v>27</v>
      </c>
      <c r="I1956">
        <f>HEX2DEC(_0811_173439[[#This Row],[580C]])*B$4/B$5+B$6</f>
        <v>0</v>
      </c>
      <c r="J1956">
        <f>HEX2DEC(_0811_173439[[#This Row],[4402]])*C$4/C$5+C$6</f>
        <v>39</v>
      </c>
      <c r="K1956">
        <f>HEX2DEC(_0811_173439[[#This Row],[580F]])*D$4/D$5+D$6</f>
        <v>30</v>
      </c>
      <c r="L1956">
        <f>ROUND(HEX2DEC(_0811_173439[[#This Row],[58F0]])*E$4/E$5+E$6,0)</f>
        <v>71</v>
      </c>
      <c r="M1956">
        <f>ROUND(HEX2DEC(_0811_173439[[#This Row],[5805]])*F$4/F$5+F$6,0)</f>
        <v>47</v>
      </c>
      <c r="N1956">
        <f>ROUND(HEX2DEC(_0811_173439[[#This Row],[58DD]])*G$4/G$5+G$6,2)</f>
        <v>-0.03</v>
      </c>
      <c r="P1956">
        <v>0</v>
      </c>
      <c r="Q1956">
        <v>39</v>
      </c>
      <c r="R1956">
        <v>30</v>
      </c>
      <c r="S1956">
        <v>71</v>
      </c>
      <c r="T1956">
        <v>47</v>
      </c>
      <c r="U1956">
        <v>-0.03</v>
      </c>
      <c r="W1956">
        <f>DataLog_T717420_Aug11_4_59_37pm[[#This Row],[RPM '[1/MIN']]]-Table3[[#This Row],[580C]]</f>
        <v>0</v>
      </c>
      <c r="X1956">
        <f>DataLog_T717420_Aug11_4_59_37pm[[#This Row],[OIL TEMP '[Â°C']]]-Table3[[#This Row],[4402]]</f>
        <v>0</v>
      </c>
      <c r="Y1956">
        <f>DataLog_T717420_Aug11_4_59_37pm[[#This Row],[INTAKE TEMP '[Â°C']]]-Table3[[#This Row],[580F]]</f>
        <v>0</v>
      </c>
      <c r="Z1956">
        <f>DataLog_T717420_Aug11_4_59_37pm[[#This Row],[HPFP PRES. '[BAR']]]-Table3[[#This Row],[58F0]]</f>
        <v>0</v>
      </c>
      <c r="AA1956">
        <f>DataLog_T717420_Aug11_4_59_37pm[[#This Row],[COOLANT TEMP '[Â°C']]]-Table3[[#This Row],[5805]]</f>
        <v>0</v>
      </c>
      <c r="AB1956">
        <f>DataLog_T717420_Aug11_4_59_37pm[[#This Row],[BOOST '[BAR']]]-Table3[[#This Row],[58DD]]</f>
        <v>0</v>
      </c>
    </row>
    <row r="1957" spans="2:28" x14ac:dyDescent="0.25">
      <c r="B1957" s="2" t="s">
        <v>23</v>
      </c>
      <c r="C1957" s="2" t="s">
        <v>410</v>
      </c>
      <c r="D1957" s="2" t="s">
        <v>151</v>
      </c>
      <c r="E1957" s="2" t="s">
        <v>91</v>
      </c>
      <c r="F1957" s="2" t="s">
        <v>409</v>
      </c>
      <c r="G1957" s="2" t="s">
        <v>28</v>
      </c>
      <c r="I1957">
        <f>HEX2DEC(_0811_173439[[#This Row],[580C]])*B$4/B$5+B$6</f>
        <v>0</v>
      </c>
      <c r="J1957">
        <f>HEX2DEC(_0811_173439[[#This Row],[4402]])*C$4/C$5+C$6</f>
        <v>39</v>
      </c>
      <c r="K1957">
        <f>HEX2DEC(_0811_173439[[#This Row],[580F]])*D$4/D$5+D$6</f>
        <v>30</v>
      </c>
      <c r="L1957">
        <f>ROUND(HEX2DEC(_0811_173439[[#This Row],[58F0]])*E$4/E$5+E$6,0)</f>
        <v>71</v>
      </c>
      <c r="M1957">
        <f>ROUND(HEX2DEC(_0811_173439[[#This Row],[5805]])*F$4/F$5+F$6,0)</f>
        <v>47</v>
      </c>
      <c r="N1957">
        <f>ROUND(HEX2DEC(_0811_173439[[#This Row],[58DD]])*G$4/G$5+G$6,2)</f>
        <v>-0.02</v>
      </c>
      <c r="P1957">
        <v>0</v>
      </c>
      <c r="Q1957">
        <v>39</v>
      </c>
      <c r="R1957">
        <v>30</v>
      </c>
      <c r="S1957">
        <v>71</v>
      </c>
      <c r="T1957">
        <v>47</v>
      </c>
      <c r="U1957">
        <v>-0.02</v>
      </c>
      <c r="W1957">
        <f>DataLog_T717420_Aug11_4_59_37pm[[#This Row],[RPM '[1/MIN']]]-Table3[[#This Row],[580C]]</f>
        <v>0</v>
      </c>
      <c r="X1957">
        <f>DataLog_T717420_Aug11_4_59_37pm[[#This Row],[OIL TEMP '[Â°C']]]-Table3[[#This Row],[4402]]</f>
        <v>0</v>
      </c>
      <c r="Y1957">
        <f>DataLog_T717420_Aug11_4_59_37pm[[#This Row],[INTAKE TEMP '[Â°C']]]-Table3[[#This Row],[580F]]</f>
        <v>0</v>
      </c>
      <c r="Z1957">
        <f>DataLog_T717420_Aug11_4_59_37pm[[#This Row],[HPFP PRES. '[BAR']]]-Table3[[#This Row],[58F0]]</f>
        <v>0</v>
      </c>
      <c r="AA1957">
        <f>DataLog_T717420_Aug11_4_59_37pm[[#This Row],[COOLANT TEMP '[Â°C']]]-Table3[[#This Row],[5805]]</f>
        <v>0</v>
      </c>
      <c r="AB1957">
        <f>DataLog_T717420_Aug11_4_59_37pm[[#This Row],[BOOST '[BAR']]]-Table3[[#This Row],[58DD]]</f>
        <v>0</v>
      </c>
    </row>
    <row r="1958" spans="2:28" x14ac:dyDescent="0.25">
      <c r="B1958" s="2" t="s">
        <v>23</v>
      </c>
      <c r="C1958" s="2" t="s">
        <v>410</v>
      </c>
      <c r="D1958" s="2" t="s">
        <v>151</v>
      </c>
      <c r="E1958" s="2" t="s">
        <v>91</v>
      </c>
      <c r="F1958" s="2" t="s">
        <v>409</v>
      </c>
      <c r="G1958" s="2" t="s">
        <v>28</v>
      </c>
      <c r="I1958">
        <f>HEX2DEC(_0811_173439[[#This Row],[580C]])*B$4/B$5+B$6</f>
        <v>0</v>
      </c>
      <c r="J1958">
        <f>HEX2DEC(_0811_173439[[#This Row],[4402]])*C$4/C$5+C$6</f>
        <v>39</v>
      </c>
      <c r="K1958">
        <f>HEX2DEC(_0811_173439[[#This Row],[580F]])*D$4/D$5+D$6</f>
        <v>30</v>
      </c>
      <c r="L1958">
        <f>ROUND(HEX2DEC(_0811_173439[[#This Row],[58F0]])*E$4/E$5+E$6,0)</f>
        <v>71</v>
      </c>
      <c r="M1958">
        <f>ROUND(HEX2DEC(_0811_173439[[#This Row],[5805]])*F$4/F$5+F$6,0)</f>
        <v>47</v>
      </c>
      <c r="N1958">
        <f>ROUND(HEX2DEC(_0811_173439[[#This Row],[58DD]])*G$4/G$5+G$6,2)</f>
        <v>-0.02</v>
      </c>
      <c r="P1958">
        <v>0</v>
      </c>
      <c r="Q1958">
        <v>39</v>
      </c>
      <c r="R1958">
        <v>30</v>
      </c>
      <c r="S1958">
        <v>71</v>
      </c>
      <c r="T1958">
        <v>47</v>
      </c>
      <c r="U1958">
        <v>-0.02</v>
      </c>
      <c r="W1958">
        <f>DataLog_T717420_Aug11_4_59_37pm[[#This Row],[RPM '[1/MIN']]]-Table3[[#This Row],[580C]]</f>
        <v>0</v>
      </c>
      <c r="X1958">
        <f>DataLog_T717420_Aug11_4_59_37pm[[#This Row],[OIL TEMP '[Â°C']]]-Table3[[#This Row],[4402]]</f>
        <v>0</v>
      </c>
      <c r="Y1958">
        <f>DataLog_T717420_Aug11_4_59_37pm[[#This Row],[INTAKE TEMP '[Â°C']]]-Table3[[#This Row],[580F]]</f>
        <v>0</v>
      </c>
      <c r="Z1958">
        <f>DataLog_T717420_Aug11_4_59_37pm[[#This Row],[HPFP PRES. '[BAR']]]-Table3[[#This Row],[58F0]]</f>
        <v>0</v>
      </c>
      <c r="AA1958">
        <f>DataLog_T717420_Aug11_4_59_37pm[[#This Row],[COOLANT TEMP '[Â°C']]]-Table3[[#This Row],[5805]]</f>
        <v>0</v>
      </c>
      <c r="AB1958">
        <f>DataLog_T717420_Aug11_4_59_37pm[[#This Row],[BOOST '[BAR']]]-Table3[[#This Row],[58DD]]</f>
        <v>0</v>
      </c>
    </row>
    <row r="1959" spans="2:28" x14ac:dyDescent="0.25">
      <c r="B1959" s="2" t="s">
        <v>23</v>
      </c>
      <c r="C1959" s="2" t="s">
        <v>410</v>
      </c>
      <c r="D1959" s="2" t="s">
        <v>151</v>
      </c>
      <c r="E1959" s="2" t="s">
        <v>91</v>
      </c>
      <c r="F1959" s="2" t="s">
        <v>409</v>
      </c>
      <c r="G1959" s="2" t="s">
        <v>27</v>
      </c>
      <c r="I1959">
        <f>HEX2DEC(_0811_173439[[#This Row],[580C]])*B$4/B$5+B$6</f>
        <v>0</v>
      </c>
      <c r="J1959">
        <f>HEX2DEC(_0811_173439[[#This Row],[4402]])*C$4/C$5+C$6</f>
        <v>39</v>
      </c>
      <c r="K1959">
        <f>HEX2DEC(_0811_173439[[#This Row],[580F]])*D$4/D$5+D$6</f>
        <v>30</v>
      </c>
      <c r="L1959">
        <f>ROUND(HEX2DEC(_0811_173439[[#This Row],[58F0]])*E$4/E$5+E$6,0)</f>
        <v>71</v>
      </c>
      <c r="M1959">
        <f>ROUND(HEX2DEC(_0811_173439[[#This Row],[5805]])*F$4/F$5+F$6,0)</f>
        <v>47</v>
      </c>
      <c r="N1959">
        <f>ROUND(HEX2DEC(_0811_173439[[#This Row],[58DD]])*G$4/G$5+G$6,2)</f>
        <v>-0.03</v>
      </c>
      <c r="P1959">
        <v>0</v>
      </c>
      <c r="Q1959">
        <v>39</v>
      </c>
      <c r="R1959">
        <v>30</v>
      </c>
      <c r="S1959">
        <v>71</v>
      </c>
      <c r="T1959">
        <v>47</v>
      </c>
      <c r="U1959">
        <v>-0.03</v>
      </c>
      <c r="W1959">
        <f>DataLog_T717420_Aug11_4_59_37pm[[#This Row],[RPM '[1/MIN']]]-Table3[[#This Row],[580C]]</f>
        <v>0</v>
      </c>
      <c r="X1959">
        <f>DataLog_T717420_Aug11_4_59_37pm[[#This Row],[OIL TEMP '[Â°C']]]-Table3[[#This Row],[4402]]</f>
        <v>0</v>
      </c>
      <c r="Y1959">
        <f>DataLog_T717420_Aug11_4_59_37pm[[#This Row],[INTAKE TEMP '[Â°C']]]-Table3[[#This Row],[580F]]</f>
        <v>0</v>
      </c>
      <c r="Z1959">
        <f>DataLog_T717420_Aug11_4_59_37pm[[#This Row],[HPFP PRES. '[BAR']]]-Table3[[#This Row],[58F0]]</f>
        <v>0</v>
      </c>
      <c r="AA1959">
        <f>DataLog_T717420_Aug11_4_59_37pm[[#This Row],[COOLANT TEMP '[Â°C']]]-Table3[[#This Row],[5805]]</f>
        <v>0</v>
      </c>
      <c r="AB1959">
        <f>DataLog_T717420_Aug11_4_59_37pm[[#This Row],[BOOST '[BAR']]]-Table3[[#This Row],[58DD]]</f>
        <v>0</v>
      </c>
    </row>
    <row r="1960" spans="2:28" x14ac:dyDescent="0.25">
      <c r="B1960" s="2" t="s">
        <v>23</v>
      </c>
      <c r="C1960" s="2" t="s">
        <v>410</v>
      </c>
      <c r="D1960" s="2" t="s">
        <v>151</v>
      </c>
      <c r="E1960" s="2" t="s">
        <v>91</v>
      </c>
      <c r="F1960" s="2" t="s">
        <v>409</v>
      </c>
      <c r="G1960" s="2" t="s">
        <v>27</v>
      </c>
      <c r="I1960">
        <f>HEX2DEC(_0811_173439[[#This Row],[580C]])*B$4/B$5+B$6</f>
        <v>0</v>
      </c>
      <c r="J1960">
        <f>HEX2DEC(_0811_173439[[#This Row],[4402]])*C$4/C$5+C$6</f>
        <v>39</v>
      </c>
      <c r="K1960">
        <f>HEX2DEC(_0811_173439[[#This Row],[580F]])*D$4/D$5+D$6</f>
        <v>30</v>
      </c>
      <c r="L1960">
        <f>ROUND(HEX2DEC(_0811_173439[[#This Row],[58F0]])*E$4/E$5+E$6,0)</f>
        <v>71</v>
      </c>
      <c r="M1960">
        <f>ROUND(HEX2DEC(_0811_173439[[#This Row],[5805]])*F$4/F$5+F$6,0)</f>
        <v>47</v>
      </c>
      <c r="N1960">
        <f>ROUND(HEX2DEC(_0811_173439[[#This Row],[58DD]])*G$4/G$5+G$6,2)</f>
        <v>-0.03</v>
      </c>
      <c r="P1960">
        <v>0</v>
      </c>
      <c r="Q1960">
        <v>39</v>
      </c>
      <c r="R1960">
        <v>30</v>
      </c>
      <c r="S1960">
        <v>71</v>
      </c>
      <c r="T1960">
        <v>47</v>
      </c>
      <c r="U1960">
        <v>-0.03</v>
      </c>
      <c r="W1960">
        <f>DataLog_T717420_Aug11_4_59_37pm[[#This Row],[RPM '[1/MIN']]]-Table3[[#This Row],[580C]]</f>
        <v>0</v>
      </c>
      <c r="X1960">
        <f>DataLog_T717420_Aug11_4_59_37pm[[#This Row],[OIL TEMP '[Â°C']]]-Table3[[#This Row],[4402]]</f>
        <v>0</v>
      </c>
      <c r="Y1960">
        <f>DataLog_T717420_Aug11_4_59_37pm[[#This Row],[INTAKE TEMP '[Â°C']]]-Table3[[#This Row],[580F]]</f>
        <v>0</v>
      </c>
      <c r="Z1960">
        <f>DataLog_T717420_Aug11_4_59_37pm[[#This Row],[HPFP PRES. '[BAR']]]-Table3[[#This Row],[58F0]]</f>
        <v>0</v>
      </c>
      <c r="AA1960">
        <f>DataLog_T717420_Aug11_4_59_37pm[[#This Row],[COOLANT TEMP '[Â°C']]]-Table3[[#This Row],[5805]]</f>
        <v>0</v>
      </c>
      <c r="AB1960">
        <f>DataLog_T717420_Aug11_4_59_37pm[[#This Row],[BOOST '[BAR']]]-Table3[[#This Row],[58DD]]</f>
        <v>0</v>
      </c>
    </row>
    <row r="1961" spans="2:28" x14ac:dyDescent="0.25">
      <c r="B1961" s="2" t="s">
        <v>23</v>
      </c>
      <c r="C1961" s="2" t="s">
        <v>410</v>
      </c>
      <c r="D1961" s="2" t="s">
        <v>151</v>
      </c>
      <c r="E1961" s="2" t="s">
        <v>91</v>
      </c>
      <c r="F1961" s="2" t="s">
        <v>409</v>
      </c>
      <c r="G1961" s="2" t="s">
        <v>27</v>
      </c>
      <c r="I1961">
        <f>HEX2DEC(_0811_173439[[#This Row],[580C]])*B$4/B$5+B$6</f>
        <v>0</v>
      </c>
      <c r="J1961">
        <f>HEX2DEC(_0811_173439[[#This Row],[4402]])*C$4/C$5+C$6</f>
        <v>39</v>
      </c>
      <c r="K1961">
        <f>HEX2DEC(_0811_173439[[#This Row],[580F]])*D$4/D$5+D$6</f>
        <v>30</v>
      </c>
      <c r="L1961">
        <f>ROUND(HEX2DEC(_0811_173439[[#This Row],[58F0]])*E$4/E$5+E$6,0)</f>
        <v>71</v>
      </c>
      <c r="M1961">
        <f>ROUND(HEX2DEC(_0811_173439[[#This Row],[5805]])*F$4/F$5+F$6,0)</f>
        <v>47</v>
      </c>
      <c r="N1961">
        <f>ROUND(HEX2DEC(_0811_173439[[#This Row],[58DD]])*G$4/G$5+G$6,2)</f>
        <v>-0.03</v>
      </c>
      <c r="P1961">
        <v>0</v>
      </c>
      <c r="Q1961">
        <v>39</v>
      </c>
      <c r="R1961">
        <v>30</v>
      </c>
      <c r="S1961">
        <v>71</v>
      </c>
      <c r="T1961">
        <v>47</v>
      </c>
      <c r="U1961">
        <v>-0.03</v>
      </c>
      <c r="W1961">
        <f>DataLog_T717420_Aug11_4_59_37pm[[#This Row],[RPM '[1/MIN']]]-Table3[[#This Row],[580C]]</f>
        <v>0</v>
      </c>
      <c r="X1961">
        <f>DataLog_T717420_Aug11_4_59_37pm[[#This Row],[OIL TEMP '[Â°C']]]-Table3[[#This Row],[4402]]</f>
        <v>0</v>
      </c>
      <c r="Y1961">
        <f>DataLog_T717420_Aug11_4_59_37pm[[#This Row],[INTAKE TEMP '[Â°C']]]-Table3[[#This Row],[580F]]</f>
        <v>0</v>
      </c>
      <c r="Z1961">
        <f>DataLog_T717420_Aug11_4_59_37pm[[#This Row],[HPFP PRES. '[BAR']]]-Table3[[#This Row],[58F0]]</f>
        <v>0</v>
      </c>
      <c r="AA1961">
        <f>DataLog_T717420_Aug11_4_59_37pm[[#This Row],[COOLANT TEMP '[Â°C']]]-Table3[[#This Row],[5805]]</f>
        <v>0</v>
      </c>
      <c r="AB1961">
        <f>DataLog_T717420_Aug11_4_59_37pm[[#This Row],[BOOST '[BAR']]]-Table3[[#This Row],[58DD]]</f>
        <v>0</v>
      </c>
    </row>
    <row r="1962" spans="2:28" x14ac:dyDescent="0.25">
      <c r="B1962" s="2" t="s">
        <v>23</v>
      </c>
      <c r="C1962" s="2" t="s">
        <v>410</v>
      </c>
      <c r="D1962" s="2" t="s">
        <v>151</v>
      </c>
      <c r="E1962" s="2" t="s">
        <v>91</v>
      </c>
      <c r="F1962" s="2" t="s">
        <v>409</v>
      </c>
      <c r="G1962" s="2" t="s">
        <v>28</v>
      </c>
      <c r="I1962">
        <f>HEX2DEC(_0811_173439[[#This Row],[580C]])*B$4/B$5+B$6</f>
        <v>0</v>
      </c>
      <c r="J1962">
        <f>HEX2DEC(_0811_173439[[#This Row],[4402]])*C$4/C$5+C$6</f>
        <v>39</v>
      </c>
      <c r="K1962">
        <f>HEX2DEC(_0811_173439[[#This Row],[580F]])*D$4/D$5+D$6</f>
        <v>30</v>
      </c>
      <c r="L1962">
        <f>ROUND(HEX2DEC(_0811_173439[[#This Row],[58F0]])*E$4/E$5+E$6,0)</f>
        <v>71</v>
      </c>
      <c r="M1962">
        <f>ROUND(HEX2DEC(_0811_173439[[#This Row],[5805]])*F$4/F$5+F$6,0)</f>
        <v>47</v>
      </c>
      <c r="N1962">
        <f>ROUND(HEX2DEC(_0811_173439[[#This Row],[58DD]])*G$4/G$5+G$6,2)</f>
        <v>-0.02</v>
      </c>
      <c r="P1962">
        <v>0</v>
      </c>
      <c r="Q1962">
        <v>39</v>
      </c>
      <c r="R1962">
        <v>30</v>
      </c>
      <c r="S1962">
        <v>71</v>
      </c>
      <c r="T1962">
        <v>47</v>
      </c>
      <c r="U1962">
        <v>-0.02</v>
      </c>
      <c r="W1962">
        <f>DataLog_T717420_Aug11_4_59_37pm[[#This Row],[RPM '[1/MIN']]]-Table3[[#This Row],[580C]]</f>
        <v>0</v>
      </c>
      <c r="X1962">
        <f>DataLog_T717420_Aug11_4_59_37pm[[#This Row],[OIL TEMP '[Â°C']]]-Table3[[#This Row],[4402]]</f>
        <v>0</v>
      </c>
      <c r="Y1962">
        <f>DataLog_T717420_Aug11_4_59_37pm[[#This Row],[INTAKE TEMP '[Â°C']]]-Table3[[#This Row],[580F]]</f>
        <v>0</v>
      </c>
      <c r="Z1962">
        <f>DataLog_T717420_Aug11_4_59_37pm[[#This Row],[HPFP PRES. '[BAR']]]-Table3[[#This Row],[58F0]]</f>
        <v>0</v>
      </c>
      <c r="AA1962">
        <f>DataLog_T717420_Aug11_4_59_37pm[[#This Row],[COOLANT TEMP '[Â°C']]]-Table3[[#This Row],[5805]]</f>
        <v>0</v>
      </c>
      <c r="AB1962">
        <f>DataLog_T717420_Aug11_4_59_37pm[[#This Row],[BOOST '[BAR']]]-Table3[[#This Row],[58DD]]</f>
        <v>0</v>
      </c>
    </row>
    <row r="1963" spans="2:28" x14ac:dyDescent="0.25">
      <c r="B1963" s="2" t="s">
        <v>23</v>
      </c>
      <c r="C1963" s="2" t="s">
        <v>410</v>
      </c>
      <c r="D1963" s="2" t="s">
        <v>151</v>
      </c>
      <c r="E1963" s="2" t="s">
        <v>91</v>
      </c>
      <c r="F1963" s="2" t="s">
        <v>409</v>
      </c>
      <c r="G1963" s="2" t="s">
        <v>28</v>
      </c>
      <c r="I1963">
        <f>HEX2DEC(_0811_173439[[#This Row],[580C]])*B$4/B$5+B$6</f>
        <v>0</v>
      </c>
      <c r="J1963">
        <f>HEX2DEC(_0811_173439[[#This Row],[4402]])*C$4/C$5+C$6</f>
        <v>39</v>
      </c>
      <c r="K1963">
        <f>HEX2DEC(_0811_173439[[#This Row],[580F]])*D$4/D$5+D$6</f>
        <v>30</v>
      </c>
      <c r="L1963">
        <f>ROUND(HEX2DEC(_0811_173439[[#This Row],[58F0]])*E$4/E$5+E$6,0)</f>
        <v>71</v>
      </c>
      <c r="M1963">
        <f>ROUND(HEX2DEC(_0811_173439[[#This Row],[5805]])*F$4/F$5+F$6,0)</f>
        <v>47</v>
      </c>
      <c r="N1963">
        <f>ROUND(HEX2DEC(_0811_173439[[#This Row],[58DD]])*G$4/G$5+G$6,2)</f>
        <v>-0.02</v>
      </c>
      <c r="P1963">
        <v>0</v>
      </c>
      <c r="Q1963">
        <v>39</v>
      </c>
      <c r="R1963">
        <v>30</v>
      </c>
      <c r="S1963">
        <v>71</v>
      </c>
      <c r="T1963">
        <v>47</v>
      </c>
      <c r="U1963">
        <v>-0.02</v>
      </c>
      <c r="W1963">
        <f>DataLog_T717420_Aug11_4_59_37pm[[#This Row],[RPM '[1/MIN']]]-Table3[[#This Row],[580C]]</f>
        <v>0</v>
      </c>
      <c r="X1963">
        <f>DataLog_T717420_Aug11_4_59_37pm[[#This Row],[OIL TEMP '[Â°C']]]-Table3[[#This Row],[4402]]</f>
        <v>0</v>
      </c>
      <c r="Y1963">
        <f>DataLog_T717420_Aug11_4_59_37pm[[#This Row],[INTAKE TEMP '[Â°C']]]-Table3[[#This Row],[580F]]</f>
        <v>0</v>
      </c>
      <c r="Z1963">
        <f>DataLog_T717420_Aug11_4_59_37pm[[#This Row],[HPFP PRES. '[BAR']]]-Table3[[#This Row],[58F0]]</f>
        <v>0</v>
      </c>
      <c r="AA1963">
        <f>DataLog_T717420_Aug11_4_59_37pm[[#This Row],[COOLANT TEMP '[Â°C']]]-Table3[[#This Row],[5805]]</f>
        <v>0</v>
      </c>
      <c r="AB1963">
        <f>DataLog_T717420_Aug11_4_59_37pm[[#This Row],[BOOST '[BAR']]]-Table3[[#This Row],[58DD]]</f>
        <v>0</v>
      </c>
    </row>
    <row r="1964" spans="2:28" x14ac:dyDescent="0.25">
      <c r="B1964" s="2" t="s">
        <v>23</v>
      </c>
      <c r="C1964" s="2" t="s">
        <v>410</v>
      </c>
      <c r="D1964" s="2" t="s">
        <v>151</v>
      </c>
      <c r="E1964" s="2" t="s">
        <v>91</v>
      </c>
      <c r="F1964" s="2" t="s">
        <v>409</v>
      </c>
      <c r="G1964" s="2" t="s">
        <v>27</v>
      </c>
      <c r="I1964">
        <f>HEX2DEC(_0811_173439[[#This Row],[580C]])*B$4/B$5+B$6</f>
        <v>0</v>
      </c>
      <c r="J1964">
        <f>HEX2DEC(_0811_173439[[#This Row],[4402]])*C$4/C$5+C$6</f>
        <v>39</v>
      </c>
      <c r="K1964">
        <f>HEX2DEC(_0811_173439[[#This Row],[580F]])*D$4/D$5+D$6</f>
        <v>30</v>
      </c>
      <c r="L1964">
        <f>ROUND(HEX2DEC(_0811_173439[[#This Row],[58F0]])*E$4/E$5+E$6,0)</f>
        <v>71</v>
      </c>
      <c r="M1964">
        <f>ROUND(HEX2DEC(_0811_173439[[#This Row],[5805]])*F$4/F$5+F$6,0)</f>
        <v>47</v>
      </c>
      <c r="N1964">
        <f>ROUND(HEX2DEC(_0811_173439[[#This Row],[58DD]])*G$4/G$5+G$6,2)</f>
        <v>-0.03</v>
      </c>
      <c r="P1964">
        <v>0</v>
      </c>
      <c r="Q1964">
        <v>39</v>
      </c>
      <c r="R1964">
        <v>30</v>
      </c>
      <c r="S1964">
        <v>71</v>
      </c>
      <c r="T1964">
        <v>47</v>
      </c>
      <c r="U1964">
        <v>-0.03</v>
      </c>
      <c r="W1964">
        <f>DataLog_T717420_Aug11_4_59_37pm[[#This Row],[RPM '[1/MIN']]]-Table3[[#This Row],[580C]]</f>
        <v>0</v>
      </c>
      <c r="X1964">
        <f>DataLog_T717420_Aug11_4_59_37pm[[#This Row],[OIL TEMP '[Â°C']]]-Table3[[#This Row],[4402]]</f>
        <v>0</v>
      </c>
      <c r="Y1964">
        <f>DataLog_T717420_Aug11_4_59_37pm[[#This Row],[INTAKE TEMP '[Â°C']]]-Table3[[#This Row],[580F]]</f>
        <v>0</v>
      </c>
      <c r="Z1964">
        <f>DataLog_T717420_Aug11_4_59_37pm[[#This Row],[HPFP PRES. '[BAR']]]-Table3[[#This Row],[58F0]]</f>
        <v>0</v>
      </c>
      <c r="AA1964">
        <f>DataLog_T717420_Aug11_4_59_37pm[[#This Row],[COOLANT TEMP '[Â°C']]]-Table3[[#This Row],[5805]]</f>
        <v>0</v>
      </c>
      <c r="AB1964">
        <f>DataLog_T717420_Aug11_4_59_37pm[[#This Row],[BOOST '[BAR']]]-Table3[[#This Row],[58DD]]</f>
        <v>0</v>
      </c>
    </row>
    <row r="1965" spans="2:28" x14ac:dyDescent="0.25">
      <c r="B1965" s="2" t="s">
        <v>23</v>
      </c>
      <c r="C1965" s="2" t="s">
        <v>410</v>
      </c>
      <c r="D1965" s="2" t="s">
        <v>151</v>
      </c>
      <c r="E1965" s="2" t="s">
        <v>131</v>
      </c>
      <c r="F1965" s="2" t="s">
        <v>409</v>
      </c>
      <c r="G1965" s="2" t="s">
        <v>27</v>
      </c>
      <c r="I1965">
        <f>HEX2DEC(_0811_173439[[#This Row],[580C]])*B$4/B$5+B$6</f>
        <v>0</v>
      </c>
      <c r="J1965">
        <f>HEX2DEC(_0811_173439[[#This Row],[4402]])*C$4/C$5+C$6</f>
        <v>39</v>
      </c>
      <c r="K1965">
        <f>HEX2DEC(_0811_173439[[#This Row],[580F]])*D$4/D$5+D$6</f>
        <v>30</v>
      </c>
      <c r="L1965">
        <f>ROUND(HEX2DEC(_0811_173439[[#This Row],[58F0]])*E$4/E$5+E$6,0)</f>
        <v>72</v>
      </c>
      <c r="M1965">
        <f>ROUND(HEX2DEC(_0811_173439[[#This Row],[5805]])*F$4/F$5+F$6,0)</f>
        <v>47</v>
      </c>
      <c r="N1965">
        <f>ROUND(HEX2DEC(_0811_173439[[#This Row],[58DD]])*G$4/G$5+G$6,2)</f>
        <v>-0.03</v>
      </c>
      <c r="P1965">
        <v>0</v>
      </c>
      <c r="Q1965">
        <v>39</v>
      </c>
      <c r="R1965">
        <v>30</v>
      </c>
      <c r="S1965">
        <v>72</v>
      </c>
      <c r="T1965">
        <v>47</v>
      </c>
      <c r="U1965">
        <v>-0.03</v>
      </c>
      <c r="W1965">
        <f>DataLog_T717420_Aug11_4_59_37pm[[#This Row],[RPM '[1/MIN']]]-Table3[[#This Row],[580C]]</f>
        <v>0</v>
      </c>
      <c r="X1965">
        <f>DataLog_T717420_Aug11_4_59_37pm[[#This Row],[OIL TEMP '[Â°C']]]-Table3[[#This Row],[4402]]</f>
        <v>0</v>
      </c>
      <c r="Y1965">
        <f>DataLog_T717420_Aug11_4_59_37pm[[#This Row],[INTAKE TEMP '[Â°C']]]-Table3[[#This Row],[580F]]</f>
        <v>0</v>
      </c>
      <c r="Z1965">
        <f>DataLog_T717420_Aug11_4_59_37pm[[#This Row],[HPFP PRES. '[BAR']]]-Table3[[#This Row],[58F0]]</f>
        <v>0</v>
      </c>
      <c r="AA1965">
        <f>DataLog_T717420_Aug11_4_59_37pm[[#This Row],[COOLANT TEMP '[Â°C']]]-Table3[[#This Row],[5805]]</f>
        <v>0</v>
      </c>
      <c r="AB1965">
        <f>DataLog_T717420_Aug11_4_59_37pm[[#This Row],[BOOST '[BAR']]]-Table3[[#This Row],[58DD]]</f>
        <v>0</v>
      </c>
    </row>
    <row r="1966" spans="2:28" x14ac:dyDescent="0.25">
      <c r="B1966" s="2" t="s">
        <v>23</v>
      </c>
      <c r="C1966" s="2" t="s">
        <v>410</v>
      </c>
      <c r="D1966" s="2" t="s">
        <v>151</v>
      </c>
      <c r="E1966" s="2" t="s">
        <v>131</v>
      </c>
      <c r="F1966" s="2" t="s">
        <v>409</v>
      </c>
      <c r="G1966" s="2" t="s">
        <v>27</v>
      </c>
      <c r="I1966">
        <f>HEX2DEC(_0811_173439[[#This Row],[580C]])*B$4/B$5+B$6</f>
        <v>0</v>
      </c>
      <c r="J1966">
        <f>HEX2DEC(_0811_173439[[#This Row],[4402]])*C$4/C$5+C$6</f>
        <v>39</v>
      </c>
      <c r="K1966">
        <f>HEX2DEC(_0811_173439[[#This Row],[580F]])*D$4/D$5+D$6</f>
        <v>30</v>
      </c>
      <c r="L1966">
        <f>ROUND(HEX2DEC(_0811_173439[[#This Row],[58F0]])*E$4/E$5+E$6,0)</f>
        <v>72</v>
      </c>
      <c r="M1966">
        <f>ROUND(HEX2DEC(_0811_173439[[#This Row],[5805]])*F$4/F$5+F$6,0)</f>
        <v>47</v>
      </c>
      <c r="N1966">
        <f>ROUND(HEX2DEC(_0811_173439[[#This Row],[58DD]])*G$4/G$5+G$6,2)</f>
        <v>-0.03</v>
      </c>
      <c r="P1966">
        <v>0</v>
      </c>
      <c r="Q1966">
        <v>39</v>
      </c>
      <c r="R1966">
        <v>30</v>
      </c>
      <c r="S1966">
        <v>72</v>
      </c>
      <c r="T1966">
        <v>47</v>
      </c>
      <c r="U1966">
        <v>-0.03</v>
      </c>
      <c r="W1966">
        <f>DataLog_T717420_Aug11_4_59_37pm[[#This Row],[RPM '[1/MIN']]]-Table3[[#This Row],[580C]]</f>
        <v>0</v>
      </c>
      <c r="X1966">
        <f>DataLog_T717420_Aug11_4_59_37pm[[#This Row],[OIL TEMP '[Â°C']]]-Table3[[#This Row],[4402]]</f>
        <v>0</v>
      </c>
      <c r="Y1966">
        <f>DataLog_T717420_Aug11_4_59_37pm[[#This Row],[INTAKE TEMP '[Â°C']]]-Table3[[#This Row],[580F]]</f>
        <v>0</v>
      </c>
      <c r="Z1966">
        <f>DataLog_T717420_Aug11_4_59_37pm[[#This Row],[HPFP PRES. '[BAR']]]-Table3[[#This Row],[58F0]]</f>
        <v>0</v>
      </c>
      <c r="AA1966">
        <f>DataLog_T717420_Aug11_4_59_37pm[[#This Row],[COOLANT TEMP '[Â°C']]]-Table3[[#This Row],[5805]]</f>
        <v>0</v>
      </c>
      <c r="AB1966">
        <f>DataLog_T717420_Aug11_4_59_37pm[[#This Row],[BOOST '[BAR']]]-Table3[[#This Row],[58DD]]</f>
        <v>0</v>
      </c>
    </row>
    <row r="1967" spans="2:28" x14ac:dyDescent="0.25">
      <c r="B1967" s="2" t="s">
        <v>23</v>
      </c>
      <c r="C1967" s="2" t="s">
        <v>410</v>
      </c>
      <c r="D1967" s="2" t="s">
        <v>151</v>
      </c>
      <c r="E1967" s="2" t="s">
        <v>131</v>
      </c>
      <c r="F1967" s="2" t="s">
        <v>409</v>
      </c>
      <c r="G1967" s="2" t="s">
        <v>27</v>
      </c>
      <c r="I1967">
        <f>HEX2DEC(_0811_173439[[#This Row],[580C]])*B$4/B$5+B$6</f>
        <v>0</v>
      </c>
      <c r="J1967">
        <f>HEX2DEC(_0811_173439[[#This Row],[4402]])*C$4/C$5+C$6</f>
        <v>39</v>
      </c>
      <c r="K1967">
        <f>HEX2DEC(_0811_173439[[#This Row],[580F]])*D$4/D$5+D$6</f>
        <v>30</v>
      </c>
      <c r="L1967">
        <f>ROUND(HEX2DEC(_0811_173439[[#This Row],[58F0]])*E$4/E$5+E$6,0)</f>
        <v>72</v>
      </c>
      <c r="M1967">
        <f>ROUND(HEX2DEC(_0811_173439[[#This Row],[5805]])*F$4/F$5+F$6,0)</f>
        <v>47</v>
      </c>
      <c r="N1967">
        <f>ROUND(HEX2DEC(_0811_173439[[#This Row],[58DD]])*G$4/G$5+G$6,2)</f>
        <v>-0.03</v>
      </c>
      <c r="P1967">
        <v>0</v>
      </c>
      <c r="Q1967">
        <v>39</v>
      </c>
      <c r="R1967">
        <v>30</v>
      </c>
      <c r="S1967">
        <v>72</v>
      </c>
      <c r="T1967">
        <v>47</v>
      </c>
      <c r="U1967">
        <v>-0.03</v>
      </c>
      <c r="W1967">
        <f>DataLog_T717420_Aug11_4_59_37pm[[#This Row],[RPM '[1/MIN']]]-Table3[[#This Row],[580C]]</f>
        <v>0</v>
      </c>
      <c r="X1967">
        <f>DataLog_T717420_Aug11_4_59_37pm[[#This Row],[OIL TEMP '[Â°C']]]-Table3[[#This Row],[4402]]</f>
        <v>0</v>
      </c>
      <c r="Y1967">
        <f>DataLog_T717420_Aug11_4_59_37pm[[#This Row],[INTAKE TEMP '[Â°C']]]-Table3[[#This Row],[580F]]</f>
        <v>0</v>
      </c>
      <c r="Z1967">
        <f>DataLog_T717420_Aug11_4_59_37pm[[#This Row],[HPFP PRES. '[BAR']]]-Table3[[#This Row],[58F0]]</f>
        <v>0</v>
      </c>
      <c r="AA1967">
        <f>DataLog_T717420_Aug11_4_59_37pm[[#This Row],[COOLANT TEMP '[Â°C']]]-Table3[[#This Row],[5805]]</f>
        <v>0</v>
      </c>
      <c r="AB1967">
        <f>DataLog_T717420_Aug11_4_59_37pm[[#This Row],[BOOST '[BAR']]]-Table3[[#This Row],[58DD]]</f>
        <v>0</v>
      </c>
    </row>
    <row r="1968" spans="2:28" x14ac:dyDescent="0.25">
      <c r="B1968" s="2" t="s">
        <v>23</v>
      </c>
      <c r="C1968" s="2" t="s">
        <v>410</v>
      </c>
      <c r="D1968" s="2" t="s">
        <v>151</v>
      </c>
      <c r="E1968" s="2" t="s">
        <v>131</v>
      </c>
      <c r="F1968" s="2" t="s">
        <v>409</v>
      </c>
      <c r="G1968" s="2" t="s">
        <v>28</v>
      </c>
      <c r="I1968">
        <f>HEX2DEC(_0811_173439[[#This Row],[580C]])*B$4/B$5+B$6</f>
        <v>0</v>
      </c>
      <c r="J1968">
        <f>HEX2DEC(_0811_173439[[#This Row],[4402]])*C$4/C$5+C$6</f>
        <v>39</v>
      </c>
      <c r="K1968">
        <f>HEX2DEC(_0811_173439[[#This Row],[580F]])*D$4/D$5+D$6</f>
        <v>30</v>
      </c>
      <c r="L1968">
        <f>ROUND(HEX2DEC(_0811_173439[[#This Row],[58F0]])*E$4/E$5+E$6,0)</f>
        <v>72</v>
      </c>
      <c r="M1968">
        <f>ROUND(HEX2DEC(_0811_173439[[#This Row],[5805]])*F$4/F$5+F$6,0)</f>
        <v>47</v>
      </c>
      <c r="N1968">
        <f>ROUND(HEX2DEC(_0811_173439[[#This Row],[58DD]])*G$4/G$5+G$6,2)</f>
        <v>-0.02</v>
      </c>
      <c r="P1968">
        <v>0</v>
      </c>
      <c r="Q1968">
        <v>39</v>
      </c>
      <c r="R1968">
        <v>30</v>
      </c>
      <c r="S1968">
        <v>72</v>
      </c>
      <c r="T1968">
        <v>47</v>
      </c>
      <c r="U1968">
        <v>-0.02</v>
      </c>
      <c r="W1968">
        <f>DataLog_T717420_Aug11_4_59_37pm[[#This Row],[RPM '[1/MIN']]]-Table3[[#This Row],[580C]]</f>
        <v>0</v>
      </c>
      <c r="X1968">
        <f>DataLog_T717420_Aug11_4_59_37pm[[#This Row],[OIL TEMP '[Â°C']]]-Table3[[#This Row],[4402]]</f>
        <v>0</v>
      </c>
      <c r="Y1968">
        <f>DataLog_T717420_Aug11_4_59_37pm[[#This Row],[INTAKE TEMP '[Â°C']]]-Table3[[#This Row],[580F]]</f>
        <v>0</v>
      </c>
      <c r="Z1968">
        <f>DataLog_T717420_Aug11_4_59_37pm[[#This Row],[HPFP PRES. '[BAR']]]-Table3[[#This Row],[58F0]]</f>
        <v>0</v>
      </c>
      <c r="AA1968">
        <f>DataLog_T717420_Aug11_4_59_37pm[[#This Row],[COOLANT TEMP '[Â°C']]]-Table3[[#This Row],[5805]]</f>
        <v>0</v>
      </c>
      <c r="AB1968">
        <f>DataLog_T717420_Aug11_4_59_37pm[[#This Row],[BOOST '[BAR']]]-Table3[[#This Row],[58DD]]</f>
        <v>0</v>
      </c>
    </row>
    <row r="1969" spans="2:28" x14ac:dyDescent="0.25">
      <c r="B1969" s="2" t="s">
        <v>23</v>
      </c>
      <c r="C1969" s="2" t="s">
        <v>410</v>
      </c>
      <c r="D1969" s="2" t="s">
        <v>151</v>
      </c>
      <c r="E1969" s="2" t="s">
        <v>131</v>
      </c>
      <c r="F1969" s="2" t="s">
        <v>409</v>
      </c>
      <c r="G1969" s="2" t="s">
        <v>28</v>
      </c>
      <c r="I1969">
        <f>HEX2DEC(_0811_173439[[#This Row],[580C]])*B$4/B$5+B$6</f>
        <v>0</v>
      </c>
      <c r="J1969">
        <f>HEX2DEC(_0811_173439[[#This Row],[4402]])*C$4/C$5+C$6</f>
        <v>39</v>
      </c>
      <c r="K1969">
        <f>HEX2DEC(_0811_173439[[#This Row],[580F]])*D$4/D$5+D$6</f>
        <v>30</v>
      </c>
      <c r="L1969">
        <f>ROUND(HEX2DEC(_0811_173439[[#This Row],[58F0]])*E$4/E$5+E$6,0)</f>
        <v>72</v>
      </c>
      <c r="M1969">
        <f>ROUND(HEX2DEC(_0811_173439[[#This Row],[5805]])*F$4/F$5+F$6,0)</f>
        <v>47</v>
      </c>
      <c r="N1969">
        <f>ROUND(HEX2DEC(_0811_173439[[#This Row],[58DD]])*G$4/G$5+G$6,2)</f>
        <v>-0.02</v>
      </c>
      <c r="P1969">
        <v>0</v>
      </c>
      <c r="Q1969">
        <v>39</v>
      </c>
      <c r="R1969">
        <v>30</v>
      </c>
      <c r="S1969">
        <v>72</v>
      </c>
      <c r="T1969">
        <v>47</v>
      </c>
      <c r="U1969">
        <v>-0.02</v>
      </c>
      <c r="W1969">
        <f>DataLog_T717420_Aug11_4_59_37pm[[#This Row],[RPM '[1/MIN']]]-Table3[[#This Row],[580C]]</f>
        <v>0</v>
      </c>
      <c r="X1969">
        <f>DataLog_T717420_Aug11_4_59_37pm[[#This Row],[OIL TEMP '[Â°C']]]-Table3[[#This Row],[4402]]</f>
        <v>0</v>
      </c>
      <c r="Y1969">
        <f>DataLog_T717420_Aug11_4_59_37pm[[#This Row],[INTAKE TEMP '[Â°C']]]-Table3[[#This Row],[580F]]</f>
        <v>0</v>
      </c>
      <c r="Z1969">
        <f>DataLog_T717420_Aug11_4_59_37pm[[#This Row],[HPFP PRES. '[BAR']]]-Table3[[#This Row],[58F0]]</f>
        <v>0</v>
      </c>
      <c r="AA1969">
        <f>DataLog_T717420_Aug11_4_59_37pm[[#This Row],[COOLANT TEMP '[Â°C']]]-Table3[[#This Row],[5805]]</f>
        <v>0</v>
      </c>
      <c r="AB1969">
        <f>DataLog_T717420_Aug11_4_59_37pm[[#This Row],[BOOST '[BAR']]]-Table3[[#This Row],[58DD]]</f>
        <v>0</v>
      </c>
    </row>
    <row r="1970" spans="2:28" x14ac:dyDescent="0.25">
      <c r="B1970" s="2" t="s">
        <v>23</v>
      </c>
      <c r="C1970" s="2" t="s">
        <v>410</v>
      </c>
      <c r="D1970" s="2" t="s">
        <v>151</v>
      </c>
      <c r="E1970" s="2" t="s">
        <v>131</v>
      </c>
      <c r="F1970" s="2" t="s">
        <v>409</v>
      </c>
      <c r="G1970" s="2" t="s">
        <v>27</v>
      </c>
      <c r="I1970">
        <f>HEX2DEC(_0811_173439[[#This Row],[580C]])*B$4/B$5+B$6</f>
        <v>0</v>
      </c>
      <c r="J1970">
        <f>HEX2DEC(_0811_173439[[#This Row],[4402]])*C$4/C$5+C$6</f>
        <v>39</v>
      </c>
      <c r="K1970">
        <f>HEX2DEC(_0811_173439[[#This Row],[580F]])*D$4/D$5+D$6</f>
        <v>30</v>
      </c>
      <c r="L1970">
        <f>ROUND(HEX2DEC(_0811_173439[[#This Row],[58F0]])*E$4/E$5+E$6,0)</f>
        <v>72</v>
      </c>
      <c r="M1970">
        <f>ROUND(HEX2DEC(_0811_173439[[#This Row],[5805]])*F$4/F$5+F$6,0)</f>
        <v>47</v>
      </c>
      <c r="N1970">
        <f>ROUND(HEX2DEC(_0811_173439[[#This Row],[58DD]])*G$4/G$5+G$6,2)</f>
        <v>-0.03</v>
      </c>
      <c r="P1970">
        <v>0</v>
      </c>
      <c r="Q1970">
        <v>39</v>
      </c>
      <c r="R1970">
        <v>30</v>
      </c>
      <c r="S1970">
        <v>72</v>
      </c>
      <c r="T1970">
        <v>47</v>
      </c>
      <c r="U1970">
        <v>-0.03</v>
      </c>
      <c r="W1970">
        <f>DataLog_T717420_Aug11_4_59_37pm[[#This Row],[RPM '[1/MIN']]]-Table3[[#This Row],[580C]]</f>
        <v>0</v>
      </c>
      <c r="X1970">
        <f>DataLog_T717420_Aug11_4_59_37pm[[#This Row],[OIL TEMP '[Â°C']]]-Table3[[#This Row],[4402]]</f>
        <v>0</v>
      </c>
      <c r="Y1970">
        <f>DataLog_T717420_Aug11_4_59_37pm[[#This Row],[INTAKE TEMP '[Â°C']]]-Table3[[#This Row],[580F]]</f>
        <v>0</v>
      </c>
      <c r="Z1970">
        <f>DataLog_T717420_Aug11_4_59_37pm[[#This Row],[HPFP PRES. '[BAR']]]-Table3[[#This Row],[58F0]]</f>
        <v>0</v>
      </c>
      <c r="AA1970">
        <f>DataLog_T717420_Aug11_4_59_37pm[[#This Row],[COOLANT TEMP '[Â°C']]]-Table3[[#This Row],[5805]]</f>
        <v>0</v>
      </c>
      <c r="AB1970">
        <f>DataLog_T717420_Aug11_4_59_37pm[[#This Row],[BOOST '[BAR']]]-Table3[[#This Row],[58DD]]</f>
        <v>0</v>
      </c>
    </row>
    <row r="1971" spans="2:28" x14ac:dyDescent="0.25">
      <c r="B1971" s="2" t="s">
        <v>23</v>
      </c>
      <c r="C1971" s="2" t="s">
        <v>410</v>
      </c>
      <c r="D1971" s="2" t="s">
        <v>151</v>
      </c>
      <c r="E1971" s="2" t="s">
        <v>131</v>
      </c>
      <c r="F1971" s="2" t="s">
        <v>409</v>
      </c>
      <c r="G1971" s="2" t="s">
        <v>27</v>
      </c>
      <c r="I1971">
        <f>HEX2DEC(_0811_173439[[#This Row],[580C]])*B$4/B$5+B$6</f>
        <v>0</v>
      </c>
      <c r="J1971">
        <f>HEX2DEC(_0811_173439[[#This Row],[4402]])*C$4/C$5+C$6</f>
        <v>39</v>
      </c>
      <c r="K1971">
        <f>HEX2DEC(_0811_173439[[#This Row],[580F]])*D$4/D$5+D$6</f>
        <v>30</v>
      </c>
      <c r="L1971">
        <f>ROUND(HEX2DEC(_0811_173439[[#This Row],[58F0]])*E$4/E$5+E$6,0)</f>
        <v>72</v>
      </c>
      <c r="M1971">
        <f>ROUND(HEX2DEC(_0811_173439[[#This Row],[5805]])*F$4/F$5+F$6,0)</f>
        <v>47</v>
      </c>
      <c r="N1971">
        <f>ROUND(HEX2DEC(_0811_173439[[#This Row],[58DD]])*G$4/G$5+G$6,2)</f>
        <v>-0.03</v>
      </c>
      <c r="P1971">
        <v>0</v>
      </c>
      <c r="Q1971">
        <v>39</v>
      </c>
      <c r="R1971">
        <v>30</v>
      </c>
      <c r="S1971">
        <v>72</v>
      </c>
      <c r="T1971">
        <v>47</v>
      </c>
      <c r="U1971">
        <v>-0.03</v>
      </c>
      <c r="W1971">
        <f>DataLog_T717420_Aug11_4_59_37pm[[#This Row],[RPM '[1/MIN']]]-Table3[[#This Row],[580C]]</f>
        <v>0</v>
      </c>
      <c r="X1971">
        <f>DataLog_T717420_Aug11_4_59_37pm[[#This Row],[OIL TEMP '[Â°C']]]-Table3[[#This Row],[4402]]</f>
        <v>0</v>
      </c>
      <c r="Y1971">
        <f>DataLog_T717420_Aug11_4_59_37pm[[#This Row],[INTAKE TEMP '[Â°C']]]-Table3[[#This Row],[580F]]</f>
        <v>0</v>
      </c>
      <c r="Z1971">
        <f>DataLog_T717420_Aug11_4_59_37pm[[#This Row],[HPFP PRES. '[BAR']]]-Table3[[#This Row],[58F0]]</f>
        <v>0</v>
      </c>
      <c r="AA1971">
        <f>DataLog_T717420_Aug11_4_59_37pm[[#This Row],[COOLANT TEMP '[Â°C']]]-Table3[[#This Row],[5805]]</f>
        <v>0</v>
      </c>
      <c r="AB1971">
        <f>DataLog_T717420_Aug11_4_59_37pm[[#This Row],[BOOST '[BAR']]]-Table3[[#This Row],[58DD]]</f>
        <v>0</v>
      </c>
    </row>
    <row r="1972" spans="2:28" x14ac:dyDescent="0.25">
      <c r="B1972" s="2" t="s">
        <v>23</v>
      </c>
      <c r="C1972" s="2" t="s">
        <v>410</v>
      </c>
      <c r="D1972" s="2" t="s">
        <v>151</v>
      </c>
      <c r="E1972" s="2" t="s">
        <v>131</v>
      </c>
      <c r="F1972" s="2" t="s">
        <v>409</v>
      </c>
      <c r="G1972" s="2" t="s">
        <v>27</v>
      </c>
      <c r="I1972">
        <f>HEX2DEC(_0811_173439[[#This Row],[580C]])*B$4/B$5+B$6</f>
        <v>0</v>
      </c>
      <c r="J1972">
        <f>HEX2DEC(_0811_173439[[#This Row],[4402]])*C$4/C$5+C$6</f>
        <v>39</v>
      </c>
      <c r="K1972">
        <f>HEX2DEC(_0811_173439[[#This Row],[580F]])*D$4/D$5+D$6</f>
        <v>30</v>
      </c>
      <c r="L1972">
        <f>ROUND(HEX2DEC(_0811_173439[[#This Row],[58F0]])*E$4/E$5+E$6,0)</f>
        <v>72</v>
      </c>
      <c r="M1972">
        <f>ROUND(HEX2DEC(_0811_173439[[#This Row],[5805]])*F$4/F$5+F$6,0)</f>
        <v>47</v>
      </c>
      <c r="N1972">
        <f>ROUND(HEX2DEC(_0811_173439[[#This Row],[58DD]])*G$4/G$5+G$6,2)</f>
        <v>-0.03</v>
      </c>
      <c r="P1972">
        <v>0</v>
      </c>
      <c r="Q1972">
        <v>39</v>
      </c>
      <c r="R1972">
        <v>30</v>
      </c>
      <c r="S1972">
        <v>72</v>
      </c>
      <c r="T1972">
        <v>47</v>
      </c>
      <c r="U1972">
        <v>-0.03</v>
      </c>
      <c r="W1972">
        <f>DataLog_T717420_Aug11_4_59_37pm[[#This Row],[RPM '[1/MIN']]]-Table3[[#This Row],[580C]]</f>
        <v>0</v>
      </c>
      <c r="X1972">
        <f>DataLog_T717420_Aug11_4_59_37pm[[#This Row],[OIL TEMP '[Â°C']]]-Table3[[#This Row],[4402]]</f>
        <v>0</v>
      </c>
      <c r="Y1972">
        <f>DataLog_T717420_Aug11_4_59_37pm[[#This Row],[INTAKE TEMP '[Â°C']]]-Table3[[#This Row],[580F]]</f>
        <v>0</v>
      </c>
      <c r="Z1972">
        <f>DataLog_T717420_Aug11_4_59_37pm[[#This Row],[HPFP PRES. '[BAR']]]-Table3[[#This Row],[58F0]]</f>
        <v>0</v>
      </c>
      <c r="AA1972">
        <f>DataLog_T717420_Aug11_4_59_37pm[[#This Row],[COOLANT TEMP '[Â°C']]]-Table3[[#This Row],[5805]]</f>
        <v>0</v>
      </c>
      <c r="AB1972">
        <f>DataLog_T717420_Aug11_4_59_37pm[[#This Row],[BOOST '[BAR']]]-Table3[[#This Row],[58DD]]</f>
        <v>0</v>
      </c>
    </row>
    <row r="1973" spans="2:28" x14ac:dyDescent="0.25">
      <c r="B1973" s="2" t="s">
        <v>23</v>
      </c>
      <c r="C1973" s="2" t="s">
        <v>410</v>
      </c>
      <c r="D1973" s="2" t="s">
        <v>151</v>
      </c>
      <c r="E1973" s="2" t="s">
        <v>131</v>
      </c>
      <c r="F1973" s="2" t="s">
        <v>409</v>
      </c>
      <c r="G1973" s="2" t="s">
        <v>27</v>
      </c>
      <c r="I1973">
        <f>HEX2DEC(_0811_173439[[#This Row],[580C]])*B$4/B$5+B$6</f>
        <v>0</v>
      </c>
      <c r="J1973">
        <f>HEX2DEC(_0811_173439[[#This Row],[4402]])*C$4/C$5+C$6</f>
        <v>39</v>
      </c>
      <c r="K1973">
        <f>HEX2DEC(_0811_173439[[#This Row],[580F]])*D$4/D$5+D$6</f>
        <v>30</v>
      </c>
      <c r="L1973">
        <f>ROUND(HEX2DEC(_0811_173439[[#This Row],[58F0]])*E$4/E$5+E$6,0)</f>
        <v>72</v>
      </c>
      <c r="M1973">
        <f>ROUND(HEX2DEC(_0811_173439[[#This Row],[5805]])*F$4/F$5+F$6,0)</f>
        <v>47</v>
      </c>
      <c r="N1973">
        <f>ROUND(HEX2DEC(_0811_173439[[#This Row],[58DD]])*G$4/G$5+G$6,2)</f>
        <v>-0.03</v>
      </c>
      <c r="P1973">
        <v>0</v>
      </c>
      <c r="Q1973">
        <v>39</v>
      </c>
      <c r="R1973">
        <v>30</v>
      </c>
      <c r="S1973">
        <v>72</v>
      </c>
      <c r="T1973">
        <v>47</v>
      </c>
      <c r="U1973">
        <v>-0.03</v>
      </c>
      <c r="W1973">
        <f>DataLog_T717420_Aug11_4_59_37pm[[#This Row],[RPM '[1/MIN']]]-Table3[[#This Row],[580C]]</f>
        <v>0</v>
      </c>
      <c r="X1973">
        <f>DataLog_T717420_Aug11_4_59_37pm[[#This Row],[OIL TEMP '[Â°C']]]-Table3[[#This Row],[4402]]</f>
        <v>0</v>
      </c>
      <c r="Y1973">
        <f>DataLog_T717420_Aug11_4_59_37pm[[#This Row],[INTAKE TEMP '[Â°C']]]-Table3[[#This Row],[580F]]</f>
        <v>0</v>
      </c>
      <c r="Z1973">
        <f>DataLog_T717420_Aug11_4_59_37pm[[#This Row],[HPFP PRES. '[BAR']]]-Table3[[#This Row],[58F0]]</f>
        <v>0</v>
      </c>
      <c r="AA1973">
        <f>DataLog_T717420_Aug11_4_59_37pm[[#This Row],[COOLANT TEMP '[Â°C']]]-Table3[[#This Row],[5805]]</f>
        <v>0</v>
      </c>
      <c r="AB1973">
        <f>DataLog_T717420_Aug11_4_59_37pm[[#This Row],[BOOST '[BAR']]]-Table3[[#This Row],[58DD]]</f>
        <v>0</v>
      </c>
    </row>
    <row r="1974" spans="2:28" x14ac:dyDescent="0.25">
      <c r="B1974" s="2" t="s">
        <v>23</v>
      </c>
      <c r="C1974" s="2" t="s">
        <v>410</v>
      </c>
      <c r="D1974" s="2" t="s">
        <v>151</v>
      </c>
      <c r="E1974" s="2" t="s">
        <v>131</v>
      </c>
      <c r="F1974" s="2" t="s">
        <v>409</v>
      </c>
      <c r="G1974" s="2" t="s">
        <v>27</v>
      </c>
      <c r="I1974">
        <f>HEX2DEC(_0811_173439[[#This Row],[580C]])*B$4/B$5+B$6</f>
        <v>0</v>
      </c>
      <c r="J1974">
        <f>HEX2DEC(_0811_173439[[#This Row],[4402]])*C$4/C$5+C$6</f>
        <v>39</v>
      </c>
      <c r="K1974">
        <f>HEX2DEC(_0811_173439[[#This Row],[580F]])*D$4/D$5+D$6</f>
        <v>30</v>
      </c>
      <c r="L1974">
        <f>ROUND(HEX2DEC(_0811_173439[[#This Row],[58F0]])*E$4/E$5+E$6,0)</f>
        <v>72</v>
      </c>
      <c r="M1974">
        <f>ROUND(HEX2DEC(_0811_173439[[#This Row],[5805]])*F$4/F$5+F$6,0)</f>
        <v>47</v>
      </c>
      <c r="N1974">
        <f>ROUND(HEX2DEC(_0811_173439[[#This Row],[58DD]])*G$4/G$5+G$6,2)</f>
        <v>-0.03</v>
      </c>
      <c r="P1974">
        <v>0</v>
      </c>
      <c r="Q1974">
        <v>39</v>
      </c>
      <c r="R1974">
        <v>30</v>
      </c>
      <c r="S1974">
        <v>72</v>
      </c>
      <c r="T1974">
        <v>47</v>
      </c>
      <c r="U1974">
        <v>-0.03</v>
      </c>
      <c r="W1974">
        <f>DataLog_T717420_Aug11_4_59_37pm[[#This Row],[RPM '[1/MIN']]]-Table3[[#This Row],[580C]]</f>
        <v>0</v>
      </c>
      <c r="X1974">
        <f>DataLog_T717420_Aug11_4_59_37pm[[#This Row],[OIL TEMP '[Â°C']]]-Table3[[#This Row],[4402]]</f>
        <v>0</v>
      </c>
      <c r="Y1974">
        <f>DataLog_T717420_Aug11_4_59_37pm[[#This Row],[INTAKE TEMP '[Â°C']]]-Table3[[#This Row],[580F]]</f>
        <v>0</v>
      </c>
      <c r="Z1974">
        <f>DataLog_T717420_Aug11_4_59_37pm[[#This Row],[HPFP PRES. '[BAR']]]-Table3[[#This Row],[58F0]]</f>
        <v>0</v>
      </c>
      <c r="AA1974">
        <f>DataLog_T717420_Aug11_4_59_37pm[[#This Row],[COOLANT TEMP '[Â°C']]]-Table3[[#This Row],[5805]]</f>
        <v>0</v>
      </c>
      <c r="AB1974">
        <f>DataLog_T717420_Aug11_4_59_37pm[[#This Row],[BOOST '[BAR']]]-Table3[[#This Row],[58DD]]</f>
        <v>0</v>
      </c>
    </row>
    <row r="1975" spans="2:28" x14ac:dyDescent="0.25">
      <c r="B1975" s="2" t="s">
        <v>23</v>
      </c>
      <c r="C1975" s="2" t="s">
        <v>410</v>
      </c>
      <c r="D1975" s="2" t="s">
        <v>151</v>
      </c>
      <c r="E1975" s="2" t="s">
        <v>131</v>
      </c>
      <c r="F1975" s="2" t="s">
        <v>409</v>
      </c>
      <c r="G1975" s="2" t="s">
        <v>27</v>
      </c>
      <c r="I1975">
        <f>HEX2DEC(_0811_173439[[#This Row],[580C]])*B$4/B$5+B$6</f>
        <v>0</v>
      </c>
      <c r="J1975">
        <f>HEX2DEC(_0811_173439[[#This Row],[4402]])*C$4/C$5+C$6</f>
        <v>39</v>
      </c>
      <c r="K1975">
        <f>HEX2DEC(_0811_173439[[#This Row],[580F]])*D$4/D$5+D$6</f>
        <v>30</v>
      </c>
      <c r="L1975">
        <f>ROUND(HEX2DEC(_0811_173439[[#This Row],[58F0]])*E$4/E$5+E$6,0)</f>
        <v>72</v>
      </c>
      <c r="M1975">
        <f>ROUND(HEX2DEC(_0811_173439[[#This Row],[5805]])*F$4/F$5+F$6,0)</f>
        <v>47</v>
      </c>
      <c r="N1975">
        <f>ROUND(HEX2DEC(_0811_173439[[#This Row],[58DD]])*G$4/G$5+G$6,2)</f>
        <v>-0.03</v>
      </c>
      <c r="P1975">
        <v>0</v>
      </c>
      <c r="Q1975">
        <v>39</v>
      </c>
      <c r="R1975">
        <v>30</v>
      </c>
      <c r="S1975">
        <v>72</v>
      </c>
      <c r="T1975">
        <v>47</v>
      </c>
      <c r="U1975">
        <v>-0.03</v>
      </c>
      <c r="W1975">
        <f>DataLog_T717420_Aug11_4_59_37pm[[#This Row],[RPM '[1/MIN']]]-Table3[[#This Row],[580C]]</f>
        <v>0</v>
      </c>
      <c r="X1975">
        <f>DataLog_T717420_Aug11_4_59_37pm[[#This Row],[OIL TEMP '[Â°C']]]-Table3[[#This Row],[4402]]</f>
        <v>0</v>
      </c>
      <c r="Y1975">
        <f>DataLog_T717420_Aug11_4_59_37pm[[#This Row],[INTAKE TEMP '[Â°C']]]-Table3[[#This Row],[580F]]</f>
        <v>0</v>
      </c>
      <c r="Z1975">
        <f>DataLog_T717420_Aug11_4_59_37pm[[#This Row],[HPFP PRES. '[BAR']]]-Table3[[#This Row],[58F0]]</f>
        <v>0</v>
      </c>
      <c r="AA1975">
        <f>DataLog_T717420_Aug11_4_59_37pm[[#This Row],[COOLANT TEMP '[Â°C']]]-Table3[[#This Row],[5805]]</f>
        <v>0</v>
      </c>
      <c r="AB1975">
        <f>DataLog_T717420_Aug11_4_59_37pm[[#This Row],[BOOST '[BAR']]]-Table3[[#This Row],[58DD]]</f>
        <v>0</v>
      </c>
    </row>
    <row r="1976" spans="2:28" x14ac:dyDescent="0.25">
      <c r="B1976" s="2" t="s">
        <v>23</v>
      </c>
      <c r="C1976" s="2" t="s">
        <v>410</v>
      </c>
      <c r="D1976" s="2" t="s">
        <v>151</v>
      </c>
      <c r="E1976" s="2" t="s">
        <v>131</v>
      </c>
      <c r="F1976" s="2" t="s">
        <v>409</v>
      </c>
      <c r="G1976" s="2" t="s">
        <v>27</v>
      </c>
      <c r="I1976">
        <f>HEX2DEC(_0811_173439[[#This Row],[580C]])*B$4/B$5+B$6</f>
        <v>0</v>
      </c>
      <c r="J1976">
        <f>HEX2DEC(_0811_173439[[#This Row],[4402]])*C$4/C$5+C$6</f>
        <v>39</v>
      </c>
      <c r="K1976">
        <f>HEX2DEC(_0811_173439[[#This Row],[580F]])*D$4/D$5+D$6</f>
        <v>30</v>
      </c>
      <c r="L1976">
        <f>ROUND(HEX2DEC(_0811_173439[[#This Row],[58F0]])*E$4/E$5+E$6,0)</f>
        <v>72</v>
      </c>
      <c r="M1976">
        <f>ROUND(HEX2DEC(_0811_173439[[#This Row],[5805]])*F$4/F$5+F$6,0)</f>
        <v>47</v>
      </c>
      <c r="N1976">
        <f>ROUND(HEX2DEC(_0811_173439[[#This Row],[58DD]])*G$4/G$5+G$6,2)</f>
        <v>-0.03</v>
      </c>
      <c r="P1976">
        <v>0</v>
      </c>
      <c r="Q1976">
        <v>39</v>
      </c>
      <c r="R1976">
        <v>30</v>
      </c>
      <c r="S1976">
        <v>72</v>
      </c>
      <c r="T1976">
        <v>47</v>
      </c>
      <c r="U1976">
        <v>-0.03</v>
      </c>
      <c r="W1976">
        <f>DataLog_T717420_Aug11_4_59_37pm[[#This Row],[RPM '[1/MIN']]]-Table3[[#This Row],[580C]]</f>
        <v>0</v>
      </c>
      <c r="X1976">
        <f>DataLog_T717420_Aug11_4_59_37pm[[#This Row],[OIL TEMP '[Â°C']]]-Table3[[#This Row],[4402]]</f>
        <v>0</v>
      </c>
      <c r="Y1976">
        <f>DataLog_T717420_Aug11_4_59_37pm[[#This Row],[INTAKE TEMP '[Â°C']]]-Table3[[#This Row],[580F]]</f>
        <v>0</v>
      </c>
      <c r="Z1976">
        <f>DataLog_T717420_Aug11_4_59_37pm[[#This Row],[HPFP PRES. '[BAR']]]-Table3[[#This Row],[58F0]]</f>
        <v>0</v>
      </c>
      <c r="AA1976">
        <f>DataLog_T717420_Aug11_4_59_37pm[[#This Row],[COOLANT TEMP '[Â°C']]]-Table3[[#This Row],[5805]]</f>
        <v>0</v>
      </c>
      <c r="AB1976">
        <f>DataLog_T717420_Aug11_4_59_37pm[[#This Row],[BOOST '[BAR']]]-Table3[[#This Row],[58DD]]</f>
        <v>0</v>
      </c>
    </row>
    <row r="1977" spans="2:28" x14ac:dyDescent="0.25">
      <c r="B1977" s="2" t="s">
        <v>23</v>
      </c>
      <c r="C1977" s="2" t="s">
        <v>410</v>
      </c>
      <c r="D1977" s="2" t="s">
        <v>151</v>
      </c>
      <c r="E1977" s="2" t="s">
        <v>131</v>
      </c>
      <c r="F1977" s="2" t="s">
        <v>409</v>
      </c>
      <c r="G1977" s="2" t="s">
        <v>28</v>
      </c>
      <c r="I1977">
        <f>HEX2DEC(_0811_173439[[#This Row],[580C]])*B$4/B$5+B$6</f>
        <v>0</v>
      </c>
      <c r="J1977">
        <f>HEX2DEC(_0811_173439[[#This Row],[4402]])*C$4/C$5+C$6</f>
        <v>39</v>
      </c>
      <c r="K1977">
        <f>HEX2DEC(_0811_173439[[#This Row],[580F]])*D$4/D$5+D$6</f>
        <v>30</v>
      </c>
      <c r="L1977">
        <f>ROUND(HEX2DEC(_0811_173439[[#This Row],[58F0]])*E$4/E$5+E$6,0)</f>
        <v>72</v>
      </c>
      <c r="M1977">
        <f>ROUND(HEX2DEC(_0811_173439[[#This Row],[5805]])*F$4/F$5+F$6,0)</f>
        <v>47</v>
      </c>
      <c r="N1977">
        <f>ROUND(HEX2DEC(_0811_173439[[#This Row],[58DD]])*G$4/G$5+G$6,2)</f>
        <v>-0.02</v>
      </c>
      <c r="P1977">
        <v>0</v>
      </c>
      <c r="Q1977">
        <v>39</v>
      </c>
      <c r="R1977">
        <v>30</v>
      </c>
      <c r="S1977">
        <v>72</v>
      </c>
      <c r="T1977">
        <v>47</v>
      </c>
      <c r="U1977">
        <v>-0.02</v>
      </c>
      <c r="W1977">
        <f>DataLog_T717420_Aug11_4_59_37pm[[#This Row],[RPM '[1/MIN']]]-Table3[[#This Row],[580C]]</f>
        <v>0</v>
      </c>
      <c r="X1977">
        <f>DataLog_T717420_Aug11_4_59_37pm[[#This Row],[OIL TEMP '[Â°C']]]-Table3[[#This Row],[4402]]</f>
        <v>0</v>
      </c>
      <c r="Y1977">
        <f>DataLog_T717420_Aug11_4_59_37pm[[#This Row],[INTAKE TEMP '[Â°C']]]-Table3[[#This Row],[580F]]</f>
        <v>0</v>
      </c>
      <c r="Z1977">
        <f>DataLog_T717420_Aug11_4_59_37pm[[#This Row],[HPFP PRES. '[BAR']]]-Table3[[#This Row],[58F0]]</f>
        <v>0</v>
      </c>
      <c r="AA1977">
        <f>DataLog_T717420_Aug11_4_59_37pm[[#This Row],[COOLANT TEMP '[Â°C']]]-Table3[[#This Row],[5805]]</f>
        <v>0</v>
      </c>
      <c r="AB1977">
        <f>DataLog_T717420_Aug11_4_59_37pm[[#This Row],[BOOST '[BAR']]]-Table3[[#This Row],[58DD]]</f>
        <v>0</v>
      </c>
    </row>
    <row r="1978" spans="2:28" x14ac:dyDescent="0.25">
      <c r="B1978" s="2" t="s">
        <v>23</v>
      </c>
      <c r="C1978" s="2" t="s">
        <v>410</v>
      </c>
      <c r="D1978" s="2" t="s">
        <v>151</v>
      </c>
      <c r="E1978" s="2" t="s">
        <v>131</v>
      </c>
      <c r="F1978" s="2" t="s">
        <v>409</v>
      </c>
      <c r="G1978" s="2" t="s">
        <v>28</v>
      </c>
      <c r="I1978">
        <f>HEX2DEC(_0811_173439[[#This Row],[580C]])*B$4/B$5+B$6</f>
        <v>0</v>
      </c>
      <c r="J1978">
        <f>HEX2DEC(_0811_173439[[#This Row],[4402]])*C$4/C$5+C$6</f>
        <v>39</v>
      </c>
      <c r="K1978">
        <f>HEX2DEC(_0811_173439[[#This Row],[580F]])*D$4/D$5+D$6</f>
        <v>30</v>
      </c>
      <c r="L1978">
        <f>ROUND(HEX2DEC(_0811_173439[[#This Row],[58F0]])*E$4/E$5+E$6,0)</f>
        <v>72</v>
      </c>
      <c r="M1978">
        <f>ROUND(HEX2DEC(_0811_173439[[#This Row],[5805]])*F$4/F$5+F$6,0)</f>
        <v>47</v>
      </c>
      <c r="N1978">
        <f>ROUND(HEX2DEC(_0811_173439[[#This Row],[58DD]])*G$4/G$5+G$6,2)</f>
        <v>-0.02</v>
      </c>
      <c r="P1978">
        <v>0</v>
      </c>
      <c r="Q1978">
        <v>39</v>
      </c>
      <c r="R1978">
        <v>30</v>
      </c>
      <c r="S1978">
        <v>72</v>
      </c>
      <c r="T1978">
        <v>47</v>
      </c>
      <c r="U1978">
        <v>-0.02</v>
      </c>
      <c r="W1978">
        <f>DataLog_T717420_Aug11_4_59_37pm[[#This Row],[RPM '[1/MIN']]]-Table3[[#This Row],[580C]]</f>
        <v>0</v>
      </c>
      <c r="X1978">
        <f>DataLog_T717420_Aug11_4_59_37pm[[#This Row],[OIL TEMP '[Â°C']]]-Table3[[#This Row],[4402]]</f>
        <v>0</v>
      </c>
      <c r="Y1978">
        <f>DataLog_T717420_Aug11_4_59_37pm[[#This Row],[INTAKE TEMP '[Â°C']]]-Table3[[#This Row],[580F]]</f>
        <v>0</v>
      </c>
      <c r="Z1978">
        <f>DataLog_T717420_Aug11_4_59_37pm[[#This Row],[HPFP PRES. '[BAR']]]-Table3[[#This Row],[58F0]]</f>
        <v>0</v>
      </c>
      <c r="AA1978">
        <f>DataLog_T717420_Aug11_4_59_37pm[[#This Row],[COOLANT TEMP '[Â°C']]]-Table3[[#This Row],[5805]]</f>
        <v>0</v>
      </c>
      <c r="AB1978">
        <f>DataLog_T717420_Aug11_4_59_37pm[[#This Row],[BOOST '[BAR']]]-Table3[[#This Row],[58DD]]</f>
        <v>0</v>
      </c>
    </row>
    <row r="1979" spans="2:28" x14ac:dyDescent="0.25">
      <c r="B1979" s="2" t="s">
        <v>23</v>
      </c>
      <c r="C1979" s="2" t="s">
        <v>410</v>
      </c>
      <c r="D1979" s="2" t="s">
        <v>151</v>
      </c>
      <c r="E1979" s="2" t="s">
        <v>131</v>
      </c>
      <c r="F1979" s="2" t="s">
        <v>409</v>
      </c>
      <c r="G1979" s="2" t="s">
        <v>27</v>
      </c>
      <c r="I1979">
        <f>HEX2DEC(_0811_173439[[#This Row],[580C]])*B$4/B$5+B$6</f>
        <v>0</v>
      </c>
      <c r="J1979">
        <f>HEX2DEC(_0811_173439[[#This Row],[4402]])*C$4/C$5+C$6</f>
        <v>39</v>
      </c>
      <c r="K1979">
        <f>HEX2DEC(_0811_173439[[#This Row],[580F]])*D$4/D$5+D$6</f>
        <v>30</v>
      </c>
      <c r="L1979">
        <f>ROUND(HEX2DEC(_0811_173439[[#This Row],[58F0]])*E$4/E$5+E$6,0)</f>
        <v>72</v>
      </c>
      <c r="M1979">
        <f>ROUND(HEX2DEC(_0811_173439[[#This Row],[5805]])*F$4/F$5+F$6,0)</f>
        <v>47</v>
      </c>
      <c r="N1979">
        <f>ROUND(HEX2DEC(_0811_173439[[#This Row],[58DD]])*G$4/G$5+G$6,2)</f>
        <v>-0.03</v>
      </c>
      <c r="P1979">
        <v>0</v>
      </c>
      <c r="Q1979">
        <v>39</v>
      </c>
      <c r="R1979">
        <v>30</v>
      </c>
      <c r="S1979">
        <v>72</v>
      </c>
      <c r="T1979">
        <v>47</v>
      </c>
      <c r="U1979">
        <v>-0.03</v>
      </c>
      <c r="W1979">
        <f>DataLog_T717420_Aug11_4_59_37pm[[#This Row],[RPM '[1/MIN']]]-Table3[[#This Row],[580C]]</f>
        <v>0</v>
      </c>
      <c r="X1979">
        <f>DataLog_T717420_Aug11_4_59_37pm[[#This Row],[OIL TEMP '[Â°C']]]-Table3[[#This Row],[4402]]</f>
        <v>0</v>
      </c>
      <c r="Y1979">
        <f>DataLog_T717420_Aug11_4_59_37pm[[#This Row],[INTAKE TEMP '[Â°C']]]-Table3[[#This Row],[580F]]</f>
        <v>0</v>
      </c>
      <c r="Z1979">
        <f>DataLog_T717420_Aug11_4_59_37pm[[#This Row],[HPFP PRES. '[BAR']]]-Table3[[#This Row],[58F0]]</f>
        <v>0</v>
      </c>
      <c r="AA1979">
        <f>DataLog_T717420_Aug11_4_59_37pm[[#This Row],[COOLANT TEMP '[Â°C']]]-Table3[[#This Row],[5805]]</f>
        <v>0</v>
      </c>
      <c r="AB1979">
        <f>DataLog_T717420_Aug11_4_59_37pm[[#This Row],[BOOST '[BAR']]]-Table3[[#This Row],[58DD]]</f>
        <v>0</v>
      </c>
    </row>
    <row r="1980" spans="2:28" x14ac:dyDescent="0.25">
      <c r="B1980" s="2" t="s">
        <v>23</v>
      </c>
      <c r="C1980" s="2" t="s">
        <v>410</v>
      </c>
      <c r="D1980" s="2" t="s">
        <v>151</v>
      </c>
      <c r="E1980" s="2" t="s">
        <v>131</v>
      </c>
      <c r="F1980" s="2" t="s">
        <v>409</v>
      </c>
      <c r="G1980" s="2" t="s">
        <v>27</v>
      </c>
      <c r="I1980">
        <f>HEX2DEC(_0811_173439[[#This Row],[580C]])*B$4/B$5+B$6</f>
        <v>0</v>
      </c>
      <c r="J1980">
        <f>HEX2DEC(_0811_173439[[#This Row],[4402]])*C$4/C$5+C$6</f>
        <v>39</v>
      </c>
      <c r="K1980">
        <f>HEX2DEC(_0811_173439[[#This Row],[580F]])*D$4/D$5+D$6</f>
        <v>30</v>
      </c>
      <c r="L1980">
        <f>ROUND(HEX2DEC(_0811_173439[[#This Row],[58F0]])*E$4/E$5+E$6,0)</f>
        <v>72</v>
      </c>
      <c r="M1980">
        <f>ROUND(HEX2DEC(_0811_173439[[#This Row],[5805]])*F$4/F$5+F$6,0)</f>
        <v>47</v>
      </c>
      <c r="N1980">
        <f>ROUND(HEX2DEC(_0811_173439[[#This Row],[58DD]])*G$4/G$5+G$6,2)</f>
        <v>-0.03</v>
      </c>
      <c r="P1980">
        <v>0</v>
      </c>
      <c r="Q1980">
        <v>39</v>
      </c>
      <c r="R1980">
        <v>30</v>
      </c>
      <c r="S1980">
        <v>72</v>
      </c>
      <c r="T1980">
        <v>47</v>
      </c>
      <c r="U1980">
        <v>-0.03</v>
      </c>
      <c r="W1980">
        <f>DataLog_T717420_Aug11_4_59_37pm[[#This Row],[RPM '[1/MIN']]]-Table3[[#This Row],[580C]]</f>
        <v>0</v>
      </c>
      <c r="X1980">
        <f>DataLog_T717420_Aug11_4_59_37pm[[#This Row],[OIL TEMP '[Â°C']]]-Table3[[#This Row],[4402]]</f>
        <v>0</v>
      </c>
      <c r="Y1980">
        <f>DataLog_T717420_Aug11_4_59_37pm[[#This Row],[INTAKE TEMP '[Â°C']]]-Table3[[#This Row],[580F]]</f>
        <v>0</v>
      </c>
      <c r="Z1980">
        <f>DataLog_T717420_Aug11_4_59_37pm[[#This Row],[HPFP PRES. '[BAR']]]-Table3[[#This Row],[58F0]]</f>
        <v>0</v>
      </c>
      <c r="AA1980">
        <f>DataLog_T717420_Aug11_4_59_37pm[[#This Row],[COOLANT TEMP '[Â°C']]]-Table3[[#This Row],[5805]]</f>
        <v>0</v>
      </c>
      <c r="AB1980">
        <f>DataLog_T717420_Aug11_4_59_37pm[[#This Row],[BOOST '[BAR']]]-Table3[[#This Row],[58DD]]</f>
        <v>0</v>
      </c>
    </row>
    <row r="1981" spans="2:28" x14ac:dyDescent="0.25">
      <c r="B1981" s="2" t="s">
        <v>23</v>
      </c>
      <c r="C1981" s="2" t="s">
        <v>410</v>
      </c>
      <c r="D1981" s="2" t="s">
        <v>151</v>
      </c>
      <c r="E1981" s="2" t="s">
        <v>131</v>
      </c>
      <c r="F1981" s="2" t="s">
        <v>409</v>
      </c>
      <c r="G1981" s="2" t="s">
        <v>27</v>
      </c>
      <c r="I1981">
        <f>HEX2DEC(_0811_173439[[#This Row],[580C]])*B$4/B$5+B$6</f>
        <v>0</v>
      </c>
      <c r="J1981">
        <f>HEX2DEC(_0811_173439[[#This Row],[4402]])*C$4/C$5+C$6</f>
        <v>39</v>
      </c>
      <c r="K1981">
        <f>HEX2DEC(_0811_173439[[#This Row],[580F]])*D$4/D$5+D$6</f>
        <v>30</v>
      </c>
      <c r="L1981">
        <f>ROUND(HEX2DEC(_0811_173439[[#This Row],[58F0]])*E$4/E$5+E$6,0)</f>
        <v>72</v>
      </c>
      <c r="M1981">
        <f>ROUND(HEX2DEC(_0811_173439[[#This Row],[5805]])*F$4/F$5+F$6,0)</f>
        <v>47</v>
      </c>
      <c r="N1981">
        <f>ROUND(HEX2DEC(_0811_173439[[#This Row],[58DD]])*G$4/G$5+G$6,2)</f>
        <v>-0.03</v>
      </c>
      <c r="P1981">
        <v>0</v>
      </c>
      <c r="Q1981">
        <v>39</v>
      </c>
      <c r="R1981">
        <v>30</v>
      </c>
      <c r="S1981">
        <v>72</v>
      </c>
      <c r="T1981">
        <v>47</v>
      </c>
      <c r="U1981">
        <v>-0.03</v>
      </c>
      <c r="W1981">
        <f>DataLog_T717420_Aug11_4_59_37pm[[#This Row],[RPM '[1/MIN']]]-Table3[[#This Row],[580C]]</f>
        <v>0</v>
      </c>
      <c r="X1981">
        <f>DataLog_T717420_Aug11_4_59_37pm[[#This Row],[OIL TEMP '[Â°C']]]-Table3[[#This Row],[4402]]</f>
        <v>0</v>
      </c>
      <c r="Y1981">
        <f>DataLog_T717420_Aug11_4_59_37pm[[#This Row],[INTAKE TEMP '[Â°C']]]-Table3[[#This Row],[580F]]</f>
        <v>0</v>
      </c>
      <c r="Z1981">
        <f>DataLog_T717420_Aug11_4_59_37pm[[#This Row],[HPFP PRES. '[BAR']]]-Table3[[#This Row],[58F0]]</f>
        <v>0</v>
      </c>
      <c r="AA1981">
        <f>DataLog_T717420_Aug11_4_59_37pm[[#This Row],[COOLANT TEMP '[Â°C']]]-Table3[[#This Row],[5805]]</f>
        <v>0</v>
      </c>
      <c r="AB1981">
        <f>DataLog_T717420_Aug11_4_59_37pm[[#This Row],[BOOST '[BAR']]]-Table3[[#This Row],[58DD]]</f>
        <v>0</v>
      </c>
    </row>
    <row r="1982" spans="2:28" x14ac:dyDescent="0.25">
      <c r="B1982" s="2" t="s">
        <v>23</v>
      </c>
      <c r="C1982" s="2" t="s">
        <v>410</v>
      </c>
      <c r="D1982" s="2" t="s">
        <v>151</v>
      </c>
      <c r="E1982" s="2" t="s">
        <v>131</v>
      </c>
      <c r="F1982" s="2" t="s">
        <v>409</v>
      </c>
      <c r="G1982" s="2" t="s">
        <v>28</v>
      </c>
      <c r="I1982">
        <f>HEX2DEC(_0811_173439[[#This Row],[580C]])*B$4/B$5+B$6</f>
        <v>0</v>
      </c>
      <c r="J1982">
        <f>HEX2DEC(_0811_173439[[#This Row],[4402]])*C$4/C$5+C$6</f>
        <v>39</v>
      </c>
      <c r="K1982">
        <f>HEX2DEC(_0811_173439[[#This Row],[580F]])*D$4/D$5+D$6</f>
        <v>30</v>
      </c>
      <c r="L1982">
        <f>ROUND(HEX2DEC(_0811_173439[[#This Row],[58F0]])*E$4/E$5+E$6,0)</f>
        <v>72</v>
      </c>
      <c r="M1982">
        <f>ROUND(HEX2DEC(_0811_173439[[#This Row],[5805]])*F$4/F$5+F$6,0)</f>
        <v>47</v>
      </c>
      <c r="N1982">
        <f>ROUND(HEX2DEC(_0811_173439[[#This Row],[58DD]])*G$4/G$5+G$6,2)</f>
        <v>-0.02</v>
      </c>
      <c r="P1982">
        <v>0</v>
      </c>
      <c r="Q1982">
        <v>39</v>
      </c>
      <c r="R1982">
        <v>30</v>
      </c>
      <c r="S1982">
        <v>72</v>
      </c>
      <c r="T1982">
        <v>47</v>
      </c>
      <c r="U1982">
        <v>-0.02</v>
      </c>
      <c r="W1982">
        <f>DataLog_T717420_Aug11_4_59_37pm[[#This Row],[RPM '[1/MIN']]]-Table3[[#This Row],[580C]]</f>
        <v>0</v>
      </c>
      <c r="X1982">
        <f>DataLog_T717420_Aug11_4_59_37pm[[#This Row],[OIL TEMP '[Â°C']]]-Table3[[#This Row],[4402]]</f>
        <v>0</v>
      </c>
      <c r="Y1982">
        <f>DataLog_T717420_Aug11_4_59_37pm[[#This Row],[INTAKE TEMP '[Â°C']]]-Table3[[#This Row],[580F]]</f>
        <v>0</v>
      </c>
      <c r="Z1982">
        <f>DataLog_T717420_Aug11_4_59_37pm[[#This Row],[HPFP PRES. '[BAR']]]-Table3[[#This Row],[58F0]]</f>
        <v>0</v>
      </c>
      <c r="AA1982">
        <f>DataLog_T717420_Aug11_4_59_37pm[[#This Row],[COOLANT TEMP '[Â°C']]]-Table3[[#This Row],[5805]]</f>
        <v>0</v>
      </c>
      <c r="AB1982">
        <f>DataLog_T717420_Aug11_4_59_37pm[[#This Row],[BOOST '[BAR']]]-Table3[[#This Row],[58DD]]</f>
        <v>0</v>
      </c>
    </row>
    <row r="1983" spans="2:28" x14ac:dyDescent="0.25">
      <c r="B1983" s="2" t="s">
        <v>23</v>
      </c>
      <c r="C1983" s="2" t="s">
        <v>410</v>
      </c>
      <c r="D1983" s="2" t="s">
        <v>151</v>
      </c>
      <c r="E1983" s="2" t="s">
        <v>131</v>
      </c>
      <c r="F1983" s="2" t="s">
        <v>409</v>
      </c>
      <c r="G1983" s="2" t="s">
        <v>28</v>
      </c>
      <c r="I1983">
        <f>HEX2DEC(_0811_173439[[#This Row],[580C]])*B$4/B$5+B$6</f>
        <v>0</v>
      </c>
      <c r="J1983">
        <f>HEX2DEC(_0811_173439[[#This Row],[4402]])*C$4/C$5+C$6</f>
        <v>39</v>
      </c>
      <c r="K1983">
        <f>HEX2DEC(_0811_173439[[#This Row],[580F]])*D$4/D$5+D$6</f>
        <v>30</v>
      </c>
      <c r="L1983">
        <f>ROUND(HEX2DEC(_0811_173439[[#This Row],[58F0]])*E$4/E$5+E$6,0)</f>
        <v>72</v>
      </c>
      <c r="M1983">
        <f>ROUND(HEX2DEC(_0811_173439[[#This Row],[5805]])*F$4/F$5+F$6,0)</f>
        <v>47</v>
      </c>
      <c r="N1983">
        <f>ROUND(HEX2DEC(_0811_173439[[#This Row],[58DD]])*G$4/G$5+G$6,2)</f>
        <v>-0.02</v>
      </c>
      <c r="P1983">
        <v>0</v>
      </c>
      <c r="Q1983">
        <v>39</v>
      </c>
      <c r="R1983">
        <v>30</v>
      </c>
      <c r="S1983">
        <v>72</v>
      </c>
      <c r="T1983">
        <v>47</v>
      </c>
      <c r="U1983">
        <v>-0.02</v>
      </c>
      <c r="W1983">
        <f>DataLog_T717420_Aug11_4_59_37pm[[#This Row],[RPM '[1/MIN']]]-Table3[[#This Row],[580C]]</f>
        <v>0</v>
      </c>
      <c r="X1983">
        <f>DataLog_T717420_Aug11_4_59_37pm[[#This Row],[OIL TEMP '[Â°C']]]-Table3[[#This Row],[4402]]</f>
        <v>0</v>
      </c>
      <c r="Y1983">
        <f>DataLog_T717420_Aug11_4_59_37pm[[#This Row],[INTAKE TEMP '[Â°C']]]-Table3[[#This Row],[580F]]</f>
        <v>0</v>
      </c>
      <c r="Z1983">
        <f>DataLog_T717420_Aug11_4_59_37pm[[#This Row],[HPFP PRES. '[BAR']]]-Table3[[#This Row],[58F0]]</f>
        <v>0</v>
      </c>
      <c r="AA1983">
        <f>DataLog_T717420_Aug11_4_59_37pm[[#This Row],[COOLANT TEMP '[Â°C']]]-Table3[[#This Row],[5805]]</f>
        <v>0</v>
      </c>
      <c r="AB1983">
        <f>DataLog_T717420_Aug11_4_59_37pm[[#This Row],[BOOST '[BAR']]]-Table3[[#This Row],[58DD]]</f>
        <v>0</v>
      </c>
    </row>
    <row r="1984" spans="2:28" x14ac:dyDescent="0.25">
      <c r="B1984" s="2" t="s">
        <v>23</v>
      </c>
      <c r="C1984" s="2" t="s">
        <v>410</v>
      </c>
      <c r="D1984" s="2" t="s">
        <v>151</v>
      </c>
      <c r="E1984" s="2" t="s">
        <v>131</v>
      </c>
      <c r="F1984" s="2" t="s">
        <v>409</v>
      </c>
      <c r="G1984" s="2" t="s">
        <v>27</v>
      </c>
      <c r="I1984">
        <f>HEX2DEC(_0811_173439[[#This Row],[580C]])*B$4/B$5+B$6</f>
        <v>0</v>
      </c>
      <c r="J1984">
        <f>HEX2DEC(_0811_173439[[#This Row],[4402]])*C$4/C$5+C$6</f>
        <v>39</v>
      </c>
      <c r="K1984">
        <f>HEX2DEC(_0811_173439[[#This Row],[580F]])*D$4/D$5+D$6</f>
        <v>30</v>
      </c>
      <c r="L1984">
        <f>ROUND(HEX2DEC(_0811_173439[[#This Row],[58F0]])*E$4/E$5+E$6,0)</f>
        <v>72</v>
      </c>
      <c r="M1984">
        <f>ROUND(HEX2DEC(_0811_173439[[#This Row],[5805]])*F$4/F$5+F$6,0)</f>
        <v>47</v>
      </c>
      <c r="N1984">
        <f>ROUND(HEX2DEC(_0811_173439[[#This Row],[58DD]])*G$4/G$5+G$6,2)</f>
        <v>-0.03</v>
      </c>
      <c r="P1984">
        <v>0</v>
      </c>
      <c r="Q1984">
        <v>39</v>
      </c>
      <c r="R1984">
        <v>30</v>
      </c>
      <c r="S1984">
        <v>72</v>
      </c>
      <c r="T1984">
        <v>47</v>
      </c>
      <c r="U1984">
        <v>-0.03</v>
      </c>
      <c r="W1984">
        <f>DataLog_T717420_Aug11_4_59_37pm[[#This Row],[RPM '[1/MIN']]]-Table3[[#This Row],[580C]]</f>
        <v>0</v>
      </c>
      <c r="X1984">
        <f>DataLog_T717420_Aug11_4_59_37pm[[#This Row],[OIL TEMP '[Â°C']]]-Table3[[#This Row],[4402]]</f>
        <v>0</v>
      </c>
      <c r="Y1984">
        <f>DataLog_T717420_Aug11_4_59_37pm[[#This Row],[INTAKE TEMP '[Â°C']]]-Table3[[#This Row],[580F]]</f>
        <v>0</v>
      </c>
      <c r="Z1984">
        <f>DataLog_T717420_Aug11_4_59_37pm[[#This Row],[HPFP PRES. '[BAR']]]-Table3[[#This Row],[58F0]]</f>
        <v>0</v>
      </c>
      <c r="AA1984">
        <f>DataLog_T717420_Aug11_4_59_37pm[[#This Row],[COOLANT TEMP '[Â°C']]]-Table3[[#This Row],[5805]]</f>
        <v>0</v>
      </c>
      <c r="AB1984">
        <f>DataLog_T717420_Aug11_4_59_37pm[[#This Row],[BOOST '[BAR']]]-Table3[[#This Row],[58DD]]</f>
        <v>0</v>
      </c>
    </row>
    <row r="1985" spans="2:28" x14ac:dyDescent="0.25">
      <c r="B1985" s="2" t="s">
        <v>23</v>
      </c>
      <c r="C1985" s="2" t="s">
        <v>410</v>
      </c>
      <c r="D1985" s="2" t="s">
        <v>151</v>
      </c>
      <c r="E1985" s="2" t="s">
        <v>131</v>
      </c>
      <c r="F1985" s="2" t="s">
        <v>409</v>
      </c>
      <c r="G1985" s="2" t="s">
        <v>27</v>
      </c>
      <c r="I1985">
        <f>HEX2DEC(_0811_173439[[#This Row],[580C]])*B$4/B$5+B$6</f>
        <v>0</v>
      </c>
      <c r="J1985">
        <f>HEX2DEC(_0811_173439[[#This Row],[4402]])*C$4/C$5+C$6</f>
        <v>39</v>
      </c>
      <c r="K1985">
        <f>HEX2DEC(_0811_173439[[#This Row],[580F]])*D$4/D$5+D$6</f>
        <v>30</v>
      </c>
      <c r="L1985">
        <f>ROUND(HEX2DEC(_0811_173439[[#This Row],[58F0]])*E$4/E$5+E$6,0)</f>
        <v>72</v>
      </c>
      <c r="M1985">
        <f>ROUND(HEX2DEC(_0811_173439[[#This Row],[5805]])*F$4/F$5+F$6,0)</f>
        <v>47</v>
      </c>
      <c r="N1985">
        <f>ROUND(HEX2DEC(_0811_173439[[#This Row],[58DD]])*G$4/G$5+G$6,2)</f>
        <v>-0.03</v>
      </c>
      <c r="P1985">
        <v>0</v>
      </c>
      <c r="Q1985">
        <v>39</v>
      </c>
      <c r="R1985">
        <v>30</v>
      </c>
      <c r="S1985">
        <v>72</v>
      </c>
      <c r="T1985">
        <v>47</v>
      </c>
      <c r="U1985">
        <v>-0.03</v>
      </c>
      <c r="W1985">
        <f>DataLog_T717420_Aug11_4_59_37pm[[#This Row],[RPM '[1/MIN']]]-Table3[[#This Row],[580C]]</f>
        <v>0</v>
      </c>
      <c r="X1985">
        <f>DataLog_T717420_Aug11_4_59_37pm[[#This Row],[OIL TEMP '[Â°C']]]-Table3[[#This Row],[4402]]</f>
        <v>0</v>
      </c>
      <c r="Y1985">
        <f>DataLog_T717420_Aug11_4_59_37pm[[#This Row],[INTAKE TEMP '[Â°C']]]-Table3[[#This Row],[580F]]</f>
        <v>0</v>
      </c>
      <c r="Z1985">
        <f>DataLog_T717420_Aug11_4_59_37pm[[#This Row],[HPFP PRES. '[BAR']]]-Table3[[#This Row],[58F0]]</f>
        <v>0</v>
      </c>
      <c r="AA1985">
        <f>DataLog_T717420_Aug11_4_59_37pm[[#This Row],[COOLANT TEMP '[Â°C']]]-Table3[[#This Row],[5805]]</f>
        <v>0</v>
      </c>
      <c r="AB1985">
        <f>DataLog_T717420_Aug11_4_59_37pm[[#This Row],[BOOST '[BAR']]]-Table3[[#This Row],[58DD]]</f>
        <v>0</v>
      </c>
    </row>
    <row r="1986" spans="2:28" x14ac:dyDescent="0.25">
      <c r="B1986" s="2" t="s">
        <v>23</v>
      </c>
      <c r="C1986" s="2" t="s">
        <v>410</v>
      </c>
      <c r="D1986" s="2" t="s">
        <v>151</v>
      </c>
      <c r="E1986" s="2" t="s">
        <v>131</v>
      </c>
      <c r="F1986" s="2" t="s">
        <v>409</v>
      </c>
      <c r="G1986" s="2" t="s">
        <v>28</v>
      </c>
      <c r="I1986">
        <f>HEX2DEC(_0811_173439[[#This Row],[580C]])*B$4/B$5+B$6</f>
        <v>0</v>
      </c>
      <c r="J1986">
        <f>HEX2DEC(_0811_173439[[#This Row],[4402]])*C$4/C$5+C$6</f>
        <v>39</v>
      </c>
      <c r="K1986">
        <f>HEX2DEC(_0811_173439[[#This Row],[580F]])*D$4/D$5+D$6</f>
        <v>30</v>
      </c>
      <c r="L1986">
        <f>ROUND(HEX2DEC(_0811_173439[[#This Row],[58F0]])*E$4/E$5+E$6,0)</f>
        <v>72</v>
      </c>
      <c r="M1986">
        <f>ROUND(HEX2DEC(_0811_173439[[#This Row],[5805]])*F$4/F$5+F$6,0)</f>
        <v>47</v>
      </c>
      <c r="N1986">
        <f>ROUND(HEX2DEC(_0811_173439[[#This Row],[58DD]])*G$4/G$5+G$6,2)</f>
        <v>-0.02</v>
      </c>
      <c r="P1986">
        <v>0</v>
      </c>
      <c r="Q1986">
        <v>39</v>
      </c>
      <c r="R1986">
        <v>30</v>
      </c>
      <c r="S1986">
        <v>72</v>
      </c>
      <c r="T1986">
        <v>47</v>
      </c>
      <c r="U1986">
        <v>-0.02</v>
      </c>
      <c r="W1986">
        <f>DataLog_T717420_Aug11_4_59_37pm[[#This Row],[RPM '[1/MIN']]]-Table3[[#This Row],[580C]]</f>
        <v>0</v>
      </c>
      <c r="X1986">
        <f>DataLog_T717420_Aug11_4_59_37pm[[#This Row],[OIL TEMP '[Â°C']]]-Table3[[#This Row],[4402]]</f>
        <v>0</v>
      </c>
      <c r="Y1986">
        <f>DataLog_T717420_Aug11_4_59_37pm[[#This Row],[INTAKE TEMP '[Â°C']]]-Table3[[#This Row],[580F]]</f>
        <v>0</v>
      </c>
      <c r="Z1986">
        <f>DataLog_T717420_Aug11_4_59_37pm[[#This Row],[HPFP PRES. '[BAR']]]-Table3[[#This Row],[58F0]]</f>
        <v>0</v>
      </c>
      <c r="AA1986">
        <f>DataLog_T717420_Aug11_4_59_37pm[[#This Row],[COOLANT TEMP '[Â°C']]]-Table3[[#This Row],[5805]]</f>
        <v>0</v>
      </c>
      <c r="AB1986">
        <f>DataLog_T717420_Aug11_4_59_37pm[[#This Row],[BOOST '[BAR']]]-Table3[[#This Row],[58DD]]</f>
        <v>0</v>
      </c>
    </row>
    <row r="1987" spans="2:28" x14ac:dyDescent="0.25">
      <c r="B1987" s="2" t="s">
        <v>23</v>
      </c>
      <c r="C1987" s="2" t="s">
        <v>410</v>
      </c>
      <c r="D1987" s="2" t="s">
        <v>151</v>
      </c>
      <c r="E1987" s="2" t="s">
        <v>131</v>
      </c>
      <c r="F1987" s="2" t="s">
        <v>409</v>
      </c>
      <c r="G1987" s="2" t="s">
        <v>28</v>
      </c>
      <c r="I1987">
        <f>HEX2DEC(_0811_173439[[#This Row],[580C]])*B$4/B$5+B$6</f>
        <v>0</v>
      </c>
      <c r="J1987">
        <f>HEX2DEC(_0811_173439[[#This Row],[4402]])*C$4/C$5+C$6</f>
        <v>39</v>
      </c>
      <c r="K1987">
        <f>HEX2DEC(_0811_173439[[#This Row],[580F]])*D$4/D$5+D$6</f>
        <v>30</v>
      </c>
      <c r="L1987">
        <f>ROUND(HEX2DEC(_0811_173439[[#This Row],[58F0]])*E$4/E$5+E$6,0)</f>
        <v>72</v>
      </c>
      <c r="M1987">
        <f>ROUND(HEX2DEC(_0811_173439[[#This Row],[5805]])*F$4/F$5+F$6,0)</f>
        <v>47</v>
      </c>
      <c r="N1987">
        <f>ROUND(HEX2DEC(_0811_173439[[#This Row],[58DD]])*G$4/G$5+G$6,2)</f>
        <v>-0.02</v>
      </c>
      <c r="P1987">
        <v>0</v>
      </c>
      <c r="Q1987">
        <v>39</v>
      </c>
      <c r="R1987">
        <v>30</v>
      </c>
      <c r="S1987">
        <v>72</v>
      </c>
      <c r="T1987">
        <v>47</v>
      </c>
      <c r="U1987">
        <v>-0.02</v>
      </c>
      <c r="W1987">
        <f>DataLog_T717420_Aug11_4_59_37pm[[#This Row],[RPM '[1/MIN']]]-Table3[[#This Row],[580C]]</f>
        <v>0</v>
      </c>
      <c r="X1987">
        <f>DataLog_T717420_Aug11_4_59_37pm[[#This Row],[OIL TEMP '[Â°C']]]-Table3[[#This Row],[4402]]</f>
        <v>0</v>
      </c>
      <c r="Y1987">
        <f>DataLog_T717420_Aug11_4_59_37pm[[#This Row],[INTAKE TEMP '[Â°C']]]-Table3[[#This Row],[580F]]</f>
        <v>0</v>
      </c>
      <c r="Z1987">
        <f>DataLog_T717420_Aug11_4_59_37pm[[#This Row],[HPFP PRES. '[BAR']]]-Table3[[#This Row],[58F0]]</f>
        <v>0</v>
      </c>
      <c r="AA1987">
        <f>DataLog_T717420_Aug11_4_59_37pm[[#This Row],[COOLANT TEMP '[Â°C']]]-Table3[[#This Row],[5805]]</f>
        <v>0</v>
      </c>
      <c r="AB1987">
        <f>DataLog_T717420_Aug11_4_59_37pm[[#This Row],[BOOST '[BAR']]]-Table3[[#This Row],[58DD]]</f>
        <v>0</v>
      </c>
    </row>
    <row r="1988" spans="2:28" x14ac:dyDescent="0.25">
      <c r="B1988" s="2" t="s">
        <v>23</v>
      </c>
      <c r="C1988" s="2" t="s">
        <v>410</v>
      </c>
      <c r="D1988" s="2" t="s">
        <v>151</v>
      </c>
      <c r="E1988" s="2" t="s">
        <v>131</v>
      </c>
      <c r="F1988" s="2" t="s">
        <v>409</v>
      </c>
      <c r="G1988" s="2" t="s">
        <v>27</v>
      </c>
      <c r="I1988">
        <f>HEX2DEC(_0811_173439[[#This Row],[580C]])*B$4/B$5+B$6</f>
        <v>0</v>
      </c>
      <c r="J1988">
        <f>HEX2DEC(_0811_173439[[#This Row],[4402]])*C$4/C$5+C$6</f>
        <v>39</v>
      </c>
      <c r="K1988">
        <f>HEX2DEC(_0811_173439[[#This Row],[580F]])*D$4/D$5+D$6</f>
        <v>30</v>
      </c>
      <c r="L1988">
        <f>ROUND(HEX2DEC(_0811_173439[[#This Row],[58F0]])*E$4/E$5+E$6,0)</f>
        <v>72</v>
      </c>
      <c r="M1988">
        <f>ROUND(HEX2DEC(_0811_173439[[#This Row],[5805]])*F$4/F$5+F$6,0)</f>
        <v>47</v>
      </c>
      <c r="N1988">
        <f>ROUND(HEX2DEC(_0811_173439[[#This Row],[58DD]])*G$4/G$5+G$6,2)</f>
        <v>-0.03</v>
      </c>
      <c r="P1988">
        <v>0</v>
      </c>
      <c r="Q1988">
        <v>39</v>
      </c>
      <c r="R1988">
        <v>30</v>
      </c>
      <c r="S1988">
        <v>72</v>
      </c>
      <c r="T1988">
        <v>47</v>
      </c>
      <c r="U1988">
        <v>-0.03</v>
      </c>
      <c r="W1988">
        <f>DataLog_T717420_Aug11_4_59_37pm[[#This Row],[RPM '[1/MIN']]]-Table3[[#This Row],[580C]]</f>
        <v>0</v>
      </c>
      <c r="X1988">
        <f>DataLog_T717420_Aug11_4_59_37pm[[#This Row],[OIL TEMP '[Â°C']]]-Table3[[#This Row],[4402]]</f>
        <v>0</v>
      </c>
      <c r="Y1988">
        <f>DataLog_T717420_Aug11_4_59_37pm[[#This Row],[INTAKE TEMP '[Â°C']]]-Table3[[#This Row],[580F]]</f>
        <v>0</v>
      </c>
      <c r="Z1988">
        <f>DataLog_T717420_Aug11_4_59_37pm[[#This Row],[HPFP PRES. '[BAR']]]-Table3[[#This Row],[58F0]]</f>
        <v>0</v>
      </c>
      <c r="AA1988">
        <f>DataLog_T717420_Aug11_4_59_37pm[[#This Row],[COOLANT TEMP '[Â°C']]]-Table3[[#This Row],[5805]]</f>
        <v>0</v>
      </c>
      <c r="AB1988">
        <f>DataLog_T717420_Aug11_4_59_37pm[[#This Row],[BOOST '[BAR']]]-Table3[[#This Row],[58DD]]</f>
        <v>0</v>
      </c>
    </row>
    <row r="1989" spans="2:28" x14ac:dyDescent="0.25">
      <c r="B1989" s="2" t="s">
        <v>23</v>
      </c>
      <c r="C1989" s="2" t="s">
        <v>410</v>
      </c>
      <c r="D1989" s="2" t="s">
        <v>151</v>
      </c>
      <c r="E1989" s="2" t="s">
        <v>131</v>
      </c>
      <c r="F1989" s="2" t="s">
        <v>409</v>
      </c>
      <c r="G1989" s="2" t="s">
        <v>27</v>
      </c>
      <c r="I1989">
        <f>HEX2DEC(_0811_173439[[#This Row],[580C]])*B$4/B$5+B$6</f>
        <v>0</v>
      </c>
      <c r="J1989">
        <f>HEX2DEC(_0811_173439[[#This Row],[4402]])*C$4/C$5+C$6</f>
        <v>39</v>
      </c>
      <c r="K1989">
        <f>HEX2DEC(_0811_173439[[#This Row],[580F]])*D$4/D$5+D$6</f>
        <v>30</v>
      </c>
      <c r="L1989">
        <f>ROUND(HEX2DEC(_0811_173439[[#This Row],[58F0]])*E$4/E$5+E$6,0)</f>
        <v>72</v>
      </c>
      <c r="M1989">
        <f>ROUND(HEX2DEC(_0811_173439[[#This Row],[5805]])*F$4/F$5+F$6,0)</f>
        <v>47</v>
      </c>
      <c r="N1989">
        <f>ROUND(HEX2DEC(_0811_173439[[#This Row],[58DD]])*G$4/G$5+G$6,2)</f>
        <v>-0.03</v>
      </c>
      <c r="P1989">
        <v>0</v>
      </c>
      <c r="Q1989">
        <v>39</v>
      </c>
      <c r="R1989">
        <v>30</v>
      </c>
      <c r="S1989">
        <v>72</v>
      </c>
      <c r="T1989">
        <v>47</v>
      </c>
      <c r="U1989">
        <v>-0.03</v>
      </c>
      <c r="W1989">
        <f>DataLog_T717420_Aug11_4_59_37pm[[#This Row],[RPM '[1/MIN']]]-Table3[[#This Row],[580C]]</f>
        <v>0</v>
      </c>
      <c r="X1989">
        <f>DataLog_T717420_Aug11_4_59_37pm[[#This Row],[OIL TEMP '[Â°C']]]-Table3[[#This Row],[4402]]</f>
        <v>0</v>
      </c>
      <c r="Y1989">
        <f>DataLog_T717420_Aug11_4_59_37pm[[#This Row],[INTAKE TEMP '[Â°C']]]-Table3[[#This Row],[580F]]</f>
        <v>0</v>
      </c>
      <c r="Z1989">
        <f>DataLog_T717420_Aug11_4_59_37pm[[#This Row],[HPFP PRES. '[BAR']]]-Table3[[#This Row],[58F0]]</f>
        <v>0</v>
      </c>
      <c r="AA1989">
        <f>DataLog_T717420_Aug11_4_59_37pm[[#This Row],[COOLANT TEMP '[Â°C']]]-Table3[[#This Row],[5805]]</f>
        <v>0</v>
      </c>
      <c r="AB1989">
        <f>DataLog_T717420_Aug11_4_59_37pm[[#This Row],[BOOST '[BAR']]]-Table3[[#This Row],[58DD]]</f>
        <v>0</v>
      </c>
    </row>
    <row r="1990" spans="2:28" x14ac:dyDescent="0.25">
      <c r="B1990" s="2" t="s">
        <v>23</v>
      </c>
      <c r="C1990" s="2" t="s">
        <v>410</v>
      </c>
      <c r="D1990" s="2" t="s">
        <v>151</v>
      </c>
      <c r="E1990" s="2" t="s">
        <v>131</v>
      </c>
      <c r="F1990" s="2" t="s">
        <v>409</v>
      </c>
      <c r="G1990" s="2" t="s">
        <v>28</v>
      </c>
      <c r="I1990">
        <f>HEX2DEC(_0811_173439[[#This Row],[580C]])*B$4/B$5+B$6</f>
        <v>0</v>
      </c>
      <c r="J1990">
        <f>HEX2DEC(_0811_173439[[#This Row],[4402]])*C$4/C$5+C$6</f>
        <v>39</v>
      </c>
      <c r="K1990">
        <f>HEX2DEC(_0811_173439[[#This Row],[580F]])*D$4/D$5+D$6</f>
        <v>30</v>
      </c>
      <c r="L1990">
        <f>ROUND(HEX2DEC(_0811_173439[[#This Row],[58F0]])*E$4/E$5+E$6,0)</f>
        <v>72</v>
      </c>
      <c r="M1990">
        <f>ROUND(HEX2DEC(_0811_173439[[#This Row],[5805]])*F$4/F$5+F$6,0)</f>
        <v>47</v>
      </c>
      <c r="N1990">
        <f>ROUND(HEX2DEC(_0811_173439[[#This Row],[58DD]])*G$4/G$5+G$6,2)</f>
        <v>-0.02</v>
      </c>
      <c r="P1990">
        <v>0</v>
      </c>
      <c r="Q1990">
        <v>39</v>
      </c>
      <c r="R1990">
        <v>30</v>
      </c>
      <c r="S1990">
        <v>72</v>
      </c>
      <c r="T1990">
        <v>47</v>
      </c>
      <c r="U1990">
        <v>-0.02</v>
      </c>
      <c r="W1990">
        <f>DataLog_T717420_Aug11_4_59_37pm[[#This Row],[RPM '[1/MIN']]]-Table3[[#This Row],[580C]]</f>
        <v>0</v>
      </c>
      <c r="X1990">
        <f>DataLog_T717420_Aug11_4_59_37pm[[#This Row],[OIL TEMP '[Â°C']]]-Table3[[#This Row],[4402]]</f>
        <v>0</v>
      </c>
      <c r="Y1990">
        <f>DataLog_T717420_Aug11_4_59_37pm[[#This Row],[INTAKE TEMP '[Â°C']]]-Table3[[#This Row],[580F]]</f>
        <v>0</v>
      </c>
      <c r="Z1990">
        <f>DataLog_T717420_Aug11_4_59_37pm[[#This Row],[HPFP PRES. '[BAR']]]-Table3[[#This Row],[58F0]]</f>
        <v>0</v>
      </c>
      <c r="AA1990">
        <f>DataLog_T717420_Aug11_4_59_37pm[[#This Row],[COOLANT TEMP '[Â°C']]]-Table3[[#This Row],[5805]]</f>
        <v>0</v>
      </c>
      <c r="AB1990">
        <f>DataLog_T717420_Aug11_4_59_37pm[[#This Row],[BOOST '[BAR']]]-Table3[[#This Row],[58DD]]</f>
        <v>0</v>
      </c>
    </row>
    <row r="1991" spans="2:28" x14ac:dyDescent="0.25">
      <c r="B1991" s="2" t="s">
        <v>23</v>
      </c>
      <c r="C1991" s="2" t="s">
        <v>410</v>
      </c>
      <c r="D1991" s="2" t="s">
        <v>151</v>
      </c>
      <c r="E1991" s="2" t="s">
        <v>131</v>
      </c>
      <c r="F1991" s="2" t="s">
        <v>409</v>
      </c>
      <c r="G1991" s="2" t="s">
        <v>27</v>
      </c>
      <c r="I1991">
        <f>HEX2DEC(_0811_173439[[#This Row],[580C]])*B$4/B$5+B$6</f>
        <v>0</v>
      </c>
      <c r="J1991">
        <f>HEX2DEC(_0811_173439[[#This Row],[4402]])*C$4/C$5+C$6</f>
        <v>39</v>
      </c>
      <c r="K1991">
        <f>HEX2DEC(_0811_173439[[#This Row],[580F]])*D$4/D$5+D$6</f>
        <v>30</v>
      </c>
      <c r="L1991">
        <f>ROUND(HEX2DEC(_0811_173439[[#This Row],[58F0]])*E$4/E$5+E$6,0)</f>
        <v>72</v>
      </c>
      <c r="M1991">
        <f>ROUND(HEX2DEC(_0811_173439[[#This Row],[5805]])*F$4/F$5+F$6,0)</f>
        <v>47</v>
      </c>
      <c r="N1991">
        <f>ROUND(HEX2DEC(_0811_173439[[#This Row],[58DD]])*G$4/G$5+G$6,2)</f>
        <v>-0.03</v>
      </c>
      <c r="P1991">
        <v>0</v>
      </c>
      <c r="Q1991">
        <v>39</v>
      </c>
      <c r="R1991">
        <v>30</v>
      </c>
      <c r="S1991">
        <v>72</v>
      </c>
      <c r="T1991">
        <v>47</v>
      </c>
      <c r="U1991">
        <v>-0.03</v>
      </c>
      <c r="W1991">
        <f>DataLog_T717420_Aug11_4_59_37pm[[#This Row],[RPM '[1/MIN']]]-Table3[[#This Row],[580C]]</f>
        <v>0</v>
      </c>
      <c r="X1991">
        <f>DataLog_T717420_Aug11_4_59_37pm[[#This Row],[OIL TEMP '[Â°C']]]-Table3[[#This Row],[4402]]</f>
        <v>0</v>
      </c>
      <c r="Y1991">
        <f>DataLog_T717420_Aug11_4_59_37pm[[#This Row],[INTAKE TEMP '[Â°C']]]-Table3[[#This Row],[580F]]</f>
        <v>0</v>
      </c>
      <c r="Z1991">
        <f>DataLog_T717420_Aug11_4_59_37pm[[#This Row],[HPFP PRES. '[BAR']]]-Table3[[#This Row],[58F0]]</f>
        <v>0</v>
      </c>
      <c r="AA1991">
        <f>DataLog_T717420_Aug11_4_59_37pm[[#This Row],[COOLANT TEMP '[Â°C']]]-Table3[[#This Row],[5805]]</f>
        <v>0</v>
      </c>
      <c r="AB1991">
        <f>DataLog_T717420_Aug11_4_59_37pm[[#This Row],[BOOST '[BAR']]]-Table3[[#This Row],[58DD]]</f>
        <v>0</v>
      </c>
    </row>
    <row r="1992" spans="2:28" x14ac:dyDescent="0.25">
      <c r="B1992" s="2" t="s">
        <v>23</v>
      </c>
      <c r="C1992" s="2" t="s">
        <v>410</v>
      </c>
      <c r="D1992" s="2" t="s">
        <v>151</v>
      </c>
      <c r="E1992" s="2" t="s">
        <v>131</v>
      </c>
      <c r="F1992" s="2" t="s">
        <v>409</v>
      </c>
      <c r="G1992" s="2" t="s">
        <v>27</v>
      </c>
      <c r="I1992">
        <f>HEX2DEC(_0811_173439[[#This Row],[580C]])*B$4/B$5+B$6</f>
        <v>0</v>
      </c>
      <c r="J1992">
        <f>HEX2DEC(_0811_173439[[#This Row],[4402]])*C$4/C$5+C$6</f>
        <v>39</v>
      </c>
      <c r="K1992">
        <f>HEX2DEC(_0811_173439[[#This Row],[580F]])*D$4/D$5+D$6</f>
        <v>30</v>
      </c>
      <c r="L1992">
        <f>ROUND(HEX2DEC(_0811_173439[[#This Row],[58F0]])*E$4/E$5+E$6,0)</f>
        <v>72</v>
      </c>
      <c r="M1992">
        <f>ROUND(HEX2DEC(_0811_173439[[#This Row],[5805]])*F$4/F$5+F$6,0)</f>
        <v>47</v>
      </c>
      <c r="N1992">
        <f>ROUND(HEX2DEC(_0811_173439[[#This Row],[58DD]])*G$4/G$5+G$6,2)</f>
        <v>-0.03</v>
      </c>
      <c r="P1992">
        <v>0</v>
      </c>
      <c r="Q1992">
        <v>39</v>
      </c>
      <c r="R1992">
        <v>30</v>
      </c>
      <c r="S1992">
        <v>72</v>
      </c>
      <c r="T1992">
        <v>47</v>
      </c>
      <c r="U1992">
        <v>-0.03</v>
      </c>
      <c r="W1992">
        <f>DataLog_T717420_Aug11_4_59_37pm[[#This Row],[RPM '[1/MIN']]]-Table3[[#This Row],[580C]]</f>
        <v>0</v>
      </c>
      <c r="X1992">
        <f>DataLog_T717420_Aug11_4_59_37pm[[#This Row],[OIL TEMP '[Â°C']]]-Table3[[#This Row],[4402]]</f>
        <v>0</v>
      </c>
      <c r="Y1992">
        <f>DataLog_T717420_Aug11_4_59_37pm[[#This Row],[INTAKE TEMP '[Â°C']]]-Table3[[#This Row],[580F]]</f>
        <v>0</v>
      </c>
      <c r="Z1992">
        <f>DataLog_T717420_Aug11_4_59_37pm[[#This Row],[HPFP PRES. '[BAR']]]-Table3[[#This Row],[58F0]]</f>
        <v>0</v>
      </c>
      <c r="AA1992">
        <f>DataLog_T717420_Aug11_4_59_37pm[[#This Row],[COOLANT TEMP '[Â°C']]]-Table3[[#This Row],[5805]]</f>
        <v>0</v>
      </c>
      <c r="AB1992">
        <f>DataLog_T717420_Aug11_4_59_37pm[[#This Row],[BOOST '[BAR']]]-Table3[[#This Row],[58DD]]</f>
        <v>0</v>
      </c>
    </row>
    <row r="1993" spans="2:28" x14ac:dyDescent="0.25">
      <c r="B1993" s="2" t="s">
        <v>23</v>
      </c>
      <c r="C1993" s="2" t="s">
        <v>410</v>
      </c>
      <c r="D1993" s="2" t="s">
        <v>151</v>
      </c>
      <c r="E1993" s="2" t="s">
        <v>131</v>
      </c>
      <c r="F1993" s="2" t="s">
        <v>409</v>
      </c>
      <c r="G1993" s="2" t="s">
        <v>27</v>
      </c>
      <c r="I1993">
        <f>HEX2DEC(_0811_173439[[#This Row],[580C]])*B$4/B$5+B$6</f>
        <v>0</v>
      </c>
      <c r="J1993">
        <f>HEX2DEC(_0811_173439[[#This Row],[4402]])*C$4/C$5+C$6</f>
        <v>39</v>
      </c>
      <c r="K1993">
        <f>HEX2DEC(_0811_173439[[#This Row],[580F]])*D$4/D$5+D$6</f>
        <v>30</v>
      </c>
      <c r="L1993">
        <f>ROUND(HEX2DEC(_0811_173439[[#This Row],[58F0]])*E$4/E$5+E$6,0)</f>
        <v>72</v>
      </c>
      <c r="M1993">
        <f>ROUND(HEX2DEC(_0811_173439[[#This Row],[5805]])*F$4/F$5+F$6,0)</f>
        <v>47</v>
      </c>
      <c r="N1993">
        <f>ROUND(HEX2DEC(_0811_173439[[#This Row],[58DD]])*G$4/G$5+G$6,2)</f>
        <v>-0.03</v>
      </c>
      <c r="P1993">
        <v>0</v>
      </c>
      <c r="Q1993">
        <v>39</v>
      </c>
      <c r="R1993">
        <v>30</v>
      </c>
      <c r="S1993">
        <v>72</v>
      </c>
      <c r="T1993">
        <v>47</v>
      </c>
      <c r="U1993">
        <v>-0.03</v>
      </c>
      <c r="W1993">
        <f>DataLog_T717420_Aug11_4_59_37pm[[#This Row],[RPM '[1/MIN']]]-Table3[[#This Row],[580C]]</f>
        <v>0</v>
      </c>
      <c r="X1993">
        <f>DataLog_T717420_Aug11_4_59_37pm[[#This Row],[OIL TEMP '[Â°C']]]-Table3[[#This Row],[4402]]</f>
        <v>0</v>
      </c>
      <c r="Y1993">
        <f>DataLog_T717420_Aug11_4_59_37pm[[#This Row],[INTAKE TEMP '[Â°C']]]-Table3[[#This Row],[580F]]</f>
        <v>0</v>
      </c>
      <c r="Z1993">
        <f>DataLog_T717420_Aug11_4_59_37pm[[#This Row],[HPFP PRES. '[BAR']]]-Table3[[#This Row],[58F0]]</f>
        <v>0</v>
      </c>
      <c r="AA1993">
        <f>DataLog_T717420_Aug11_4_59_37pm[[#This Row],[COOLANT TEMP '[Â°C']]]-Table3[[#This Row],[5805]]</f>
        <v>0</v>
      </c>
      <c r="AB1993">
        <f>DataLog_T717420_Aug11_4_59_37pm[[#This Row],[BOOST '[BAR']]]-Table3[[#This Row],[58DD]]</f>
        <v>0</v>
      </c>
    </row>
    <row r="1994" spans="2:28" x14ac:dyDescent="0.25">
      <c r="B1994" s="2" t="s">
        <v>23</v>
      </c>
      <c r="C1994" s="2" t="s">
        <v>410</v>
      </c>
      <c r="D1994" s="2" t="s">
        <v>151</v>
      </c>
      <c r="E1994" s="2" t="s">
        <v>131</v>
      </c>
      <c r="F1994" s="2" t="s">
        <v>409</v>
      </c>
      <c r="G1994" s="2" t="s">
        <v>27</v>
      </c>
      <c r="I1994">
        <f>HEX2DEC(_0811_173439[[#This Row],[580C]])*B$4/B$5+B$6</f>
        <v>0</v>
      </c>
      <c r="J1994">
        <f>HEX2DEC(_0811_173439[[#This Row],[4402]])*C$4/C$5+C$6</f>
        <v>39</v>
      </c>
      <c r="K1994">
        <f>HEX2DEC(_0811_173439[[#This Row],[580F]])*D$4/D$5+D$6</f>
        <v>30</v>
      </c>
      <c r="L1994">
        <f>ROUND(HEX2DEC(_0811_173439[[#This Row],[58F0]])*E$4/E$5+E$6,0)</f>
        <v>72</v>
      </c>
      <c r="M1994">
        <f>ROUND(HEX2DEC(_0811_173439[[#This Row],[5805]])*F$4/F$5+F$6,0)</f>
        <v>47</v>
      </c>
      <c r="N1994">
        <f>ROUND(HEX2DEC(_0811_173439[[#This Row],[58DD]])*G$4/G$5+G$6,2)</f>
        <v>-0.03</v>
      </c>
      <c r="P1994">
        <v>0</v>
      </c>
      <c r="Q1994">
        <v>39</v>
      </c>
      <c r="R1994">
        <v>30</v>
      </c>
      <c r="S1994">
        <v>72</v>
      </c>
      <c r="T1994">
        <v>47</v>
      </c>
      <c r="U1994">
        <v>-0.03</v>
      </c>
      <c r="W1994">
        <f>DataLog_T717420_Aug11_4_59_37pm[[#This Row],[RPM '[1/MIN']]]-Table3[[#This Row],[580C]]</f>
        <v>0</v>
      </c>
      <c r="X1994">
        <f>DataLog_T717420_Aug11_4_59_37pm[[#This Row],[OIL TEMP '[Â°C']]]-Table3[[#This Row],[4402]]</f>
        <v>0</v>
      </c>
      <c r="Y1994">
        <f>DataLog_T717420_Aug11_4_59_37pm[[#This Row],[INTAKE TEMP '[Â°C']]]-Table3[[#This Row],[580F]]</f>
        <v>0</v>
      </c>
      <c r="Z1994">
        <f>DataLog_T717420_Aug11_4_59_37pm[[#This Row],[HPFP PRES. '[BAR']]]-Table3[[#This Row],[58F0]]</f>
        <v>0</v>
      </c>
      <c r="AA1994">
        <f>DataLog_T717420_Aug11_4_59_37pm[[#This Row],[COOLANT TEMP '[Â°C']]]-Table3[[#This Row],[5805]]</f>
        <v>0</v>
      </c>
      <c r="AB1994">
        <f>DataLog_T717420_Aug11_4_59_37pm[[#This Row],[BOOST '[BAR']]]-Table3[[#This Row],[58DD]]</f>
        <v>0</v>
      </c>
    </row>
    <row r="1995" spans="2:28" x14ac:dyDescent="0.25">
      <c r="B1995" s="2" t="s">
        <v>23</v>
      </c>
      <c r="C1995" s="2" t="s">
        <v>410</v>
      </c>
      <c r="D1995" s="2" t="s">
        <v>151</v>
      </c>
      <c r="E1995" s="2" t="s">
        <v>131</v>
      </c>
      <c r="F1995" s="2" t="s">
        <v>409</v>
      </c>
      <c r="G1995" s="2" t="s">
        <v>27</v>
      </c>
      <c r="I1995">
        <f>HEX2DEC(_0811_173439[[#This Row],[580C]])*B$4/B$5+B$6</f>
        <v>0</v>
      </c>
      <c r="J1995">
        <f>HEX2DEC(_0811_173439[[#This Row],[4402]])*C$4/C$5+C$6</f>
        <v>39</v>
      </c>
      <c r="K1995">
        <f>HEX2DEC(_0811_173439[[#This Row],[580F]])*D$4/D$5+D$6</f>
        <v>30</v>
      </c>
      <c r="L1995">
        <f>ROUND(HEX2DEC(_0811_173439[[#This Row],[58F0]])*E$4/E$5+E$6,0)</f>
        <v>72</v>
      </c>
      <c r="M1995">
        <f>ROUND(HEX2DEC(_0811_173439[[#This Row],[5805]])*F$4/F$5+F$6,0)</f>
        <v>47</v>
      </c>
      <c r="N1995">
        <f>ROUND(HEX2DEC(_0811_173439[[#This Row],[58DD]])*G$4/G$5+G$6,2)</f>
        <v>-0.03</v>
      </c>
      <c r="P1995">
        <v>0</v>
      </c>
      <c r="Q1995">
        <v>39</v>
      </c>
      <c r="R1995">
        <v>30</v>
      </c>
      <c r="S1995">
        <v>72</v>
      </c>
      <c r="T1995">
        <v>47</v>
      </c>
      <c r="U1995">
        <v>-0.03</v>
      </c>
      <c r="W1995">
        <f>DataLog_T717420_Aug11_4_59_37pm[[#This Row],[RPM '[1/MIN']]]-Table3[[#This Row],[580C]]</f>
        <v>0</v>
      </c>
      <c r="X1995">
        <f>DataLog_T717420_Aug11_4_59_37pm[[#This Row],[OIL TEMP '[Â°C']]]-Table3[[#This Row],[4402]]</f>
        <v>0</v>
      </c>
      <c r="Y1995">
        <f>DataLog_T717420_Aug11_4_59_37pm[[#This Row],[INTAKE TEMP '[Â°C']]]-Table3[[#This Row],[580F]]</f>
        <v>0</v>
      </c>
      <c r="Z1995">
        <f>DataLog_T717420_Aug11_4_59_37pm[[#This Row],[HPFP PRES. '[BAR']]]-Table3[[#This Row],[58F0]]</f>
        <v>0</v>
      </c>
      <c r="AA1995">
        <f>DataLog_T717420_Aug11_4_59_37pm[[#This Row],[COOLANT TEMP '[Â°C']]]-Table3[[#This Row],[5805]]</f>
        <v>0</v>
      </c>
      <c r="AB1995">
        <f>DataLog_T717420_Aug11_4_59_37pm[[#This Row],[BOOST '[BAR']]]-Table3[[#This Row],[58DD]]</f>
        <v>0</v>
      </c>
    </row>
    <row r="1996" spans="2:28" x14ac:dyDescent="0.25">
      <c r="B1996" s="2" t="s">
        <v>23</v>
      </c>
      <c r="C1996" s="2" t="s">
        <v>410</v>
      </c>
      <c r="D1996" s="2" t="s">
        <v>151</v>
      </c>
      <c r="E1996" s="2" t="s">
        <v>131</v>
      </c>
      <c r="F1996" s="2" t="s">
        <v>409</v>
      </c>
      <c r="G1996" s="2" t="s">
        <v>27</v>
      </c>
      <c r="I1996">
        <f>HEX2DEC(_0811_173439[[#This Row],[580C]])*B$4/B$5+B$6</f>
        <v>0</v>
      </c>
      <c r="J1996">
        <f>HEX2DEC(_0811_173439[[#This Row],[4402]])*C$4/C$5+C$6</f>
        <v>39</v>
      </c>
      <c r="K1996">
        <f>HEX2DEC(_0811_173439[[#This Row],[580F]])*D$4/D$5+D$6</f>
        <v>30</v>
      </c>
      <c r="L1996">
        <f>ROUND(HEX2DEC(_0811_173439[[#This Row],[58F0]])*E$4/E$5+E$6,0)</f>
        <v>72</v>
      </c>
      <c r="M1996">
        <f>ROUND(HEX2DEC(_0811_173439[[#This Row],[5805]])*F$4/F$5+F$6,0)</f>
        <v>47</v>
      </c>
      <c r="N1996">
        <f>ROUND(HEX2DEC(_0811_173439[[#This Row],[58DD]])*G$4/G$5+G$6,2)</f>
        <v>-0.03</v>
      </c>
      <c r="P1996">
        <v>0</v>
      </c>
      <c r="Q1996">
        <v>39</v>
      </c>
      <c r="R1996">
        <v>30</v>
      </c>
      <c r="S1996">
        <v>72</v>
      </c>
      <c r="T1996">
        <v>47</v>
      </c>
      <c r="U1996">
        <v>-0.03</v>
      </c>
      <c r="W1996">
        <f>DataLog_T717420_Aug11_4_59_37pm[[#This Row],[RPM '[1/MIN']]]-Table3[[#This Row],[580C]]</f>
        <v>0</v>
      </c>
      <c r="X1996">
        <f>DataLog_T717420_Aug11_4_59_37pm[[#This Row],[OIL TEMP '[Â°C']]]-Table3[[#This Row],[4402]]</f>
        <v>0</v>
      </c>
      <c r="Y1996">
        <f>DataLog_T717420_Aug11_4_59_37pm[[#This Row],[INTAKE TEMP '[Â°C']]]-Table3[[#This Row],[580F]]</f>
        <v>0</v>
      </c>
      <c r="Z1996">
        <f>DataLog_T717420_Aug11_4_59_37pm[[#This Row],[HPFP PRES. '[BAR']]]-Table3[[#This Row],[58F0]]</f>
        <v>0</v>
      </c>
      <c r="AA1996">
        <f>DataLog_T717420_Aug11_4_59_37pm[[#This Row],[COOLANT TEMP '[Â°C']]]-Table3[[#This Row],[5805]]</f>
        <v>0</v>
      </c>
      <c r="AB1996">
        <f>DataLog_T717420_Aug11_4_59_37pm[[#This Row],[BOOST '[BAR']]]-Table3[[#This Row],[58DD]]</f>
        <v>0</v>
      </c>
    </row>
    <row r="1997" spans="2:28" x14ac:dyDescent="0.25">
      <c r="B1997" s="2" t="s">
        <v>23</v>
      </c>
      <c r="C1997" s="2" t="s">
        <v>410</v>
      </c>
      <c r="D1997" s="2" t="s">
        <v>151</v>
      </c>
      <c r="E1997" s="2" t="s">
        <v>131</v>
      </c>
      <c r="F1997" s="2" t="s">
        <v>409</v>
      </c>
      <c r="G1997" s="2" t="s">
        <v>27</v>
      </c>
      <c r="I1997">
        <f>HEX2DEC(_0811_173439[[#This Row],[580C]])*B$4/B$5+B$6</f>
        <v>0</v>
      </c>
      <c r="J1997">
        <f>HEX2DEC(_0811_173439[[#This Row],[4402]])*C$4/C$5+C$6</f>
        <v>39</v>
      </c>
      <c r="K1997">
        <f>HEX2DEC(_0811_173439[[#This Row],[580F]])*D$4/D$5+D$6</f>
        <v>30</v>
      </c>
      <c r="L1997">
        <f>ROUND(HEX2DEC(_0811_173439[[#This Row],[58F0]])*E$4/E$5+E$6,0)</f>
        <v>72</v>
      </c>
      <c r="M1997">
        <f>ROUND(HEX2DEC(_0811_173439[[#This Row],[5805]])*F$4/F$5+F$6,0)</f>
        <v>47</v>
      </c>
      <c r="N1997">
        <f>ROUND(HEX2DEC(_0811_173439[[#This Row],[58DD]])*G$4/G$5+G$6,2)</f>
        <v>-0.03</v>
      </c>
      <c r="P1997">
        <v>0</v>
      </c>
      <c r="Q1997">
        <v>39</v>
      </c>
      <c r="R1997">
        <v>30</v>
      </c>
      <c r="S1997">
        <v>72</v>
      </c>
      <c r="T1997">
        <v>47</v>
      </c>
      <c r="U1997">
        <v>-0.03</v>
      </c>
      <c r="W1997">
        <f>DataLog_T717420_Aug11_4_59_37pm[[#This Row],[RPM '[1/MIN']]]-Table3[[#This Row],[580C]]</f>
        <v>0</v>
      </c>
      <c r="X1997">
        <f>DataLog_T717420_Aug11_4_59_37pm[[#This Row],[OIL TEMP '[Â°C']]]-Table3[[#This Row],[4402]]</f>
        <v>0</v>
      </c>
      <c r="Y1997">
        <f>DataLog_T717420_Aug11_4_59_37pm[[#This Row],[INTAKE TEMP '[Â°C']]]-Table3[[#This Row],[580F]]</f>
        <v>0</v>
      </c>
      <c r="Z1997">
        <f>DataLog_T717420_Aug11_4_59_37pm[[#This Row],[HPFP PRES. '[BAR']]]-Table3[[#This Row],[58F0]]</f>
        <v>0</v>
      </c>
      <c r="AA1997">
        <f>DataLog_T717420_Aug11_4_59_37pm[[#This Row],[COOLANT TEMP '[Â°C']]]-Table3[[#This Row],[5805]]</f>
        <v>0</v>
      </c>
      <c r="AB1997">
        <f>DataLog_T717420_Aug11_4_59_37pm[[#This Row],[BOOST '[BAR']]]-Table3[[#This Row],[58DD]]</f>
        <v>0</v>
      </c>
    </row>
    <row r="1998" spans="2:28" x14ac:dyDescent="0.25">
      <c r="B1998" s="2" t="s">
        <v>23</v>
      </c>
      <c r="C1998" s="2" t="s">
        <v>410</v>
      </c>
      <c r="D1998" s="2" t="s">
        <v>151</v>
      </c>
      <c r="E1998" s="2" t="s">
        <v>131</v>
      </c>
      <c r="F1998" s="2" t="s">
        <v>409</v>
      </c>
      <c r="G1998" s="2" t="s">
        <v>27</v>
      </c>
      <c r="I1998">
        <f>HEX2DEC(_0811_173439[[#This Row],[580C]])*B$4/B$5+B$6</f>
        <v>0</v>
      </c>
      <c r="J1998">
        <f>HEX2DEC(_0811_173439[[#This Row],[4402]])*C$4/C$5+C$6</f>
        <v>39</v>
      </c>
      <c r="K1998">
        <f>HEX2DEC(_0811_173439[[#This Row],[580F]])*D$4/D$5+D$6</f>
        <v>30</v>
      </c>
      <c r="L1998">
        <f>ROUND(HEX2DEC(_0811_173439[[#This Row],[58F0]])*E$4/E$5+E$6,0)</f>
        <v>72</v>
      </c>
      <c r="M1998">
        <f>ROUND(HEX2DEC(_0811_173439[[#This Row],[5805]])*F$4/F$5+F$6,0)</f>
        <v>47</v>
      </c>
      <c r="N1998">
        <f>ROUND(HEX2DEC(_0811_173439[[#This Row],[58DD]])*G$4/G$5+G$6,2)</f>
        <v>-0.03</v>
      </c>
      <c r="P1998">
        <v>0</v>
      </c>
      <c r="Q1998">
        <v>39</v>
      </c>
      <c r="R1998">
        <v>30</v>
      </c>
      <c r="S1998">
        <v>72</v>
      </c>
      <c r="T1998">
        <v>47</v>
      </c>
      <c r="U1998">
        <v>-0.03</v>
      </c>
      <c r="W1998">
        <f>DataLog_T717420_Aug11_4_59_37pm[[#This Row],[RPM '[1/MIN']]]-Table3[[#This Row],[580C]]</f>
        <v>0</v>
      </c>
      <c r="X1998">
        <f>DataLog_T717420_Aug11_4_59_37pm[[#This Row],[OIL TEMP '[Â°C']]]-Table3[[#This Row],[4402]]</f>
        <v>0</v>
      </c>
      <c r="Y1998">
        <f>DataLog_T717420_Aug11_4_59_37pm[[#This Row],[INTAKE TEMP '[Â°C']]]-Table3[[#This Row],[580F]]</f>
        <v>0</v>
      </c>
      <c r="Z1998">
        <f>DataLog_T717420_Aug11_4_59_37pm[[#This Row],[HPFP PRES. '[BAR']]]-Table3[[#This Row],[58F0]]</f>
        <v>0</v>
      </c>
      <c r="AA1998">
        <f>DataLog_T717420_Aug11_4_59_37pm[[#This Row],[COOLANT TEMP '[Â°C']]]-Table3[[#This Row],[5805]]</f>
        <v>0</v>
      </c>
      <c r="AB1998">
        <f>DataLog_T717420_Aug11_4_59_37pm[[#This Row],[BOOST '[BAR']]]-Table3[[#This Row],[58DD]]</f>
        <v>0</v>
      </c>
    </row>
    <row r="1999" spans="2:28" x14ac:dyDescent="0.25">
      <c r="B1999" s="2" t="s">
        <v>23</v>
      </c>
      <c r="C1999" s="2" t="s">
        <v>410</v>
      </c>
      <c r="D1999" s="2" t="s">
        <v>151</v>
      </c>
      <c r="E1999" s="2" t="s">
        <v>131</v>
      </c>
      <c r="F1999" s="2" t="s">
        <v>409</v>
      </c>
      <c r="G1999" s="2" t="s">
        <v>27</v>
      </c>
      <c r="I1999">
        <f>HEX2DEC(_0811_173439[[#This Row],[580C]])*B$4/B$5+B$6</f>
        <v>0</v>
      </c>
      <c r="J1999">
        <f>HEX2DEC(_0811_173439[[#This Row],[4402]])*C$4/C$5+C$6</f>
        <v>39</v>
      </c>
      <c r="K1999">
        <f>HEX2DEC(_0811_173439[[#This Row],[580F]])*D$4/D$5+D$6</f>
        <v>30</v>
      </c>
      <c r="L1999">
        <f>ROUND(HEX2DEC(_0811_173439[[#This Row],[58F0]])*E$4/E$5+E$6,0)</f>
        <v>72</v>
      </c>
      <c r="M1999">
        <f>ROUND(HEX2DEC(_0811_173439[[#This Row],[5805]])*F$4/F$5+F$6,0)</f>
        <v>47</v>
      </c>
      <c r="N1999">
        <f>ROUND(HEX2DEC(_0811_173439[[#This Row],[58DD]])*G$4/G$5+G$6,2)</f>
        <v>-0.03</v>
      </c>
      <c r="P1999">
        <v>0</v>
      </c>
      <c r="Q1999">
        <v>39</v>
      </c>
      <c r="R1999">
        <v>30</v>
      </c>
      <c r="S1999">
        <v>72</v>
      </c>
      <c r="T1999">
        <v>47</v>
      </c>
      <c r="U1999">
        <v>-0.03</v>
      </c>
      <c r="W1999">
        <f>DataLog_T717420_Aug11_4_59_37pm[[#This Row],[RPM '[1/MIN']]]-Table3[[#This Row],[580C]]</f>
        <v>0</v>
      </c>
      <c r="X1999">
        <f>DataLog_T717420_Aug11_4_59_37pm[[#This Row],[OIL TEMP '[Â°C']]]-Table3[[#This Row],[4402]]</f>
        <v>0</v>
      </c>
      <c r="Y1999">
        <f>DataLog_T717420_Aug11_4_59_37pm[[#This Row],[INTAKE TEMP '[Â°C']]]-Table3[[#This Row],[580F]]</f>
        <v>0</v>
      </c>
      <c r="Z1999">
        <f>DataLog_T717420_Aug11_4_59_37pm[[#This Row],[HPFP PRES. '[BAR']]]-Table3[[#This Row],[58F0]]</f>
        <v>0</v>
      </c>
      <c r="AA1999">
        <f>DataLog_T717420_Aug11_4_59_37pm[[#This Row],[COOLANT TEMP '[Â°C']]]-Table3[[#This Row],[5805]]</f>
        <v>0</v>
      </c>
      <c r="AB1999">
        <f>DataLog_T717420_Aug11_4_59_37pm[[#This Row],[BOOST '[BAR']]]-Table3[[#This Row],[58DD]]</f>
        <v>0</v>
      </c>
    </row>
    <row r="2000" spans="2:28" x14ac:dyDescent="0.25">
      <c r="B2000" s="2" t="s">
        <v>23</v>
      </c>
      <c r="C2000" s="2" t="s">
        <v>410</v>
      </c>
      <c r="D2000" s="2" t="s">
        <v>151</v>
      </c>
      <c r="E2000" s="2" t="s">
        <v>131</v>
      </c>
      <c r="F2000" s="2" t="s">
        <v>409</v>
      </c>
      <c r="G2000" s="2" t="s">
        <v>27</v>
      </c>
      <c r="I2000">
        <f>HEX2DEC(_0811_173439[[#This Row],[580C]])*B$4/B$5+B$6</f>
        <v>0</v>
      </c>
      <c r="J2000">
        <f>HEX2DEC(_0811_173439[[#This Row],[4402]])*C$4/C$5+C$6</f>
        <v>39</v>
      </c>
      <c r="K2000">
        <f>HEX2DEC(_0811_173439[[#This Row],[580F]])*D$4/D$5+D$6</f>
        <v>30</v>
      </c>
      <c r="L2000">
        <f>ROUND(HEX2DEC(_0811_173439[[#This Row],[58F0]])*E$4/E$5+E$6,0)</f>
        <v>72</v>
      </c>
      <c r="M2000">
        <f>ROUND(HEX2DEC(_0811_173439[[#This Row],[5805]])*F$4/F$5+F$6,0)</f>
        <v>47</v>
      </c>
      <c r="N2000">
        <f>ROUND(HEX2DEC(_0811_173439[[#This Row],[58DD]])*G$4/G$5+G$6,2)</f>
        <v>-0.03</v>
      </c>
      <c r="P2000">
        <v>0</v>
      </c>
      <c r="Q2000">
        <v>39</v>
      </c>
      <c r="R2000">
        <v>30</v>
      </c>
      <c r="S2000">
        <v>72</v>
      </c>
      <c r="T2000">
        <v>47</v>
      </c>
      <c r="U2000">
        <v>-0.03</v>
      </c>
      <c r="W2000">
        <f>DataLog_T717420_Aug11_4_59_37pm[[#This Row],[RPM '[1/MIN']]]-Table3[[#This Row],[580C]]</f>
        <v>0</v>
      </c>
      <c r="X2000">
        <f>DataLog_T717420_Aug11_4_59_37pm[[#This Row],[OIL TEMP '[Â°C']]]-Table3[[#This Row],[4402]]</f>
        <v>0</v>
      </c>
      <c r="Y2000">
        <f>DataLog_T717420_Aug11_4_59_37pm[[#This Row],[INTAKE TEMP '[Â°C']]]-Table3[[#This Row],[580F]]</f>
        <v>0</v>
      </c>
      <c r="Z2000">
        <f>DataLog_T717420_Aug11_4_59_37pm[[#This Row],[HPFP PRES. '[BAR']]]-Table3[[#This Row],[58F0]]</f>
        <v>0</v>
      </c>
      <c r="AA2000">
        <f>DataLog_T717420_Aug11_4_59_37pm[[#This Row],[COOLANT TEMP '[Â°C']]]-Table3[[#This Row],[5805]]</f>
        <v>0</v>
      </c>
      <c r="AB2000">
        <f>DataLog_T717420_Aug11_4_59_37pm[[#This Row],[BOOST '[BAR']]]-Table3[[#This Row],[58DD]]</f>
        <v>0</v>
      </c>
    </row>
    <row r="2001" spans="2:28" x14ac:dyDescent="0.25">
      <c r="B2001" s="2" t="s">
        <v>23</v>
      </c>
      <c r="C2001" s="2" t="s">
        <v>410</v>
      </c>
      <c r="D2001" s="2" t="s">
        <v>151</v>
      </c>
      <c r="E2001" s="2" t="s">
        <v>131</v>
      </c>
      <c r="F2001" s="2" t="s">
        <v>409</v>
      </c>
      <c r="G2001" s="2" t="s">
        <v>28</v>
      </c>
      <c r="I2001">
        <f>HEX2DEC(_0811_173439[[#This Row],[580C]])*B$4/B$5+B$6</f>
        <v>0</v>
      </c>
      <c r="J2001">
        <f>HEX2DEC(_0811_173439[[#This Row],[4402]])*C$4/C$5+C$6</f>
        <v>39</v>
      </c>
      <c r="K2001">
        <f>HEX2DEC(_0811_173439[[#This Row],[580F]])*D$4/D$5+D$6</f>
        <v>30</v>
      </c>
      <c r="L2001">
        <f>ROUND(HEX2DEC(_0811_173439[[#This Row],[58F0]])*E$4/E$5+E$6,0)</f>
        <v>72</v>
      </c>
      <c r="M2001">
        <f>ROUND(HEX2DEC(_0811_173439[[#This Row],[5805]])*F$4/F$5+F$6,0)</f>
        <v>47</v>
      </c>
      <c r="N2001">
        <f>ROUND(HEX2DEC(_0811_173439[[#This Row],[58DD]])*G$4/G$5+G$6,2)</f>
        <v>-0.02</v>
      </c>
      <c r="P2001">
        <v>0</v>
      </c>
      <c r="Q2001">
        <v>39</v>
      </c>
      <c r="R2001">
        <v>30</v>
      </c>
      <c r="S2001">
        <v>72</v>
      </c>
      <c r="T2001">
        <v>47</v>
      </c>
      <c r="U2001">
        <v>-0.02</v>
      </c>
      <c r="W2001">
        <f>DataLog_T717420_Aug11_4_59_37pm[[#This Row],[RPM '[1/MIN']]]-Table3[[#This Row],[580C]]</f>
        <v>0</v>
      </c>
      <c r="X2001">
        <f>DataLog_T717420_Aug11_4_59_37pm[[#This Row],[OIL TEMP '[Â°C']]]-Table3[[#This Row],[4402]]</f>
        <v>0</v>
      </c>
      <c r="Y2001">
        <f>DataLog_T717420_Aug11_4_59_37pm[[#This Row],[INTAKE TEMP '[Â°C']]]-Table3[[#This Row],[580F]]</f>
        <v>0</v>
      </c>
      <c r="Z2001">
        <f>DataLog_T717420_Aug11_4_59_37pm[[#This Row],[HPFP PRES. '[BAR']]]-Table3[[#This Row],[58F0]]</f>
        <v>0</v>
      </c>
      <c r="AA2001">
        <f>DataLog_T717420_Aug11_4_59_37pm[[#This Row],[COOLANT TEMP '[Â°C']]]-Table3[[#This Row],[5805]]</f>
        <v>0</v>
      </c>
      <c r="AB2001">
        <f>DataLog_T717420_Aug11_4_59_37pm[[#This Row],[BOOST '[BAR']]]-Table3[[#This Row],[58DD]]</f>
        <v>0</v>
      </c>
    </row>
    <row r="2002" spans="2:28" x14ac:dyDescent="0.25">
      <c r="B2002" s="2" t="s">
        <v>23</v>
      </c>
      <c r="C2002" s="2" t="s">
        <v>410</v>
      </c>
      <c r="D2002" s="2" t="s">
        <v>151</v>
      </c>
      <c r="E2002" s="2" t="s">
        <v>131</v>
      </c>
      <c r="F2002" s="2" t="s">
        <v>409</v>
      </c>
      <c r="G2002" s="2" t="s">
        <v>27</v>
      </c>
      <c r="I2002">
        <f>HEX2DEC(_0811_173439[[#This Row],[580C]])*B$4/B$5+B$6</f>
        <v>0</v>
      </c>
      <c r="J2002">
        <f>HEX2DEC(_0811_173439[[#This Row],[4402]])*C$4/C$5+C$6</f>
        <v>39</v>
      </c>
      <c r="K2002">
        <f>HEX2DEC(_0811_173439[[#This Row],[580F]])*D$4/D$5+D$6</f>
        <v>30</v>
      </c>
      <c r="L2002">
        <f>ROUND(HEX2DEC(_0811_173439[[#This Row],[58F0]])*E$4/E$5+E$6,0)</f>
        <v>72</v>
      </c>
      <c r="M2002">
        <f>ROUND(HEX2DEC(_0811_173439[[#This Row],[5805]])*F$4/F$5+F$6,0)</f>
        <v>47</v>
      </c>
      <c r="N2002">
        <f>ROUND(HEX2DEC(_0811_173439[[#This Row],[58DD]])*G$4/G$5+G$6,2)</f>
        <v>-0.03</v>
      </c>
      <c r="P2002">
        <v>0</v>
      </c>
      <c r="Q2002">
        <v>39</v>
      </c>
      <c r="R2002">
        <v>30</v>
      </c>
      <c r="S2002">
        <v>72</v>
      </c>
      <c r="T2002">
        <v>47</v>
      </c>
      <c r="U2002">
        <v>-0.03</v>
      </c>
      <c r="W2002">
        <f>DataLog_T717420_Aug11_4_59_37pm[[#This Row],[RPM '[1/MIN']]]-Table3[[#This Row],[580C]]</f>
        <v>0</v>
      </c>
      <c r="X2002">
        <f>DataLog_T717420_Aug11_4_59_37pm[[#This Row],[OIL TEMP '[Â°C']]]-Table3[[#This Row],[4402]]</f>
        <v>0</v>
      </c>
      <c r="Y2002">
        <f>DataLog_T717420_Aug11_4_59_37pm[[#This Row],[INTAKE TEMP '[Â°C']]]-Table3[[#This Row],[580F]]</f>
        <v>0</v>
      </c>
      <c r="Z2002">
        <f>DataLog_T717420_Aug11_4_59_37pm[[#This Row],[HPFP PRES. '[BAR']]]-Table3[[#This Row],[58F0]]</f>
        <v>0</v>
      </c>
      <c r="AA2002">
        <f>DataLog_T717420_Aug11_4_59_37pm[[#This Row],[COOLANT TEMP '[Â°C']]]-Table3[[#This Row],[5805]]</f>
        <v>0</v>
      </c>
      <c r="AB2002">
        <f>DataLog_T717420_Aug11_4_59_37pm[[#This Row],[BOOST '[BAR']]]-Table3[[#This Row],[58DD]]</f>
        <v>0</v>
      </c>
    </row>
    <row r="2003" spans="2:28" x14ac:dyDescent="0.25">
      <c r="B2003" s="2" t="s">
        <v>23</v>
      </c>
      <c r="C2003" s="2" t="s">
        <v>410</v>
      </c>
      <c r="D2003" s="2" t="s">
        <v>151</v>
      </c>
      <c r="E2003" s="2" t="s">
        <v>131</v>
      </c>
      <c r="F2003" s="2" t="s">
        <v>409</v>
      </c>
      <c r="G2003" s="2" t="s">
        <v>27</v>
      </c>
      <c r="I2003">
        <f>HEX2DEC(_0811_173439[[#This Row],[580C]])*B$4/B$5+B$6</f>
        <v>0</v>
      </c>
      <c r="J2003">
        <f>HEX2DEC(_0811_173439[[#This Row],[4402]])*C$4/C$5+C$6</f>
        <v>39</v>
      </c>
      <c r="K2003">
        <f>HEX2DEC(_0811_173439[[#This Row],[580F]])*D$4/D$5+D$6</f>
        <v>30</v>
      </c>
      <c r="L2003">
        <f>ROUND(HEX2DEC(_0811_173439[[#This Row],[58F0]])*E$4/E$5+E$6,0)</f>
        <v>72</v>
      </c>
      <c r="M2003">
        <f>ROUND(HEX2DEC(_0811_173439[[#This Row],[5805]])*F$4/F$5+F$6,0)</f>
        <v>47</v>
      </c>
      <c r="N2003">
        <f>ROUND(HEX2DEC(_0811_173439[[#This Row],[58DD]])*G$4/G$5+G$6,2)</f>
        <v>-0.03</v>
      </c>
      <c r="P2003">
        <v>0</v>
      </c>
      <c r="Q2003">
        <v>39</v>
      </c>
      <c r="R2003">
        <v>30</v>
      </c>
      <c r="S2003">
        <v>72</v>
      </c>
      <c r="T2003">
        <v>47</v>
      </c>
      <c r="U2003">
        <v>-0.03</v>
      </c>
      <c r="W2003">
        <f>DataLog_T717420_Aug11_4_59_37pm[[#This Row],[RPM '[1/MIN']]]-Table3[[#This Row],[580C]]</f>
        <v>0</v>
      </c>
      <c r="X2003">
        <f>DataLog_T717420_Aug11_4_59_37pm[[#This Row],[OIL TEMP '[Â°C']]]-Table3[[#This Row],[4402]]</f>
        <v>0</v>
      </c>
      <c r="Y2003">
        <f>DataLog_T717420_Aug11_4_59_37pm[[#This Row],[INTAKE TEMP '[Â°C']]]-Table3[[#This Row],[580F]]</f>
        <v>0</v>
      </c>
      <c r="Z2003">
        <f>DataLog_T717420_Aug11_4_59_37pm[[#This Row],[HPFP PRES. '[BAR']]]-Table3[[#This Row],[58F0]]</f>
        <v>0</v>
      </c>
      <c r="AA2003">
        <f>DataLog_T717420_Aug11_4_59_37pm[[#This Row],[COOLANT TEMP '[Â°C']]]-Table3[[#This Row],[5805]]</f>
        <v>0</v>
      </c>
      <c r="AB2003">
        <f>DataLog_T717420_Aug11_4_59_37pm[[#This Row],[BOOST '[BAR']]]-Table3[[#This Row],[58DD]]</f>
        <v>0</v>
      </c>
    </row>
    <row r="2004" spans="2:28" x14ac:dyDescent="0.25">
      <c r="B2004" s="2" t="s">
        <v>23</v>
      </c>
      <c r="C2004" s="2" t="s">
        <v>410</v>
      </c>
      <c r="D2004" s="2" t="s">
        <v>151</v>
      </c>
      <c r="E2004" s="2" t="s">
        <v>131</v>
      </c>
      <c r="F2004" s="2" t="s">
        <v>409</v>
      </c>
      <c r="G2004" s="2" t="s">
        <v>27</v>
      </c>
      <c r="I2004">
        <f>HEX2DEC(_0811_173439[[#This Row],[580C]])*B$4/B$5+B$6</f>
        <v>0</v>
      </c>
      <c r="J2004">
        <f>HEX2DEC(_0811_173439[[#This Row],[4402]])*C$4/C$5+C$6</f>
        <v>39</v>
      </c>
      <c r="K2004">
        <f>HEX2DEC(_0811_173439[[#This Row],[580F]])*D$4/D$5+D$6</f>
        <v>30</v>
      </c>
      <c r="L2004">
        <f>ROUND(HEX2DEC(_0811_173439[[#This Row],[58F0]])*E$4/E$5+E$6,0)</f>
        <v>72</v>
      </c>
      <c r="M2004">
        <f>ROUND(HEX2DEC(_0811_173439[[#This Row],[5805]])*F$4/F$5+F$6,0)</f>
        <v>47</v>
      </c>
      <c r="N2004">
        <f>ROUND(HEX2DEC(_0811_173439[[#This Row],[58DD]])*G$4/G$5+G$6,2)</f>
        <v>-0.03</v>
      </c>
      <c r="P2004">
        <v>0</v>
      </c>
      <c r="Q2004">
        <v>39</v>
      </c>
      <c r="R2004">
        <v>30</v>
      </c>
      <c r="S2004">
        <v>72</v>
      </c>
      <c r="T2004">
        <v>47</v>
      </c>
      <c r="U2004">
        <v>-0.03</v>
      </c>
      <c r="W2004">
        <f>DataLog_T717420_Aug11_4_59_37pm[[#This Row],[RPM '[1/MIN']]]-Table3[[#This Row],[580C]]</f>
        <v>0</v>
      </c>
      <c r="X2004">
        <f>DataLog_T717420_Aug11_4_59_37pm[[#This Row],[OIL TEMP '[Â°C']]]-Table3[[#This Row],[4402]]</f>
        <v>0</v>
      </c>
      <c r="Y2004">
        <f>DataLog_T717420_Aug11_4_59_37pm[[#This Row],[INTAKE TEMP '[Â°C']]]-Table3[[#This Row],[580F]]</f>
        <v>0</v>
      </c>
      <c r="Z2004">
        <f>DataLog_T717420_Aug11_4_59_37pm[[#This Row],[HPFP PRES. '[BAR']]]-Table3[[#This Row],[58F0]]</f>
        <v>0</v>
      </c>
      <c r="AA2004">
        <f>DataLog_T717420_Aug11_4_59_37pm[[#This Row],[COOLANT TEMP '[Â°C']]]-Table3[[#This Row],[5805]]</f>
        <v>0</v>
      </c>
      <c r="AB2004">
        <f>DataLog_T717420_Aug11_4_59_37pm[[#This Row],[BOOST '[BAR']]]-Table3[[#This Row],[58DD]]</f>
        <v>0</v>
      </c>
    </row>
    <row r="2005" spans="2:28" x14ac:dyDescent="0.25">
      <c r="B2005" s="2" t="s">
        <v>23</v>
      </c>
      <c r="C2005" s="2" t="s">
        <v>410</v>
      </c>
      <c r="D2005" s="2" t="s">
        <v>151</v>
      </c>
      <c r="E2005" s="2" t="s">
        <v>131</v>
      </c>
      <c r="F2005" s="2" t="s">
        <v>409</v>
      </c>
      <c r="G2005" s="2" t="s">
        <v>27</v>
      </c>
      <c r="I2005">
        <f>HEX2DEC(_0811_173439[[#This Row],[580C]])*B$4/B$5+B$6</f>
        <v>0</v>
      </c>
      <c r="J2005">
        <f>HEX2DEC(_0811_173439[[#This Row],[4402]])*C$4/C$5+C$6</f>
        <v>39</v>
      </c>
      <c r="K2005">
        <f>HEX2DEC(_0811_173439[[#This Row],[580F]])*D$4/D$5+D$6</f>
        <v>30</v>
      </c>
      <c r="L2005">
        <f>ROUND(HEX2DEC(_0811_173439[[#This Row],[58F0]])*E$4/E$5+E$6,0)</f>
        <v>72</v>
      </c>
      <c r="M2005">
        <f>ROUND(HEX2DEC(_0811_173439[[#This Row],[5805]])*F$4/F$5+F$6,0)</f>
        <v>47</v>
      </c>
      <c r="N2005">
        <f>ROUND(HEX2DEC(_0811_173439[[#This Row],[58DD]])*G$4/G$5+G$6,2)</f>
        <v>-0.03</v>
      </c>
      <c r="P2005">
        <v>0</v>
      </c>
      <c r="Q2005">
        <v>39</v>
      </c>
      <c r="R2005">
        <v>30</v>
      </c>
      <c r="S2005">
        <v>72</v>
      </c>
      <c r="T2005">
        <v>47</v>
      </c>
      <c r="U2005">
        <v>-0.03</v>
      </c>
      <c r="W2005">
        <f>DataLog_T717420_Aug11_4_59_37pm[[#This Row],[RPM '[1/MIN']]]-Table3[[#This Row],[580C]]</f>
        <v>0</v>
      </c>
      <c r="X2005">
        <f>DataLog_T717420_Aug11_4_59_37pm[[#This Row],[OIL TEMP '[Â°C']]]-Table3[[#This Row],[4402]]</f>
        <v>0</v>
      </c>
      <c r="Y2005">
        <f>DataLog_T717420_Aug11_4_59_37pm[[#This Row],[INTAKE TEMP '[Â°C']]]-Table3[[#This Row],[580F]]</f>
        <v>0</v>
      </c>
      <c r="Z2005">
        <f>DataLog_T717420_Aug11_4_59_37pm[[#This Row],[HPFP PRES. '[BAR']]]-Table3[[#This Row],[58F0]]</f>
        <v>0</v>
      </c>
      <c r="AA2005">
        <f>DataLog_T717420_Aug11_4_59_37pm[[#This Row],[COOLANT TEMP '[Â°C']]]-Table3[[#This Row],[5805]]</f>
        <v>0</v>
      </c>
      <c r="AB2005">
        <f>DataLog_T717420_Aug11_4_59_37pm[[#This Row],[BOOST '[BAR']]]-Table3[[#This Row],[58DD]]</f>
        <v>0</v>
      </c>
    </row>
    <row r="2006" spans="2:28" x14ac:dyDescent="0.25">
      <c r="B2006" s="2" t="s">
        <v>23</v>
      </c>
      <c r="C2006" s="2" t="s">
        <v>410</v>
      </c>
      <c r="D2006" s="2" t="s">
        <v>151</v>
      </c>
      <c r="E2006" s="2" t="s">
        <v>231</v>
      </c>
      <c r="F2006" s="2" t="s">
        <v>409</v>
      </c>
      <c r="G2006" s="2" t="s">
        <v>27</v>
      </c>
      <c r="I2006">
        <f>HEX2DEC(_0811_173439[[#This Row],[580C]])*B$4/B$5+B$6</f>
        <v>0</v>
      </c>
      <c r="J2006">
        <f>HEX2DEC(_0811_173439[[#This Row],[4402]])*C$4/C$5+C$6</f>
        <v>39</v>
      </c>
      <c r="K2006">
        <f>HEX2DEC(_0811_173439[[#This Row],[580F]])*D$4/D$5+D$6</f>
        <v>30</v>
      </c>
      <c r="L2006">
        <f>ROUND(HEX2DEC(_0811_173439[[#This Row],[58F0]])*E$4/E$5+E$6,0)</f>
        <v>72</v>
      </c>
      <c r="M2006">
        <f>ROUND(HEX2DEC(_0811_173439[[#This Row],[5805]])*F$4/F$5+F$6,0)</f>
        <v>47</v>
      </c>
      <c r="N2006">
        <f>ROUND(HEX2DEC(_0811_173439[[#This Row],[58DD]])*G$4/G$5+G$6,2)</f>
        <v>-0.03</v>
      </c>
      <c r="P2006">
        <v>0</v>
      </c>
      <c r="Q2006">
        <v>39</v>
      </c>
      <c r="R2006">
        <v>30</v>
      </c>
      <c r="S2006">
        <v>72</v>
      </c>
      <c r="T2006">
        <v>47</v>
      </c>
      <c r="U2006">
        <v>-0.03</v>
      </c>
      <c r="W2006">
        <f>DataLog_T717420_Aug11_4_59_37pm[[#This Row],[RPM '[1/MIN']]]-Table3[[#This Row],[580C]]</f>
        <v>0</v>
      </c>
      <c r="X2006">
        <f>DataLog_T717420_Aug11_4_59_37pm[[#This Row],[OIL TEMP '[Â°C']]]-Table3[[#This Row],[4402]]</f>
        <v>0</v>
      </c>
      <c r="Y2006">
        <f>DataLog_T717420_Aug11_4_59_37pm[[#This Row],[INTAKE TEMP '[Â°C']]]-Table3[[#This Row],[580F]]</f>
        <v>0</v>
      </c>
      <c r="Z2006">
        <f>DataLog_T717420_Aug11_4_59_37pm[[#This Row],[HPFP PRES. '[BAR']]]-Table3[[#This Row],[58F0]]</f>
        <v>0</v>
      </c>
      <c r="AA2006">
        <f>DataLog_T717420_Aug11_4_59_37pm[[#This Row],[COOLANT TEMP '[Â°C']]]-Table3[[#This Row],[5805]]</f>
        <v>0</v>
      </c>
      <c r="AB2006">
        <f>DataLog_T717420_Aug11_4_59_37pm[[#This Row],[BOOST '[BAR']]]-Table3[[#This Row],[58DD]]</f>
        <v>0</v>
      </c>
    </row>
    <row r="2007" spans="2:28" x14ac:dyDescent="0.25">
      <c r="B2007" s="2" t="s">
        <v>23</v>
      </c>
      <c r="C2007" s="2" t="s">
        <v>410</v>
      </c>
      <c r="D2007" s="2" t="s">
        <v>151</v>
      </c>
      <c r="E2007" s="2" t="s">
        <v>231</v>
      </c>
      <c r="F2007" s="2" t="s">
        <v>409</v>
      </c>
      <c r="G2007" s="2" t="s">
        <v>27</v>
      </c>
      <c r="I2007">
        <f>HEX2DEC(_0811_173439[[#This Row],[580C]])*B$4/B$5+B$6</f>
        <v>0</v>
      </c>
      <c r="J2007">
        <f>HEX2DEC(_0811_173439[[#This Row],[4402]])*C$4/C$5+C$6</f>
        <v>39</v>
      </c>
      <c r="K2007">
        <f>HEX2DEC(_0811_173439[[#This Row],[580F]])*D$4/D$5+D$6</f>
        <v>30</v>
      </c>
      <c r="L2007">
        <f>ROUND(HEX2DEC(_0811_173439[[#This Row],[58F0]])*E$4/E$5+E$6,0)</f>
        <v>72</v>
      </c>
      <c r="M2007">
        <f>ROUND(HEX2DEC(_0811_173439[[#This Row],[5805]])*F$4/F$5+F$6,0)</f>
        <v>47</v>
      </c>
      <c r="N2007">
        <f>ROUND(HEX2DEC(_0811_173439[[#This Row],[58DD]])*G$4/G$5+G$6,2)</f>
        <v>-0.03</v>
      </c>
      <c r="P2007">
        <v>0</v>
      </c>
      <c r="Q2007">
        <v>39</v>
      </c>
      <c r="R2007">
        <v>30</v>
      </c>
      <c r="S2007">
        <v>72</v>
      </c>
      <c r="T2007">
        <v>47</v>
      </c>
      <c r="U2007">
        <v>-0.03</v>
      </c>
      <c r="W2007">
        <f>DataLog_T717420_Aug11_4_59_37pm[[#This Row],[RPM '[1/MIN']]]-Table3[[#This Row],[580C]]</f>
        <v>0</v>
      </c>
      <c r="X2007">
        <f>DataLog_T717420_Aug11_4_59_37pm[[#This Row],[OIL TEMP '[Â°C']]]-Table3[[#This Row],[4402]]</f>
        <v>0</v>
      </c>
      <c r="Y2007">
        <f>DataLog_T717420_Aug11_4_59_37pm[[#This Row],[INTAKE TEMP '[Â°C']]]-Table3[[#This Row],[580F]]</f>
        <v>0</v>
      </c>
      <c r="Z2007">
        <f>DataLog_T717420_Aug11_4_59_37pm[[#This Row],[HPFP PRES. '[BAR']]]-Table3[[#This Row],[58F0]]</f>
        <v>0</v>
      </c>
      <c r="AA2007">
        <f>DataLog_T717420_Aug11_4_59_37pm[[#This Row],[COOLANT TEMP '[Â°C']]]-Table3[[#This Row],[5805]]</f>
        <v>0</v>
      </c>
      <c r="AB2007">
        <f>DataLog_T717420_Aug11_4_59_37pm[[#This Row],[BOOST '[BAR']]]-Table3[[#This Row],[58DD]]</f>
        <v>0</v>
      </c>
    </row>
    <row r="2008" spans="2:28" x14ac:dyDescent="0.25">
      <c r="B2008" s="2" t="s">
        <v>23</v>
      </c>
      <c r="C2008" s="2" t="s">
        <v>410</v>
      </c>
      <c r="D2008" s="2" t="s">
        <v>151</v>
      </c>
      <c r="E2008" s="2" t="s">
        <v>131</v>
      </c>
      <c r="F2008" s="2" t="s">
        <v>409</v>
      </c>
      <c r="G2008" s="2" t="s">
        <v>27</v>
      </c>
      <c r="I2008">
        <f>HEX2DEC(_0811_173439[[#This Row],[580C]])*B$4/B$5+B$6</f>
        <v>0</v>
      </c>
      <c r="J2008">
        <f>HEX2DEC(_0811_173439[[#This Row],[4402]])*C$4/C$5+C$6</f>
        <v>39</v>
      </c>
      <c r="K2008">
        <f>HEX2DEC(_0811_173439[[#This Row],[580F]])*D$4/D$5+D$6</f>
        <v>30</v>
      </c>
      <c r="L2008">
        <f>ROUND(HEX2DEC(_0811_173439[[#This Row],[58F0]])*E$4/E$5+E$6,0)</f>
        <v>72</v>
      </c>
      <c r="M2008">
        <f>ROUND(HEX2DEC(_0811_173439[[#This Row],[5805]])*F$4/F$5+F$6,0)</f>
        <v>47</v>
      </c>
      <c r="N2008">
        <f>ROUND(HEX2DEC(_0811_173439[[#This Row],[58DD]])*G$4/G$5+G$6,2)</f>
        <v>-0.03</v>
      </c>
      <c r="P2008">
        <v>0</v>
      </c>
      <c r="Q2008">
        <v>39</v>
      </c>
      <c r="R2008">
        <v>30</v>
      </c>
      <c r="S2008">
        <v>72</v>
      </c>
      <c r="T2008">
        <v>47</v>
      </c>
      <c r="U2008">
        <v>-0.03</v>
      </c>
      <c r="W2008">
        <f>DataLog_T717420_Aug11_4_59_37pm[[#This Row],[RPM '[1/MIN']]]-Table3[[#This Row],[580C]]</f>
        <v>0</v>
      </c>
      <c r="X2008">
        <f>DataLog_T717420_Aug11_4_59_37pm[[#This Row],[OIL TEMP '[Â°C']]]-Table3[[#This Row],[4402]]</f>
        <v>0</v>
      </c>
      <c r="Y2008">
        <f>DataLog_T717420_Aug11_4_59_37pm[[#This Row],[INTAKE TEMP '[Â°C']]]-Table3[[#This Row],[580F]]</f>
        <v>0</v>
      </c>
      <c r="Z2008">
        <f>DataLog_T717420_Aug11_4_59_37pm[[#This Row],[HPFP PRES. '[BAR']]]-Table3[[#This Row],[58F0]]</f>
        <v>0</v>
      </c>
      <c r="AA2008">
        <f>DataLog_T717420_Aug11_4_59_37pm[[#This Row],[COOLANT TEMP '[Â°C']]]-Table3[[#This Row],[5805]]</f>
        <v>0</v>
      </c>
      <c r="AB2008">
        <f>DataLog_T717420_Aug11_4_59_37pm[[#This Row],[BOOST '[BAR']]]-Table3[[#This Row],[58DD]]</f>
        <v>0</v>
      </c>
    </row>
    <row r="2009" spans="2:28" x14ac:dyDescent="0.25">
      <c r="B2009" s="2" t="s">
        <v>23</v>
      </c>
      <c r="C2009" s="2" t="s">
        <v>410</v>
      </c>
      <c r="D2009" s="2" t="s">
        <v>151</v>
      </c>
      <c r="E2009" s="2" t="s">
        <v>231</v>
      </c>
      <c r="F2009" s="2" t="s">
        <v>409</v>
      </c>
      <c r="G2009" s="2" t="s">
        <v>27</v>
      </c>
      <c r="I2009">
        <f>HEX2DEC(_0811_173439[[#This Row],[580C]])*B$4/B$5+B$6</f>
        <v>0</v>
      </c>
      <c r="J2009">
        <f>HEX2DEC(_0811_173439[[#This Row],[4402]])*C$4/C$5+C$6</f>
        <v>39</v>
      </c>
      <c r="K2009">
        <f>HEX2DEC(_0811_173439[[#This Row],[580F]])*D$4/D$5+D$6</f>
        <v>30</v>
      </c>
      <c r="L2009">
        <f>ROUND(HEX2DEC(_0811_173439[[#This Row],[58F0]])*E$4/E$5+E$6,0)</f>
        <v>72</v>
      </c>
      <c r="M2009">
        <f>ROUND(HEX2DEC(_0811_173439[[#This Row],[5805]])*F$4/F$5+F$6,0)</f>
        <v>47</v>
      </c>
      <c r="N2009">
        <f>ROUND(HEX2DEC(_0811_173439[[#This Row],[58DD]])*G$4/G$5+G$6,2)</f>
        <v>-0.03</v>
      </c>
      <c r="P2009">
        <v>0</v>
      </c>
      <c r="Q2009">
        <v>39</v>
      </c>
      <c r="R2009">
        <v>30</v>
      </c>
      <c r="S2009">
        <v>72</v>
      </c>
      <c r="T2009">
        <v>47</v>
      </c>
      <c r="U2009">
        <v>-0.03</v>
      </c>
      <c r="W2009">
        <f>DataLog_T717420_Aug11_4_59_37pm[[#This Row],[RPM '[1/MIN']]]-Table3[[#This Row],[580C]]</f>
        <v>0</v>
      </c>
      <c r="X2009">
        <f>DataLog_T717420_Aug11_4_59_37pm[[#This Row],[OIL TEMP '[Â°C']]]-Table3[[#This Row],[4402]]</f>
        <v>0</v>
      </c>
      <c r="Y2009">
        <f>DataLog_T717420_Aug11_4_59_37pm[[#This Row],[INTAKE TEMP '[Â°C']]]-Table3[[#This Row],[580F]]</f>
        <v>0</v>
      </c>
      <c r="Z2009">
        <f>DataLog_T717420_Aug11_4_59_37pm[[#This Row],[HPFP PRES. '[BAR']]]-Table3[[#This Row],[58F0]]</f>
        <v>0</v>
      </c>
      <c r="AA2009">
        <f>DataLog_T717420_Aug11_4_59_37pm[[#This Row],[COOLANT TEMP '[Â°C']]]-Table3[[#This Row],[5805]]</f>
        <v>0</v>
      </c>
      <c r="AB2009">
        <f>DataLog_T717420_Aug11_4_59_37pm[[#This Row],[BOOST '[BAR']]]-Table3[[#This Row],[58DD]]</f>
        <v>0</v>
      </c>
    </row>
    <row r="2010" spans="2:28" x14ac:dyDescent="0.25">
      <c r="B2010" s="2" t="s">
        <v>23</v>
      </c>
      <c r="C2010" s="2" t="s">
        <v>410</v>
      </c>
      <c r="D2010" s="2" t="s">
        <v>151</v>
      </c>
      <c r="E2010" s="2" t="s">
        <v>131</v>
      </c>
      <c r="F2010" s="2" t="s">
        <v>409</v>
      </c>
      <c r="G2010" s="2" t="s">
        <v>27</v>
      </c>
      <c r="I2010">
        <f>HEX2DEC(_0811_173439[[#This Row],[580C]])*B$4/B$5+B$6</f>
        <v>0</v>
      </c>
      <c r="J2010">
        <f>HEX2DEC(_0811_173439[[#This Row],[4402]])*C$4/C$5+C$6</f>
        <v>39</v>
      </c>
      <c r="K2010">
        <f>HEX2DEC(_0811_173439[[#This Row],[580F]])*D$4/D$5+D$6</f>
        <v>30</v>
      </c>
      <c r="L2010">
        <f>ROUND(HEX2DEC(_0811_173439[[#This Row],[58F0]])*E$4/E$5+E$6,0)</f>
        <v>72</v>
      </c>
      <c r="M2010">
        <f>ROUND(HEX2DEC(_0811_173439[[#This Row],[5805]])*F$4/F$5+F$6,0)</f>
        <v>47</v>
      </c>
      <c r="N2010">
        <f>ROUND(HEX2DEC(_0811_173439[[#This Row],[58DD]])*G$4/G$5+G$6,2)</f>
        <v>-0.03</v>
      </c>
      <c r="P2010">
        <v>0</v>
      </c>
      <c r="Q2010">
        <v>39</v>
      </c>
      <c r="R2010">
        <v>30</v>
      </c>
      <c r="S2010">
        <v>72</v>
      </c>
      <c r="T2010">
        <v>47</v>
      </c>
      <c r="U2010">
        <v>-0.03</v>
      </c>
      <c r="W2010">
        <f>DataLog_T717420_Aug11_4_59_37pm[[#This Row],[RPM '[1/MIN']]]-Table3[[#This Row],[580C]]</f>
        <v>0</v>
      </c>
      <c r="X2010">
        <f>DataLog_T717420_Aug11_4_59_37pm[[#This Row],[OIL TEMP '[Â°C']]]-Table3[[#This Row],[4402]]</f>
        <v>0</v>
      </c>
      <c r="Y2010">
        <f>DataLog_T717420_Aug11_4_59_37pm[[#This Row],[INTAKE TEMP '[Â°C']]]-Table3[[#This Row],[580F]]</f>
        <v>0</v>
      </c>
      <c r="Z2010">
        <f>DataLog_T717420_Aug11_4_59_37pm[[#This Row],[HPFP PRES. '[BAR']]]-Table3[[#This Row],[58F0]]</f>
        <v>0</v>
      </c>
      <c r="AA2010">
        <f>DataLog_T717420_Aug11_4_59_37pm[[#This Row],[COOLANT TEMP '[Â°C']]]-Table3[[#This Row],[5805]]</f>
        <v>0</v>
      </c>
      <c r="AB2010">
        <f>DataLog_T717420_Aug11_4_59_37pm[[#This Row],[BOOST '[BAR']]]-Table3[[#This Row],[58DD]]</f>
        <v>0</v>
      </c>
    </row>
    <row r="2011" spans="2:28" x14ac:dyDescent="0.25">
      <c r="B2011" s="2" t="s">
        <v>23</v>
      </c>
      <c r="C2011" s="2" t="s">
        <v>410</v>
      </c>
      <c r="D2011" s="2" t="s">
        <v>151</v>
      </c>
      <c r="E2011" s="2" t="s">
        <v>131</v>
      </c>
      <c r="F2011" s="2" t="s">
        <v>409</v>
      </c>
      <c r="G2011" s="2" t="s">
        <v>27</v>
      </c>
      <c r="I2011">
        <f>HEX2DEC(_0811_173439[[#This Row],[580C]])*B$4/B$5+B$6</f>
        <v>0</v>
      </c>
      <c r="J2011">
        <f>HEX2DEC(_0811_173439[[#This Row],[4402]])*C$4/C$5+C$6</f>
        <v>39</v>
      </c>
      <c r="K2011">
        <f>HEX2DEC(_0811_173439[[#This Row],[580F]])*D$4/D$5+D$6</f>
        <v>30</v>
      </c>
      <c r="L2011">
        <f>ROUND(HEX2DEC(_0811_173439[[#This Row],[58F0]])*E$4/E$5+E$6,0)</f>
        <v>72</v>
      </c>
      <c r="M2011">
        <f>ROUND(HEX2DEC(_0811_173439[[#This Row],[5805]])*F$4/F$5+F$6,0)</f>
        <v>47</v>
      </c>
      <c r="N2011">
        <f>ROUND(HEX2DEC(_0811_173439[[#This Row],[58DD]])*G$4/G$5+G$6,2)</f>
        <v>-0.03</v>
      </c>
      <c r="P2011">
        <v>0</v>
      </c>
      <c r="Q2011">
        <v>39</v>
      </c>
      <c r="R2011">
        <v>30</v>
      </c>
      <c r="S2011">
        <v>72</v>
      </c>
      <c r="T2011">
        <v>47</v>
      </c>
      <c r="U2011">
        <v>-0.03</v>
      </c>
      <c r="W2011">
        <f>DataLog_T717420_Aug11_4_59_37pm[[#This Row],[RPM '[1/MIN']]]-Table3[[#This Row],[580C]]</f>
        <v>0</v>
      </c>
      <c r="X2011">
        <f>DataLog_T717420_Aug11_4_59_37pm[[#This Row],[OIL TEMP '[Â°C']]]-Table3[[#This Row],[4402]]</f>
        <v>0</v>
      </c>
      <c r="Y2011">
        <f>DataLog_T717420_Aug11_4_59_37pm[[#This Row],[INTAKE TEMP '[Â°C']]]-Table3[[#This Row],[580F]]</f>
        <v>0</v>
      </c>
      <c r="Z2011">
        <f>DataLog_T717420_Aug11_4_59_37pm[[#This Row],[HPFP PRES. '[BAR']]]-Table3[[#This Row],[58F0]]</f>
        <v>0</v>
      </c>
      <c r="AA2011">
        <f>DataLog_T717420_Aug11_4_59_37pm[[#This Row],[COOLANT TEMP '[Â°C']]]-Table3[[#This Row],[5805]]</f>
        <v>0</v>
      </c>
      <c r="AB2011">
        <f>DataLog_T717420_Aug11_4_59_37pm[[#This Row],[BOOST '[BAR']]]-Table3[[#This Row],[58DD]]</f>
        <v>0</v>
      </c>
    </row>
    <row r="2012" spans="2:28" x14ac:dyDescent="0.25">
      <c r="B2012" s="2" t="s">
        <v>23</v>
      </c>
      <c r="C2012" s="2" t="s">
        <v>410</v>
      </c>
      <c r="D2012" s="2" t="s">
        <v>151</v>
      </c>
      <c r="E2012" s="2" t="s">
        <v>131</v>
      </c>
      <c r="F2012" s="2" t="s">
        <v>409</v>
      </c>
      <c r="G2012" s="2" t="s">
        <v>27</v>
      </c>
      <c r="I2012">
        <f>HEX2DEC(_0811_173439[[#This Row],[580C]])*B$4/B$5+B$6</f>
        <v>0</v>
      </c>
      <c r="J2012">
        <f>HEX2DEC(_0811_173439[[#This Row],[4402]])*C$4/C$5+C$6</f>
        <v>39</v>
      </c>
      <c r="K2012">
        <f>HEX2DEC(_0811_173439[[#This Row],[580F]])*D$4/D$5+D$6</f>
        <v>30</v>
      </c>
      <c r="L2012">
        <f>ROUND(HEX2DEC(_0811_173439[[#This Row],[58F0]])*E$4/E$5+E$6,0)</f>
        <v>72</v>
      </c>
      <c r="M2012">
        <f>ROUND(HEX2DEC(_0811_173439[[#This Row],[5805]])*F$4/F$5+F$6,0)</f>
        <v>47</v>
      </c>
      <c r="N2012">
        <f>ROUND(HEX2DEC(_0811_173439[[#This Row],[58DD]])*G$4/G$5+G$6,2)</f>
        <v>-0.03</v>
      </c>
      <c r="P2012">
        <v>0</v>
      </c>
      <c r="Q2012">
        <v>39</v>
      </c>
      <c r="R2012">
        <v>30</v>
      </c>
      <c r="S2012">
        <v>72</v>
      </c>
      <c r="T2012">
        <v>47</v>
      </c>
      <c r="U2012">
        <v>-0.03</v>
      </c>
      <c r="W2012">
        <f>DataLog_T717420_Aug11_4_59_37pm[[#This Row],[RPM '[1/MIN']]]-Table3[[#This Row],[580C]]</f>
        <v>0</v>
      </c>
      <c r="X2012">
        <f>DataLog_T717420_Aug11_4_59_37pm[[#This Row],[OIL TEMP '[Â°C']]]-Table3[[#This Row],[4402]]</f>
        <v>0</v>
      </c>
      <c r="Y2012">
        <f>DataLog_T717420_Aug11_4_59_37pm[[#This Row],[INTAKE TEMP '[Â°C']]]-Table3[[#This Row],[580F]]</f>
        <v>0</v>
      </c>
      <c r="Z2012">
        <f>DataLog_T717420_Aug11_4_59_37pm[[#This Row],[HPFP PRES. '[BAR']]]-Table3[[#This Row],[58F0]]</f>
        <v>0</v>
      </c>
      <c r="AA2012">
        <f>DataLog_T717420_Aug11_4_59_37pm[[#This Row],[COOLANT TEMP '[Â°C']]]-Table3[[#This Row],[5805]]</f>
        <v>0</v>
      </c>
      <c r="AB2012">
        <f>DataLog_T717420_Aug11_4_59_37pm[[#This Row],[BOOST '[BAR']]]-Table3[[#This Row],[58DD]]</f>
        <v>0</v>
      </c>
    </row>
    <row r="2013" spans="2:28" x14ac:dyDescent="0.25">
      <c r="B2013" s="2" t="s">
        <v>23</v>
      </c>
      <c r="C2013" s="2" t="s">
        <v>410</v>
      </c>
      <c r="D2013" s="2" t="s">
        <v>151</v>
      </c>
      <c r="E2013" s="2" t="s">
        <v>231</v>
      </c>
      <c r="F2013" s="2" t="s">
        <v>409</v>
      </c>
      <c r="G2013" s="2" t="s">
        <v>27</v>
      </c>
      <c r="I2013">
        <f>HEX2DEC(_0811_173439[[#This Row],[580C]])*B$4/B$5+B$6</f>
        <v>0</v>
      </c>
      <c r="J2013">
        <f>HEX2DEC(_0811_173439[[#This Row],[4402]])*C$4/C$5+C$6</f>
        <v>39</v>
      </c>
      <c r="K2013">
        <f>HEX2DEC(_0811_173439[[#This Row],[580F]])*D$4/D$5+D$6</f>
        <v>30</v>
      </c>
      <c r="L2013">
        <f>ROUND(HEX2DEC(_0811_173439[[#This Row],[58F0]])*E$4/E$5+E$6,0)</f>
        <v>72</v>
      </c>
      <c r="M2013">
        <f>ROUND(HEX2DEC(_0811_173439[[#This Row],[5805]])*F$4/F$5+F$6,0)</f>
        <v>47</v>
      </c>
      <c r="N2013">
        <f>ROUND(HEX2DEC(_0811_173439[[#This Row],[58DD]])*G$4/G$5+G$6,2)</f>
        <v>-0.03</v>
      </c>
      <c r="P2013">
        <v>0</v>
      </c>
      <c r="Q2013">
        <v>39</v>
      </c>
      <c r="R2013">
        <v>30</v>
      </c>
      <c r="S2013">
        <v>72</v>
      </c>
      <c r="T2013">
        <v>47</v>
      </c>
      <c r="U2013">
        <v>-0.03</v>
      </c>
      <c r="W2013">
        <f>DataLog_T717420_Aug11_4_59_37pm[[#This Row],[RPM '[1/MIN']]]-Table3[[#This Row],[580C]]</f>
        <v>0</v>
      </c>
      <c r="X2013">
        <f>DataLog_T717420_Aug11_4_59_37pm[[#This Row],[OIL TEMP '[Â°C']]]-Table3[[#This Row],[4402]]</f>
        <v>0</v>
      </c>
      <c r="Y2013">
        <f>DataLog_T717420_Aug11_4_59_37pm[[#This Row],[INTAKE TEMP '[Â°C']]]-Table3[[#This Row],[580F]]</f>
        <v>0</v>
      </c>
      <c r="Z2013">
        <f>DataLog_T717420_Aug11_4_59_37pm[[#This Row],[HPFP PRES. '[BAR']]]-Table3[[#This Row],[58F0]]</f>
        <v>0</v>
      </c>
      <c r="AA2013">
        <f>DataLog_T717420_Aug11_4_59_37pm[[#This Row],[COOLANT TEMP '[Â°C']]]-Table3[[#This Row],[5805]]</f>
        <v>0</v>
      </c>
      <c r="AB2013">
        <f>DataLog_T717420_Aug11_4_59_37pm[[#This Row],[BOOST '[BAR']]]-Table3[[#This Row],[58DD]]</f>
        <v>0</v>
      </c>
    </row>
    <row r="2014" spans="2:28" x14ac:dyDescent="0.25">
      <c r="B2014" s="2" t="s">
        <v>23</v>
      </c>
      <c r="C2014" s="2" t="s">
        <v>410</v>
      </c>
      <c r="D2014" s="2" t="s">
        <v>151</v>
      </c>
      <c r="E2014" s="2" t="s">
        <v>231</v>
      </c>
      <c r="F2014" s="2" t="s">
        <v>409</v>
      </c>
      <c r="G2014" s="2" t="s">
        <v>27</v>
      </c>
      <c r="I2014">
        <f>HEX2DEC(_0811_173439[[#This Row],[580C]])*B$4/B$5+B$6</f>
        <v>0</v>
      </c>
      <c r="J2014">
        <f>HEX2DEC(_0811_173439[[#This Row],[4402]])*C$4/C$5+C$6</f>
        <v>39</v>
      </c>
      <c r="K2014">
        <f>HEX2DEC(_0811_173439[[#This Row],[580F]])*D$4/D$5+D$6</f>
        <v>30</v>
      </c>
      <c r="L2014">
        <f>ROUND(HEX2DEC(_0811_173439[[#This Row],[58F0]])*E$4/E$5+E$6,0)</f>
        <v>72</v>
      </c>
      <c r="M2014">
        <f>ROUND(HEX2DEC(_0811_173439[[#This Row],[5805]])*F$4/F$5+F$6,0)</f>
        <v>47</v>
      </c>
      <c r="N2014">
        <f>ROUND(HEX2DEC(_0811_173439[[#This Row],[58DD]])*G$4/G$5+G$6,2)</f>
        <v>-0.03</v>
      </c>
      <c r="P2014">
        <v>0</v>
      </c>
      <c r="Q2014">
        <v>39</v>
      </c>
      <c r="R2014">
        <v>30</v>
      </c>
      <c r="S2014">
        <v>72</v>
      </c>
      <c r="T2014">
        <v>47</v>
      </c>
      <c r="U2014">
        <v>-0.03</v>
      </c>
      <c r="W2014">
        <f>DataLog_T717420_Aug11_4_59_37pm[[#This Row],[RPM '[1/MIN']]]-Table3[[#This Row],[580C]]</f>
        <v>0</v>
      </c>
      <c r="X2014">
        <f>DataLog_T717420_Aug11_4_59_37pm[[#This Row],[OIL TEMP '[Â°C']]]-Table3[[#This Row],[4402]]</f>
        <v>0</v>
      </c>
      <c r="Y2014">
        <f>DataLog_T717420_Aug11_4_59_37pm[[#This Row],[INTAKE TEMP '[Â°C']]]-Table3[[#This Row],[580F]]</f>
        <v>0</v>
      </c>
      <c r="Z2014">
        <f>DataLog_T717420_Aug11_4_59_37pm[[#This Row],[HPFP PRES. '[BAR']]]-Table3[[#This Row],[58F0]]</f>
        <v>0</v>
      </c>
      <c r="AA2014">
        <f>DataLog_T717420_Aug11_4_59_37pm[[#This Row],[COOLANT TEMP '[Â°C']]]-Table3[[#This Row],[5805]]</f>
        <v>0</v>
      </c>
      <c r="AB2014">
        <f>DataLog_T717420_Aug11_4_59_37pm[[#This Row],[BOOST '[BAR']]]-Table3[[#This Row],[58DD]]</f>
        <v>0</v>
      </c>
    </row>
    <row r="2015" spans="2:28" x14ac:dyDescent="0.25">
      <c r="B2015" s="2" t="s">
        <v>23</v>
      </c>
      <c r="C2015" s="2" t="s">
        <v>410</v>
      </c>
      <c r="D2015" s="2" t="s">
        <v>151</v>
      </c>
      <c r="E2015" s="2" t="s">
        <v>231</v>
      </c>
      <c r="F2015" s="2" t="s">
        <v>409</v>
      </c>
      <c r="G2015" s="2" t="s">
        <v>27</v>
      </c>
      <c r="I2015">
        <f>HEX2DEC(_0811_173439[[#This Row],[580C]])*B$4/B$5+B$6</f>
        <v>0</v>
      </c>
      <c r="J2015">
        <f>HEX2DEC(_0811_173439[[#This Row],[4402]])*C$4/C$5+C$6</f>
        <v>39</v>
      </c>
      <c r="K2015">
        <f>HEX2DEC(_0811_173439[[#This Row],[580F]])*D$4/D$5+D$6</f>
        <v>30</v>
      </c>
      <c r="L2015">
        <f>ROUND(HEX2DEC(_0811_173439[[#This Row],[58F0]])*E$4/E$5+E$6,0)</f>
        <v>72</v>
      </c>
      <c r="M2015">
        <f>ROUND(HEX2DEC(_0811_173439[[#This Row],[5805]])*F$4/F$5+F$6,0)</f>
        <v>47</v>
      </c>
      <c r="N2015">
        <f>ROUND(HEX2DEC(_0811_173439[[#This Row],[58DD]])*G$4/G$5+G$6,2)</f>
        <v>-0.03</v>
      </c>
      <c r="P2015">
        <v>0</v>
      </c>
      <c r="Q2015">
        <v>39</v>
      </c>
      <c r="R2015">
        <v>30</v>
      </c>
      <c r="S2015">
        <v>72</v>
      </c>
      <c r="T2015">
        <v>47</v>
      </c>
      <c r="U2015">
        <v>-0.03</v>
      </c>
      <c r="W2015">
        <f>DataLog_T717420_Aug11_4_59_37pm[[#This Row],[RPM '[1/MIN']]]-Table3[[#This Row],[580C]]</f>
        <v>0</v>
      </c>
      <c r="X2015">
        <f>DataLog_T717420_Aug11_4_59_37pm[[#This Row],[OIL TEMP '[Â°C']]]-Table3[[#This Row],[4402]]</f>
        <v>0</v>
      </c>
      <c r="Y2015">
        <f>DataLog_T717420_Aug11_4_59_37pm[[#This Row],[INTAKE TEMP '[Â°C']]]-Table3[[#This Row],[580F]]</f>
        <v>0</v>
      </c>
      <c r="Z2015">
        <f>DataLog_T717420_Aug11_4_59_37pm[[#This Row],[HPFP PRES. '[BAR']]]-Table3[[#This Row],[58F0]]</f>
        <v>0</v>
      </c>
      <c r="AA2015">
        <f>DataLog_T717420_Aug11_4_59_37pm[[#This Row],[COOLANT TEMP '[Â°C']]]-Table3[[#This Row],[5805]]</f>
        <v>0</v>
      </c>
      <c r="AB2015">
        <f>DataLog_T717420_Aug11_4_59_37pm[[#This Row],[BOOST '[BAR']]]-Table3[[#This Row],[58DD]]</f>
        <v>0</v>
      </c>
    </row>
    <row r="2016" spans="2:28" x14ac:dyDescent="0.25">
      <c r="B2016" s="2" t="s">
        <v>23</v>
      </c>
      <c r="C2016" s="2" t="s">
        <v>410</v>
      </c>
      <c r="D2016" s="2" t="s">
        <v>151</v>
      </c>
      <c r="E2016" s="2" t="s">
        <v>231</v>
      </c>
      <c r="F2016" s="2" t="s">
        <v>409</v>
      </c>
      <c r="G2016" s="2" t="s">
        <v>27</v>
      </c>
      <c r="I2016">
        <f>HEX2DEC(_0811_173439[[#This Row],[580C]])*B$4/B$5+B$6</f>
        <v>0</v>
      </c>
      <c r="J2016">
        <f>HEX2DEC(_0811_173439[[#This Row],[4402]])*C$4/C$5+C$6</f>
        <v>39</v>
      </c>
      <c r="K2016">
        <f>HEX2DEC(_0811_173439[[#This Row],[580F]])*D$4/D$5+D$6</f>
        <v>30</v>
      </c>
      <c r="L2016">
        <f>ROUND(HEX2DEC(_0811_173439[[#This Row],[58F0]])*E$4/E$5+E$6,0)</f>
        <v>72</v>
      </c>
      <c r="M2016">
        <f>ROUND(HEX2DEC(_0811_173439[[#This Row],[5805]])*F$4/F$5+F$6,0)</f>
        <v>47</v>
      </c>
      <c r="N2016">
        <f>ROUND(HEX2DEC(_0811_173439[[#This Row],[58DD]])*G$4/G$5+G$6,2)</f>
        <v>-0.03</v>
      </c>
      <c r="P2016">
        <v>0</v>
      </c>
      <c r="Q2016">
        <v>39</v>
      </c>
      <c r="R2016">
        <v>30</v>
      </c>
      <c r="S2016">
        <v>72</v>
      </c>
      <c r="T2016">
        <v>47</v>
      </c>
      <c r="U2016">
        <v>-0.03</v>
      </c>
      <c r="W2016">
        <f>DataLog_T717420_Aug11_4_59_37pm[[#This Row],[RPM '[1/MIN']]]-Table3[[#This Row],[580C]]</f>
        <v>0</v>
      </c>
      <c r="X2016">
        <f>DataLog_T717420_Aug11_4_59_37pm[[#This Row],[OIL TEMP '[Â°C']]]-Table3[[#This Row],[4402]]</f>
        <v>0</v>
      </c>
      <c r="Y2016">
        <f>DataLog_T717420_Aug11_4_59_37pm[[#This Row],[INTAKE TEMP '[Â°C']]]-Table3[[#This Row],[580F]]</f>
        <v>0</v>
      </c>
      <c r="Z2016">
        <f>DataLog_T717420_Aug11_4_59_37pm[[#This Row],[HPFP PRES. '[BAR']]]-Table3[[#This Row],[58F0]]</f>
        <v>0</v>
      </c>
      <c r="AA2016">
        <f>DataLog_T717420_Aug11_4_59_37pm[[#This Row],[COOLANT TEMP '[Â°C']]]-Table3[[#This Row],[5805]]</f>
        <v>0</v>
      </c>
      <c r="AB2016">
        <f>DataLog_T717420_Aug11_4_59_37pm[[#This Row],[BOOST '[BAR']]]-Table3[[#This Row],[58DD]]</f>
        <v>0</v>
      </c>
    </row>
    <row r="2017" spans="2:28" x14ac:dyDescent="0.25">
      <c r="B2017" s="2" t="s">
        <v>23</v>
      </c>
      <c r="C2017" s="2" t="s">
        <v>410</v>
      </c>
      <c r="D2017" s="2" t="s">
        <v>151</v>
      </c>
      <c r="E2017" s="2" t="s">
        <v>231</v>
      </c>
      <c r="F2017" s="2" t="s">
        <v>409</v>
      </c>
      <c r="G2017" s="2" t="s">
        <v>27</v>
      </c>
      <c r="I2017">
        <f>HEX2DEC(_0811_173439[[#This Row],[580C]])*B$4/B$5+B$6</f>
        <v>0</v>
      </c>
      <c r="J2017">
        <f>HEX2DEC(_0811_173439[[#This Row],[4402]])*C$4/C$5+C$6</f>
        <v>39</v>
      </c>
      <c r="K2017">
        <f>HEX2DEC(_0811_173439[[#This Row],[580F]])*D$4/D$5+D$6</f>
        <v>30</v>
      </c>
      <c r="L2017">
        <f>ROUND(HEX2DEC(_0811_173439[[#This Row],[58F0]])*E$4/E$5+E$6,0)</f>
        <v>72</v>
      </c>
      <c r="M2017">
        <f>ROUND(HEX2DEC(_0811_173439[[#This Row],[5805]])*F$4/F$5+F$6,0)</f>
        <v>47</v>
      </c>
      <c r="N2017">
        <f>ROUND(HEX2DEC(_0811_173439[[#This Row],[58DD]])*G$4/G$5+G$6,2)</f>
        <v>-0.03</v>
      </c>
      <c r="P2017">
        <v>0</v>
      </c>
      <c r="Q2017">
        <v>39</v>
      </c>
      <c r="R2017">
        <v>30</v>
      </c>
      <c r="S2017">
        <v>72</v>
      </c>
      <c r="T2017">
        <v>47</v>
      </c>
      <c r="U2017">
        <v>-0.03</v>
      </c>
      <c r="W2017">
        <f>DataLog_T717420_Aug11_4_59_37pm[[#This Row],[RPM '[1/MIN']]]-Table3[[#This Row],[580C]]</f>
        <v>0</v>
      </c>
      <c r="X2017">
        <f>DataLog_T717420_Aug11_4_59_37pm[[#This Row],[OIL TEMP '[Â°C']]]-Table3[[#This Row],[4402]]</f>
        <v>0</v>
      </c>
      <c r="Y2017">
        <f>DataLog_T717420_Aug11_4_59_37pm[[#This Row],[INTAKE TEMP '[Â°C']]]-Table3[[#This Row],[580F]]</f>
        <v>0</v>
      </c>
      <c r="Z2017">
        <f>DataLog_T717420_Aug11_4_59_37pm[[#This Row],[HPFP PRES. '[BAR']]]-Table3[[#This Row],[58F0]]</f>
        <v>0</v>
      </c>
      <c r="AA2017">
        <f>DataLog_T717420_Aug11_4_59_37pm[[#This Row],[COOLANT TEMP '[Â°C']]]-Table3[[#This Row],[5805]]</f>
        <v>0</v>
      </c>
      <c r="AB2017">
        <f>DataLog_T717420_Aug11_4_59_37pm[[#This Row],[BOOST '[BAR']]]-Table3[[#This Row],[58DD]]</f>
        <v>0</v>
      </c>
    </row>
    <row r="2018" spans="2:28" x14ac:dyDescent="0.25">
      <c r="B2018" s="2" t="s">
        <v>23</v>
      </c>
      <c r="C2018" s="2" t="s">
        <v>410</v>
      </c>
      <c r="D2018" s="2" t="s">
        <v>151</v>
      </c>
      <c r="E2018" s="2" t="s">
        <v>231</v>
      </c>
      <c r="F2018" s="2" t="s">
        <v>409</v>
      </c>
      <c r="G2018" s="2" t="s">
        <v>27</v>
      </c>
      <c r="I2018">
        <f>HEX2DEC(_0811_173439[[#This Row],[580C]])*B$4/B$5+B$6</f>
        <v>0</v>
      </c>
      <c r="J2018">
        <f>HEX2DEC(_0811_173439[[#This Row],[4402]])*C$4/C$5+C$6</f>
        <v>39</v>
      </c>
      <c r="K2018">
        <f>HEX2DEC(_0811_173439[[#This Row],[580F]])*D$4/D$5+D$6</f>
        <v>30</v>
      </c>
      <c r="L2018">
        <f>ROUND(HEX2DEC(_0811_173439[[#This Row],[58F0]])*E$4/E$5+E$6,0)</f>
        <v>72</v>
      </c>
      <c r="M2018">
        <f>ROUND(HEX2DEC(_0811_173439[[#This Row],[5805]])*F$4/F$5+F$6,0)</f>
        <v>47</v>
      </c>
      <c r="N2018">
        <f>ROUND(HEX2DEC(_0811_173439[[#This Row],[58DD]])*G$4/G$5+G$6,2)</f>
        <v>-0.03</v>
      </c>
      <c r="P2018">
        <v>0</v>
      </c>
      <c r="Q2018">
        <v>39</v>
      </c>
      <c r="R2018">
        <v>30</v>
      </c>
      <c r="S2018">
        <v>72</v>
      </c>
      <c r="T2018">
        <v>47</v>
      </c>
      <c r="U2018">
        <v>-0.03</v>
      </c>
      <c r="W2018">
        <f>DataLog_T717420_Aug11_4_59_37pm[[#This Row],[RPM '[1/MIN']]]-Table3[[#This Row],[580C]]</f>
        <v>0</v>
      </c>
      <c r="X2018">
        <f>DataLog_T717420_Aug11_4_59_37pm[[#This Row],[OIL TEMP '[Â°C']]]-Table3[[#This Row],[4402]]</f>
        <v>0</v>
      </c>
      <c r="Y2018">
        <f>DataLog_T717420_Aug11_4_59_37pm[[#This Row],[INTAKE TEMP '[Â°C']]]-Table3[[#This Row],[580F]]</f>
        <v>0</v>
      </c>
      <c r="Z2018">
        <f>DataLog_T717420_Aug11_4_59_37pm[[#This Row],[HPFP PRES. '[BAR']]]-Table3[[#This Row],[58F0]]</f>
        <v>0</v>
      </c>
      <c r="AA2018">
        <f>DataLog_T717420_Aug11_4_59_37pm[[#This Row],[COOLANT TEMP '[Â°C']]]-Table3[[#This Row],[5805]]</f>
        <v>0</v>
      </c>
      <c r="AB2018">
        <f>DataLog_T717420_Aug11_4_59_37pm[[#This Row],[BOOST '[BAR']]]-Table3[[#This Row],[58DD]]</f>
        <v>0</v>
      </c>
    </row>
    <row r="2019" spans="2:28" x14ac:dyDescent="0.25">
      <c r="B2019" s="2" t="s">
        <v>23</v>
      </c>
      <c r="C2019" s="2" t="s">
        <v>410</v>
      </c>
      <c r="D2019" s="2" t="s">
        <v>151</v>
      </c>
      <c r="E2019" s="2" t="s">
        <v>231</v>
      </c>
      <c r="F2019" s="2" t="s">
        <v>409</v>
      </c>
      <c r="G2019" s="2" t="s">
        <v>27</v>
      </c>
      <c r="I2019">
        <f>HEX2DEC(_0811_173439[[#This Row],[580C]])*B$4/B$5+B$6</f>
        <v>0</v>
      </c>
      <c r="J2019">
        <f>HEX2DEC(_0811_173439[[#This Row],[4402]])*C$4/C$5+C$6</f>
        <v>39</v>
      </c>
      <c r="K2019">
        <f>HEX2DEC(_0811_173439[[#This Row],[580F]])*D$4/D$5+D$6</f>
        <v>30</v>
      </c>
      <c r="L2019">
        <f>ROUND(HEX2DEC(_0811_173439[[#This Row],[58F0]])*E$4/E$5+E$6,0)</f>
        <v>72</v>
      </c>
      <c r="M2019">
        <f>ROUND(HEX2DEC(_0811_173439[[#This Row],[5805]])*F$4/F$5+F$6,0)</f>
        <v>47</v>
      </c>
      <c r="N2019">
        <f>ROUND(HEX2DEC(_0811_173439[[#This Row],[58DD]])*G$4/G$5+G$6,2)</f>
        <v>-0.03</v>
      </c>
      <c r="P2019">
        <v>0</v>
      </c>
      <c r="Q2019">
        <v>39</v>
      </c>
      <c r="R2019">
        <v>30</v>
      </c>
      <c r="S2019">
        <v>72</v>
      </c>
      <c r="T2019">
        <v>47</v>
      </c>
      <c r="U2019">
        <v>-0.03</v>
      </c>
      <c r="W2019">
        <f>DataLog_T717420_Aug11_4_59_37pm[[#This Row],[RPM '[1/MIN']]]-Table3[[#This Row],[580C]]</f>
        <v>0</v>
      </c>
      <c r="X2019">
        <f>DataLog_T717420_Aug11_4_59_37pm[[#This Row],[OIL TEMP '[Â°C']]]-Table3[[#This Row],[4402]]</f>
        <v>0</v>
      </c>
      <c r="Y2019">
        <f>DataLog_T717420_Aug11_4_59_37pm[[#This Row],[INTAKE TEMP '[Â°C']]]-Table3[[#This Row],[580F]]</f>
        <v>0</v>
      </c>
      <c r="Z2019">
        <f>DataLog_T717420_Aug11_4_59_37pm[[#This Row],[HPFP PRES. '[BAR']]]-Table3[[#This Row],[58F0]]</f>
        <v>0</v>
      </c>
      <c r="AA2019">
        <f>DataLog_T717420_Aug11_4_59_37pm[[#This Row],[COOLANT TEMP '[Â°C']]]-Table3[[#This Row],[5805]]</f>
        <v>0</v>
      </c>
      <c r="AB2019">
        <f>DataLog_T717420_Aug11_4_59_37pm[[#This Row],[BOOST '[BAR']]]-Table3[[#This Row],[58DD]]</f>
        <v>0</v>
      </c>
    </row>
    <row r="2020" spans="2:28" x14ac:dyDescent="0.25">
      <c r="B2020" s="2" t="s">
        <v>23</v>
      </c>
      <c r="C2020" s="2" t="s">
        <v>410</v>
      </c>
      <c r="D2020" s="2" t="s">
        <v>151</v>
      </c>
      <c r="E2020" s="2" t="s">
        <v>231</v>
      </c>
      <c r="F2020" s="2" t="s">
        <v>409</v>
      </c>
      <c r="G2020" s="2" t="s">
        <v>27</v>
      </c>
      <c r="I2020">
        <f>HEX2DEC(_0811_173439[[#This Row],[580C]])*B$4/B$5+B$6</f>
        <v>0</v>
      </c>
      <c r="J2020">
        <f>HEX2DEC(_0811_173439[[#This Row],[4402]])*C$4/C$5+C$6</f>
        <v>39</v>
      </c>
      <c r="K2020">
        <f>HEX2DEC(_0811_173439[[#This Row],[580F]])*D$4/D$5+D$6</f>
        <v>30</v>
      </c>
      <c r="L2020">
        <f>ROUND(HEX2DEC(_0811_173439[[#This Row],[58F0]])*E$4/E$5+E$6,0)</f>
        <v>72</v>
      </c>
      <c r="M2020">
        <f>ROUND(HEX2DEC(_0811_173439[[#This Row],[5805]])*F$4/F$5+F$6,0)</f>
        <v>47</v>
      </c>
      <c r="N2020">
        <f>ROUND(HEX2DEC(_0811_173439[[#This Row],[58DD]])*G$4/G$5+G$6,2)</f>
        <v>-0.03</v>
      </c>
      <c r="P2020">
        <v>0</v>
      </c>
      <c r="Q2020">
        <v>39</v>
      </c>
      <c r="R2020">
        <v>30</v>
      </c>
      <c r="S2020">
        <v>72</v>
      </c>
      <c r="T2020">
        <v>47</v>
      </c>
      <c r="U2020">
        <v>-0.03</v>
      </c>
      <c r="W2020">
        <f>DataLog_T717420_Aug11_4_59_37pm[[#This Row],[RPM '[1/MIN']]]-Table3[[#This Row],[580C]]</f>
        <v>0</v>
      </c>
      <c r="X2020">
        <f>DataLog_T717420_Aug11_4_59_37pm[[#This Row],[OIL TEMP '[Â°C']]]-Table3[[#This Row],[4402]]</f>
        <v>0</v>
      </c>
      <c r="Y2020">
        <f>DataLog_T717420_Aug11_4_59_37pm[[#This Row],[INTAKE TEMP '[Â°C']]]-Table3[[#This Row],[580F]]</f>
        <v>0</v>
      </c>
      <c r="Z2020">
        <f>DataLog_T717420_Aug11_4_59_37pm[[#This Row],[HPFP PRES. '[BAR']]]-Table3[[#This Row],[58F0]]</f>
        <v>0</v>
      </c>
      <c r="AA2020">
        <f>DataLog_T717420_Aug11_4_59_37pm[[#This Row],[COOLANT TEMP '[Â°C']]]-Table3[[#This Row],[5805]]</f>
        <v>0</v>
      </c>
      <c r="AB2020">
        <f>DataLog_T717420_Aug11_4_59_37pm[[#This Row],[BOOST '[BAR']]]-Table3[[#This Row],[58DD]]</f>
        <v>0</v>
      </c>
    </row>
    <row r="2021" spans="2:28" x14ac:dyDescent="0.25">
      <c r="B2021" s="2" t="s">
        <v>23</v>
      </c>
      <c r="C2021" s="2" t="s">
        <v>410</v>
      </c>
      <c r="D2021" s="2" t="s">
        <v>151</v>
      </c>
      <c r="E2021" s="2" t="s">
        <v>231</v>
      </c>
      <c r="F2021" s="2" t="s">
        <v>409</v>
      </c>
      <c r="G2021" s="2" t="s">
        <v>27</v>
      </c>
      <c r="I2021">
        <f>HEX2DEC(_0811_173439[[#This Row],[580C]])*B$4/B$5+B$6</f>
        <v>0</v>
      </c>
      <c r="J2021">
        <f>HEX2DEC(_0811_173439[[#This Row],[4402]])*C$4/C$5+C$6</f>
        <v>39</v>
      </c>
      <c r="K2021">
        <f>HEX2DEC(_0811_173439[[#This Row],[580F]])*D$4/D$5+D$6</f>
        <v>30</v>
      </c>
      <c r="L2021">
        <f>ROUND(HEX2DEC(_0811_173439[[#This Row],[58F0]])*E$4/E$5+E$6,0)</f>
        <v>72</v>
      </c>
      <c r="M2021">
        <f>ROUND(HEX2DEC(_0811_173439[[#This Row],[5805]])*F$4/F$5+F$6,0)</f>
        <v>47</v>
      </c>
      <c r="N2021">
        <f>ROUND(HEX2DEC(_0811_173439[[#This Row],[58DD]])*G$4/G$5+G$6,2)</f>
        <v>-0.03</v>
      </c>
      <c r="P2021">
        <v>0</v>
      </c>
      <c r="Q2021">
        <v>39</v>
      </c>
      <c r="R2021">
        <v>30</v>
      </c>
      <c r="S2021">
        <v>72</v>
      </c>
      <c r="T2021">
        <v>47</v>
      </c>
      <c r="U2021">
        <v>-0.03</v>
      </c>
      <c r="W2021">
        <f>DataLog_T717420_Aug11_4_59_37pm[[#This Row],[RPM '[1/MIN']]]-Table3[[#This Row],[580C]]</f>
        <v>0</v>
      </c>
      <c r="X2021">
        <f>DataLog_T717420_Aug11_4_59_37pm[[#This Row],[OIL TEMP '[Â°C']]]-Table3[[#This Row],[4402]]</f>
        <v>0</v>
      </c>
      <c r="Y2021">
        <f>DataLog_T717420_Aug11_4_59_37pm[[#This Row],[INTAKE TEMP '[Â°C']]]-Table3[[#This Row],[580F]]</f>
        <v>0</v>
      </c>
      <c r="Z2021">
        <f>DataLog_T717420_Aug11_4_59_37pm[[#This Row],[HPFP PRES. '[BAR']]]-Table3[[#This Row],[58F0]]</f>
        <v>0</v>
      </c>
      <c r="AA2021">
        <f>DataLog_T717420_Aug11_4_59_37pm[[#This Row],[COOLANT TEMP '[Â°C']]]-Table3[[#This Row],[5805]]</f>
        <v>0</v>
      </c>
      <c r="AB2021">
        <f>DataLog_T717420_Aug11_4_59_37pm[[#This Row],[BOOST '[BAR']]]-Table3[[#This Row],[58DD]]</f>
        <v>0</v>
      </c>
    </row>
    <row r="2022" spans="2:28" x14ac:dyDescent="0.25">
      <c r="B2022" s="2" t="s">
        <v>23</v>
      </c>
      <c r="C2022" s="2" t="s">
        <v>410</v>
      </c>
      <c r="D2022" s="2" t="s">
        <v>151</v>
      </c>
      <c r="E2022" s="2" t="s">
        <v>231</v>
      </c>
      <c r="F2022" s="2" t="s">
        <v>409</v>
      </c>
      <c r="G2022" s="2" t="s">
        <v>27</v>
      </c>
      <c r="I2022">
        <f>HEX2DEC(_0811_173439[[#This Row],[580C]])*B$4/B$5+B$6</f>
        <v>0</v>
      </c>
      <c r="J2022">
        <f>HEX2DEC(_0811_173439[[#This Row],[4402]])*C$4/C$5+C$6</f>
        <v>39</v>
      </c>
      <c r="K2022">
        <f>HEX2DEC(_0811_173439[[#This Row],[580F]])*D$4/D$5+D$6</f>
        <v>30</v>
      </c>
      <c r="L2022">
        <f>ROUND(HEX2DEC(_0811_173439[[#This Row],[58F0]])*E$4/E$5+E$6,0)</f>
        <v>72</v>
      </c>
      <c r="M2022">
        <f>ROUND(HEX2DEC(_0811_173439[[#This Row],[5805]])*F$4/F$5+F$6,0)</f>
        <v>47</v>
      </c>
      <c r="N2022">
        <f>ROUND(HEX2DEC(_0811_173439[[#This Row],[58DD]])*G$4/G$5+G$6,2)</f>
        <v>-0.03</v>
      </c>
      <c r="P2022">
        <v>0</v>
      </c>
      <c r="Q2022">
        <v>39</v>
      </c>
      <c r="R2022">
        <v>30</v>
      </c>
      <c r="S2022">
        <v>72</v>
      </c>
      <c r="T2022">
        <v>47</v>
      </c>
      <c r="U2022">
        <v>-0.03</v>
      </c>
      <c r="W2022">
        <f>DataLog_T717420_Aug11_4_59_37pm[[#This Row],[RPM '[1/MIN']]]-Table3[[#This Row],[580C]]</f>
        <v>0</v>
      </c>
      <c r="X2022">
        <f>DataLog_T717420_Aug11_4_59_37pm[[#This Row],[OIL TEMP '[Â°C']]]-Table3[[#This Row],[4402]]</f>
        <v>0</v>
      </c>
      <c r="Y2022">
        <f>DataLog_T717420_Aug11_4_59_37pm[[#This Row],[INTAKE TEMP '[Â°C']]]-Table3[[#This Row],[580F]]</f>
        <v>0</v>
      </c>
      <c r="Z2022">
        <f>DataLog_T717420_Aug11_4_59_37pm[[#This Row],[HPFP PRES. '[BAR']]]-Table3[[#This Row],[58F0]]</f>
        <v>0</v>
      </c>
      <c r="AA2022">
        <f>DataLog_T717420_Aug11_4_59_37pm[[#This Row],[COOLANT TEMP '[Â°C']]]-Table3[[#This Row],[5805]]</f>
        <v>0</v>
      </c>
      <c r="AB2022">
        <f>DataLog_T717420_Aug11_4_59_37pm[[#This Row],[BOOST '[BAR']]]-Table3[[#This Row],[58DD]]</f>
        <v>0</v>
      </c>
    </row>
    <row r="2023" spans="2:28" x14ac:dyDescent="0.25">
      <c r="B2023" s="2" t="s">
        <v>23</v>
      </c>
      <c r="C2023" s="2" t="s">
        <v>410</v>
      </c>
      <c r="D2023" s="2" t="s">
        <v>151</v>
      </c>
      <c r="E2023" s="2" t="s">
        <v>231</v>
      </c>
      <c r="F2023" s="2" t="s">
        <v>409</v>
      </c>
      <c r="G2023" s="2" t="s">
        <v>27</v>
      </c>
      <c r="I2023">
        <f>HEX2DEC(_0811_173439[[#This Row],[580C]])*B$4/B$5+B$6</f>
        <v>0</v>
      </c>
      <c r="J2023">
        <f>HEX2DEC(_0811_173439[[#This Row],[4402]])*C$4/C$5+C$6</f>
        <v>39</v>
      </c>
      <c r="K2023">
        <f>HEX2DEC(_0811_173439[[#This Row],[580F]])*D$4/D$5+D$6</f>
        <v>30</v>
      </c>
      <c r="L2023">
        <f>ROUND(HEX2DEC(_0811_173439[[#This Row],[58F0]])*E$4/E$5+E$6,0)</f>
        <v>72</v>
      </c>
      <c r="M2023">
        <f>ROUND(HEX2DEC(_0811_173439[[#This Row],[5805]])*F$4/F$5+F$6,0)</f>
        <v>47</v>
      </c>
      <c r="N2023">
        <f>ROUND(HEX2DEC(_0811_173439[[#This Row],[58DD]])*G$4/G$5+G$6,2)</f>
        <v>-0.03</v>
      </c>
      <c r="P2023">
        <v>0</v>
      </c>
      <c r="Q2023">
        <v>39</v>
      </c>
      <c r="R2023">
        <v>30</v>
      </c>
      <c r="S2023">
        <v>72</v>
      </c>
      <c r="T2023">
        <v>47</v>
      </c>
      <c r="U2023">
        <v>-0.03</v>
      </c>
      <c r="W2023">
        <f>DataLog_T717420_Aug11_4_59_37pm[[#This Row],[RPM '[1/MIN']]]-Table3[[#This Row],[580C]]</f>
        <v>0</v>
      </c>
      <c r="X2023">
        <f>DataLog_T717420_Aug11_4_59_37pm[[#This Row],[OIL TEMP '[Â°C']]]-Table3[[#This Row],[4402]]</f>
        <v>0</v>
      </c>
      <c r="Y2023">
        <f>DataLog_T717420_Aug11_4_59_37pm[[#This Row],[INTAKE TEMP '[Â°C']]]-Table3[[#This Row],[580F]]</f>
        <v>0</v>
      </c>
      <c r="Z2023">
        <f>DataLog_T717420_Aug11_4_59_37pm[[#This Row],[HPFP PRES. '[BAR']]]-Table3[[#This Row],[58F0]]</f>
        <v>0</v>
      </c>
      <c r="AA2023">
        <f>DataLog_T717420_Aug11_4_59_37pm[[#This Row],[COOLANT TEMP '[Â°C']]]-Table3[[#This Row],[5805]]</f>
        <v>0</v>
      </c>
      <c r="AB2023">
        <f>DataLog_T717420_Aug11_4_59_37pm[[#This Row],[BOOST '[BAR']]]-Table3[[#This Row],[58DD]]</f>
        <v>0</v>
      </c>
    </row>
    <row r="2024" spans="2:28" x14ac:dyDescent="0.25">
      <c r="B2024" s="2" t="s">
        <v>23</v>
      </c>
      <c r="C2024" s="2" t="s">
        <v>410</v>
      </c>
      <c r="D2024" s="2" t="s">
        <v>151</v>
      </c>
      <c r="E2024" s="2" t="s">
        <v>231</v>
      </c>
      <c r="F2024" s="2" t="s">
        <v>409</v>
      </c>
      <c r="G2024" s="2" t="s">
        <v>28</v>
      </c>
      <c r="I2024">
        <f>HEX2DEC(_0811_173439[[#This Row],[580C]])*B$4/B$5+B$6</f>
        <v>0</v>
      </c>
      <c r="J2024">
        <f>HEX2DEC(_0811_173439[[#This Row],[4402]])*C$4/C$5+C$6</f>
        <v>39</v>
      </c>
      <c r="K2024">
        <f>HEX2DEC(_0811_173439[[#This Row],[580F]])*D$4/D$5+D$6</f>
        <v>30</v>
      </c>
      <c r="L2024">
        <f>ROUND(HEX2DEC(_0811_173439[[#This Row],[58F0]])*E$4/E$5+E$6,0)</f>
        <v>72</v>
      </c>
      <c r="M2024">
        <f>ROUND(HEX2DEC(_0811_173439[[#This Row],[5805]])*F$4/F$5+F$6,0)</f>
        <v>47</v>
      </c>
      <c r="N2024">
        <f>ROUND(HEX2DEC(_0811_173439[[#This Row],[58DD]])*G$4/G$5+G$6,2)</f>
        <v>-0.02</v>
      </c>
      <c r="P2024">
        <v>0</v>
      </c>
      <c r="Q2024">
        <v>39</v>
      </c>
      <c r="R2024">
        <v>30</v>
      </c>
      <c r="S2024">
        <v>72</v>
      </c>
      <c r="T2024">
        <v>47</v>
      </c>
      <c r="U2024">
        <v>-0.02</v>
      </c>
      <c r="W2024">
        <f>DataLog_T717420_Aug11_4_59_37pm[[#This Row],[RPM '[1/MIN']]]-Table3[[#This Row],[580C]]</f>
        <v>0</v>
      </c>
      <c r="X2024">
        <f>DataLog_T717420_Aug11_4_59_37pm[[#This Row],[OIL TEMP '[Â°C']]]-Table3[[#This Row],[4402]]</f>
        <v>0</v>
      </c>
      <c r="Y2024">
        <f>DataLog_T717420_Aug11_4_59_37pm[[#This Row],[INTAKE TEMP '[Â°C']]]-Table3[[#This Row],[580F]]</f>
        <v>0</v>
      </c>
      <c r="Z2024">
        <f>DataLog_T717420_Aug11_4_59_37pm[[#This Row],[HPFP PRES. '[BAR']]]-Table3[[#This Row],[58F0]]</f>
        <v>0</v>
      </c>
      <c r="AA2024">
        <f>DataLog_T717420_Aug11_4_59_37pm[[#This Row],[COOLANT TEMP '[Â°C']]]-Table3[[#This Row],[5805]]</f>
        <v>0</v>
      </c>
      <c r="AB2024">
        <f>DataLog_T717420_Aug11_4_59_37pm[[#This Row],[BOOST '[BAR']]]-Table3[[#This Row],[58DD]]</f>
        <v>0</v>
      </c>
    </row>
    <row r="2025" spans="2:28" x14ac:dyDescent="0.25">
      <c r="B2025" s="2" t="s">
        <v>23</v>
      </c>
      <c r="C2025" s="2" t="s">
        <v>410</v>
      </c>
      <c r="D2025" s="2" t="s">
        <v>151</v>
      </c>
      <c r="E2025" s="2" t="s">
        <v>231</v>
      </c>
      <c r="F2025" s="2" t="s">
        <v>409</v>
      </c>
      <c r="G2025" s="2" t="s">
        <v>27</v>
      </c>
      <c r="I2025">
        <f>HEX2DEC(_0811_173439[[#This Row],[580C]])*B$4/B$5+B$6</f>
        <v>0</v>
      </c>
      <c r="J2025">
        <f>HEX2DEC(_0811_173439[[#This Row],[4402]])*C$4/C$5+C$6</f>
        <v>39</v>
      </c>
      <c r="K2025">
        <f>HEX2DEC(_0811_173439[[#This Row],[580F]])*D$4/D$5+D$6</f>
        <v>30</v>
      </c>
      <c r="L2025">
        <f>ROUND(HEX2DEC(_0811_173439[[#This Row],[58F0]])*E$4/E$5+E$6,0)</f>
        <v>72</v>
      </c>
      <c r="M2025">
        <f>ROUND(HEX2DEC(_0811_173439[[#This Row],[5805]])*F$4/F$5+F$6,0)</f>
        <v>47</v>
      </c>
      <c r="N2025">
        <f>ROUND(HEX2DEC(_0811_173439[[#This Row],[58DD]])*G$4/G$5+G$6,2)</f>
        <v>-0.03</v>
      </c>
      <c r="P2025">
        <v>0</v>
      </c>
      <c r="Q2025">
        <v>39</v>
      </c>
      <c r="R2025">
        <v>30</v>
      </c>
      <c r="S2025">
        <v>72</v>
      </c>
      <c r="T2025">
        <v>47</v>
      </c>
      <c r="U2025">
        <v>-0.03</v>
      </c>
      <c r="W2025">
        <f>DataLog_T717420_Aug11_4_59_37pm[[#This Row],[RPM '[1/MIN']]]-Table3[[#This Row],[580C]]</f>
        <v>0</v>
      </c>
      <c r="X2025">
        <f>DataLog_T717420_Aug11_4_59_37pm[[#This Row],[OIL TEMP '[Â°C']]]-Table3[[#This Row],[4402]]</f>
        <v>0</v>
      </c>
      <c r="Y2025">
        <f>DataLog_T717420_Aug11_4_59_37pm[[#This Row],[INTAKE TEMP '[Â°C']]]-Table3[[#This Row],[580F]]</f>
        <v>0</v>
      </c>
      <c r="Z2025">
        <f>DataLog_T717420_Aug11_4_59_37pm[[#This Row],[HPFP PRES. '[BAR']]]-Table3[[#This Row],[58F0]]</f>
        <v>0</v>
      </c>
      <c r="AA2025">
        <f>DataLog_T717420_Aug11_4_59_37pm[[#This Row],[COOLANT TEMP '[Â°C']]]-Table3[[#This Row],[5805]]</f>
        <v>0</v>
      </c>
      <c r="AB2025">
        <f>DataLog_T717420_Aug11_4_59_37pm[[#This Row],[BOOST '[BAR']]]-Table3[[#This Row],[58DD]]</f>
        <v>0</v>
      </c>
    </row>
    <row r="2026" spans="2:28" x14ac:dyDescent="0.25">
      <c r="B2026" s="2" t="s">
        <v>23</v>
      </c>
      <c r="C2026" s="2" t="s">
        <v>410</v>
      </c>
      <c r="D2026" s="2" t="s">
        <v>151</v>
      </c>
      <c r="E2026" s="2" t="s">
        <v>231</v>
      </c>
      <c r="F2026" s="2" t="s">
        <v>409</v>
      </c>
      <c r="G2026" s="2" t="s">
        <v>27</v>
      </c>
      <c r="I2026">
        <f>HEX2DEC(_0811_173439[[#This Row],[580C]])*B$4/B$5+B$6</f>
        <v>0</v>
      </c>
      <c r="J2026">
        <f>HEX2DEC(_0811_173439[[#This Row],[4402]])*C$4/C$5+C$6</f>
        <v>39</v>
      </c>
      <c r="K2026">
        <f>HEX2DEC(_0811_173439[[#This Row],[580F]])*D$4/D$5+D$6</f>
        <v>30</v>
      </c>
      <c r="L2026">
        <f>ROUND(HEX2DEC(_0811_173439[[#This Row],[58F0]])*E$4/E$5+E$6,0)</f>
        <v>72</v>
      </c>
      <c r="M2026">
        <f>ROUND(HEX2DEC(_0811_173439[[#This Row],[5805]])*F$4/F$5+F$6,0)</f>
        <v>47</v>
      </c>
      <c r="N2026">
        <f>ROUND(HEX2DEC(_0811_173439[[#This Row],[58DD]])*G$4/G$5+G$6,2)</f>
        <v>-0.03</v>
      </c>
      <c r="P2026">
        <v>0</v>
      </c>
      <c r="Q2026">
        <v>39</v>
      </c>
      <c r="R2026">
        <v>30</v>
      </c>
      <c r="S2026">
        <v>72</v>
      </c>
      <c r="T2026">
        <v>47</v>
      </c>
      <c r="U2026">
        <v>-0.03</v>
      </c>
      <c r="W2026">
        <f>DataLog_T717420_Aug11_4_59_37pm[[#This Row],[RPM '[1/MIN']]]-Table3[[#This Row],[580C]]</f>
        <v>0</v>
      </c>
      <c r="X2026">
        <f>DataLog_T717420_Aug11_4_59_37pm[[#This Row],[OIL TEMP '[Â°C']]]-Table3[[#This Row],[4402]]</f>
        <v>0</v>
      </c>
      <c r="Y2026">
        <f>DataLog_T717420_Aug11_4_59_37pm[[#This Row],[INTAKE TEMP '[Â°C']]]-Table3[[#This Row],[580F]]</f>
        <v>0</v>
      </c>
      <c r="Z2026">
        <f>DataLog_T717420_Aug11_4_59_37pm[[#This Row],[HPFP PRES. '[BAR']]]-Table3[[#This Row],[58F0]]</f>
        <v>0</v>
      </c>
      <c r="AA2026">
        <f>DataLog_T717420_Aug11_4_59_37pm[[#This Row],[COOLANT TEMP '[Â°C']]]-Table3[[#This Row],[5805]]</f>
        <v>0</v>
      </c>
      <c r="AB2026">
        <f>DataLog_T717420_Aug11_4_59_37pm[[#This Row],[BOOST '[BAR']]]-Table3[[#This Row],[58DD]]</f>
        <v>0</v>
      </c>
    </row>
    <row r="2027" spans="2:28" x14ac:dyDescent="0.25">
      <c r="B2027" s="2" t="s">
        <v>23</v>
      </c>
      <c r="C2027" s="2" t="s">
        <v>410</v>
      </c>
      <c r="D2027" s="2" t="s">
        <v>151</v>
      </c>
      <c r="E2027" s="2" t="s">
        <v>231</v>
      </c>
      <c r="F2027" s="2" t="s">
        <v>409</v>
      </c>
      <c r="G2027" s="2" t="s">
        <v>27</v>
      </c>
      <c r="I2027">
        <f>HEX2DEC(_0811_173439[[#This Row],[580C]])*B$4/B$5+B$6</f>
        <v>0</v>
      </c>
      <c r="J2027">
        <f>HEX2DEC(_0811_173439[[#This Row],[4402]])*C$4/C$5+C$6</f>
        <v>39</v>
      </c>
      <c r="K2027">
        <f>HEX2DEC(_0811_173439[[#This Row],[580F]])*D$4/D$5+D$6</f>
        <v>30</v>
      </c>
      <c r="L2027">
        <f>ROUND(HEX2DEC(_0811_173439[[#This Row],[58F0]])*E$4/E$5+E$6,0)</f>
        <v>72</v>
      </c>
      <c r="M2027">
        <f>ROUND(HEX2DEC(_0811_173439[[#This Row],[5805]])*F$4/F$5+F$6,0)</f>
        <v>47</v>
      </c>
      <c r="N2027">
        <f>ROUND(HEX2DEC(_0811_173439[[#This Row],[58DD]])*G$4/G$5+G$6,2)</f>
        <v>-0.03</v>
      </c>
      <c r="P2027">
        <v>0</v>
      </c>
      <c r="Q2027">
        <v>39</v>
      </c>
      <c r="R2027">
        <v>30</v>
      </c>
      <c r="S2027">
        <v>72</v>
      </c>
      <c r="T2027">
        <v>47</v>
      </c>
      <c r="U2027">
        <v>-0.03</v>
      </c>
      <c r="W2027">
        <f>DataLog_T717420_Aug11_4_59_37pm[[#This Row],[RPM '[1/MIN']]]-Table3[[#This Row],[580C]]</f>
        <v>0</v>
      </c>
      <c r="X2027">
        <f>DataLog_T717420_Aug11_4_59_37pm[[#This Row],[OIL TEMP '[Â°C']]]-Table3[[#This Row],[4402]]</f>
        <v>0</v>
      </c>
      <c r="Y2027">
        <f>DataLog_T717420_Aug11_4_59_37pm[[#This Row],[INTAKE TEMP '[Â°C']]]-Table3[[#This Row],[580F]]</f>
        <v>0</v>
      </c>
      <c r="Z2027">
        <f>DataLog_T717420_Aug11_4_59_37pm[[#This Row],[HPFP PRES. '[BAR']]]-Table3[[#This Row],[58F0]]</f>
        <v>0</v>
      </c>
      <c r="AA2027">
        <f>DataLog_T717420_Aug11_4_59_37pm[[#This Row],[COOLANT TEMP '[Â°C']]]-Table3[[#This Row],[5805]]</f>
        <v>0</v>
      </c>
      <c r="AB2027">
        <f>DataLog_T717420_Aug11_4_59_37pm[[#This Row],[BOOST '[BAR']]]-Table3[[#This Row],[58DD]]</f>
        <v>0</v>
      </c>
    </row>
    <row r="2028" spans="2:28" x14ac:dyDescent="0.25">
      <c r="B2028" s="2" t="s">
        <v>23</v>
      </c>
      <c r="C2028" s="2" t="s">
        <v>410</v>
      </c>
      <c r="D2028" s="2" t="s">
        <v>151</v>
      </c>
      <c r="E2028" s="2" t="s">
        <v>231</v>
      </c>
      <c r="F2028" s="2" t="s">
        <v>409</v>
      </c>
      <c r="G2028" s="2" t="s">
        <v>28</v>
      </c>
      <c r="I2028">
        <f>HEX2DEC(_0811_173439[[#This Row],[580C]])*B$4/B$5+B$6</f>
        <v>0</v>
      </c>
      <c r="J2028">
        <f>HEX2DEC(_0811_173439[[#This Row],[4402]])*C$4/C$5+C$6</f>
        <v>39</v>
      </c>
      <c r="K2028">
        <f>HEX2DEC(_0811_173439[[#This Row],[580F]])*D$4/D$5+D$6</f>
        <v>30</v>
      </c>
      <c r="L2028">
        <f>ROUND(HEX2DEC(_0811_173439[[#This Row],[58F0]])*E$4/E$5+E$6,0)</f>
        <v>72</v>
      </c>
      <c r="M2028">
        <f>ROUND(HEX2DEC(_0811_173439[[#This Row],[5805]])*F$4/F$5+F$6,0)</f>
        <v>47</v>
      </c>
      <c r="N2028">
        <f>ROUND(HEX2DEC(_0811_173439[[#This Row],[58DD]])*G$4/G$5+G$6,2)</f>
        <v>-0.02</v>
      </c>
      <c r="P2028">
        <v>0</v>
      </c>
      <c r="Q2028">
        <v>39</v>
      </c>
      <c r="R2028">
        <v>30</v>
      </c>
      <c r="S2028">
        <v>72</v>
      </c>
      <c r="T2028">
        <v>47</v>
      </c>
      <c r="U2028">
        <v>-0.02</v>
      </c>
      <c r="W2028">
        <f>DataLog_T717420_Aug11_4_59_37pm[[#This Row],[RPM '[1/MIN']]]-Table3[[#This Row],[580C]]</f>
        <v>0</v>
      </c>
      <c r="X2028">
        <f>DataLog_T717420_Aug11_4_59_37pm[[#This Row],[OIL TEMP '[Â°C']]]-Table3[[#This Row],[4402]]</f>
        <v>0</v>
      </c>
      <c r="Y2028">
        <f>DataLog_T717420_Aug11_4_59_37pm[[#This Row],[INTAKE TEMP '[Â°C']]]-Table3[[#This Row],[580F]]</f>
        <v>0</v>
      </c>
      <c r="Z2028">
        <f>DataLog_T717420_Aug11_4_59_37pm[[#This Row],[HPFP PRES. '[BAR']]]-Table3[[#This Row],[58F0]]</f>
        <v>0</v>
      </c>
      <c r="AA2028">
        <f>DataLog_T717420_Aug11_4_59_37pm[[#This Row],[COOLANT TEMP '[Â°C']]]-Table3[[#This Row],[5805]]</f>
        <v>0</v>
      </c>
      <c r="AB2028">
        <f>DataLog_T717420_Aug11_4_59_37pm[[#This Row],[BOOST '[BAR']]]-Table3[[#This Row],[58DD]]</f>
        <v>0</v>
      </c>
    </row>
    <row r="2029" spans="2:28" x14ac:dyDescent="0.25">
      <c r="B2029" s="2" t="s">
        <v>23</v>
      </c>
      <c r="C2029" s="2" t="s">
        <v>410</v>
      </c>
      <c r="D2029" s="2" t="s">
        <v>151</v>
      </c>
      <c r="E2029" s="2" t="s">
        <v>231</v>
      </c>
      <c r="F2029" s="2" t="s">
        <v>409</v>
      </c>
      <c r="G2029" s="2" t="s">
        <v>27</v>
      </c>
      <c r="I2029">
        <f>HEX2DEC(_0811_173439[[#This Row],[580C]])*B$4/B$5+B$6</f>
        <v>0</v>
      </c>
      <c r="J2029">
        <f>HEX2DEC(_0811_173439[[#This Row],[4402]])*C$4/C$5+C$6</f>
        <v>39</v>
      </c>
      <c r="K2029">
        <f>HEX2DEC(_0811_173439[[#This Row],[580F]])*D$4/D$5+D$6</f>
        <v>30</v>
      </c>
      <c r="L2029">
        <f>ROUND(HEX2DEC(_0811_173439[[#This Row],[58F0]])*E$4/E$5+E$6,0)</f>
        <v>72</v>
      </c>
      <c r="M2029">
        <f>ROUND(HEX2DEC(_0811_173439[[#This Row],[5805]])*F$4/F$5+F$6,0)</f>
        <v>47</v>
      </c>
      <c r="N2029">
        <f>ROUND(HEX2DEC(_0811_173439[[#This Row],[58DD]])*G$4/G$5+G$6,2)</f>
        <v>-0.03</v>
      </c>
      <c r="P2029">
        <v>0</v>
      </c>
      <c r="Q2029">
        <v>39</v>
      </c>
      <c r="R2029">
        <v>30</v>
      </c>
      <c r="S2029">
        <v>72</v>
      </c>
      <c r="T2029">
        <v>47</v>
      </c>
      <c r="U2029">
        <v>-0.03</v>
      </c>
      <c r="W2029">
        <f>DataLog_T717420_Aug11_4_59_37pm[[#This Row],[RPM '[1/MIN']]]-Table3[[#This Row],[580C]]</f>
        <v>0</v>
      </c>
      <c r="X2029">
        <f>DataLog_T717420_Aug11_4_59_37pm[[#This Row],[OIL TEMP '[Â°C']]]-Table3[[#This Row],[4402]]</f>
        <v>0</v>
      </c>
      <c r="Y2029">
        <f>DataLog_T717420_Aug11_4_59_37pm[[#This Row],[INTAKE TEMP '[Â°C']]]-Table3[[#This Row],[580F]]</f>
        <v>0</v>
      </c>
      <c r="Z2029">
        <f>DataLog_T717420_Aug11_4_59_37pm[[#This Row],[HPFP PRES. '[BAR']]]-Table3[[#This Row],[58F0]]</f>
        <v>0</v>
      </c>
      <c r="AA2029">
        <f>DataLog_T717420_Aug11_4_59_37pm[[#This Row],[COOLANT TEMP '[Â°C']]]-Table3[[#This Row],[5805]]</f>
        <v>0</v>
      </c>
      <c r="AB2029">
        <f>DataLog_T717420_Aug11_4_59_37pm[[#This Row],[BOOST '[BAR']]]-Table3[[#This Row],[58DD]]</f>
        <v>0</v>
      </c>
    </row>
    <row r="2030" spans="2:28" x14ac:dyDescent="0.25">
      <c r="B2030" s="2" t="s">
        <v>23</v>
      </c>
      <c r="C2030" s="2" t="s">
        <v>410</v>
      </c>
      <c r="D2030" s="2" t="s">
        <v>151</v>
      </c>
      <c r="E2030" s="2" t="s">
        <v>231</v>
      </c>
      <c r="F2030" s="2" t="s">
        <v>409</v>
      </c>
      <c r="G2030" s="2" t="s">
        <v>27</v>
      </c>
      <c r="I2030">
        <f>HEX2DEC(_0811_173439[[#This Row],[580C]])*B$4/B$5+B$6</f>
        <v>0</v>
      </c>
      <c r="J2030">
        <f>HEX2DEC(_0811_173439[[#This Row],[4402]])*C$4/C$5+C$6</f>
        <v>39</v>
      </c>
      <c r="K2030">
        <f>HEX2DEC(_0811_173439[[#This Row],[580F]])*D$4/D$5+D$6</f>
        <v>30</v>
      </c>
      <c r="L2030">
        <f>ROUND(HEX2DEC(_0811_173439[[#This Row],[58F0]])*E$4/E$5+E$6,0)</f>
        <v>72</v>
      </c>
      <c r="M2030">
        <f>ROUND(HEX2DEC(_0811_173439[[#This Row],[5805]])*F$4/F$5+F$6,0)</f>
        <v>47</v>
      </c>
      <c r="N2030">
        <f>ROUND(HEX2DEC(_0811_173439[[#This Row],[58DD]])*G$4/G$5+G$6,2)</f>
        <v>-0.03</v>
      </c>
      <c r="P2030">
        <v>0</v>
      </c>
      <c r="Q2030">
        <v>39</v>
      </c>
      <c r="R2030">
        <v>30</v>
      </c>
      <c r="S2030">
        <v>72</v>
      </c>
      <c r="T2030">
        <v>47</v>
      </c>
      <c r="U2030">
        <v>-0.03</v>
      </c>
      <c r="W2030">
        <f>DataLog_T717420_Aug11_4_59_37pm[[#This Row],[RPM '[1/MIN']]]-Table3[[#This Row],[580C]]</f>
        <v>0</v>
      </c>
      <c r="X2030">
        <f>DataLog_T717420_Aug11_4_59_37pm[[#This Row],[OIL TEMP '[Â°C']]]-Table3[[#This Row],[4402]]</f>
        <v>0</v>
      </c>
      <c r="Y2030">
        <f>DataLog_T717420_Aug11_4_59_37pm[[#This Row],[INTAKE TEMP '[Â°C']]]-Table3[[#This Row],[580F]]</f>
        <v>0</v>
      </c>
      <c r="Z2030">
        <f>DataLog_T717420_Aug11_4_59_37pm[[#This Row],[HPFP PRES. '[BAR']]]-Table3[[#This Row],[58F0]]</f>
        <v>0</v>
      </c>
      <c r="AA2030">
        <f>DataLog_T717420_Aug11_4_59_37pm[[#This Row],[COOLANT TEMP '[Â°C']]]-Table3[[#This Row],[5805]]</f>
        <v>0</v>
      </c>
      <c r="AB2030">
        <f>DataLog_T717420_Aug11_4_59_37pm[[#This Row],[BOOST '[BAR']]]-Table3[[#This Row],[58DD]]</f>
        <v>0</v>
      </c>
    </row>
    <row r="2031" spans="2:28" x14ac:dyDescent="0.25">
      <c r="B2031" s="2" t="s">
        <v>23</v>
      </c>
      <c r="C2031" s="2" t="s">
        <v>410</v>
      </c>
      <c r="D2031" s="2" t="s">
        <v>151</v>
      </c>
      <c r="E2031" s="2" t="s">
        <v>231</v>
      </c>
      <c r="F2031" s="2" t="s">
        <v>409</v>
      </c>
      <c r="G2031" s="2" t="s">
        <v>28</v>
      </c>
      <c r="I2031">
        <f>HEX2DEC(_0811_173439[[#This Row],[580C]])*B$4/B$5+B$6</f>
        <v>0</v>
      </c>
      <c r="J2031">
        <f>HEX2DEC(_0811_173439[[#This Row],[4402]])*C$4/C$5+C$6</f>
        <v>39</v>
      </c>
      <c r="K2031">
        <f>HEX2DEC(_0811_173439[[#This Row],[580F]])*D$4/D$5+D$6</f>
        <v>30</v>
      </c>
      <c r="L2031">
        <f>ROUND(HEX2DEC(_0811_173439[[#This Row],[58F0]])*E$4/E$5+E$6,0)</f>
        <v>72</v>
      </c>
      <c r="M2031">
        <f>ROUND(HEX2DEC(_0811_173439[[#This Row],[5805]])*F$4/F$5+F$6,0)</f>
        <v>47</v>
      </c>
      <c r="N2031">
        <f>ROUND(HEX2DEC(_0811_173439[[#This Row],[58DD]])*G$4/G$5+G$6,2)</f>
        <v>-0.02</v>
      </c>
      <c r="P2031">
        <v>0</v>
      </c>
      <c r="Q2031">
        <v>39</v>
      </c>
      <c r="R2031">
        <v>30</v>
      </c>
      <c r="S2031">
        <v>72</v>
      </c>
      <c r="T2031">
        <v>47</v>
      </c>
      <c r="U2031">
        <v>-0.02</v>
      </c>
      <c r="W2031">
        <f>DataLog_T717420_Aug11_4_59_37pm[[#This Row],[RPM '[1/MIN']]]-Table3[[#This Row],[580C]]</f>
        <v>0</v>
      </c>
      <c r="X2031">
        <f>DataLog_T717420_Aug11_4_59_37pm[[#This Row],[OIL TEMP '[Â°C']]]-Table3[[#This Row],[4402]]</f>
        <v>0</v>
      </c>
      <c r="Y2031">
        <f>DataLog_T717420_Aug11_4_59_37pm[[#This Row],[INTAKE TEMP '[Â°C']]]-Table3[[#This Row],[580F]]</f>
        <v>0</v>
      </c>
      <c r="Z2031">
        <f>DataLog_T717420_Aug11_4_59_37pm[[#This Row],[HPFP PRES. '[BAR']]]-Table3[[#This Row],[58F0]]</f>
        <v>0</v>
      </c>
      <c r="AA2031">
        <f>DataLog_T717420_Aug11_4_59_37pm[[#This Row],[COOLANT TEMP '[Â°C']]]-Table3[[#This Row],[5805]]</f>
        <v>0</v>
      </c>
      <c r="AB2031">
        <f>DataLog_T717420_Aug11_4_59_37pm[[#This Row],[BOOST '[BAR']]]-Table3[[#This Row],[58DD]]</f>
        <v>0</v>
      </c>
    </row>
    <row r="2032" spans="2:28" x14ac:dyDescent="0.25">
      <c r="B2032" s="2" t="s">
        <v>23</v>
      </c>
      <c r="C2032" s="2" t="s">
        <v>410</v>
      </c>
      <c r="D2032" s="2" t="s">
        <v>151</v>
      </c>
      <c r="E2032" s="2" t="s">
        <v>231</v>
      </c>
      <c r="F2032" s="2" t="s">
        <v>409</v>
      </c>
      <c r="G2032" s="2" t="s">
        <v>27</v>
      </c>
      <c r="I2032">
        <f>HEX2DEC(_0811_173439[[#This Row],[580C]])*B$4/B$5+B$6</f>
        <v>0</v>
      </c>
      <c r="J2032">
        <f>HEX2DEC(_0811_173439[[#This Row],[4402]])*C$4/C$5+C$6</f>
        <v>39</v>
      </c>
      <c r="K2032">
        <f>HEX2DEC(_0811_173439[[#This Row],[580F]])*D$4/D$5+D$6</f>
        <v>30</v>
      </c>
      <c r="L2032">
        <f>ROUND(HEX2DEC(_0811_173439[[#This Row],[58F0]])*E$4/E$5+E$6,0)</f>
        <v>72</v>
      </c>
      <c r="M2032">
        <f>ROUND(HEX2DEC(_0811_173439[[#This Row],[5805]])*F$4/F$5+F$6,0)</f>
        <v>47</v>
      </c>
      <c r="N2032">
        <f>ROUND(HEX2DEC(_0811_173439[[#This Row],[58DD]])*G$4/G$5+G$6,2)</f>
        <v>-0.03</v>
      </c>
      <c r="P2032">
        <v>0</v>
      </c>
      <c r="Q2032">
        <v>39</v>
      </c>
      <c r="R2032">
        <v>30</v>
      </c>
      <c r="S2032">
        <v>72</v>
      </c>
      <c r="T2032">
        <v>47</v>
      </c>
      <c r="U2032">
        <v>-0.03</v>
      </c>
      <c r="W2032">
        <f>DataLog_T717420_Aug11_4_59_37pm[[#This Row],[RPM '[1/MIN']]]-Table3[[#This Row],[580C]]</f>
        <v>0</v>
      </c>
      <c r="X2032">
        <f>DataLog_T717420_Aug11_4_59_37pm[[#This Row],[OIL TEMP '[Â°C']]]-Table3[[#This Row],[4402]]</f>
        <v>0</v>
      </c>
      <c r="Y2032">
        <f>DataLog_T717420_Aug11_4_59_37pm[[#This Row],[INTAKE TEMP '[Â°C']]]-Table3[[#This Row],[580F]]</f>
        <v>0</v>
      </c>
      <c r="Z2032">
        <f>DataLog_T717420_Aug11_4_59_37pm[[#This Row],[HPFP PRES. '[BAR']]]-Table3[[#This Row],[58F0]]</f>
        <v>0</v>
      </c>
      <c r="AA2032">
        <f>DataLog_T717420_Aug11_4_59_37pm[[#This Row],[COOLANT TEMP '[Â°C']]]-Table3[[#This Row],[5805]]</f>
        <v>0</v>
      </c>
      <c r="AB2032">
        <f>DataLog_T717420_Aug11_4_59_37pm[[#This Row],[BOOST '[BAR']]]-Table3[[#This Row],[58DD]]</f>
        <v>0</v>
      </c>
    </row>
    <row r="2033" spans="2:28" x14ac:dyDescent="0.25">
      <c r="B2033" s="2" t="s">
        <v>23</v>
      </c>
      <c r="C2033" s="2" t="s">
        <v>410</v>
      </c>
      <c r="D2033" s="2" t="s">
        <v>151</v>
      </c>
      <c r="E2033" s="2" t="s">
        <v>231</v>
      </c>
      <c r="F2033" s="2" t="s">
        <v>409</v>
      </c>
      <c r="G2033" s="2" t="s">
        <v>28</v>
      </c>
      <c r="I2033">
        <f>HEX2DEC(_0811_173439[[#This Row],[580C]])*B$4/B$5+B$6</f>
        <v>0</v>
      </c>
      <c r="J2033">
        <f>HEX2DEC(_0811_173439[[#This Row],[4402]])*C$4/C$5+C$6</f>
        <v>39</v>
      </c>
      <c r="K2033">
        <f>HEX2DEC(_0811_173439[[#This Row],[580F]])*D$4/D$5+D$6</f>
        <v>30</v>
      </c>
      <c r="L2033">
        <f>ROUND(HEX2DEC(_0811_173439[[#This Row],[58F0]])*E$4/E$5+E$6,0)</f>
        <v>72</v>
      </c>
      <c r="M2033">
        <f>ROUND(HEX2DEC(_0811_173439[[#This Row],[5805]])*F$4/F$5+F$6,0)</f>
        <v>47</v>
      </c>
      <c r="N2033">
        <f>ROUND(HEX2DEC(_0811_173439[[#This Row],[58DD]])*G$4/G$5+G$6,2)</f>
        <v>-0.02</v>
      </c>
      <c r="P2033">
        <v>0</v>
      </c>
      <c r="Q2033">
        <v>39</v>
      </c>
      <c r="R2033">
        <v>30</v>
      </c>
      <c r="S2033">
        <v>72</v>
      </c>
      <c r="T2033">
        <v>47</v>
      </c>
      <c r="U2033">
        <v>-0.02</v>
      </c>
      <c r="W2033">
        <f>DataLog_T717420_Aug11_4_59_37pm[[#This Row],[RPM '[1/MIN']]]-Table3[[#This Row],[580C]]</f>
        <v>0</v>
      </c>
      <c r="X2033">
        <f>DataLog_T717420_Aug11_4_59_37pm[[#This Row],[OIL TEMP '[Â°C']]]-Table3[[#This Row],[4402]]</f>
        <v>0</v>
      </c>
      <c r="Y2033">
        <f>DataLog_T717420_Aug11_4_59_37pm[[#This Row],[INTAKE TEMP '[Â°C']]]-Table3[[#This Row],[580F]]</f>
        <v>0</v>
      </c>
      <c r="Z2033">
        <f>DataLog_T717420_Aug11_4_59_37pm[[#This Row],[HPFP PRES. '[BAR']]]-Table3[[#This Row],[58F0]]</f>
        <v>0</v>
      </c>
      <c r="AA2033">
        <f>DataLog_T717420_Aug11_4_59_37pm[[#This Row],[COOLANT TEMP '[Â°C']]]-Table3[[#This Row],[5805]]</f>
        <v>0</v>
      </c>
      <c r="AB2033">
        <f>DataLog_T717420_Aug11_4_59_37pm[[#This Row],[BOOST '[BAR']]]-Table3[[#This Row],[58DD]]</f>
        <v>0</v>
      </c>
    </row>
    <row r="2034" spans="2:28" x14ac:dyDescent="0.25">
      <c r="B2034" s="2" t="s">
        <v>23</v>
      </c>
      <c r="C2034" s="2" t="s">
        <v>410</v>
      </c>
      <c r="D2034" s="2" t="s">
        <v>151</v>
      </c>
      <c r="E2034" s="2" t="s">
        <v>231</v>
      </c>
      <c r="F2034" s="2" t="s">
        <v>409</v>
      </c>
      <c r="G2034" s="2" t="s">
        <v>27</v>
      </c>
      <c r="I2034">
        <f>HEX2DEC(_0811_173439[[#This Row],[580C]])*B$4/B$5+B$6</f>
        <v>0</v>
      </c>
      <c r="J2034">
        <f>HEX2DEC(_0811_173439[[#This Row],[4402]])*C$4/C$5+C$6</f>
        <v>39</v>
      </c>
      <c r="K2034">
        <f>HEX2DEC(_0811_173439[[#This Row],[580F]])*D$4/D$5+D$6</f>
        <v>30</v>
      </c>
      <c r="L2034">
        <f>ROUND(HEX2DEC(_0811_173439[[#This Row],[58F0]])*E$4/E$5+E$6,0)</f>
        <v>72</v>
      </c>
      <c r="M2034">
        <f>ROUND(HEX2DEC(_0811_173439[[#This Row],[5805]])*F$4/F$5+F$6,0)</f>
        <v>47</v>
      </c>
      <c r="N2034">
        <f>ROUND(HEX2DEC(_0811_173439[[#This Row],[58DD]])*G$4/G$5+G$6,2)</f>
        <v>-0.03</v>
      </c>
      <c r="P2034">
        <v>0</v>
      </c>
      <c r="Q2034">
        <v>39</v>
      </c>
      <c r="R2034">
        <v>30</v>
      </c>
      <c r="S2034">
        <v>72</v>
      </c>
      <c r="T2034">
        <v>47</v>
      </c>
      <c r="U2034">
        <v>-0.03</v>
      </c>
      <c r="W2034">
        <f>DataLog_T717420_Aug11_4_59_37pm[[#This Row],[RPM '[1/MIN']]]-Table3[[#This Row],[580C]]</f>
        <v>0</v>
      </c>
      <c r="X2034">
        <f>DataLog_T717420_Aug11_4_59_37pm[[#This Row],[OIL TEMP '[Â°C']]]-Table3[[#This Row],[4402]]</f>
        <v>0</v>
      </c>
      <c r="Y2034">
        <f>DataLog_T717420_Aug11_4_59_37pm[[#This Row],[INTAKE TEMP '[Â°C']]]-Table3[[#This Row],[580F]]</f>
        <v>0</v>
      </c>
      <c r="Z2034">
        <f>DataLog_T717420_Aug11_4_59_37pm[[#This Row],[HPFP PRES. '[BAR']]]-Table3[[#This Row],[58F0]]</f>
        <v>0</v>
      </c>
      <c r="AA2034">
        <f>DataLog_T717420_Aug11_4_59_37pm[[#This Row],[COOLANT TEMP '[Â°C']]]-Table3[[#This Row],[5805]]</f>
        <v>0</v>
      </c>
      <c r="AB2034">
        <f>DataLog_T717420_Aug11_4_59_37pm[[#This Row],[BOOST '[BAR']]]-Table3[[#This Row],[58DD]]</f>
        <v>0</v>
      </c>
    </row>
    <row r="2035" spans="2:28" x14ac:dyDescent="0.25">
      <c r="B2035" s="2" t="s">
        <v>23</v>
      </c>
      <c r="C2035" s="2" t="s">
        <v>410</v>
      </c>
      <c r="D2035" s="2" t="s">
        <v>151</v>
      </c>
      <c r="E2035" s="2" t="s">
        <v>231</v>
      </c>
      <c r="F2035" s="2" t="s">
        <v>409</v>
      </c>
      <c r="G2035" s="2" t="s">
        <v>28</v>
      </c>
      <c r="I2035">
        <f>HEX2DEC(_0811_173439[[#This Row],[580C]])*B$4/B$5+B$6</f>
        <v>0</v>
      </c>
      <c r="J2035">
        <f>HEX2DEC(_0811_173439[[#This Row],[4402]])*C$4/C$5+C$6</f>
        <v>39</v>
      </c>
      <c r="K2035">
        <f>HEX2DEC(_0811_173439[[#This Row],[580F]])*D$4/D$5+D$6</f>
        <v>30</v>
      </c>
      <c r="L2035">
        <f>ROUND(HEX2DEC(_0811_173439[[#This Row],[58F0]])*E$4/E$5+E$6,0)</f>
        <v>72</v>
      </c>
      <c r="M2035">
        <f>ROUND(HEX2DEC(_0811_173439[[#This Row],[5805]])*F$4/F$5+F$6,0)</f>
        <v>47</v>
      </c>
      <c r="N2035">
        <f>ROUND(HEX2DEC(_0811_173439[[#This Row],[58DD]])*G$4/G$5+G$6,2)</f>
        <v>-0.02</v>
      </c>
      <c r="P2035">
        <v>0</v>
      </c>
      <c r="Q2035">
        <v>39</v>
      </c>
      <c r="R2035">
        <v>30</v>
      </c>
      <c r="S2035">
        <v>72</v>
      </c>
      <c r="T2035">
        <v>47</v>
      </c>
      <c r="U2035">
        <v>-0.02</v>
      </c>
      <c r="W2035">
        <f>DataLog_T717420_Aug11_4_59_37pm[[#This Row],[RPM '[1/MIN']]]-Table3[[#This Row],[580C]]</f>
        <v>0</v>
      </c>
      <c r="X2035">
        <f>DataLog_T717420_Aug11_4_59_37pm[[#This Row],[OIL TEMP '[Â°C']]]-Table3[[#This Row],[4402]]</f>
        <v>0</v>
      </c>
      <c r="Y2035">
        <f>DataLog_T717420_Aug11_4_59_37pm[[#This Row],[INTAKE TEMP '[Â°C']]]-Table3[[#This Row],[580F]]</f>
        <v>0</v>
      </c>
      <c r="Z2035">
        <f>DataLog_T717420_Aug11_4_59_37pm[[#This Row],[HPFP PRES. '[BAR']]]-Table3[[#This Row],[58F0]]</f>
        <v>0</v>
      </c>
      <c r="AA2035">
        <f>DataLog_T717420_Aug11_4_59_37pm[[#This Row],[COOLANT TEMP '[Â°C']]]-Table3[[#This Row],[5805]]</f>
        <v>0</v>
      </c>
      <c r="AB2035">
        <f>DataLog_T717420_Aug11_4_59_37pm[[#This Row],[BOOST '[BAR']]]-Table3[[#This Row],[58DD]]</f>
        <v>0</v>
      </c>
    </row>
    <row r="2036" spans="2:28" x14ac:dyDescent="0.25">
      <c r="B2036" s="2" t="s">
        <v>23</v>
      </c>
      <c r="C2036" s="2" t="s">
        <v>410</v>
      </c>
      <c r="D2036" s="2" t="s">
        <v>151</v>
      </c>
      <c r="E2036" s="2" t="s">
        <v>231</v>
      </c>
      <c r="F2036" s="2" t="s">
        <v>409</v>
      </c>
      <c r="G2036" s="2" t="s">
        <v>27</v>
      </c>
      <c r="I2036">
        <f>HEX2DEC(_0811_173439[[#This Row],[580C]])*B$4/B$5+B$6</f>
        <v>0</v>
      </c>
      <c r="J2036">
        <f>HEX2DEC(_0811_173439[[#This Row],[4402]])*C$4/C$5+C$6</f>
        <v>39</v>
      </c>
      <c r="K2036">
        <f>HEX2DEC(_0811_173439[[#This Row],[580F]])*D$4/D$5+D$6</f>
        <v>30</v>
      </c>
      <c r="L2036">
        <f>ROUND(HEX2DEC(_0811_173439[[#This Row],[58F0]])*E$4/E$5+E$6,0)</f>
        <v>72</v>
      </c>
      <c r="M2036">
        <f>ROUND(HEX2DEC(_0811_173439[[#This Row],[5805]])*F$4/F$5+F$6,0)</f>
        <v>47</v>
      </c>
      <c r="N2036">
        <f>ROUND(HEX2DEC(_0811_173439[[#This Row],[58DD]])*G$4/G$5+G$6,2)</f>
        <v>-0.03</v>
      </c>
      <c r="P2036">
        <v>0</v>
      </c>
      <c r="Q2036">
        <v>39</v>
      </c>
      <c r="R2036">
        <v>30</v>
      </c>
      <c r="S2036">
        <v>72</v>
      </c>
      <c r="T2036">
        <v>47</v>
      </c>
      <c r="U2036">
        <v>-0.03</v>
      </c>
      <c r="W2036">
        <f>DataLog_T717420_Aug11_4_59_37pm[[#This Row],[RPM '[1/MIN']]]-Table3[[#This Row],[580C]]</f>
        <v>0</v>
      </c>
      <c r="X2036">
        <f>DataLog_T717420_Aug11_4_59_37pm[[#This Row],[OIL TEMP '[Â°C']]]-Table3[[#This Row],[4402]]</f>
        <v>0</v>
      </c>
      <c r="Y2036">
        <f>DataLog_T717420_Aug11_4_59_37pm[[#This Row],[INTAKE TEMP '[Â°C']]]-Table3[[#This Row],[580F]]</f>
        <v>0</v>
      </c>
      <c r="Z2036">
        <f>DataLog_T717420_Aug11_4_59_37pm[[#This Row],[HPFP PRES. '[BAR']]]-Table3[[#This Row],[58F0]]</f>
        <v>0</v>
      </c>
      <c r="AA2036">
        <f>DataLog_T717420_Aug11_4_59_37pm[[#This Row],[COOLANT TEMP '[Â°C']]]-Table3[[#This Row],[5805]]</f>
        <v>0</v>
      </c>
      <c r="AB2036">
        <f>DataLog_T717420_Aug11_4_59_37pm[[#This Row],[BOOST '[BAR']]]-Table3[[#This Row],[58DD]]</f>
        <v>0</v>
      </c>
    </row>
    <row r="2037" spans="2:28" x14ac:dyDescent="0.25">
      <c r="B2037" s="2" t="s">
        <v>23</v>
      </c>
      <c r="C2037" s="2" t="s">
        <v>410</v>
      </c>
      <c r="D2037" s="2" t="s">
        <v>151</v>
      </c>
      <c r="E2037" s="2" t="s">
        <v>231</v>
      </c>
      <c r="F2037" s="2" t="s">
        <v>409</v>
      </c>
      <c r="G2037" s="2" t="s">
        <v>27</v>
      </c>
      <c r="I2037">
        <f>HEX2DEC(_0811_173439[[#This Row],[580C]])*B$4/B$5+B$6</f>
        <v>0</v>
      </c>
      <c r="J2037">
        <f>HEX2DEC(_0811_173439[[#This Row],[4402]])*C$4/C$5+C$6</f>
        <v>39</v>
      </c>
      <c r="K2037">
        <f>HEX2DEC(_0811_173439[[#This Row],[580F]])*D$4/D$5+D$6</f>
        <v>30</v>
      </c>
      <c r="L2037">
        <f>ROUND(HEX2DEC(_0811_173439[[#This Row],[58F0]])*E$4/E$5+E$6,0)</f>
        <v>72</v>
      </c>
      <c r="M2037">
        <f>ROUND(HEX2DEC(_0811_173439[[#This Row],[5805]])*F$4/F$5+F$6,0)</f>
        <v>47</v>
      </c>
      <c r="N2037">
        <f>ROUND(HEX2DEC(_0811_173439[[#This Row],[58DD]])*G$4/G$5+G$6,2)</f>
        <v>-0.03</v>
      </c>
      <c r="P2037">
        <v>0</v>
      </c>
      <c r="Q2037">
        <v>39</v>
      </c>
      <c r="R2037">
        <v>30</v>
      </c>
      <c r="S2037">
        <v>72</v>
      </c>
      <c r="T2037">
        <v>47</v>
      </c>
      <c r="U2037">
        <v>-0.03</v>
      </c>
      <c r="W2037">
        <f>DataLog_T717420_Aug11_4_59_37pm[[#This Row],[RPM '[1/MIN']]]-Table3[[#This Row],[580C]]</f>
        <v>0</v>
      </c>
      <c r="X2037">
        <f>DataLog_T717420_Aug11_4_59_37pm[[#This Row],[OIL TEMP '[Â°C']]]-Table3[[#This Row],[4402]]</f>
        <v>0</v>
      </c>
      <c r="Y2037">
        <f>DataLog_T717420_Aug11_4_59_37pm[[#This Row],[INTAKE TEMP '[Â°C']]]-Table3[[#This Row],[580F]]</f>
        <v>0</v>
      </c>
      <c r="Z2037">
        <f>DataLog_T717420_Aug11_4_59_37pm[[#This Row],[HPFP PRES. '[BAR']]]-Table3[[#This Row],[58F0]]</f>
        <v>0</v>
      </c>
      <c r="AA2037">
        <f>DataLog_T717420_Aug11_4_59_37pm[[#This Row],[COOLANT TEMP '[Â°C']]]-Table3[[#This Row],[5805]]</f>
        <v>0</v>
      </c>
      <c r="AB2037">
        <f>DataLog_T717420_Aug11_4_59_37pm[[#This Row],[BOOST '[BAR']]]-Table3[[#This Row],[58DD]]</f>
        <v>0</v>
      </c>
    </row>
    <row r="2038" spans="2:28" x14ac:dyDescent="0.25">
      <c r="B2038" s="2" t="s">
        <v>23</v>
      </c>
      <c r="C2038" s="2" t="s">
        <v>410</v>
      </c>
      <c r="D2038" s="2" t="s">
        <v>151</v>
      </c>
      <c r="E2038" s="2" t="s">
        <v>231</v>
      </c>
      <c r="F2038" s="2" t="s">
        <v>409</v>
      </c>
      <c r="G2038" s="2" t="s">
        <v>28</v>
      </c>
      <c r="I2038">
        <f>HEX2DEC(_0811_173439[[#This Row],[580C]])*B$4/B$5+B$6</f>
        <v>0</v>
      </c>
      <c r="J2038">
        <f>HEX2DEC(_0811_173439[[#This Row],[4402]])*C$4/C$5+C$6</f>
        <v>39</v>
      </c>
      <c r="K2038">
        <f>HEX2DEC(_0811_173439[[#This Row],[580F]])*D$4/D$5+D$6</f>
        <v>30</v>
      </c>
      <c r="L2038">
        <f>ROUND(HEX2DEC(_0811_173439[[#This Row],[58F0]])*E$4/E$5+E$6,0)</f>
        <v>72</v>
      </c>
      <c r="M2038">
        <f>ROUND(HEX2DEC(_0811_173439[[#This Row],[5805]])*F$4/F$5+F$6,0)</f>
        <v>47</v>
      </c>
      <c r="N2038">
        <f>ROUND(HEX2DEC(_0811_173439[[#This Row],[58DD]])*G$4/G$5+G$6,2)</f>
        <v>-0.02</v>
      </c>
      <c r="P2038">
        <v>0</v>
      </c>
      <c r="Q2038">
        <v>39</v>
      </c>
      <c r="R2038">
        <v>30</v>
      </c>
      <c r="S2038">
        <v>72</v>
      </c>
      <c r="T2038">
        <v>47</v>
      </c>
      <c r="U2038">
        <v>-0.02</v>
      </c>
      <c r="W2038">
        <f>DataLog_T717420_Aug11_4_59_37pm[[#This Row],[RPM '[1/MIN']]]-Table3[[#This Row],[580C]]</f>
        <v>0</v>
      </c>
      <c r="X2038">
        <f>DataLog_T717420_Aug11_4_59_37pm[[#This Row],[OIL TEMP '[Â°C']]]-Table3[[#This Row],[4402]]</f>
        <v>0</v>
      </c>
      <c r="Y2038">
        <f>DataLog_T717420_Aug11_4_59_37pm[[#This Row],[INTAKE TEMP '[Â°C']]]-Table3[[#This Row],[580F]]</f>
        <v>0</v>
      </c>
      <c r="Z2038">
        <f>DataLog_T717420_Aug11_4_59_37pm[[#This Row],[HPFP PRES. '[BAR']]]-Table3[[#This Row],[58F0]]</f>
        <v>0</v>
      </c>
      <c r="AA2038">
        <f>DataLog_T717420_Aug11_4_59_37pm[[#This Row],[COOLANT TEMP '[Â°C']]]-Table3[[#This Row],[5805]]</f>
        <v>0</v>
      </c>
      <c r="AB2038">
        <f>DataLog_T717420_Aug11_4_59_37pm[[#This Row],[BOOST '[BAR']]]-Table3[[#This Row],[58DD]]</f>
        <v>0</v>
      </c>
    </row>
    <row r="2039" spans="2:28" x14ac:dyDescent="0.25">
      <c r="B2039" s="2" t="s">
        <v>23</v>
      </c>
      <c r="C2039" s="2" t="s">
        <v>410</v>
      </c>
      <c r="D2039" s="2" t="s">
        <v>151</v>
      </c>
      <c r="E2039" s="2" t="s">
        <v>231</v>
      </c>
      <c r="F2039" s="2" t="s">
        <v>409</v>
      </c>
      <c r="G2039" s="2" t="s">
        <v>27</v>
      </c>
      <c r="I2039">
        <f>HEX2DEC(_0811_173439[[#This Row],[580C]])*B$4/B$5+B$6</f>
        <v>0</v>
      </c>
      <c r="J2039">
        <f>HEX2DEC(_0811_173439[[#This Row],[4402]])*C$4/C$5+C$6</f>
        <v>39</v>
      </c>
      <c r="K2039">
        <f>HEX2DEC(_0811_173439[[#This Row],[580F]])*D$4/D$5+D$6</f>
        <v>30</v>
      </c>
      <c r="L2039">
        <f>ROUND(HEX2DEC(_0811_173439[[#This Row],[58F0]])*E$4/E$5+E$6,0)</f>
        <v>72</v>
      </c>
      <c r="M2039">
        <f>ROUND(HEX2DEC(_0811_173439[[#This Row],[5805]])*F$4/F$5+F$6,0)</f>
        <v>47</v>
      </c>
      <c r="N2039">
        <f>ROUND(HEX2DEC(_0811_173439[[#This Row],[58DD]])*G$4/G$5+G$6,2)</f>
        <v>-0.03</v>
      </c>
      <c r="P2039">
        <v>0</v>
      </c>
      <c r="Q2039">
        <v>39</v>
      </c>
      <c r="R2039">
        <v>30</v>
      </c>
      <c r="S2039">
        <v>72</v>
      </c>
      <c r="T2039">
        <v>47</v>
      </c>
      <c r="U2039">
        <v>-0.03</v>
      </c>
      <c r="W2039">
        <f>DataLog_T717420_Aug11_4_59_37pm[[#This Row],[RPM '[1/MIN']]]-Table3[[#This Row],[580C]]</f>
        <v>0</v>
      </c>
      <c r="X2039">
        <f>DataLog_T717420_Aug11_4_59_37pm[[#This Row],[OIL TEMP '[Â°C']]]-Table3[[#This Row],[4402]]</f>
        <v>0</v>
      </c>
      <c r="Y2039">
        <f>DataLog_T717420_Aug11_4_59_37pm[[#This Row],[INTAKE TEMP '[Â°C']]]-Table3[[#This Row],[580F]]</f>
        <v>0</v>
      </c>
      <c r="Z2039">
        <f>DataLog_T717420_Aug11_4_59_37pm[[#This Row],[HPFP PRES. '[BAR']]]-Table3[[#This Row],[58F0]]</f>
        <v>0</v>
      </c>
      <c r="AA2039">
        <f>DataLog_T717420_Aug11_4_59_37pm[[#This Row],[COOLANT TEMP '[Â°C']]]-Table3[[#This Row],[5805]]</f>
        <v>0</v>
      </c>
      <c r="AB2039">
        <f>DataLog_T717420_Aug11_4_59_37pm[[#This Row],[BOOST '[BAR']]]-Table3[[#This Row],[58DD]]</f>
        <v>0</v>
      </c>
    </row>
    <row r="2040" spans="2:28" x14ac:dyDescent="0.25">
      <c r="B2040" s="2" t="s">
        <v>23</v>
      </c>
      <c r="C2040" s="2" t="s">
        <v>410</v>
      </c>
      <c r="D2040" s="2" t="s">
        <v>151</v>
      </c>
      <c r="E2040" s="2" t="s">
        <v>231</v>
      </c>
      <c r="F2040" s="2" t="s">
        <v>409</v>
      </c>
      <c r="G2040" s="2" t="s">
        <v>27</v>
      </c>
      <c r="I2040">
        <f>HEX2DEC(_0811_173439[[#This Row],[580C]])*B$4/B$5+B$6</f>
        <v>0</v>
      </c>
      <c r="J2040">
        <f>HEX2DEC(_0811_173439[[#This Row],[4402]])*C$4/C$5+C$6</f>
        <v>39</v>
      </c>
      <c r="K2040">
        <f>HEX2DEC(_0811_173439[[#This Row],[580F]])*D$4/D$5+D$6</f>
        <v>30</v>
      </c>
      <c r="L2040">
        <f>ROUND(HEX2DEC(_0811_173439[[#This Row],[58F0]])*E$4/E$5+E$6,0)</f>
        <v>72</v>
      </c>
      <c r="M2040">
        <f>ROUND(HEX2DEC(_0811_173439[[#This Row],[5805]])*F$4/F$5+F$6,0)</f>
        <v>47</v>
      </c>
      <c r="N2040">
        <f>ROUND(HEX2DEC(_0811_173439[[#This Row],[58DD]])*G$4/G$5+G$6,2)</f>
        <v>-0.03</v>
      </c>
      <c r="P2040">
        <v>0</v>
      </c>
      <c r="Q2040">
        <v>39</v>
      </c>
      <c r="R2040">
        <v>30</v>
      </c>
      <c r="S2040">
        <v>72</v>
      </c>
      <c r="T2040">
        <v>47</v>
      </c>
      <c r="U2040">
        <v>-0.03</v>
      </c>
      <c r="W2040">
        <f>DataLog_T717420_Aug11_4_59_37pm[[#This Row],[RPM '[1/MIN']]]-Table3[[#This Row],[580C]]</f>
        <v>0</v>
      </c>
      <c r="X2040">
        <f>DataLog_T717420_Aug11_4_59_37pm[[#This Row],[OIL TEMP '[Â°C']]]-Table3[[#This Row],[4402]]</f>
        <v>0</v>
      </c>
      <c r="Y2040">
        <f>DataLog_T717420_Aug11_4_59_37pm[[#This Row],[INTAKE TEMP '[Â°C']]]-Table3[[#This Row],[580F]]</f>
        <v>0</v>
      </c>
      <c r="Z2040">
        <f>DataLog_T717420_Aug11_4_59_37pm[[#This Row],[HPFP PRES. '[BAR']]]-Table3[[#This Row],[58F0]]</f>
        <v>0</v>
      </c>
      <c r="AA2040">
        <f>DataLog_T717420_Aug11_4_59_37pm[[#This Row],[COOLANT TEMP '[Â°C']]]-Table3[[#This Row],[5805]]</f>
        <v>0</v>
      </c>
      <c r="AB2040">
        <f>DataLog_T717420_Aug11_4_59_37pm[[#This Row],[BOOST '[BAR']]]-Table3[[#This Row],[58DD]]</f>
        <v>0</v>
      </c>
    </row>
    <row r="2041" spans="2:28" x14ac:dyDescent="0.25">
      <c r="B2041" s="2" t="s">
        <v>23</v>
      </c>
      <c r="C2041" s="2" t="s">
        <v>410</v>
      </c>
      <c r="D2041" s="2" t="s">
        <v>151</v>
      </c>
      <c r="E2041" s="2" t="s">
        <v>231</v>
      </c>
      <c r="F2041" s="2" t="s">
        <v>409</v>
      </c>
      <c r="G2041" s="2" t="s">
        <v>28</v>
      </c>
      <c r="I2041">
        <f>HEX2DEC(_0811_173439[[#This Row],[580C]])*B$4/B$5+B$6</f>
        <v>0</v>
      </c>
      <c r="J2041">
        <f>HEX2DEC(_0811_173439[[#This Row],[4402]])*C$4/C$5+C$6</f>
        <v>39</v>
      </c>
      <c r="K2041">
        <f>HEX2DEC(_0811_173439[[#This Row],[580F]])*D$4/D$5+D$6</f>
        <v>30</v>
      </c>
      <c r="L2041">
        <f>ROUND(HEX2DEC(_0811_173439[[#This Row],[58F0]])*E$4/E$5+E$6,0)</f>
        <v>72</v>
      </c>
      <c r="M2041">
        <f>ROUND(HEX2DEC(_0811_173439[[#This Row],[5805]])*F$4/F$5+F$6,0)</f>
        <v>47</v>
      </c>
      <c r="N2041">
        <f>ROUND(HEX2DEC(_0811_173439[[#This Row],[58DD]])*G$4/G$5+G$6,2)</f>
        <v>-0.02</v>
      </c>
      <c r="P2041">
        <v>0</v>
      </c>
      <c r="Q2041">
        <v>39</v>
      </c>
      <c r="R2041">
        <v>30</v>
      </c>
      <c r="S2041">
        <v>72</v>
      </c>
      <c r="T2041">
        <v>47</v>
      </c>
      <c r="U2041">
        <v>-0.02</v>
      </c>
      <c r="W2041">
        <f>DataLog_T717420_Aug11_4_59_37pm[[#This Row],[RPM '[1/MIN']]]-Table3[[#This Row],[580C]]</f>
        <v>0</v>
      </c>
      <c r="X2041">
        <f>DataLog_T717420_Aug11_4_59_37pm[[#This Row],[OIL TEMP '[Â°C']]]-Table3[[#This Row],[4402]]</f>
        <v>0</v>
      </c>
      <c r="Y2041">
        <f>DataLog_T717420_Aug11_4_59_37pm[[#This Row],[INTAKE TEMP '[Â°C']]]-Table3[[#This Row],[580F]]</f>
        <v>0</v>
      </c>
      <c r="Z2041">
        <f>DataLog_T717420_Aug11_4_59_37pm[[#This Row],[HPFP PRES. '[BAR']]]-Table3[[#This Row],[58F0]]</f>
        <v>0</v>
      </c>
      <c r="AA2041">
        <f>DataLog_T717420_Aug11_4_59_37pm[[#This Row],[COOLANT TEMP '[Â°C']]]-Table3[[#This Row],[5805]]</f>
        <v>0</v>
      </c>
      <c r="AB2041">
        <f>DataLog_T717420_Aug11_4_59_37pm[[#This Row],[BOOST '[BAR']]]-Table3[[#This Row],[58DD]]</f>
        <v>0</v>
      </c>
    </row>
    <row r="2042" spans="2:28" x14ac:dyDescent="0.25">
      <c r="B2042" s="2" t="s">
        <v>23</v>
      </c>
      <c r="C2042" s="2" t="s">
        <v>410</v>
      </c>
      <c r="D2042" s="2" t="s">
        <v>151</v>
      </c>
      <c r="E2042" s="2" t="s">
        <v>231</v>
      </c>
      <c r="F2042" s="2" t="s">
        <v>409</v>
      </c>
      <c r="G2042" s="2" t="s">
        <v>27</v>
      </c>
      <c r="I2042">
        <f>HEX2DEC(_0811_173439[[#This Row],[580C]])*B$4/B$5+B$6</f>
        <v>0</v>
      </c>
      <c r="J2042">
        <f>HEX2DEC(_0811_173439[[#This Row],[4402]])*C$4/C$5+C$6</f>
        <v>39</v>
      </c>
      <c r="K2042">
        <f>HEX2DEC(_0811_173439[[#This Row],[580F]])*D$4/D$5+D$6</f>
        <v>30</v>
      </c>
      <c r="L2042">
        <f>ROUND(HEX2DEC(_0811_173439[[#This Row],[58F0]])*E$4/E$5+E$6,0)</f>
        <v>72</v>
      </c>
      <c r="M2042">
        <f>ROUND(HEX2DEC(_0811_173439[[#This Row],[5805]])*F$4/F$5+F$6,0)</f>
        <v>47</v>
      </c>
      <c r="N2042">
        <f>ROUND(HEX2DEC(_0811_173439[[#This Row],[58DD]])*G$4/G$5+G$6,2)</f>
        <v>-0.03</v>
      </c>
      <c r="P2042">
        <v>0</v>
      </c>
      <c r="Q2042">
        <v>39</v>
      </c>
      <c r="R2042">
        <v>30</v>
      </c>
      <c r="S2042">
        <v>72</v>
      </c>
      <c r="T2042">
        <v>47</v>
      </c>
      <c r="U2042">
        <v>-0.03</v>
      </c>
      <c r="W2042">
        <f>DataLog_T717420_Aug11_4_59_37pm[[#This Row],[RPM '[1/MIN']]]-Table3[[#This Row],[580C]]</f>
        <v>0</v>
      </c>
      <c r="X2042">
        <f>DataLog_T717420_Aug11_4_59_37pm[[#This Row],[OIL TEMP '[Â°C']]]-Table3[[#This Row],[4402]]</f>
        <v>0</v>
      </c>
      <c r="Y2042">
        <f>DataLog_T717420_Aug11_4_59_37pm[[#This Row],[INTAKE TEMP '[Â°C']]]-Table3[[#This Row],[580F]]</f>
        <v>0</v>
      </c>
      <c r="Z2042">
        <f>DataLog_T717420_Aug11_4_59_37pm[[#This Row],[HPFP PRES. '[BAR']]]-Table3[[#This Row],[58F0]]</f>
        <v>0</v>
      </c>
      <c r="AA2042">
        <f>DataLog_T717420_Aug11_4_59_37pm[[#This Row],[COOLANT TEMP '[Â°C']]]-Table3[[#This Row],[5805]]</f>
        <v>0</v>
      </c>
      <c r="AB2042">
        <f>DataLog_T717420_Aug11_4_59_37pm[[#This Row],[BOOST '[BAR']]]-Table3[[#This Row],[58DD]]</f>
        <v>0</v>
      </c>
    </row>
    <row r="2043" spans="2:28" x14ac:dyDescent="0.25">
      <c r="B2043" s="2" t="s">
        <v>23</v>
      </c>
      <c r="C2043" s="2" t="s">
        <v>410</v>
      </c>
      <c r="D2043" s="2" t="s">
        <v>151</v>
      </c>
      <c r="E2043" s="2" t="s">
        <v>231</v>
      </c>
      <c r="F2043" s="2" t="s">
        <v>409</v>
      </c>
      <c r="G2043" s="2" t="s">
        <v>27</v>
      </c>
      <c r="I2043">
        <f>HEX2DEC(_0811_173439[[#This Row],[580C]])*B$4/B$5+B$6</f>
        <v>0</v>
      </c>
      <c r="J2043">
        <f>HEX2DEC(_0811_173439[[#This Row],[4402]])*C$4/C$5+C$6</f>
        <v>39</v>
      </c>
      <c r="K2043">
        <f>HEX2DEC(_0811_173439[[#This Row],[580F]])*D$4/D$5+D$6</f>
        <v>30</v>
      </c>
      <c r="L2043">
        <f>ROUND(HEX2DEC(_0811_173439[[#This Row],[58F0]])*E$4/E$5+E$6,0)</f>
        <v>72</v>
      </c>
      <c r="M2043">
        <f>ROUND(HEX2DEC(_0811_173439[[#This Row],[5805]])*F$4/F$5+F$6,0)</f>
        <v>47</v>
      </c>
      <c r="N2043">
        <f>ROUND(HEX2DEC(_0811_173439[[#This Row],[58DD]])*G$4/G$5+G$6,2)</f>
        <v>-0.03</v>
      </c>
      <c r="P2043">
        <v>0</v>
      </c>
      <c r="Q2043">
        <v>39</v>
      </c>
      <c r="R2043">
        <v>30</v>
      </c>
      <c r="S2043">
        <v>72</v>
      </c>
      <c r="T2043">
        <v>47</v>
      </c>
      <c r="U2043">
        <v>-0.03</v>
      </c>
      <c r="W2043">
        <f>DataLog_T717420_Aug11_4_59_37pm[[#This Row],[RPM '[1/MIN']]]-Table3[[#This Row],[580C]]</f>
        <v>0</v>
      </c>
      <c r="X2043">
        <f>DataLog_T717420_Aug11_4_59_37pm[[#This Row],[OIL TEMP '[Â°C']]]-Table3[[#This Row],[4402]]</f>
        <v>0</v>
      </c>
      <c r="Y2043">
        <f>DataLog_T717420_Aug11_4_59_37pm[[#This Row],[INTAKE TEMP '[Â°C']]]-Table3[[#This Row],[580F]]</f>
        <v>0</v>
      </c>
      <c r="Z2043">
        <f>DataLog_T717420_Aug11_4_59_37pm[[#This Row],[HPFP PRES. '[BAR']]]-Table3[[#This Row],[58F0]]</f>
        <v>0</v>
      </c>
      <c r="AA2043">
        <f>DataLog_T717420_Aug11_4_59_37pm[[#This Row],[COOLANT TEMP '[Â°C']]]-Table3[[#This Row],[5805]]</f>
        <v>0</v>
      </c>
      <c r="AB2043">
        <f>DataLog_T717420_Aug11_4_59_37pm[[#This Row],[BOOST '[BAR']]]-Table3[[#This Row],[58DD]]</f>
        <v>0</v>
      </c>
    </row>
    <row r="2044" spans="2:28" x14ac:dyDescent="0.25">
      <c r="B2044" s="2" t="s">
        <v>23</v>
      </c>
      <c r="C2044" s="2" t="s">
        <v>410</v>
      </c>
      <c r="D2044" s="2" t="s">
        <v>151</v>
      </c>
      <c r="E2044" s="2" t="s">
        <v>231</v>
      </c>
      <c r="F2044" s="2" t="s">
        <v>409</v>
      </c>
      <c r="G2044" s="2" t="s">
        <v>27</v>
      </c>
      <c r="I2044">
        <f>HEX2DEC(_0811_173439[[#This Row],[580C]])*B$4/B$5+B$6</f>
        <v>0</v>
      </c>
      <c r="J2044">
        <f>HEX2DEC(_0811_173439[[#This Row],[4402]])*C$4/C$5+C$6</f>
        <v>39</v>
      </c>
      <c r="K2044">
        <f>HEX2DEC(_0811_173439[[#This Row],[580F]])*D$4/D$5+D$6</f>
        <v>30</v>
      </c>
      <c r="L2044">
        <f>ROUND(HEX2DEC(_0811_173439[[#This Row],[58F0]])*E$4/E$5+E$6,0)</f>
        <v>72</v>
      </c>
      <c r="M2044">
        <f>ROUND(HEX2DEC(_0811_173439[[#This Row],[5805]])*F$4/F$5+F$6,0)</f>
        <v>47</v>
      </c>
      <c r="N2044">
        <f>ROUND(HEX2DEC(_0811_173439[[#This Row],[58DD]])*G$4/G$5+G$6,2)</f>
        <v>-0.03</v>
      </c>
      <c r="P2044">
        <v>0</v>
      </c>
      <c r="Q2044">
        <v>39</v>
      </c>
      <c r="R2044">
        <v>30</v>
      </c>
      <c r="S2044">
        <v>72</v>
      </c>
      <c r="T2044">
        <v>47</v>
      </c>
      <c r="U2044">
        <v>-0.03</v>
      </c>
      <c r="W2044">
        <f>DataLog_T717420_Aug11_4_59_37pm[[#This Row],[RPM '[1/MIN']]]-Table3[[#This Row],[580C]]</f>
        <v>0</v>
      </c>
      <c r="X2044">
        <f>DataLog_T717420_Aug11_4_59_37pm[[#This Row],[OIL TEMP '[Â°C']]]-Table3[[#This Row],[4402]]</f>
        <v>0</v>
      </c>
      <c r="Y2044">
        <f>DataLog_T717420_Aug11_4_59_37pm[[#This Row],[INTAKE TEMP '[Â°C']]]-Table3[[#This Row],[580F]]</f>
        <v>0</v>
      </c>
      <c r="Z2044">
        <f>DataLog_T717420_Aug11_4_59_37pm[[#This Row],[HPFP PRES. '[BAR']]]-Table3[[#This Row],[58F0]]</f>
        <v>0</v>
      </c>
      <c r="AA2044">
        <f>DataLog_T717420_Aug11_4_59_37pm[[#This Row],[COOLANT TEMP '[Â°C']]]-Table3[[#This Row],[5805]]</f>
        <v>0</v>
      </c>
      <c r="AB2044">
        <f>DataLog_T717420_Aug11_4_59_37pm[[#This Row],[BOOST '[BAR']]]-Table3[[#This Row],[58DD]]</f>
        <v>0</v>
      </c>
    </row>
    <row r="2045" spans="2:28" x14ac:dyDescent="0.25">
      <c r="B2045" s="2" t="s">
        <v>23</v>
      </c>
      <c r="C2045" s="2" t="s">
        <v>410</v>
      </c>
      <c r="D2045" s="2" t="s">
        <v>151</v>
      </c>
      <c r="E2045" s="2" t="s">
        <v>231</v>
      </c>
      <c r="F2045" s="2" t="s">
        <v>409</v>
      </c>
      <c r="G2045" s="2" t="s">
        <v>27</v>
      </c>
      <c r="I2045">
        <f>HEX2DEC(_0811_173439[[#This Row],[580C]])*B$4/B$5+B$6</f>
        <v>0</v>
      </c>
      <c r="J2045">
        <f>HEX2DEC(_0811_173439[[#This Row],[4402]])*C$4/C$5+C$6</f>
        <v>39</v>
      </c>
      <c r="K2045">
        <f>HEX2DEC(_0811_173439[[#This Row],[580F]])*D$4/D$5+D$6</f>
        <v>30</v>
      </c>
      <c r="L2045">
        <f>ROUND(HEX2DEC(_0811_173439[[#This Row],[58F0]])*E$4/E$5+E$6,0)</f>
        <v>72</v>
      </c>
      <c r="M2045">
        <f>ROUND(HEX2DEC(_0811_173439[[#This Row],[5805]])*F$4/F$5+F$6,0)</f>
        <v>47</v>
      </c>
      <c r="N2045">
        <f>ROUND(HEX2DEC(_0811_173439[[#This Row],[58DD]])*G$4/G$5+G$6,2)</f>
        <v>-0.03</v>
      </c>
      <c r="P2045">
        <v>0</v>
      </c>
      <c r="Q2045">
        <v>39</v>
      </c>
      <c r="R2045">
        <v>30</v>
      </c>
      <c r="S2045">
        <v>72</v>
      </c>
      <c r="T2045">
        <v>47</v>
      </c>
      <c r="U2045">
        <v>-0.03</v>
      </c>
      <c r="W2045">
        <f>DataLog_T717420_Aug11_4_59_37pm[[#This Row],[RPM '[1/MIN']]]-Table3[[#This Row],[580C]]</f>
        <v>0</v>
      </c>
      <c r="X2045">
        <f>DataLog_T717420_Aug11_4_59_37pm[[#This Row],[OIL TEMP '[Â°C']]]-Table3[[#This Row],[4402]]</f>
        <v>0</v>
      </c>
      <c r="Y2045">
        <f>DataLog_T717420_Aug11_4_59_37pm[[#This Row],[INTAKE TEMP '[Â°C']]]-Table3[[#This Row],[580F]]</f>
        <v>0</v>
      </c>
      <c r="Z2045">
        <f>DataLog_T717420_Aug11_4_59_37pm[[#This Row],[HPFP PRES. '[BAR']]]-Table3[[#This Row],[58F0]]</f>
        <v>0</v>
      </c>
      <c r="AA2045">
        <f>DataLog_T717420_Aug11_4_59_37pm[[#This Row],[COOLANT TEMP '[Â°C']]]-Table3[[#This Row],[5805]]</f>
        <v>0</v>
      </c>
      <c r="AB2045">
        <f>DataLog_T717420_Aug11_4_59_37pm[[#This Row],[BOOST '[BAR']]]-Table3[[#This Row],[58DD]]</f>
        <v>0</v>
      </c>
    </row>
    <row r="2046" spans="2:28" x14ac:dyDescent="0.25">
      <c r="B2046" s="2" t="s">
        <v>23</v>
      </c>
      <c r="C2046" s="2" t="s">
        <v>410</v>
      </c>
      <c r="D2046" s="2" t="s">
        <v>151</v>
      </c>
      <c r="E2046" s="2" t="s">
        <v>231</v>
      </c>
      <c r="F2046" s="2" t="s">
        <v>409</v>
      </c>
      <c r="G2046" s="2" t="s">
        <v>28</v>
      </c>
      <c r="I2046">
        <f>HEX2DEC(_0811_173439[[#This Row],[580C]])*B$4/B$5+B$6</f>
        <v>0</v>
      </c>
      <c r="J2046">
        <f>HEX2DEC(_0811_173439[[#This Row],[4402]])*C$4/C$5+C$6</f>
        <v>39</v>
      </c>
      <c r="K2046">
        <f>HEX2DEC(_0811_173439[[#This Row],[580F]])*D$4/D$5+D$6</f>
        <v>30</v>
      </c>
      <c r="L2046">
        <f>ROUND(HEX2DEC(_0811_173439[[#This Row],[58F0]])*E$4/E$5+E$6,0)</f>
        <v>72</v>
      </c>
      <c r="M2046">
        <f>ROUND(HEX2DEC(_0811_173439[[#This Row],[5805]])*F$4/F$5+F$6,0)</f>
        <v>47</v>
      </c>
      <c r="N2046">
        <f>ROUND(HEX2DEC(_0811_173439[[#This Row],[58DD]])*G$4/G$5+G$6,2)</f>
        <v>-0.02</v>
      </c>
      <c r="P2046">
        <v>0</v>
      </c>
      <c r="Q2046">
        <v>39</v>
      </c>
      <c r="R2046">
        <v>30</v>
      </c>
      <c r="S2046">
        <v>72</v>
      </c>
      <c r="T2046">
        <v>47</v>
      </c>
      <c r="U2046">
        <v>-0.02</v>
      </c>
      <c r="W2046">
        <f>DataLog_T717420_Aug11_4_59_37pm[[#This Row],[RPM '[1/MIN']]]-Table3[[#This Row],[580C]]</f>
        <v>0</v>
      </c>
      <c r="X2046">
        <f>DataLog_T717420_Aug11_4_59_37pm[[#This Row],[OIL TEMP '[Â°C']]]-Table3[[#This Row],[4402]]</f>
        <v>0</v>
      </c>
      <c r="Y2046">
        <f>DataLog_T717420_Aug11_4_59_37pm[[#This Row],[INTAKE TEMP '[Â°C']]]-Table3[[#This Row],[580F]]</f>
        <v>0</v>
      </c>
      <c r="Z2046">
        <f>DataLog_T717420_Aug11_4_59_37pm[[#This Row],[HPFP PRES. '[BAR']]]-Table3[[#This Row],[58F0]]</f>
        <v>0</v>
      </c>
      <c r="AA2046">
        <f>DataLog_T717420_Aug11_4_59_37pm[[#This Row],[COOLANT TEMP '[Â°C']]]-Table3[[#This Row],[5805]]</f>
        <v>0</v>
      </c>
      <c r="AB2046">
        <f>DataLog_T717420_Aug11_4_59_37pm[[#This Row],[BOOST '[BAR']]]-Table3[[#This Row],[58DD]]</f>
        <v>0</v>
      </c>
    </row>
    <row r="2047" spans="2:28" x14ac:dyDescent="0.25">
      <c r="B2047" s="2" t="s">
        <v>23</v>
      </c>
      <c r="C2047" s="2" t="s">
        <v>410</v>
      </c>
      <c r="D2047" s="2" t="s">
        <v>151</v>
      </c>
      <c r="E2047" s="2" t="s">
        <v>231</v>
      </c>
      <c r="F2047" s="2" t="s">
        <v>409</v>
      </c>
      <c r="G2047" s="2" t="s">
        <v>28</v>
      </c>
      <c r="I2047">
        <f>HEX2DEC(_0811_173439[[#This Row],[580C]])*B$4/B$5+B$6</f>
        <v>0</v>
      </c>
      <c r="J2047">
        <f>HEX2DEC(_0811_173439[[#This Row],[4402]])*C$4/C$5+C$6</f>
        <v>39</v>
      </c>
      <c r="K2047">
        <f>HEX2DEC(_0811_173439[[#This Row],[580F]])*D$4/D$5+D$6</f>
        <v>30</v>
      </c>
      <c r="L2047">
        <f>ROUND(HEX2DEC(_0811_173439[[#This Row],[58F0]])*E$4/E$5+E$6,0)</f>
        <v>72</v>
      </c>
      <c r="M2047">
        <f>ROUND(HEX2DEC(_0811_173439[[#This Row],[5805]])*F$4/F$5+F$6,0)</f>
        <v>47</v>
      </c>
      <c r="N2047">
        <f>ROUND(HEX2DEC(_0811_173439[[#This Row],[58DD]])*G$4/G$5+G$6,2)</f>
        <v>-0.02</v>
      </c>
      <c r="P2047">
        <v>0</v>
      </c>
      <c r="Q2047">
        <v>39</v>
      </c>
      <c r="R2047">
        <v>30</v>
      </c>
      <c r="S2047">
        <v>72</v>
      </c>
      <c r="T2047">
        <v>47</v>
      </c>
      <c r="U2047">
        <v>-0.02</v>
      </c>
      <c r="W2047">
        <f>DataLog_T717420_Aug11_4_59_37pm[[#This Row],[RPM '[1/MIN']]]-Table3[[#This Row],[580C]]</f>
        <v>0</v>
      </c>
      <c r="X2047">
        <f>DataLog_T717420_Aug11_4_59_37pm[[#This Row],[OIL TEMP '[Â°C']]]-Table3[[#This Row],[4402]]</f>
        <v>0</v>
      </c>
      <c r="Y2047">
        <f>DataLog_T717420_Aug11_4_59_37pm[[#This Row],[INTAKE TEMP '[Â°C']]]-Table3[[#This Row],[580F]]</f>
        <v>0</v>
      </c>
      <c r="Z2047">
        <f>DataLog_T717420_Aug11_4_59_37pm[[#This Row],[HPFP PRES. '[BAR']]]-Table3[[#This Row],[58F0]]</f>
        <v>0</v>
      </c>
      <c r="AA2047">
        <f>DataLog_T717420_Aug11_4_59_37pm[[#This Row],[COOLANT TEMP '[Â°C']]]-Table3[[#This Row],[5805]]</f>
        <v>0</v>
      </c>
      <c r="AB2047">
        <f>DataLog_T717420_Aug11_4_59_37pm[[#This Row],[BOOST '[BAR']]]-Table3[[#This Row],[58DD]]</f>
        <v>0</v>
      </c>
    </row>
    <row r="2048" spans="2:28" x14ac:dyDescent="0.25">
      <c r="B2048" s="2" t="s">
        <v>23</v>
      </c>
      <c r="C2048" s="2" t="s">
        <v>410</v>
      </c>
      <c r="D2048" s="2" t="s">
        <v>151</v>
      </c>
      <c r="E2048" s="2" t="s">
        <v>231</v>
      </c>
      <c r="F2048" s="2" t="s">
        <v>409</v>
      </c>
      <c r="G2048" s="2" t="s">
        <v>28</v>
      </c>
      <c r="I2048">
        <f>HEX2DEC(_0811_173439[[#This Row],[580C]])*B$4/B$5+B$6</f>
        <v>0</v>
      </c>
      <c r="J2048">
        <f>HEX2DEC(_0811_173439[[#This Row],[4402]])*C$4/C$5+C$6</f>
        <v>39</v>
      </c>
      <c r="K2048">
        <f>HEX2DEC(_0811_173439[[#This Row],[580F]])*D$4/D$5+D$6</f>
        <v>30</v>
      </c>
      <c r="L2048">
        <f>ROUND(HEX2DEC(_0811_173439[[#This Row],[58F0]])*E$4/E$5+E$6,0)</f>
        <v>72</v>
      </c>
      <c r="M2048">
        <f>ROUND(HEX2DEC(_0811_173439[[#This Row],[5805]])*F$4/F$5+F$6,0)</f>
        <v>47</v>
      </c>
      <c r="N2048">
        <f>ROUND(HEX2DEC(_0811_173439[[#This Row],[58DD]])*G$4/G$5+G$6,2)</f>
        <v>-0.02</v>
      </c>
      <c r="P2048">
        <v>0</v>
      </c>
      <c r="Q2048">
        <v>39</v>
      </c>
      <c r="R2048">
        <v>30</v>
      </c>
      <c r="S2048">
        <v>72</v>
      </c>
      <c r="T2048">
        <v>47</v>
      </c>
      <c r="U2048">
        <v>-0.02</v>
      </c>
      <c r="W2048">
        <f>DataLog_T717420_Aug11_4_59_37pm[[#This Row],[RPM '[1/MIN']]]-Table3[[#This Row],[580C]]</f>
        <v>0</v>
      </c>
      <c r="X2048">
        <f>DataLog_T717420_Aug11_4_59_37pm[[#This Row],[OIL TEMP '[Â°C']]]-Table3[[#This Row],[4402]]</f>
        <v>0</v>
      </c>
      <c r="Y2048">
        <f>DataLog_T717420_Aug11_4_59_37pm[[#This Row],[INTAKE TEMP '[Â°C']]]-Table3[[#This Row],[580F]]</f>
        <v>0</v>
      </c>
      <c r="Z2048">
        <f>DataLog_T717420_Aug11_4_59_37pm[[#This Row],[HPFP PRES. '[BAR']]]-Table3[[#This Row],[58F0]]</f>
        <v>0</v>
      </c>
      <c r="AA2048">
        <f>DataLog_T717420_Aug11_4_59_37pm[[#This Row],[COOLANT TEMP '[Â°C']]]-Table3[[#This Row],[5805]]</f>
        <v>0</v>
      </c>
      <c r="AB2048">
        <f>DataLog_T717420_Aug11_4_59_37pm[[#This Row],[BOOST '[BAR']]]-Table3[[#This Row],[58DD]]</f>
        <v>0</v>
      </c>
    </row>
    <row r="2049" spans="2:28" x14ac:dyDescent="0.25">
      <c r="B2049" s="2" t="s">
        <v>23</v>
      </c>
      <c r="C2049" s="2" t="s">
        <v>410</v>
      </c>
      <c r="D2049" s="2" t="s">
        <v>151</v>
      </c>
      <c r="E2049" s="2" t="s">
        <v>231</v>
      </c>
      <c r="F2049" s="2" t="s">
        <v>409</v>
      </c>
      <c r="G2049" s="2" t="s">
        <v>27</v>
      </c>
      <c r="I2049">
        <f>HEX2DEC(_0811_173439[[#This Row],[580C]])*B$4/B$5+B$6</f>
        <v>0</v>
      </c>
      <c r="J2049">
        <f>HEX2DEC(_0811_173439[[#This Row],[4402]])*C$4/C$5+C$6</f>
        <v>39</v>
      </c>
      <c r="K2049">
        <f>HEX2DEC(_0811_173439[[#This Row],[580F]])*D$4/D$5+D$6</f>
        <v>30</v>
      </c>
      <c r="L2049">
        <f>ROUND(HEX2DEC(_0811_173439[[#This Row],[58F0]])*E$4/E$5+E$6,0)</f>
        <v>72</v>
      </c>
      <c r="M2049">
        <f>ROUND(HEX2DEC(_0811_173439[[#This Row],[5805]])*F$4/F$5+F$6,0)</f>
        <v>47</v>
      </c>
      <c r="N2049">
        <f>ROUND(HEX2DEC(_0811_173439[[#This Row],[58DD]])*G$4/G$5+G$6,2)</f>
        <v>-0.03</v>
      </c>
      <c r="P2049">
        <v>0</v>
      </c>
      <c r="Q2049">
        <v>39</v>
      </c>
      <c r="R2049">
        <v>30</v>
      </c>
      <c r="S2049">
        <v>72</v>
      </c>
      <c r="T2049">
        <v>47</v>
      </c>
      <c r="U2049">
        <v>-0.03</v>
      </c>
      <c r="W2049">
        <f>DataLog_T717420_Aug11_4_59_37pm[[#This Row],[RPM '[1/MIN']]]-Table3[[#This Row],[580C]]</f>
        <v>0</v>
      </c>
      <c r="X2049">
        <f>DataLog_T717420_Aug11_4_59_37pm[[#This Row],[OIL TEMP '[Â°C']]]-Table3[[#This Row],[4402]]</f>
        <v>0</v>
      </c>
      <c r="Y2049">
        <f>DataLog_T717420_Aug11_4_59_37pm[[#This Row],[INTAKE TEMP '[Â°C']]]-Table3[[#This Row],[580F]]</f>
        <v>0</v>
      </c>
      <c r="Z2049">
        <f>DataLog_T717420_Aug11_4_59_37pm[[#This Row],[HPFP PRES. '[BAR']]]-Table3[[#This Row],[58F0]]</f>
        <v>0</v>
      </c>
      <c r="AA2049">
        <f>DataLog_T717420_Aug11_4_59_37pm[[#This Row],[COOLANT TEMP '[Â°C']]]-Table3[[#This Row],[5805]]</f>
        <v>0</v>
      </c>
      <c r="AB2049">
        <f>DataLog_T717420_Aug11_4_59_37pm[[#This Row],[BOOST '[BAR']]]-Table3[[#This Row],[58DD]]</f>
        <v>0</v>
      </c>
    </row>
    <row r="2050" spans="2:28" x14ac:dyDescent="0.25">
      <c r="B2050" s="2" t="s">
        <v>23</v>
      </c>
      <c r="C2050" s="2" t="s">
        <v>410</v>
      </c>
      <c r="D2050" s="2" t="s">
        <v>151</v>
      </c>
      <c r="E2050" s="2" t="s">
        <v>231</v>
      </c>
      <c r="F2050" s="2" t="s">
        <v>409</v>
      </c>
      <c r="G2050" s="2" t="s">
        <v>28</v>
      </c>
      <c r="I2050">
        <f>HEX2DEC(_0811_173439[[#This Row],[580C]])*B$4/B$5+B$6</f>
        <v>0</v>
      </c>
      <c r="J2050">
        <f>HEX2DEC(_0811_173439[[#This Row],[4402]])*C$4/C$5+C$6</f>
        <v>39</v>
      </c>
      <c r="K2050">
        <f>HEX2DEC(_0811_173439[[#This Row],[580F]])*D$4/D$5+D$6</f>
        <v>30</v>
      </c>
      <c r="L2050">
        <f>ROUND(HEX2DEC(_0811_173439[[#This Row],[58F0]])*E$4/E$5+E$6,0)</f>
        <v>72</v>
      </c>
      <c r="M2050">
        <f>ROUND(HEX2DEC(_0811_173439[[#This Row],[5805]])*F$4/F$5+F$6,0)</f>
        <v>47</v>
      </c>
      <c r="N2050">
        <f>ROUND(HEX2DEC(_0811_173439[[#This Row],[58DD]])*G$4/G$5+G$6,2)</f>
        <v>-0.02</v>
      </c>
      <c r="P2050">
        <v>0</v>
      </c>
      <c r="Q2050">
        <v>39</v>
      </c>
      <c r="R2050">
        <v>30</v>
      </c>
      <c r="S2050">
        <v>72</v>
      </c>
      <c r="T2050">
        <v>47</v>
      </c>
      <c r="U2050">
        <v>-0.02</v>
      </c>
      <c r="W2050">
        <f>DataLog_T717420_Aug11_4_59_37pm[[#This Row],[RPM '[1/MIN']]]-Table3[[#This Row],[580C]]</f>
        <v>0</v>
      </c>
      <c r="X2050">
        <f>DataLog_T717420_Aug11_4_59_37pm[[#This Row],[OIL TEMP '[Â°C']]]-Table3[[#This Row],[4402]]</f>
        <v>0</v>
      </c>
      <c r="Y2050">
        <f>DataLog_T717420_Aug11_4_59_37pm[[#This Row],[INTAKE TEMP '[Â°C']]]-Table3[[#This Row],[580F]]</f>
        <v>0</v>
      </c>
      <c r="Z2050">
        <f>DataLog_T717420_Aug11_4_59_37pm[[#This Row],[HPFP PRES. '[BAR']]]-Table3[[#This Row],[58F0]]</f>
        <v>0</v>
      </c>
      <c r="AA2050">
        <f>DataLog_T717420_Aug11_4_59_37pm[[#This Row],[COOLANT TEMP '[Â°C']]]-Table3[[#This Row],[5805]]</f>
        <v>0</v>
      </c>
      <c r="AB2050">
        <f>DataLog_T717420_Aug11_4_59_37pm[[#This Row],[BOOST '[BAR']]]-Table3[[#This Row],[58DD]]</f>
        <v>0</v>
      </c>
    </row>
    <row r="2051" spans="2:28" x14ac:dyDescent="0.25">
      <c r="B2051" s="2" t="s">
        <v>23</v>
      </c>
      <c r="C2051" s="2" t="s">
        <v>410</v>
      </c>
      <c r="D2051" s="2" t="s">
        <v>151</v>
      </c>
      <c r="E2051" s="2" t="s">
        <v>231</v>
      </c>
      <c r="F2051" s="2" t="s">
        <v>409</v>
      </c>
      <c r="G2051" s="2" t="s">
        <v>27</v>
      </c>
      <c r="I2051">
        <f>HEX2DEC(_0811_173439[[#This Row],[580C]])*B$4/B$5+B$6</f>
        <v>0</v>
      </c>
      <c r="J2051">
        <f>HEX2DEC(_0811_173439[[#This Row],[4402]])*C$4/C$5+C$6</f>
        <v>39</v>
      </c>
      <c r="K2051">
        <f>HEX2DEC(_0811_173439[[#This Row],[580F]])*D$4/D$5+D$6</f>
        <v>30</v>
      </c>
      <c r="L2051">
        <f>ROUND(HEX2DEC(_0811_173439[[#This Row],[58F0]])*E$4/E$5+E$6,0)</f>
        <v>72</v>
      </c>
      <c r="M2051">
        <f>ROUND(HEX2DEC(_0811_173439[[#This Row],[5805]])*F$4/F$5+F$6,0)</f>
        <v>47</v>
      </c>
      <c r="N2051">
        <f>ROUND(HEX2DEC(_0811_173439[[#This Row],[58DD]])*G$4/G$5+G$6,2)</f>
        <v>-0.03</v>
      </c>
      <c r="P2051">
        <v>0</v>
      </c>
      <c r="Q2051">
        <v>39</v>
      </c>
      <c r="R2051">
        <v>30</v>
      </c>
      <c r="S2051">
        <v>72</v>
      </c>
      <c r="T2051">
        <v>47</v>
      </c>
      <c r="U2051">
        <v>-0.03</v>
      </c>
      <c r="W2051">
        <f>DataLog_T717420_Aug11_4_59_37pm[[#This Row],[RPM '[1/MIN']]]-Table3[[#This Row],[580C]]</f>
        <v>0</v>
      </c>
      <c r="X2051">
        <f>DataLog_T717420_Aug11_4_59_37pm[[#This Row],[OIL TEMP '[Â°C']]]-Table3[[#This Row],[4402]]</f>
        <v>0</v>
      </c>
      <c r="Y2051">
        <f>DataLog_T717420_Aug11_4_59_37pm[[#This Row],[INTAKE TEMP '[Â°C']]]-Table3[[#This Row],[580F]]</f>
        <v>0</v>
      </c>
      <c r="Z2051">
        <f>DataLog_T717420_Aug11_4_59_37pm[[#This Row],[HPFP PRES. '[BAR']]]-Table3[[#This Row],[58F0]]</f>
        <v>0</v>
      </c>
      <c r="AA2051">
        <f>DataLog_T717420_Aug11_4_59_37pm[[#This Row],[COOLANT TEMP '[Â°C']]]-Table3[[#This Row],[5805]]</f>
        <v>0</v>
      </c>
      <c r="AB2051">
        <f>DataLog_T717420_Aug11_4_59_37pm[[#This Row],[BOOST '[BAR']]]-Table3[[#This Row],[58DD]]</f>
        <v>0</v>
      </c>
    </row>
    <row r="2052" spans="2:28" x14ac:dyDescent="0.25">
      <c r="B2052" s="2" t="s">
        <v>23</v>
      </c>
      <c r="C2052" s="2" t="s">
        <v>410</v>
      </c>
      <c r="D2052" s="2" t="s">
        <v>151</v>
      </c>
      <c r="E2052" s="2" t="s">
        <v>231</v>
      </c>
      <c r="F2052" s="2" t="s">
        <v>409</v>
      </c>
      <c r="G2052" s="2" t="s">
        <v>27</v>
      </c>
      <c r="I2052">
        <f>HEX2DEC(_0811_173439[[#This Row],[580C]])*B$4/B$5+B$6</f>
        <v>0</v>
      </c>
      <c r="J2052">
        <f>HEX2DEC(_0811_173439[[#This Row],[4402]])*C$4/C$5+C$6</f>
        <v>39</v>
      </c>
      <c r="K2052">
        <f>HEX2DEC(_0811_173439[[#This Row],[580F]])*D$4/D$5+D$6</f>
        <v>30</v>
      </c>
      <c r="L2052">
        <f>ROUND(HEX2DEC(_0811_173439[[#This Row],[58F0]])*E$4/E$5+E$6,0)</f>
        <v>72</v>
      </c>
      <c r="M2052">
        <f>ROUND(HEX2DEC(_0811_173439[[#This Row],[5805]])*F$4/F$5+F$6,0)</f>
        <v>47</v>
      </c>
      <c r="N2052">
        <f>ROUND(HEX2DEC(_0811_173439[[#This Row],[58DD]])*G$4/G$5+G$6,2)</f>
        <v>-0.03</v>
      </c>
      <c r="P2052">
        <v>0</v>
      </c>
      <c r="Q2052">
        <v>39</v>
      </c>
      <c r="R2052">
        <v>30</v>
      </c>
      <c r="S2052">
        <v>72</v>
      </c>
      <c r="T2052">
        <v>47</v>
      </c>
      <c r="U2052">
        <v>-0.03</v>
      </c>
      <c r="W2052">
        <f>DataLog_T717420_Aug11_4_59_37pm[[#This Row],[RPM '[1/MIN']]]-Table3[[#This Row],[580C]]</f>
        <v>0</v>
      </c>
      <c r="X2052">
        <f>DataLog_T717420_Aug11_4_59_37pm[[#This Row],[OIL TEMP '[Â°C']]]-Table3[[#This Row],[4402]]</f>
        <v>0</v>
      </c>
      <c r="Y2052">
        <f>DataLog_T717420_Aug11_4_59_37pm[[#This Row],[INTAKE TEMP '[Â°C']]]-Table3[[#This Row],[580F]]</f>
        <v>0</v>
      </c>
      <c r="Z2052">
        <f>DataLog_T717420_Aug11_4_59_37pm[[#This Row],[HPFP PRES. '[BAR']]]-Table3[[#This Row],[58F0]]</f>
        <v>0</v>
      </c>
      <c r="AA2052">
        <f>DataLog_T717420_Aug11_4_59_37pm[[#This Row],[COOLANT TEMP '[Â°C']]]-Table3[[#This Row],[5805]]</f>
        <v>0</v>
      </c>
      <c r="AB2052">
        <f>DataLog_T717420_Aug11_4_59_37pm[[#This Row],[BOOST '[BAR']]]-Table3[[#This Row],[58DD]]</f>
        <v>0</v>
      </c>
    </row>
    <row r="2053" spans="2:28" x14ac:dyDescent="0.25">
      <c r="B2053" s="2" t="s">
        <v>23</v>
      </c>
      <c r="C2053" s="2" t="s">
        <v>410</v>
      </c>
      <c r="D2053" s="2" t="s">
        <v>151</v>
      </c>
      <c r="E2053" s="2" t="s">
        <v>231</v>
      </c>
      <c r="F2053" s="2" t="s">
        <v>409</v>
      </c>
      <c r="G2053" s="2" t="s">
        <v>27</v>
      </c>
      <c r="I2053">
        <f>HEX2DEC(_0811_173439[[#This Row],[580C]])*B$4/B$5+B$6</f>
        <v>0</v>
      </c>
      <c r="J2053">
        <f>HEX2DEC(_0811_173439[[#This Row],[4402]])*C$4/C$5+C$6</f>
        <v>39</v>
      </c>
      <c r="K2053">
        <f>HEX2DEC(_0811_173439[[#This Row],[580F]])*D$4/D$5+D$6</f>
        <v>30</v>
      </c>
      <c r="L2053">
        <f>ROUND(HEX2DEC(_0811_173439[[#This Row],[58F0]])*E$4/E$5+E$6,0)</f>
        <v>72</v>
      </c>
      <c r="M2053">
        <f>ROUND(HEX2DEC(_0811_173439[[#This Row],[5805]])*F$4/F$5+F$6,0)</f>
        <v>47</v>
      </c>
      <c r="N2053">
        <f>ROUND(HEX2DEC(_0811_173439[[#This Row],[58DD]])*G$4/G$5+G$6,2)</f>
        <v>-0.03</v>
      </c>
      <c r="P2053">
        <v>0</v>
      </c>
      <c r="Q2053">
        <v>39</v>
      </c>
      <c r="R2053">
        <v>30</v>
      </c>
      <c r="S2053">
        <v>72</v>
      </c>
      <c r="T2053">
        <v>47</v>
      </c>
      <c r="U2053">
        <v>-0.03</v>
      </c>
      <c r="W2053">
        <f>DataLog_T717420_Aug11_4_59_37pm[[#This Row],[RPM '[1/MIN']]]-Table3[[#This Row],[580C]]</f>
        <v>0</v>
      </c>
      <c r="X2053">
        <f>DataLog_T717420_Aug11_4_59_37pm[[#This Row],[OIL TEMP '[Â°C']]]-Table3[[#This Row],[4402]]</f>
        <v>0</v>
      </c>
      <c r="Y2053">
        <f>DataLog_T717420_Aug11_4_59_37pm[[#This Row],[INTAKE TEMP '[Â°C']]]-Table3[[#This Row],[580F]]</f>
        <v>0</v>
      </c>
      <c r="Z2053">
        <f>DataLog_T717420_Aug11_4_59_37pm[[#This Row],[HPFP PRES. '[BAR']]]-Table3[[#This Row],[58F0]]</f>
        <v>0</v>
      </c>
      <c r="AA2053">
        <f>DataLog_T717420_Aug11_4_59_37pm[[#This Row],[COOLANT TEMP '[Â°C']]]-Table3[[#This Row],[5805]]</f>
        <v>0</v>
      </c>
      <c r="AB2053">
        <f>DataLog_T717420_Aug11_4_59_37pm[[#This Row],[BOOST '[BAR']]]-Table3[[#This Row],[58DD]]</f>
        <v>0</v>
      </c>
    </row>
    <row r="2054" spans="2:28" x14ac:dyDescent="0.25">
      <c r="B2054" s="2" t="s">
        <v>23</v>
      </c>
      <c r="C2054" s="2" t="s">
        <v>410</v>
      </c>
      <c r="D2054" s="2" t="s">
        <v>151</v>
      </c>
      <c r="E2054" s="2" t="s">
        <v>231</v>
      </c>
      <c r="F2054" s="2" t="s">
        <v>409</v>
      </c>
      <c r="G2054" s="2" t="s">
        <v>27</v>
      </c>
      <c r="I2054">
        <f>HEX2DEC(_0811_173439[[#This Row],[580C]])*B$4/B$5+B$6</f>
        <v>0</v>
      </c>
      <c r="J2054">
        <f>HEX2DEC(_0811_173439[[#This Row],[4402]])*C$4/C$5+C$6</f>
        <v>39</v>
      </c>
      <c r="K2054">
        <f>HEX2DEC(_0811_173439[[#This Row],[580F]])*D$4/D$5+D$6</f>
        <v>30</v>
      </c>
      <c r="L2054">
        <f>ROUND(HEX2DEC(_0811_173439[[#This Row],[58F0]])*E$4/E$5+E$6,0)</f>
        <v>72</v>
      </c>
      <c r="M2054">
        <f>ROUND(HEX2DEC(_0811_173439[[#This Row],[5805]])*F$4/F$5+F$6,0)</f>
        <v>47</v>
      </c>
      <c r="N2054">
        <f>ROUND(HEX2DEC(_0811_173439[[#This Row],[58DD]])*G$4/G$5+G$6,2)</f>
        <v>-0.03</v>
      </c>
      <c r="P2054">
        <v>0</v>
      </c>
      <c r="Q2054">
        <v>39</v>
      </c>
      <c r="R2054">
        <v>30</v>
      </c>
      <c r="S2054">
        <v>72</v>
      </c>
      <c r="T2054">
        <v>47</v>
      </c>
      <c r="U2054">
        <v>-0.03</v>
      </c>
      <c r="W2054">
        <f>DataLog_T717420_Aug11_4_59_37pm[[#This Row],[RPM '[1/MIN']]]-Table3[[#This Row],[580C]]</f>
        <v>0</v>
      </c>
      <c r="X2054">
        <f>DataLog_T717420_Aug11_4_59_37pm[[#This Row],[OIL TEMP '[Â°C']]]-Table3[[#This Row],[4402]]</f>
        <v>0</v>
      </c>
      <c r="Y2054">
        <f>DataLog_T717420_Aug11_4_59_37pm[[#This Row],[INTAKE TEMP '[Â°C']]]-Table3[[#This Row],[580F]]</f>
        <v>0</v>
      </c>
      <c r="Z2054">
        <f>DataLog_T717420_Aug11_4_59_37pm[[#This Row],[HPFP PRES. '[BAR']]]-Table3[[#This Row],[58F0]]</f>
        <v>0</v>
      </c>
      <c r="AA2054">
        <f>DataLog_T717420_Aug11_4_59_37pm[[#This Row],[COOLANT TEMP '[Â°C']]]-Table3[[#This Row],[5805]]</f>
        <v>0</v>
      </c>
      <c r="AB2054">
        <f>DataLog_T717420_Aug11_4_59_37pm[[#This Row],[BOOST '[BAR']]]-Table3[[#This Row],[58DD]]</f>
        <v>0</v>
      </c>
    </row>
    <row r="2055" spans="2:28" x14ac:dyDescent="0.25">
      <c r="B2055" s="2" t="s">
        <v>23</v>
      </c>
      <c r="C2055" s="2" t="s">
        <v>410</v>
      </c>
      <c r="D2055" s="2" t="s">
        <v>151</v>
      </c>
      <c r="E2055" s="2" t="s">
        <v>231</v>
      </c>
      <c r="F2055" s="2" t="s">
        <v>409</v>
      </c>
      <c r="G2055" s="2" t="s">
        <v>28</v>
      </c>
      <c r="I2055">
        <f>HEX2DEC(_0811_173439[[#This Row],[580C]])*B$4/B$5+B$6</f>
        <v>0</v>
      </c>
      <c r="J2055">
        <f>HEX2DEC(_0811_173439[[#This Row],[4402]])*C$4/C$5+C$6</f>
        <v>39</v>
      </c>
      <c r="K2055">
        <f>HEX2DEC(_0811_173439[[#This Row],[580F]])*D$4/D$5+D$6</f>
        <v>30</v>
      </c>
      <c r="L2055">
        <f>ROUND(HEX2DEC(_0811_173439[[#This Row],[58F0]])*E$4/E$5+E$6,0)</f>
        <v>72</v>
      </c>
      <c r="M2055">
        <f>ROUND(HEX2DEC(_0811_173439[[#This Row],[5805]])*F$4/F$5+F$6,0)</f>
        <v>47</v>
      </c>
      <c r="N2055">
        <f>ROUND(HEX2DEC(_0811_173439[[#This Row],[58DD]])*G$4/G$5+G$6,2)</f>
        <v>-0.02</v>
      </c>
      <c r="P2055">
        <v>0</v>
      </c>
      <c r="Q2055">
        <v>39</v>
      </c>
      <c r="R2055">
        <v>30</v>
      </c>
      <c r="S2055">
        <v>72</v>
      </c>
      <c r="T2055">
        <v>47</v>
      </c>
      <c r="U2055">
        <v>-0.02</v>
      </c>
      <c r="W2055">
        <f>DataLog_T717420_Aug11_4_59_37pm[[#This Row],[RPM '[1/MIN']]]-Table3[[#This Row],[580C]]</f>
        <v>0</v>
      </c>
      <c r="X2055">
        <f>DataLog_T717420_Aug11_4_59_37pm[[#This Row],[OIL TEMP '[Â°C']]]-Table3[[#This Row],[4402]]</f>
        <v>0</v>
      </c>
      <c r="Y2055">
        <f>DataLog_T717420_Aug11_4_59_37pm[[#This Row],[INTAKE TEMP '[Â°C']]]-Table3[[#This Row],[580F]]</f>
        <v>0</v>
      </c>
      <c r="Z2055">
        <f>DataLog_T717420_Aug11_4_59_37pm[[#This Row],[HPFP PRES. '[BAR']]]-Table3[[#This Row],[58F0]]</f>
        <v>0</v>
      </c>
      <c r="AA2055">
        <f>DataLog_T717420_Aug11_4_59_37pm[[#This Row],[COOLANT TEMP '[Â°C']]]-Table3[[#This Row],[5805]]</f>
        <v>0</v>
      </c>
      <c r="AB2055">
        <f>DataLog_T717420_Aug11_4_59_37pm[[#This Row],[BOOST '[BAR']]]-Table3[[#This Row],[58DD]]</f>
        <v>0</v>
      </c>
    </row>
    <row r="2056" spans="2:28" x14ac:dyDescent="0.25">
      <c r="B2056" s="2" t="s">
        <v>23</v>
      </c>
      <c r="C2056" s="2" t="s">
        <v>410</v>
      </c>
      <c r="D2056" s="2" t="s">
        <v>151</v>
      </c>
      <c r="E2056" s="2" t="s">
        <v>228</v>
      </c>
      <c r="F2056" s="2" t="s">
        <v>395</v>
      </c>
      <c r="G2056" s="2" t="s">
        <v>28</v>
      </c>
      <c r="I2056">
        <f>HEX2DEC(_0811_173439[[#This Row],[580C]])*B$4/B$5+B$6</f>
        <v>0</v>
      </c>
      <c r="J2056">
        <f>HEX2DEC(_0811_173439[[#This Row],[4402]])*C$4/C$5+C$6</f>
        <v>39</v>
      </c>
      <c r="K2056">
        <f>HEX2DEC(_0811_173439[[#This Row],[580F]])*D$4/D$5+D$6</f>
        <v>30</v>
      </c>
      <c r="L2056">
        <f>ROUND(HEX2DEC(_0811_173439[[#This Row],[58F0]])*E$4/E$5+E$6,0)</f>
        <v>72</v>
      </c>
      <c r="M2056">
        <f>ROUND(HEX2DEC(_0811_173439[[#This Row],[5805]])*F$4/F$5+F$6,0)</f>
        <v>47</v>
      </c>
      <c r="N2056">
        <f>ROUND(HEX2DEC(_0811_173439[[#This Row],[58DD]])*G$4/G$5+G$6,2)</f>
        <v>-0.02</v>
      </c>
      <c r="P2056">
        <v>0</v>
      </c>
      <c r="Q2056">
        <v>39</v>
      </c>
      <c r="R2056">
        <v>30</v>
      </c>
      <c r="S2056">
        <v>72</v>
      </c>
      <c r="T2056">
        <v>46</v>
      </c>
      <c r="U2056">
        <v>-0.02</v>
      </c>
      <c r="W2056">
        <f>DataLog_T717420_Aug11_4_59_37pm[[#This Row],[RPM '[1/MIN']]]-Table3[[#This Row],[580C]]</f>
        <v>0</v>
      </c>
      <c r="X2056">
        <f>DataLog_T717420_Aug11_4_59_37pm[[#This Row],[OIL TEMP '[Â°C']]]-Table3[[#This Row],[4402]]</f>
        <v>0</v>
      </c>
      <c r="Y2056">
        <f>DataLog_T717420_Aug11_4_59_37pm[[#This Row],[INTAKE TEMP '[Â°C']]]-Table3[[#This Row],[580F]]</f>
        <v>0</v>
      </c>
      <c r="Z2056">
        <f>DataLog_T717420_Aug11_4_59_37pm[[#This Row],[HPFP PRES. '[BAR']]]-Table3[[#This Row],[58F0]]</f>
        <v>0</v>
      </c>
      <c r="AA2056">
        <f>DataLog_T717420_Aug11_4_59_37pm[[#This Row],[COOLANT TEMP '[Â°C']]]-Table3[[#This Row],[5805]]</f>
        <v>-1</v>
      </c>
      <c r="AB2056">
        <f>DataLog_T717420_Aug11_4_59_37pm[[#This Row],[BOOST '[BAR']]]-Table3[[#This Row],[58DD]]</f>
        <v>0</v>
      </c>
    </row>
    <row r="2057" spans="2:28" x14ac:dyDescent="0.25">
      <c r="B2057" s="2" t="s">
        <v>23</v>
      </c>
      <c r="C2057" s="2" t="s">
        <v>410</v>
      </c>
      <c r="D2057" s="2" t="s">
        <v>151</v>
      </c>
      <c r="E2057" s="2" t="s">
        <v>231</v>
      </c>
      <c r="F2057" s="2" t="s">
        <v>395</v>
      </c>
      <c r="G2057" s="2" t="s">
        <v>27</v>
      </c>
      <c r="I2057">
        <f>HEX2DEC(_0811_173439[[#This Row],[580C]])*B$4/B$5+B$6</f>
        <v>0</v>
      </c>
      <c r="J2057">
        <f>HEX2DEC(_0811_173439[[#This Row],[4402]])*C$4/C$5+C$6</f>
        <v>39</v>
      </c>
      <c r="K2057">
        <f>HEX2DEC(_0811_173439[[#This Row],[580F]])*D$4/D$5+D$6</f>
        <v>30</v>
      </c>
      <c r="L2057">
        <f>ROUND(HEX2DEC(_0811_173439[[#This Row],[58F0]])*E$4/E$5+E$6,0)</f>
        <v>72</v>
      </c>
      <c r="M2057">
        <f>ROUND(HEX2DEC(_0811_173439[[#This Row],[5805]])*F$4/F$5+F$6,0)</f>
        <v>47</v>
      </c>
      <c r="N2057">
        <f>ROUND(HEX2DEC(_0811_173439[[#This Row],[58DD]])*G$4/G$5+G$6,2)</f>
        <v>-0.03</v>
      </c>
      <c r="P2057">
        <v>0</v>
      </c>
      <c r="Q2057">
        <v>39</v>
      </c>
      <c r="R2057">
        <v>30</v>
      </c>
      <c r="S2057">
        <v>72</v>
      </c>
      <c r="T2057">
        <v>46</v>
      </c>
      <c r="U2057">
        <v>-0.03</v>
      </c>
      <c r="W2057">
        <f>DataLog_T717420_Aug11_4_59_37pm[[#This Row],[RPM '[1/MIN']]]-Table3[[#This Row],[580C]]</f>
        <v>0</v>
      </c>
      <c r="X2057">
        <f>DataLog_T717420_Aug11_4_59_37pm[[#This Row],[OIL TEMP '[Â°C']]]-Table3[[#This Row],[4402]]</f>
        <v>0</v>
      </c>
      <c r="Y2057">
        <f>DataLog_T717420_Aug11_4_59_37pm[[#This Row],[INTAKE TEMP '[Â°C']]]-Table3[[#This Row],[580F]]</f>
        <v>0</v>
      </c>
      <c r="Z2057">
        <f>DataLog_T717420_Aug11_4_59_37pm[[#This Row],[HPFP PRES. '[BAR']]]-Table3[[#This Row],[58F0]]</f>
        <v>0</v>
      </c>
      <c r="AA2057">
        <f>DataLog_T717420_Aug11_4_59_37pm[[#This Row],[COOLANT TEMP '[Â°C']]]-Table3[[#This Row],[5805]]</f>
        <v>-1</v>
      </c>
      <c r="AB2057">
        <f>DataLog_T717420_Aug11_4_59_37pm[[#This Row],[BOOST '[BAR']]]-Table3[[#This Row],[58DD]]</f>
        <v>0</v>
      </c>
    </row>
    <row r="2058" spans="2:28" x14ac:dyDescent="0.25">
      <c r="B2058" s="2" t="s">
        <v>23</v>
      </c>
      <c r="C2058" s="2" t="s">
        <v>410</v>
      </c>
      <c r="D2058" s="2" t="s">
        <v>151</v>
      </c>
      <c r="E2058" s="2" t="s">
        <v>231</v>
      </c>
      <c r="F2058" s="2" t="s">
        <v>395</v>
      </c>
      <c r="G2058" s="2" t="s">
        <v>27</v>
      </c>
      <c r="I2058">
        <f>HEX2DEC(_0811_173439[[#This Row],[580C]])*B$4/B$5+B$6</f>
        <v>0</v>
      </c>
      <c r="J2058">
        <f>HEX2DEC(_0811_173439[[#This Row],[4402]])*C$4/C$5+C$6</f>
        <v>39</v>
      </c>
      <c r="K2058">
        <f>HEX2DEC(_0811_173439[[#This Row],[580F]])*D$4/D$5+D$6</f>
        <v>30</v>
      </c>
      <c r="L2058">
        <f>ROUND(HEX2DEC(_0811_173439[[#This Row],[58F0]])*E$4/E$5+E$6,0)</f>
        <v>72</v>
      </c>
      <c r="M2058">
        <f>ROUND(HEX2DEC(_0811_173439[[#This Row],[5805]])*F$4/F$5+F$6,0)</f>
        <v>47</v>
      </c>
      <c r="N2058">
        <f>ROUND(HEX2DEC(_0811_173439[[#This Row],[58DD]])*G$4/G$5+G$6,2)</f>
        <v>-0.03</v>
      </c>
      <c r="P2058">
        <v>0</v>
      </c>
      <c r="Q2058">
        <v>39</v>
      </c>
      <c r="R2058">
        <v>30</v>
      </c>
      <c r="S2058">
        <v>72</v>
      </c>
      <c r="T2058">
        <v>46</v>
      </c>
      <c r="U2058">
        <v>-0.03</v>
      </c>
      <c r="W2058">
        <f>DataLog_T717420_Aug11_4_59_37pm[[#This Row],[RPM '[1/MIN']]]-Table3[[#This Row],[580C]]</f>
        <v>0</v>
      </c>
      <c r="X2058">
        <f>DataLog_T717420_Aug11_4_59_37pm[[#This Row],[OIL TEMP '[Â°C']]]-Table3[[#This Row],[4402]]</f>
        <v>0</v>
      </c>
      <c r="Y2058">
        <f>DataLog_T717420_Aug11_4_59_37pm[[#This Row],[INTAKE TEMP '[Â°C']]]-Table3[[#This Row],[580F]]</f>
        <v>0</v>
      </c>
      <c r="Z2058">
        <f>DataLog_T717420_Aug11_4_59_37pm[[#This Row],[HPFP PRES. '[BAR']]]-Table3[[#This Row],[58F0]]</f>
        <v>0</v>
      </c>
      <c r="AA2058">
        <f>DataLog_T717420_Aug11_4_59_37pm[[#This Row],[COOLANT TEMP '[Â°C']]]-Table3[[#This Row],[5805]]</f>
        <v>-1</v>
      </c>
      <c r="AB2058">
        <f>DataLog_T717420_Aug11_4_59_37pm[[#This Row],[BOOST '[BAR']]]-Table3[[#This Row],[58DD]]</f>
        <v>0</v>
      </c>
    </row>
    <row r="2059" spans="2:28" x14ac:dyDescent="0.25">
      <c r="B2059" s="2" t="s">
        <v>23</v>
      </c>
      <c r="C2059" s="2" t="s">
        <v>410</v>
      </c>
      <c r="D2059" s="2" t="s">
        <v>151</v>
      </c>
      <c r="E2059" s="2" t="s">
        <v>231</v>
      </c>
      <c r="F2059" s="2" t="s">
        <v>395</v>
      </c>
      <c r="G2059" s="2" t="s">
        <v>27</v>
      </c>
      <c r="I2059">
        <f>HEX2DEC(_0811_173439[[#This Row],[580C]])*B$4/B$5+B$6</f>
        <v>0</v>
      </c>
      <c r="J2059">
        <f>HEX2DEC(_0811_173439[[#This Row],[4402]])*C$4/C$5+C$6</f>
        <v>39</v>
      </c>
      <c r="K2059">
        <f>HEX2DEC(_0811_173439[[#This Row],[580F]])*D$4/D$5+D$6</f>
        <v>30</v>
      </c>
      <c r="L2059">
        <f>ROUND(HEX2DEC(_0811_173439[[#This Row],[58F0]])*E$4/E$5+E$6,0)</f>
        <v>72</v>
      </c>
      <c r="M2059">
        <f>ROUND(HEX2DEC(_0811_173439[[#This Row],[5805]])*F$4/F$5+F$6,0)</f>
        <v>47</v>
      </c>
      <c r="N2059">
        <f>ROUND(HEX2DEC(_0811_173439[[#This Row],[58DD]])*G$4/G$5+G$6,2)</f>
        <v>-0.03</v>
      </c>
      <c r="P2059">
        <v>0</v>
      </c>
      <c r="Q2059">
        <v>39</v>
      </c>
      <c r="R2059">
        <v>30</v>
      </c>
      <c r="S2059">
        <v>72</v>
      </c>
      <c r="T2059">
        <v>46</v>
      </c>
      <c r="U2059">
        <v>-0.03</v>
      </c>
      <c r="W2059">
        <f>DataLog_T717420_Aug11_4_59_37pm[[#This Row],[RPM '[1/MIN']]]-Table3[[#This Row],[580C]]</f>
        <v>0</v>
      </c>
      <c r="X2059">
        <f>DataLog_T717420_Aug11_4_59_37pm[[#This Row],[OIL TEMP '[Â°C']]]-Table3[[#This Row],[4402]]</f>
        <v>0</v>
      </c>
      <c r="Y2059">
        <f>DataLog_T717420_Aug11_4_59_37pm[[#This Row],[INTAKE TEMP '[Â°C']]]-Table3[[#This Row],[580F]]</f>
        <v>0</v>
      </c>
      <c r="Z2059">
        <f>DataLog_T717420_Aug11_4_59_37pm[[#This Row],[HPFP PRES. '[BAR']]]-Table3[[#This Row],[58F0]]</f>
        <v>0</v>
      </c>
      <c r="AA2059">
        <f>DataLog_T717420_Aug11_4_59_37pm[[#This Row],[COOLANT TEMP '[Â°C']]]-Table3[[#This Row],[5805]]</f>
        <v>-1</v>
      </c>
      <c r="AB2059">
        <f>DataLog_T717420_Aug11_4_59_37pm[[#This Row],[BOOST '[BAR']]]-Table3[[#This Row],[58DD]]</f>
        <v>0</v>
      </c>
    </row>
    <row r="2060" spans="2:28" x14ac:dyDescent="0.25">
      <c r="B2060" s="2" t="s">
        <v>23</v>
      </c>
      <c r="C2060" s="2" t="s">
        <v>410</v>
      </c>
      <c r="D2060" s="2" t="s">
        <v>151</v>
      </c>
      <c r="E2060" s="2" t="s">
        <v>231</v>
      </c>
      <c r="F2060" s="2" t="s">
        <v>395</v>
      </c>
      <c r="G2060" s="2" t="s">
        <v>27</v>
      </c>
      <c r="I2060">
        <f>HEX2DEC(_0811_173439[[#This Row],[580C]])*B$4/B$5+B$6</f>
        <v>0</v>
      </c>
      <c r="J2060">
        <f>HEX2DEC(_0811_173439[[#This Row],[4402]])*C$4/C$5+C$6</f>
        <v>39</v>
      </c>
      <c r="K2060">
        <f>HEX2DEC(_0811_173439[[#This Row],[580F]])*D$4/D$5+D$6</f>
        <v>30</v>
      </c>
      <c r="L2060">
        <f>ROUND(HEX2DEC(_0811_173439[[#This Row],[58F0]])*E$4/E$5+E$6,0)</f>
        <v>72</v>
      </c>
      <c r="M2060">
        <f>ROUND(HEX2DEC(_0811_173439[[#This Row],[5805]])*F$4/F$5+F$6,0)</f>
        <v>47</v>
      </c>
      <c r="N2060">
        <f>ROUND(HEX2DEC(_0811_173439[[#This Row],[58DD]])*G$4/G$5+G$6,2)</f>
        <v>-0.03</v>
      </c>
      <c r="P2060">
        <v>0</v>
      </c>
      <c r="Q2060">
        <v>39</v>
      </c>
      <c r="R2060">
        <v>30</v>
      </c>
      <c r="S2060">
        <v>72</v>
      </c>
      <c r="T2060">
        <v>46</v>
      </c>
      <c r="U2060">
        <v>-0.03</v>
      </c>
      <c r="W2060">
        <f>DataLog_T717420_Aug11_4_59_37pm[[#This Row],[RPM '[1/MIN']]]-Table3[[#This Row],[580C]]</f>
        <v>0</v>
      </c>
      <c r="X2060">
        <f>DataLog_T717420_Aug11_4_59_37pm[[#This Row],[OIL TEMP '[Â°C']]]-Table3[[#This Row],[4402]]</f>
        <v>0</v>
      </c>
      <c r="Y2060">
        <f>DataLog_T717420_Aug11_4_59_37pm[[#This Row],[INTAKE TEMP '[Â°C']]]-Table3[[#This Row],[580F]]</f>
        <v>0</v>
      </c>
      <c r="Z2060">
        <f>DataLog_T717420_Aug11_4_59_37pm[[#This Row],[HPFP PRES. '[BAR']]]-Table3[[#This Row],[58F0]]</f>
        <v>0</v>
      </c>
      <c r="AA2060">
        <f>DataLog_T717420_Aug11_4_59_37pm[[#This Row],[COOLANT TEMP '[Â°C']]]-Table3[[#This Row],[5805]]</f>
        <v>-1</v>
      </c>
      <c r="AB2060">
        <f>DataLog_T717420_Aug11_4_59_37pm[[#This Row],[BOOST '[BAR']]]-Table3[[#This Row],[58DD]]</f>
        <v>0</v>
      </c>
    </row>
    <row r="2061" spans="2:28" x14ac:dyDescent="0.25">
      <c r="B2061" s="2" t="s">
        <v>23</v>
      </c>
      <c r="C2061" s="2" t="s">
        <v>410</v>
      </c>
      <c r="D2061" s="2" t="s">
        <v>151</v>
      </c>
      <c r="E2061" s="2" t="s">
        <v>228</v>
      </c>
      <c r="F2061" s="2" t="s">
        <v>395</v>
      </c>
      <c r="G2061" s="2" t="s">
        <v>27</v>
      </c>
      <c r="I2061">
        <f>HEX2DEC(_0811_173439[[#This Row],[580C]])*B$4/B$5+B$6</f>
        <v>0</v>
      </c>
      <c r="J2061">
        <f>HEX2DEC(_0811_173439[[#This Row],[4402]])*C$4/C$5+C$6</f>
        <v>39</v>
      </c>
      <c r="K2061">
        <f>HEX2DEC(_0811_173439[[#This Row],[580F]])*D$4/D$5+D$6</f>
        <v>30</v>
      </c>
      <c r="L2061">
        <f>ROUND(HEX2DEC(_0811_173439[[#This Row],[58F0]])*E$4/E$5+E$6,0)</f>
        <v>72</v>
      </c>
      <c r="M2061">
        <f>ROUND(HEX2DEC(_0811_173439[[#This Row],[5805]])*F$4/F$5+F$6,0)</f>
        <v>47</v>
      </c>
      <c r="N2061">
        <f>ROUND(HEX2DEC(_0811_173439[[#This Row],[58DD]])*G$4/G$5+G$6,2)</f>
        <v>-0.03</v>
      </c>
      <c r="P2061">
        <v>0</v>
      </c>
      <c r="Q2061">
        <v>39</v>
      </c>
      <c r="R2061">
        <v>30</v>
      </c>
      <c r="S2061">
        <v>72</v>
      </c>
      <c r="T2061">
        <v>46</v>
      </c>
      <c r="U2061">
        <v>-0.03</v>
      </c>
      <c r="W2061">
        <f>DataLog_T717420_Aug11_4_59_37pm[[#This Row],[RPM '[1/MIN']]]-Table3[[#This Row],[580C]]</f>
        <v>0</v>
      </c>
      <c r="X2061">
        <f>DataLog_T717420_Aug11_4_59_37pm[[#This Row],[OIL TEMP '[Â°C']]]-Table3[[#This Row],[4402]]</f>
        <v>0</v>
      </c>
      <c r="Y2061">
        <f>DataLog_T717420_Aug11_4_59_37pm[[#This Row],[INTAKE TEMP '[Â°C']]]-Table3[[#This Row],[580F]]</f>
        <v>0</v>
      </c>
      <c r="Z2061">
        <f>DataLog_T717420_Aug11_4_59_37pm[[#This Row],[HPFP PRES. '[BAR']]]-Table3[[#This Row],[58F0]]</f>
        <v>0</v>
      </c>
      <c r="AA2061">
        <f>DataLog_T717420_Aug11_4_59_37pm[[#This Row],[COOLANT TEMP '[Â°C']]]-Table3[[#This Row],[5805]]</f>
        <v>-1</v>
      </c>
      <c r="AB2061">
        <f>DataLog_T717420_Aug11_4_59_37pm[[#This Row],[BOOST '[BAR']]]-Table3[[#This Row],[58DD]]</f>
        <v>0</v>
      </c>
    </row>
    <row r="2062" spans="2:28" x14ac:dyDescent="0.25">
      <c r="B2062" s="2" t="s">
        <v>23</v>
      </c>
      <c r="C2062" s="2" t="s">
        <v>410</v>
      </c>
      <c r="D2062" s="2" t="s">
        <v>151</v>
      </c>
      <c r="E2062" s="2" t="s">
        <v>228</v>
      </c>
      <c r="F2062" s="2" t="s">
        <v>409</v>
      </c>
      <c r="G2062" s="2" t="s">
        <v>27</v>
      </c>
      <c r="I2062">
        <f>HEX2DEC(_0811_173439[[#This Row],[580C]])*B$4/B$5+B$6</f>
        <v>0</v>
      </c>
      <c r="J2062">
        <f>HEX2DEC(_0811_173439[[#This Row],[4402]])*C$4/C$5+C$6</f>
        <v>39</v>
      </c>
      <c r="K2062">
        <f>HEX2DEC(_0811_173439[[#This Row],[580F]])*D$4/D$5+D$6</f>
        <v>30</v>
      </c>
      <c r="L2062">
        <f>ROUND(HEX2DEC(_0811_173439[[#This Row],[58F0]])*E$4/E$5+E$6,0)</f>
        <v>72</v>
      </c>
      <c r="M2062">
        <f>ROUND(HEX2DEC(_0811_173439[[#This Row],[5805]])*F$4/F$5+F$6,0)</f>
        <v>47</v>
      </c>
      <c r="N2062">
        <f>ROUND(HEX2DEC(_0811_173439[[#This Row],[58DD]])*G$4/G$5+G$6,2)</f>
        <v>-0.03</v>
      </c>
      <c r="P2062">
        <v>0</v>
      </c>
      <c r="Q2062">
        <v>39</v>
      </c>
      <c r="R2062">
        <v>30</v>
      </c>
      <c r="S2062">
        <v>72</v>
      </c>
      <c r="T2062">
        <v>47</v>
      </c>
      <c r="U2062">
        <v>-0.03</v>
      </c>
      <c r="W2062">
        <f>DataLog_T717420_Aug11_4_59_37pm[[#This Row],[RPM '[1/MIN']]]-Table3[[#This Row],[580C]]</f>
        <v>0</v>
      </c>
      <c r="X2062">
        <f>DataLog_T717420_Aug11_4_59_37pm[[#This Row],[OIL TEMP '[Â°C']]]-Table3[[#This Row],[4402]]</f>
        <v>0</v>
      </c>
      <c r="Y2062">
        <f>DataLog_T717420_Aug11_4_59_37pm[[#This Row],[INTAKE TEMP '[Â°C']]]-Table3[[#This Row],[580F]]</f>
        <v>0</v>
      </c>
      <c r="Z2062">
        <f>DataLog_T717420_Aug11_4_59_37pm[[#This Row],[HPFP PRES. '[BAR']]]-Table3[[#This Row],[58F0]]</f>
        <v>0</v>
      </c>
      <c r="AA2062">
        <f>DataLog_T717420_Aug11_4_59_37pm[[#This Row],[COOLANT TEMP '[Â°C']]]-Table3[[#This Row],[5805]]</f>
        <v>0</v>
      </c>
      <c r="AB2062">
        <f>DataLog_T717420_Aug11_4_59_37pm[[#This Row],[BOOST '[BAR']]]-Table3[[#This Row],[58DD]]</f>
        <v>0</v>
      </c>
    </row>
    <row r="2063" spans="2:28" x14ac:dyDescent="0.25">
      <c r="B2063" s="2" t="s">
        <v>23</v>
      </c>
      <c r="C2063" s="2" t="s">
        <v>410</v>
      </c>
      <c r="D2063" s="2" t="s">
        <v>151</v>
      </c>
      <c r="E2063" s="2" t="s">
        <v>228</v>
      </c>
      <c r="F2063" s="2" t="s">
        <v>409</v>
      </c>
      <c r="G2063" s="2" t="s">
        <v>27</v>
      </c>
      <c r="I2063">
        <f>HEX2DEC(_0811_173439[[#This Row],[580C]])*B$4/B$5+B$6</f>
        <v>0</v>
      </c>
      <c r="J2063">
        <f>HEX2DEC(_0811_173439[[#This Row],[4402]])*C$4/C$5+C$6</f>
        <v>39</v>
      </c>
      <c r="K2063">
        <f>HEX2DEC(_0811_173439[[#This Row],[580F]])*D$4/D$5+D$6</f>
        <v>30</v>
      </c>
      <c r="L2063">
        <f>ROUND(HEX2DEC(_0811_173439[[#This Row],[58F0]])*E$4/E$5+E$6,0)</f>
        <v>72</v>
      </c>
      <c r="M2063">
        <f>ROUND(HEX2DEC(_0811_173439[[#This Row],[5805]])*F$4/F$5+F$6,0)</f>
        <v>47</v>
      </c>
      <c r="N2063">
        <f>ROUND(HEX2DEC(_0811_173439[[#This Row],[58DD]])*G$4/G$5+G$6,2)</f>
        <v>-0.03</v>
      </c>
      <c r="P2063">
        <v>0</v>
      </c>
      <c r="Q2063">
        <v>39</v>
      </c>
      <c r="R2063">
        <v>30</v>
      </c>
      <c r="S2063">
        <v>72</v>
      </c>
      <c r="T2063">
        <v>47</v>
      </c>
      <c r="U2063">
        <v>-0.03</v>
      </c>
      <c r="W2063">
        <f>DataLog_T717420_Aug11_4_59_37pm[[#This Row],[RPM '[1/MIN']]]-Table3[[#This Row],[580C]]</f>
        <v>0</v>
      </c>
      <c r="X2063">
        <f>DataLog_T717420_Aug11_4_59_37pm[[#This Row],[OIL TEMP '[Â°C']]]-Table3[[#This Row],[4402]]</f>
        <v>0</v>
      </c>
      <c r="Y2063">
        <f>DataLog_T717420_Aug11_4_59_37pm[[#This Row],[INTAKE TEMP '[Â°C']]]-Table3[[#This Row],[580F]]</f>
        <v>0</v>
      </c>
      <c r="Z2063">
        <f>DataLog_T717420_Aug11_4_59_37pm[[#This Row],[HPFP PRES. '[BAR']]]-Table3[[#This Row],[58F0]]</f>
        <v>0</v>
      </c>
      <c r="AA2063">
        <f>DataLog_T717420_Aug11_4_59_37pm[[#This Row],[COOLANT TEMP '[Â°C']]]-Table3[[#This Row],[5805]]</f>
        <v>0</v>
      </c>
      <c r="AB2063">
        <f>DataLog_T717420_Aug11_4_59_37pm[[#This Row],[BOOST '[BAR']]]-Table3[[#This Row],[58DD]]</f>
        <v>0</v>
      </c>
    </row>
    <row r="2064" spans="2:28" x14ac:dyDescent="0.25">
      <c r="B2064" s="2" t="s">
        <v>23</v>
      </c>
      <c r="C2064" s="2" t="s">
        <v>410</v>
      </c>
      <c r="D2064" s="2" t="s">
        <v>151</v>
      </c>
      <c r="E2064" s="2" t="s">
        <v>228</v>
      </c>
      <c r="F2064" s="2" t="s">
        <v>395</v>
      </c>
      <c r="G2064" s="2" t="s">
        <v>28</v>
      </c>
      <c r="I2064">
        <f>HEX2DEC(_0811_173439[[#This Row],[580C]])*B$4/B$5+B$6</f>
        <v>0</v>
      </c>
      <c r="J2064">
        <f>HEX2DEC(_0811_173439[[#This Row],[4402]])*C$4/C$5+C$6</f>
        <v>39</v>
      </c>
      <c r="K2064">
        <f>HEX2DEC(_0811_173439[[#This Row],[580F]])*D$4/D$5+D$6</f>
        <v>30</v>
      </c>
      <c r="L2064">
        <f>ROUND(HEX2DEC(_0811_173439[[#This Row],[58F0]])*E$4/E$5+E$6,0)</f>
        <v>72</v>
      </c>
      <c r="M2064">
        <f>ROUND(HEX2DEC(_0811_173439[[#This Row],[5805]])*F$4/F$5+F$6,0)</f>
        <v>47</v>
      </c>
      <c r="N2064">
        <f>ROUND(HEX2DEC(_0811_173439[[#This Row],[58DD]])*G$4/G$5+G$6,2)</f>
        <v>-0.02</v>
      </c>
      <c r="P2064">
        <v>0</v>
      </c>
      <c r="Q2064">
        <v>39</v>
      </c>
      <c r="R2064">
        <v>30</v>
      </c>
      <c r="S2064">
        <v>72</v>
      </c>
      <c r="T2064">
        <v>46</v>
      </c>
      <c r="U2064">
        <v>-0.02</v>
      </c>
      <c r="W2064">
        <f>DataLog_T717420_Aug11_4_59_37pm[[#This Row],[RPM '[1/MIN']]]-Table3[[#This Row],[580C]]</f>
        <v>0</v>
      </c>
      <c r="X2064">
        <f>DataLog_T717420_Aug11_4_59_37pm[[#This Row],[OIL TEMP '[Â°C']]]-Table3[[#This Row],[4402]]</f>
        <v>0</v>
      </c>
      <c r="Y2064">
        <f>DataLog_T717420_Aug11_4_59_37pm[[#This Row],[INTAKE TEMP '[Â°C']]]-Table3[[#This Row],[580F]]</f>
        <v>0</v>
      </c>
      <c r="Z2064">
        <f>DataLog_T717420_Aug11_4_59_37pm[[#This Row],[HPFP PRES. '[BAR']]]-Table3[[#This Row],[58F0]]</f>
        <v>0</v>
      </c>
      <c r="AA2064">
        <f>DataLog_T717420_Aug11_4_59_37pm[[#This Row],[COOLANT TEMP '[Â°C']]]-Table3[[#This Row],[5805]]</f>
        <v>-1</v>
      </c>
      <c r="AB2064">
        <f>DataLog_T717420_Aug11_4_59_37pm[[#This Row],[BOOST '[BAR']]]-Table3[[#This Row],[58DD]]</f>
        <v>0</v>
      </c>
    </row>
    <row r="2065" spans="2:28" x14ac:dyDescent="0.25">
      <c r="B2065" s="2" t="s">
        <v>23</v>
      </c>
      <c r="C2065" s="2" t="s">
        <v>410</v>
      </c>
      <c r="D2065" s="2" t="s">
        <v>151</v>
      </c>
      <c r="E2065" s="2" t="s">
        <v>228</v>
      </c>
      <c r="F2065" s="2" t="s">
        <v>395</v>
      </c>
      <c r="G2065" s="2" t="s">
        <v>27</v>
      </c>
      <c r="I2065">
        <f>HEX2DEC(_0811_173439[[#This Row],[580C]])*B$4/B$5+B$6</f>
        <v>0</v>
      </c>
      <c r="J2065">
        <f>HEX2DEC(_0811_173439[[#This Row],[4402]])*C$4/C$5+C$6</f>
        <v>39</v>
      </c>
      <c r="K2065">
        <f>HEX2DEC(_0811_173439[[#This Row],[580F]])*D$4/D$5+D$6</f>
        <v>30</v>
      </c>
      <c r="L2065">
        <f>ROUND(HEX2DEC(_0811_173439[[#This Row],[58F0]])*E$4/E$5+E$6,0)</f>
        <v>72</v>
      </c>
      <c r="M2065">
        <f>ROUND(HEX2DEC(_0811_173439[[#This Row],[5805]])*F$4/F$5+F$6,0)</f>
        <v>47</v>
      </c>
      <c r="N2065">
        <f>ROUND(HEX2DEC(_0811_173439[[#This Row],[58DD]])*G$4/G$5+G$6,2)</f>
        <v>-0.03</v>
      </c>
      <c r="P2065">
        <v>0</v>
      </c>
      <c r="Q2065">
        <v>39</v>
      </c>
      <c r="R2065">
        <v>30</v>
      </c>
      <c r="S2065">
        <v>72</v>
      </c>
      <c r="T2065">
        <v>46</v>
      </c>
      <c r="U2065">
        <v>-0.03</v>
      </c>
      <c r="W2065">
        <f>DataLog_T717420_Aug11_4_59_37pm[[#This Row],[RPM '[1/MIN']]]-Table3[[#This Row],[580C]]</f>
        <v>0</v>
      </c>
      <c r="X2065">
        <f>DataLog_T717420_Aug11_4_59_37pm[[#This Row],[OIL TEMP '[Â°C']]]-Table3[[#This Row],[4402]]</f>
        <v>0</v>
      </c>
      <c r="Y2065">
        <f>DataLog_T717420_Aug11_4_59_37pm[[#This Row],[INTAKE TEMP '[Â°C']]]-Table3[[#This Row],[580F]]</f>
        <v>0</v>
      </c>
      <c r="Z2065">
        <f>DataLog_T717420_Aug11_4_59_37pm[[#This Row],[HPFP PRES. '[BAR']]]-Table3[[#This Row],[58F0]]</f>
        <v>0</v>
      </c>
      <c r="AA2065">
        <f>DataLog_T717420_Aug11_4_59_37pm[[#This Row],[COOLANT TEMP '[Â°C']]]-Table3[[#This Row],[5805]]</f>
        <v>-1</v>
      </c>
      <c r="AB2065">
        <f>DataLog_T717420_Aug11_4_59_37pm[[#This Row],[BOOST '[BAR']]]-Table3[[#This Row],[58DD]]</f>
        <v>0</v>
      </c>
    </row>
    <row r="2066" spans="2:28" x14ac:dyDescent="0.25">
      <c r="B2066" s="2" t="s">
        <v>23</v>
      </c>
      <c r="C2066" s="2" t="s">
        <v>410</v>
      </c>
      <c r="D2066" s="2" t="s">
        <v>151</v>
      </c>
      <c r="E2066" s="2" t="s">
        <v>228</v>
      </c>
      <c r="F2066" s="2" t="s">
        <v>395</v>
      </c>
      <c r="G2066" s="2" t="s">
        <v>27</v>
      </c>
      <c r="I2066">
        <f>HEX2DEC(_0811_173439[[#This Row],[580C]])*B$4/B$5+B$6</f>
        <v>0</v>
      </c>
      <c r="J2066">
        <f>HEX2DEC(_0811_173439[[#This Row],[4402]])*C$4/C$5+C$6</f>
        <v>39</v>
      </c>
      <c r="K2066">
        <f>HEX2DEC(_0811_173439[[#This Row],[580F]])*D$4/D$5+D$6</f>
        <v>30</v>
      </c>
      <c r="L2066">
        <f>ROUND(HEX2DEC(_0811_173439[[#This Row],[58F0]])*E$4/E$5+E$6,0)</f>
        <v>72</v>
      </c>
      <c r="M2066">
        <f>ROUND(HEX2DEC(_0811_173439[[#This Row],[5805]])*F$4/F$5+F$6,0)</f>
        <v>47</v>
      </c>
      <c r="N2066">
        <f>ROUND(HEX2DEC(_0811_173439[[#This Row],[58DD]])*G$4/G$5+G$6,2)</f>
        <v>-0.03</v>
      </c>
      <c r="P2066">
        <v>0</v>
      </c>
      <c r="Q2066">
        <v>39</v>
      </c>
      <c r="R2066">
        <v>30</v>
      </c>
      <c r="S2066">
        <v>72</v>
      </c>
      <c r="T2066">
        <v>46</v>
      </c>
      <c r="U2066">
        <v>-0.03</v>
      </c>
      <c r="W2066">
        <f>DataLog_T717420_Aug11_4_59_37pm[[#This Row],[RPM '[1/MIN']]]-Table3[[#This Row],[580C]]</f>
        <v>0</v>
      </c>
      <c r="X2066">
        <f>DataLog_T717420_Aug11_4_59_37pm[[#This Row],[OIL TEMP '[Â°C']]]-Table3[[#This Row],[4402]]</f>
        <v>0</v>
      </c>
      <c r="Y2066">
        <f>DataLog_T717420_Aug11_4_59_37pm[[#This Row],[INTAKE TEMP '[Â°C']]]-Table3[[#This Row],[580F]]</f>
        <v>0</v>
      </c>
      <c r="Z2066">
        <f>DataLog_T717420_Aug11_4_59_37pm[[#This Row],[HPFP PRES. '[BAR']]]-Table3[[#This Row],[58F0]]</f>
        <v>0</v>
      </c>
      <c r="AA2066">
        <f>DataLog_T717420_Aug11_4_59_37pm[[#This Row],[COOLANT TEMP '[Â°C']]]-Table3[[#This Row],[5805]]</f>
        <v>-1</v>
      </c>
      <c r="AB2066">
        <f>DataLog_T717420_Aug11_4_59_37pm[[#This Row],[BOOST '[BAR']]]-Table3[[#This Row],[58DD]]</f>
        <v>0</v>
      </c>
    </row>
    <row r="2067" spans="2:28" x14ac:dyDescent="0.25">
      <c r="B2067" s="2" t="s">
        <v>23</v>
      </c>
      <c r="C2067" s="2" t="s">
        <v>410</v>
      </c>
      <c r="D2067" s="2" t="s">
        <v>151</v>
      </c>
      <c r="E2067" s="2" t="s">
        <v>228</v>
      </c>
      <c r="F2067" s="2" t="s">
        <v>395</v>
      </c>
      <c r="G2067" s="2" t="s">
        <v>28</v>
      </c>
      <c r="I2067">
        <f>HEX2DEC(_0811_173439[[#This Row],[580C]])*B$4/B$5+B$6</f>
        <v>0</v>
      </c>
      <c r="J2067">
        <f>HEX2DEC(_0811_173439[[#This Row],[4402]])*C$4/C$5+C$6</f>
        <v>39</v>
      </c>
      <c r="K2067">
        <f>HEX2DEC(_0811_173439[[#This Row],[580F]])*D$4/D$5+D$6</f>
        <v>30</v>
      </c>
      <c r="L2067">
        <f>ROUND(HEX2DEC(_0811_173439[[#This Row],[58F0]])*E$4/E$5+E$6,0)</f>
        <v>72</v>
      </c>
      <c r="M2067">
        <f>ROUND(HEX2DEC(_0811_173439[[#This Row],[5805]])*F$4/F$5+F$6,0)</f>
        <v>47</v>
      </c>
      <c r="N2067">
        <f>ROUND(HEX2DEC(_0811_173439[[#This Row],[58DD]])*G$4/G$5+G$6,2)</f>
        <v>-0.02</v>
      </c>
      <c r="P2067">
        <v>0</v>
      </c>
      <c r="Q2067">
        <v>39</v>
      </c>
      <c r="R2067">
        <v>30</v>
      </c>
      <c r="S2067">
        <v>72</v>
      </c>
      <c r="T2067">
        <v>46</v>
      </c>
      <c r="U2067">
        <v>-0.02</v>
      </c>
      <c r="W2067">
        <f>DataLog_T717420_Aug11_4_59_37pm[[#This Row],[RPM '[1/MIN']]]-Table3[[#This Row],[580C]]</f>
        <v>0</v>
      </c>
      <c r="X2067">
        <f>DataLog_T717420_Aug11_4_59_37pm[[#This Row],[OIL TEMP '[Â°C']]]-Table3[[#This Row],[4402]]</f>
        <v>0</v>
      </c>
      <c r="Y2067">
        <f>DataLog_T717420_Aug11_4_59_37pm[[#This Row],[INTAKE TEMP '[Â°C']]]-Table3[[#This Row],[580F]]</f>
        <v>0</v>
      </c>
      <c r="Z2067">
        <f>DataLog_T717420_Aug11_4_59_37pm[[#This Row],[HPFP PRES. '[BAR']]]-Table3[[#This Row],[58F0]]</f>
        <v>0</v>
      </c>
      <c r="AA2067">
        <f>DataLog_T717420_Aug11_4_59_37pm[[#This Row],[COOLANT TEMP '[Â°C']]]-Table3[[#This Row],[5805]]</f>
        <v>-1</v>
      </c>
      <c r="AB2067">
        <f>DataLog_T717420_Aug11_4_59_37pm[[#This Row],[BOOST '[BAR']]]-Table3[[#This Row],[58DD]]</f>
        <v>0</v>
      </c>
    </row>
    <row r="2068" spans="2:28" x14ac:dyDescent="0.25">
      <c r="B2068" s="2" t="s">
        <v>23</v>
      </c>
      <c r="C2068" s="2" t="s">
        <v>410</v>
      </c>
      <c r="D2068" s="2" t="s">
        <v>151</v>
      </c>
      <c r="E2068" s="2" t="s">
        <v>228</v>
      </c>
      <c r="F2068" s="2" t="s">
        <v>395</v>
      </c>
      <c r="G2068" s="2" t="s">
        <v>27</v>
      </c>
      <c r="I2068">
        <f>HEX2DEC(_0811_173439[[#This Row],[580C]])*B$4/B$5+B$6</f>
        <v>0</v>
      </c>
      <c r="J2068">
        <f>HEX2DEC(_0811_173439[[#This Row],[4402]])*C$4/C$5+C$6</f>
        <v>39</v>
      </c>
      <c r="K2068">
        <f>HEX2DEC(_0811_173439[[#This Row],[580F]])*D$4/D$5+D$6</f>
        <v>30</v>
      </c>
      <c r="L2068">
        <f>ROUND(HEX2DEC(_0811_173439[[#This Row],[58F0]])*E$4/E$5+E$6,0)</f>
        <v>72</v>
      </c>
      <c r="M2068">
        <f>ROUND(HEX2DEC(_0811_173439[[#This Row],[5805]])*F$4/F$5+F$6,0)</f>
        <v>47</v>
      </c>
      <c r="N2068">
        <f>ROUND(HEX2DEC(_0811_173439[[#This Row],[58DD]])*G$4/G$5+G$6,2)</f>
        <v>-0.03</v>
      </c>
      <c r="P2068">
        <v>0</v>
      </c>
      <c r="Q2068">
        <v>39</v>
      </c>
      <c r="R2068">
        <v>30</v>
      </c>
      <c r="S2068">
        <v>72</v>
      </c>
      <c r="T2068">
        <v>46</v>
      </c>
      <c r="U2068">
        <v>-0.03</v>
      </c>
      <c r="W2068">
        <f>DataLog_T717420_Aug11_4_59_37pm[[#This Row],[RPM '[1/MIN']]]-Table3[[#This Row],[580C]]</f>
        <v>0</v>
      </c>
      <c r="X2068">
        <f>DataLog_T717420_Aug11_4_59_37pm[[#This Row],[OIL TEMP '[Â°C']]]-Table3[[#This Row],[4402]]</f>
        <v>0</v>
      </c>
      <c r="Y2068">
        <f>DataLog_T717420_Aug11_4_59_37pm[[#This Row],[INTAKE TEMP '[Â°C']]]-Table3[[#This Row],[580F]]</f>
        <v>0</v>
      </c>
      <c r="Z2068">
        <f>DataLog_T717420_Aug11_4_59_37pm[[#This Row],[HPFP PRES. '[BAR']]]-Table3[[#This Row],[58F0]]</f>
        <v>0</v>
      </c>
      <c r="AA2068">
        <f>DataLog_T717420_Aug11_4_59_37pm[[#This Row],[COOLANT TEMP '[Â°C']]]-Table3[[#This Row],[5805]]</f>
        <v>-1</v>
      </c>
      <c r="AB2068">
        <f>DataLog_T717420_Aug11_4_59_37pm[[#This Row],[BOOST '[BAR']]]-Table3[[#This Row],[58DD]]</f>
        <v>0</v>
      </c>
    </row>
    <row r="2069" spans="2:28" x14ac:dyDescent="0.25">
      <c r="B2069" s="2" t="s">
        <v>23</v>
      </c>
      <c r="C2069" s="2" t="s">
        <v>410</v>
      </c>
      <c r="D2069" s="2" t="s">
        <v>151</v>
      </c>
      <c r="E2069" s="2" t="s">
        <v>228</v>
      </c>
      <c r="F2069" s="2" t="s">
        <v>395</v>
      </c>
      <c r="G2069" s="2" t="s">
        <v>27</v>
      </c>
      <c r="I2069">
        <f>HEX2DEC(_0811_173439[[#This Row],[580C]])*B$4/B$5+B$6</f>
        <v>0</v>
      </c>
      <c r="J2069">
        <f>HEX2DEC(_0811_173439[[#This Row],[4402]])*C$4/C$5+C$6</f>
        <v>39</v>
      </c>
      <c r="K2069">
        <f>HEX2DEC(_0811_173439[[#This Row],[580F]])*D$4/D$5+D$6</f>
        <v>30</v>
      </c>
      <c r="L2069">
        <f>ROUND(HEX2DEC(_0811_173439[[#This Row],[58F0]])*E$4/E$5+E$6,0)</f>
        <v>72</v>
      </c>
      <c r="M2069">
        <f>ROUND(HEX2DEC(_0811_173439[[#This Row],[5805]])*F$4/F$5+F$6,0)</f>
        <v>47</v>
      </c>
      <c r="N2069">
        <f>ROUND(HEX2DEC(_0811_173439[[#This Row],[58DD]])*G$4/G$5+G$6,2)</f>
        <v>-0.03</v>
      </c>
      <c r="P2069">
        <v>0</v>
      </c>
      <c r="Q2069">
        <v>39</v>
      </c>
      <c r="R2069">
        <v>30</v>
      </c>
      <c r="S2069">
        <v>72</v>
      </c>
      <c r="T2069">
        <v>46</v>
      </c>
      <c r="U2069">
        <v>-0.03</v>
      </c>
      <c r="W2069">
        <f>DataLog_T717420_Aug11_4_59_37pm[[#This Row],[RPM '[1/MIN']]]-Table3[[#This Row],[580C]]</f>
        <v>0</v>
      </c>
      <c r="X2069">
        <f>DataLog_T717420_Aug11_4_59_37pm[[#This Row],[OIL TEMP '[Â°C']]]-Table3[[#This Row],[4402]]</f>
        <v>0</v>
      </c>
      <c r="Y2069">
        <f>DataLog_T717420_Aug11_4_59_37pm[[#This Row],[INTAKE TEMP '[Â°C']]]-Table3[[#This Row],[580F]]</f>
        <v>0</v>
      </c>
      <c r="Z2069">
        <f>DataLog_T717420_Aug11_4_59_37pm[[#This Row],[HPFP PRES. '[BAR']]]-Table3[[#This Row],[58F0]]</f>
        <v>0</v>
      </c>
      <c r="AA2069">
        <f>DataLog_T717420_Aug11_4_59_37pm[[#This Row],[COOLANT TEMP '[Â°C']]]-Table3[[#This Row],[5805]]</f>
        <v>-1</v>
      </c>
      <c r="AB2069">
        <f>DataLog_T717420_Aug11_4_59_37pm[[#This Row],[BOOST '[BAR']]]-Table3[[#This Row],[58DD]]</f>
        <v>0</v>
      </c>
    </row>
    <row r="2070" spans="2:28" x14ac:dyDescent="0.25">
      <c r="B2070" s="2" t="s">
        <v>23</v>
      </c>
      <c r="C2070" s="2" t="s">
        <v>410</v>
      </c>
      <c r="D2070" s="2" t="s">
        <v>151</v>
      </c>
      <c r="E2070" s="2" t="s">
        <v>228</v>
      </c>
      <c r="F2070" s="2" t="s">
        <v>395</v>
      </c>
      <c r="G2070" s="2" t="s">
        <v>27</v>
      </c>
      <c r="I2070">
        <f>HEX2DEC(_0811_173439[[#This Row],[580C]])*B$4/B$5+B$6</f>
        <v>0</v>
      </c>
      <c r="J2070">
        <f>HEX2DEC(_0811_173439[[#This Row],[4402]])*C$4/C$5+C$6</f>
        <v>39</v>
      </c>
      <c r="K2070">
        <f>HEX2DEC(_0811_173439[[#This Row],[580F]])*D$4/D$5+D$6</f>
        <v>30</v>
      </c>
      <c r="L2070">
        <f>ROUND(HEX2DEC(_0811_173439[[#This Row],[58F0]])*E$4/E$5+E$6,0)</f>
        <v>72</v>
      </c>
      <c r="M2070">
        <f>ROUND(HEX2DEC(_0811_173439[[#This Row],[5805]])*F$4/F$5+F$6,0)</f>
        <v>47</v>
      </c>
      <c r="N2070">
        <f>ROUND(HEX2DEC(_0811_173439[[#This Row],[58DD]])*G$4/G$5+G$6,2)</f>
        <v>-0.03</v>
      </c>
      <c r="P2070">
        <v>0</v>
      </c>
      <c r="Q2070">
        <v>39</v>
      </c>
      <c r="R2070">
        <v>30</v>
      </c>
      <c r="S2070">
        <v>72</v>
      </c>
      <c r="T2070">
        <v>46</v>
      </c>
      <c r="U2070">
        <v>-0.03</v>
      </c>
      <c r="W2070">
        <f>DataLog_T717420_Aug11_4_59_37pm[[#This Row],[RPM '[1/MIN']]]-Table3[[#This Row],[580C]]</f>
        <v>0</v>
      </c>
      <c r="X2070">
        <f>DataLog_T717420_Aug11_4_59_37pm[[#This Row],[OIL TEMP '[Â°C']]]-Table3[[#This Row],[4402]]</f>
        <v>0</v>
      </c>
      <c r="Y2070">
        <f>DataLog_T717420_Aug11_4_59_37pm[[#This Row],[INTAKE TEMP '[Â°C']]]-Table3[[#This Row],[580F]]</f>
        <v>0</v>
      </c>
      <c r="Z2070">
        <f>DataLog_T717420_Aug11_4_59_37pm[[#This Row],[HPFP PRES. '[BAR']]]-Table3[[#This Row],[58F0]]</f>
        <v>0</v>
      </c>
      <c r="AA2070">
        <f>DataLog_T717420_Aug11_4_59_37pm[[#This Row],[COOLANT TEMP '[Â°C']]]-Table3[[#This Row],[5805]]</f>
        <v>-1</v>
      </c>
      <c r="AB2070">
        <f>DataLog_T717420_Aug11_4_59_37pm[[#This Row],[BOOST '[BAR']]]-Table3[[#This Row],[58DD]]</f>
        <v>0</v>
      </c>
    </row>
    <row r="2071" spans="2:28" x14ac:dyDescent="0.25">
      <c r="B2071" s="2" t="s">
        <v>23</v>
      </c>
      <c r="C2071" s="2" t="s">
        <v>410</v>
      </c>
      <c r="D2071" s="2" t="s">
        <v>151</v>
      </c>
      <c r="E2071" s="2" t="s">
        <v>228</v>
      </c>
      <c r="F2071" s="2" t="s">
        <v>395</v>
      </c>
      <c r="G2071" s="2" t="s">
        <v>27</v>
      </c>
      <c r="I2071">
        <f>HEX2DEC(_0811_173439[[#This Row],[580C]])*B$4/B$5+B$6</f>
        <v>0</v>
      </c>
      <c r="J2071">
        <f>HEX2DEC(_0811_173439[[#This Row],[4402]])*C$4/C$5+C$6</f>
        <v>39</v>
      </c>
      <c r="K2071">
        <f>HEX2DEC(_0811_173439[[#This Row],[580F]])*D$4/D$5+D$6</f>
        <v>30</v>
      </c>
      <c r="L2071">
        <f>ROUND(HEX2DEC(_0811_173439[[#This Row],[58F0]])*E$4/E$5+E$6,0)</f>
        <v>72</v>
      </c>
      <c r="M2071">
        <f>ROUND(HEX2DEC(_0811_173439[[#This Row],[5805]])*F$4/F$5+F$6,0)</f>
        <v>47</v>
      </c>
      <c r="N2071">
        <f>ROUND(HEX2DEC(_0811_173439[[#This Row],[58DD]])*G$4/G$5+G$6,2)</f>
        <v>-0.03</v>
      </c>
      <c r="P2071">
        <v>0</v>
      </c>
      <c r="Q2071">
        <v>39</v>
      </c>
      <c r="R2071">
        <v>30</v>
      </c>
      <c r="S2071">
        <v>72</v>
      </c>
      <c r="T2071">
        <v>46</v>
      </c>
      <c r="U2071">
        <v>-0.03</v>
      </c>
      <c r="W2071">
        <f>DataLog_T717420_Aug11_4_59_37pm[[#This Row],[RPM '[1/MIN']]]-Table3[[#This Row],[580C]]</f>
        <v>0</v>
      </c>
      <c r="X2071">
        <f>DataLog_T717420_Aug11_4_59_37pm[[#This Row],[OIL TEMP '[Â°C']]]-Table3[[#This Row],[4402]]</f>
        <v>0</v>
      </c>
      <c r="Y2071">
        <f>DataLog_T717420_Aug11_4_59_37pm[[#This Row],[INTAKE TEMP '[Â°C']]]-Table3[[#This Row],[580F]]</f>
        <v>0</v>
      </c>
      <c r="Z2071">
        <f>DataLog_T717420_Aug11_4_59_37pm[[#This Row],[HPFP PRES. '[BAR']]]-Table3[[#This Row],[58F0]]</f>
        <v>0</v>
      </c>
      <c r="AA2071">
        <f>DataLog_T717420_Aug11_4_59_37pm[[#This Row],[COOLANT TEMP '[Â°C']]]-Table3[[#This Row],[5805]]</f>
        <v>-1</v>
      </c>
      <c r="AB2071">
        <f>DataLog_T717420_Aug11_4_59_37pm[[#This Row],[BOOST '[BAR']]]-Table3[[#This Row],[58DD]]</f>
        <v>0</v>
      </c>
    </row>
    <row r="2072" spans="2:28" x14ac:dyDescent="0.25">
      <c r="B2072" s="2" t="s">
        <v>23</v>
      </c>
      <c r="C2072" s="2" t="s">
        <v>410</v>
      </c>
      <c r="D2072" s="2" t="s">
        <v>151</v>
      </c>
      <c r="E2072" s="2" t="s">
        <v>228</v>
      </c>
      <c r="F2072" s="2" t="s">
        <v>395</v>
      </c>
      <c r="G2072" s="2" t="s">
        <v>27</v>
      </c>
      <c r="I2072">
        <f>HEX2DEC(_0811_173439[[#This Row],[580C]])*B$4/B$5+B$6</f>
        <v>0</v>
      </c>
      <c r="J2072">
        <f>HEX2DEC(_0811_173439[[#This Row],[4402]])*C$4/C$5+C$6</f>
        <v>39</v>
      </c>
      <c r="K2072">
        <f>HEX2DEC(_0811_173439[[#This Row],[580F]])*D$4/D$5+D$6</f>
        <v>30</v>
      </c>
      <c r="L2072">
        <f>ROUND(HEX2DEC(_0811_173439[[#This Row],[58F0]])*E$4/E$5+E$6,0)</f>
        <v>72</v>
      </c>
      <c r="M2072">
        <f>ROUND(HEX2DEC(_0811_173439[[#This Row],[5805]])*F$4/F$5+F$6,0)</f>
        <v>47</v>
      </c>
      <c r="N2072">
        <f>ROUND(HEX2DEC(_0811_173439[[#This Row],[58DD]])*G$4/G$5+G$6,2)</f>
        <v>-0.03</v>
      </c>
      <c r="P2072">
        <v>0</v>
      </c>
      <c r="Q2072">
        <v>39</v>
      </c>
      <c r="R2072">
        <v>30</v>
      </c>
      <c r="S2072">
        <v>72</v>
      </c>
      <c r="T2072">
        <v>46</v>
      </c>
      <c r="U2072">
        <v>-0.03</v>
      </c>
      <c r="W2072">
        <f>DataLog_T717420_Aug11_4_59_37pm[[#This Row],[RPM '[1/MIN']]]-Table3[[#This Row],[580C]]</f>
        <v>0</v>
      </c>
      <c r="X2072">
        <f>DataLog_T717420_Aug11_4_59_37pm[[#This Row],[OIL TEMP '[Â°C']]]-Table3[[#This Row],[4402]]</f>
        <v>0</v>
      </c>
      <c r="Y2072">
        <f>DataLog_T717420_Aug11_4_59_37pm[[#This Row],[INTAKE TEMP '[Â°C']]]-Table3[[#This Row],[580F]]</f>
        <v>0</v>
      </c>
      <c r="Z2072">
        <f>DataLog_T717420_Aug11_4_59_37pm[[#This Row],[HPFP PRES. '[BAR']]]-Table3[[#This Row],[58F0]]</f>
        <v>0</v>
      </c>
      <c r="AA2072">
        <f>DataLog_T717420_Aug11_4_59_37pm[[#This Row],[COOLANT TEMP '[Â°C']]]-Table3[[#This Row],[5805]]</f>
        <v>-1</v>
      </c>
      <c r="AB2072">
        <f>DataLog_T717420_Aug11_4_59_37pm[[#This Row],[BOOST '[BAR']]]-Table3[[#This Row],[58DD]]</f>
        <v>0</v>
      </c>
    </row>
    <row r="2073" spans="2:28" x14ac:dyDescent="0.25">
      <c r="B2073" s="2" t="s">
        <v>23</v>
      </c>
      <c r="C2073" s="2" t="s">
        <v>410</v>
      </c>
      <c r="D2073" s="2" t="s">
        <v>151</v>
      </c>
      <c r="E2073" s="2" t="s">
        <v>228</v>
      </c>
      <c r="F2073" s="2" t="s">
        <v>395</v>
      </c>
      <c r="G2073" s="2" t="s">
        <v>28</v>
      </c>
      <c r="I2073">
        <f>HEX2DEC(_0811_173439[[#This Row],[580C]])*B$4/B$5+B$6</f>
        <v>0</v>
      </c>
      <c r="J2073">
        <f>HEX2DEC(_0811_173439[[#This Row],[4402]])*C$4/C$5+C$6</f>
        <v>39</v>
      </c>
      <c r="K2073">
        <f>HEX2DEC(_0811_173439[[#This Row],[580F]])*D$4/D$5+D$6</f>
        <v>30</v>
      </c>
      <c r="L2073">
        <f>ROUND(HEX2DEC(_0811_173439[[#This Row],[58F0]])*E$4/E$5+E$6,0)</f>
        <v>72</v>
      </c>
      <c r="M2073">
        <f>ROUND(HEX2DEC(_0811_173439[[#This Row],[5805]])*F$4/F$5+F$6,0)</f>
        <v>47</v>
      </c>
      <c r="N2073">
        <f>ROUND(HEX2DEC(_0811_173439[[#This Row],[58DD]])*G$4/G$5+G$6,2)</f>
        <v>-0.02</v>
      </c>
      <c r="P2073">
        <v>0</v>
      </c>
      <c r="Q2073">
        <v>39</v>
      </c>
      <c r="R2073">
        <v>30</v>
      </c>
      <c r="S2073">
        <v>72</v>
      </c>
      <c r="T2073">
        <v>46</v>
      </c>
      <c r="U2073">
        <v>-0.02</v>
      </c>
      <c r="W2073">
        <f>DataLog_T717420_Aug11_4_59_37pm[[#This Row],[RPM '[1/MIN']]]-Table3[[#This Row],[580C]]</f>
        <v>0</v>
      </c>
      <c r="X2073">
        <f>DataLog_T717420_Aug11_4_59_37pm[[#This Row],[OIL TEMP '[Â°C']]]-Table3[[#This Row],[4402]]</f>
        <v>0</v>
      </c>
      <c r="Y2073">
        <f>DataLog_T717420_Aug11_4_59_37pm[[#This Row],[INTAKE TEMP '[Â°C']]]-Table3[[#This Row],[580F]]</f>
        <v>0</v>
      </c>
      <c r="Z2073">
        <f>DataLog_T717420_Aug11_4_59_37pm[[#This Row],[HPFP PRES. '[BAR']]]-Table3[[#This Row],[58F0]]</f>
        <v>0</v>
      </c>
      <c r="AA2073">
        <f>DataLog_T717420_Aug11_4_59_37pm[[#This Row],[COOLANT TEMP '[Â°C']]]-Table3[[#This Row],[5805]]</f>
        <v>-1</v>
      </c>
      <c r="AB2073">
        <f>DataLog_T717420_Aug11_4_59_37pm[[#This Row],[BOOST '[BAR']]]-Table3[[#This Row],[58DD]]</f>
        <v>0</v>
      </c>
    </row>
    <row r="2074" spans="2:28" x14ac:dyDescent="0.25">
      <c r="B2074" s="2" t="s">
        <v>23</v>
      </c>
      <c r="C2074" s="2" t="s">
        <v>410</v>
      </c>
      <c r="D2074" s="2" t="s">
        <v>151</v>
      </c>
      <c r="E2074" s="2" t="s">
        <v>228</v>
      </c>
      <c r="F2074" s="2" t="s">
        <v>395</v>
      </c>
      <c r="G2074" s="2" t="s">
        <v>28</v>
      </c>
      <c r="I2074">
        <f>HEX2DEC(_0811_173439[[#This Row],[580C]])*B$4/B$5+B$6</f>
        <v>0</v>
      </c>
      <c r="J2074">
        <f>HEX2DEC(_0811_173439[[#This Row],[4402]])*C$4/C$5+C$6</f>
        <v>39</v>
      </c>
      <c r="K2074">
        <f>HEX2DEC(_0811_173439[[#This Row],[580F]])*D$4/D$5+D$6</f>
        <v>30</v>
      </c>
      <c r="L2074">
        <f>ROUND(HEX2DEC(_0811_173439[[#This Row],[58F0]])*E$4/E$5+E$6,0)</f>
        <v>72</v>
      </c>
      <c r="M2074">
        <f>ROUND(HEX2DEC(_0811_173439[[#This Row],[5805]])*F$4/F$5+F$6,0)</f>
        <v>47</v>
      </c>
      <c r="N2074">
        <f>ROUND(HEX2DEC(_0811_173439[[#This Row],[58DD]])*G$4/G$5+G$6,2)</f>
        <v>-0.02</v>
      </c>
      <c r="P2074">
        <v>0</v>
      </c>
      <c r="Q2074">
        <v>39</v>
      </c>
      <c r="R2074">
        <v>30</v>
      </c>
      <c r="S2074">
        <v>72</v>
      </c>
      <c r="T2074">
        <v>46</v>
      </c>
      <c r="U2074">
        <v>-0.02</v>
      </c>
      <c r="W2074">
        <f>DataLog_T717420_Aug11_4_59_37pm[[#This Row],[RPM '[1/MIN']]]-Table3[[#This Row],[580C]]</f>
        <v>0</v>
      </c>
      <c r="X2074">
        <f>DataLog_T717420_Aug11_4_59_37pm[[#This Row],[OIL TEMP '[Â°C']]]-Table3[[#This Row],[4402]]</f>
        <v>0</v>
      </c>
      <c r="Y2074">
        <f>DataLog_T717420_Aug11_4_59_37pm[[#This Row],[INTAKE TEMP '[Â°C']]]-Table3[[#This Row],[580F]]</f>
        <v>0</v>
      </c>
      <c r="Z2074">
        <f>DataLog_T717420_Aug11_4_59_37pm[[#This Row],[HPFP PRES. '[BAR']]]-Table3[[#This Row],[58F0]]</f>
        <v>0</v>
      </c>
      <c r="AA2074">
        <f>DataLog_T717420_Aug11_4_59_37pm[[#This Row],[COOLANT TEMP '[Â°C']]]-Table3[[#This Row],[5805]]</f>
        <v>-1</v>
      </c>
      <c r="AB2074">
        <f>DataLog_T717420_Aug11_4_59_37pm[[#This Row],[BOOST '[BAR']]]-Table3[[#This Row],[58DD]]</f>
        <v>0</v>
      </c>
    </row>
    <row r="2075" spans="2:28" x14ac:dyDescent="0.25">
      <c r="B2075" s="2" t="s">
        <v>23</v>
      </c>
      <c r="C2075" s="2" t="s">
        <v>410</v>
      </c>
      <c r="D2075" s="2" t="s">
        <v>151</v>
      </c>
      <c r="E2075" s="2" t="s">
        <v>228</v>
      </c>
      <c r="F2075" s="2" t="s">
        <v>395</v>
      </c>
      <c r="G2075" s="2" t="s">
        <v>27</v>
      </c>
      <c r="I2075">
        <f>HEX2DEC(_0811_173439[[#This Row],[580C]])*B$4/B$5+B$6</f>
        <v>0</v>
      </c>
      <c r="J2075">
        <f>HEX2DEC(_0811_173439[[#This Row],[4402]])*C$4/C$5+C$6</f>
        <v>39</v>
      </c>
      <c r="K2075">
        <f>HEX2DEC(_0811_173439[[#This Row],[580F]])*D$4/D$5+D$6</f>
        <v>30</v>
      </c>
      <c r="L2075">
        <f>ROUND(HEX2DEC(_0811_173439[[#This Row],[58F0]])*E$4/E$5+E$6,0)</f>
        <v>72</v>
      </c>
      <c r="M2075">
        <f>ROUND(HEX2DEC(_0811_173439[[#This Row],[5805]])*F$4/F$5+F$6,0)</f>
        <v>47</v>
      </c>
      <c r="N2075">
        <f>ROUND(HEX2DEC(_0811_173439[[#This Row],[58DD]])*G$4/G$5+G$6,2)</f>
        <v>-0.03</v>
      </c>
      <c r="P2075">
        <v>0</v>
      </c>
      <c r="Q2075">
        <v>39</v>
      </c>
      <c r="R2075">
        <v>30</v>
      </c>
      <c r="S2075">
        <v>72</v>
      </c>
      <c r="T2075">
        <v>46</v>
      </c>
      <c r="U2075">
        <v>-0.03</v>
      </c>
      <c r="W2075">
        <f>DataLog_T717420_Aug11_4_59_37pm[[#This Row],[RPM '[1/MIN']]]-Table3[[#This Row],[580C]]</f>
        <v>0</v>
      </c>
      <c r="X2075">
        <f>DataLog_T717420_Aug11_4_59_37pm[[#This Row],[OIL TEMP '[Â°C']]]-Table3[[#This Row],[4402]]</f>
        <v>0</v>
      </c>
      <c r="Y2075">
        <f>DataLog_T717420_Aug11_4_59_37pm[[#This Row],[INTAKE TEMP '[Â°C']]]-Table3[[#This Row],[580F]]</f>
        <v>0</v>
      </c>
      <c r="Z2075">
        <f>DataLog_T717420_Aug11_4_59_37pm[[#This Row],[HPFP PRES. '[BAR']]]-Table3[[#This Row],[58F0]]</f>
        <v>0</v>
      </c>
      <c r="AA2075">
        <f>DataLog_T717420_Aug11_4_59_37pm[[#This Row],[COOLANT TEMP '[Â°C']]]-Table3[[#This Row],[5805]]</f>
        <v>-1</v>
      </c>
      <c r="AB2075">
        <f>DataLog_T717420_Aug11_4_59_37pm[[#This Row],[BOOST '[BAR']]]-Table3[[#This Row],[58DD]]</f>
        <v>0</v>
      </c>
    </row>
    <row r="2076" spans="2:28" x14ac:dyDescent="0.25">
      <c r="B2076" s="2" t="s">
        <v>23</v>
      </c>
      <c r="C2076" s="2" t="s">
        <v>410</v>
      </c>
      <c r="D2076" s="2" t="s">
        <v>151</v>
      </c>
      <c r="E2076" s="2" t="s">
        <v>228</v>
      </c>
      <c r="F2076" s="2" t="s">
        <v>395</v>
      </c>
      <c r="G2076" s="2" t="s">
        <v>27</v>
      </c>
      <c r="I2076">
        <f>HEX2DEC(_0811_173439[[#This Row],[580C]])*B$4/B$5+B$6</f>
        <v>0</v>
      </c>
      <c r="J2076">
        <f>HEX2DEC(_0811_173439[[#This Row],[4402]])*C$4/C$5+C$6</f>
        <v>39</v>
      </c>
      <c r="K2076">
        <f>HEX2DEC(_0811_173439[[#This Row],[580F]])*D$4/D$5+D$6</f>
        <v>30</v>
      </c>
      <c r="L2076">
        <f>ROUND(HEX2DEC(_0811_173439[[#This Row],[58F0]])*E$4/E$5+E$6,0)</f>
        <v>72</v>
      </c>
      <c r="M2076">
        <f>ROUND(HEX2DEC(_0811_173439[[#This Row],[5805]])*F$4/F$5+F$6,0)</f>
        <v>47</v>
      </c>
      <c r="N2076">
        <f>ROUND(HEX2DEC(_0811_173439[[#This Row],[58DD]])*G$4/G$5+G$6,2)</f>
        <v>-0.03</v>
      </c>
      <c r="P2076">
        <v>0</v>
      </c>
      <c r="Q2076">
        <v>39</v>
      </c>
      <c r="R2076">
        <v>30</v>
      </c>
      <c r="S2076">
        <v>72</v>
      </c>
      <c r="T2076">
        <v>46</v>
      </c>
      <c r="U2076">
        <v>-0.03</v>
      </c>
      <c r="W2076">
        <f>DataLog_T717420_Aug11_4_59_37pm[[#This Row],[RPM '[1/MIN']]]-Table3[[#This Row],[580C]]</f>
        <v>0</v>
      </c>
      <c r="X2076">
        <f>DataLog_T717420_Aug11_4_59_37pm[[#This Row],[OIL TEMP '[Â°C']]]-Table3[[#This Row],[4402]]</f>
        <v>0</v>
      </c>
      <c r="Y2076">
        <f>DataLog_T717420_Aug11_4_59_37pm[[#This Row],[INTAKE TEMP '[Â°C']]]-Table3[[#This Row],[580F]]</f>
        <v>0</v>
      </c>
      <c r="Z2076">
        <f>DataLog_T717420_Aug11_4_59_37pm[[#This Row],[HPFP PRES. '[BAR']]]-Table3[[#This Row],[58F0]]</f>
        <v>0</v>
      </c>
      <c r="AA2076">
        <f>DataLog_T717420_Aug11_4_59_37pm[[#This Row],[COOLANT TEMP '[Â°C']]]-Table3[[#This Row],[5805]]</f>
        <v>-1</v>
      </c>
      <c r="AB2076">
        <f>DataLog_T717420_Aug11_4_59_37pm[[#This Row],[BOOST '[BAR']]]-Table3[[#This Row],[58DD]]</f>
        <v>0</v>
      </c>
    </row>
    <row r="2077" spans="2:28" x14ac:dyDescent="0.25">
      <c r="B2077" s="2" t="s">
        <v>23</v>
      </c>
      <c r="C2077" s="2" t="s">
        <v>410</v>
      </c>
      <c r="D2077" s="2" t="s">
        <v>151</v>
      </c>
      <c r="E2077" s="2" t="s">
        <v>228</v>
      </c>
      <c r="F2077" s="2" t="s">
        <v>395</v>
      </c>
      <c r="G2077" s="2" t="s">
        <v>27</v>
      </c>
      <c r="I2077">
        <f>HEX2DEC(_0811_173439[[#This Row],[580C]])*B$4/B$5+B$6</f>
        <v>0</v>
      </c>
      <c r="J2077">
        <f>HEX2DEC(_0811_173439[[#This Row],[4402]])*C$4/C$5+C$6</f>
        <v>39</v>
      </c>
      <c r="K2077">
        <f>HEX2DEC(_0811_173439[[#This Row],[580F]])*D$4/D$5+D$6</f>
        <v>30</v>
      </c>
      <c r="L2077">
        <f>ROUND(HEX2DEC(_0811_173439[[#This Row],[58F0]])*E$4/E$5+E$6,0)</f>
        <v>72</v>
      </c>
      <c r="M2077">
        <f>ROUND(HEX2DEC(_0811_173439[[#This Row],[5805]])*F$4/F$5+F$6,0)</f>
        <v>47</v>
      </c>
      <c r="N2077">
        <f>ROUND(HEX2DEC(_0811_173439[[#This Row],[58DD]])*G$4/G$5+G$6,2)</f>
        <v>-0.03</v>
      </c>
      <c r="P2077">
        <v>0</v>
      </c>
      <c r="Q2077">
        <v>39</v>
      </c>
      <c r="R2077">
        <v>30</v>
      </c>
      <c r="S2077">
        <v>72</v>
      </c>
      <c r="T2077">
        <v>46</v>
      </c>
      <c r="U2077">
        <v>-0.03</v>
      </c>
      <c r="W2077">
        <f>DataLog_T717420_Aug11_4_59_37pm[[#This Row],[RPM '[1/MIN']]]-Table3[[#This Row],[580C]]</f>
        <v>0</v>
      </c>
      <c r="X2077">
        <f>DataLog_T717420_Aug11_4_59_37pm[[#This Row],[OIL TEMP '[Â°C']]]-Table3[[#This Row],[4402]]</f>
        <v>0</v>
      </c>
      <c r="Y2077">
        <f>DataLog_T717420_Aug11_4_59_37pm[[#This Row],[INTAKE TEMP '[Â°C']]]-Table3[[#This Row],[580F]]</f>
        <v>0</v>
      </c>
      <c r="Z2077">
        <f>DataLog_T717420_Aug11_4_59_37pm[[#This Row],[HPFP PRES. '[BAR']]]-Table3[[#This Row],[58F0]]</f>
        <v>0</v>
      </c>
      <c r="AA2077">
        <f>DataLog_T717420_Aug11_4_59_37pm[[#This Row],[COOLANT TEMP '[Â°C']]]-Table3[[#This Row],[5805]]</f>
        <v>-1</v>
      </c>
      <c r="AB2077">
        <f>DataLog_T717420_Aug11_4_59_37pm[[#This Row],[BOOST '[BAR']]]-Table3[[#This Row],[58DD]]</f>
        <v>0</v>
      </c>
    </row>
    <row r="2078" spans="2:28" x14ac:dyDescent="0.25">
      <c r="B2078" s="2" t="s">
        <v>23</v>
      </c>
      <c r="C2078" s="2" t="s">
        <v>410</v>
      </c>
      <c r="D2078" s="2" t="s">
        <v>151</v>
      </c>
      <c r="E2078" s="2" t="s">
        <v>228</v>
      </c>
      <c r="F2078" s="2" t="s">
        <v>395</v>
      </c>
      <c r="G2078" s="2" t="s">
        <v>27</v>
      </c>
      <c r="I2078">
        <f>HEX2DEC(_0811_173439[[#This Row],[580C]])*B$4/B$5+B$6</f>
        <v>0</v>
      </c>
      <c r="J2078">
        <f>HEX2DEC(_0811_173439[[#This Row],[4402]])*C$4/C$5+C$6</f>
        <v>39</v>
      </c>
      <c r="K2078">
        <f>HEX2DEC(_0811_173439[[#This Row],[580F]])*D$4/D$5+D$6</f>
        <v>30</v>
      </c>
      <c r="L2078">
        <f>ROUND(HEX2DEC(_0811_173439[[#This Row],[58F0]])*E$4/E$5+E$6,0)</f>
        <v>72</v>
      </c>
      <c r="M2078">
        <f>ROUND(HEX2DEC(_0811_173439[[#This Row],[5805]])*F$4/F$5+F$6,0)</f>
        <v>47</v>
      </c>
      <c r="N2078">
        <f>ROUND(HEX2DEC(_0811_173439[[#This Row],[58DD]])*G$4/G$5+G$6,2)</f>
        <v>-0.03</v>
      </c>
      <c r="P2078">
        <v>0</v>
      </c>
      <c r="Q2078">
        <v>39</v>
      </c>
      <c r="R2078">
        <v>30</v>
      </c>
      <c r="S2078">
        <v>72</v>
      </c>
      <c r="T2078">
        <v>46</v>
      </c>
      <c r="U2078">
        <v>-0.03</v>
      </c>
      <c r="W2078">
        <f>DataLog_T717420_Aug11_4_59_37pm[[#This Row],[RPM '[1/MIN']]]-Table3[[#This Row],[580C]]</f>
        <v>0</v>
      </c>
      <c r="X2078">
        <f>DataLog_T717420_Aug11_4_59_37pm[[#This Row],[OIL TEMP '[Â°C']]]-Table3[[#This Row],[4402]]</f>
        <v>0</v>
      </c>
      <c r="Y2078">
        <f>DataLog_T717420_Aug11_4_59_37pm[[#This Row],[INTAKE TEMP '[Â°C']]]-Table3[[#This Row],[580F]]</f>
        <v>0</v>
      </c>
      <c r="Z2078">
        <f>DataLog_T717420_Aug11_4_59_37pm[[#This Row],[HPFP PRES. '[BAR']]]-Table3[[#This Row],[58F0]]</f>
        <v>0</v>
      </c>
      <c r="AA2078">
        <f>DataLog_T717420_Aug11_4_59_37pm[[#This Row],[COOLANT TEMP '[Â°C']]]-Table3[[#This Row],[5805]]</f>
        <v>-1</v>
      </c>
      <c r="AB2078">
        <f>DataLog_T717420_Aug11_4_59_37pm[[#This Row],[BOOST '[BAR']]]-Table3[[#This Row],[58DD]]</f>
        <v>0</v>
      </c>
    </row>
    <row r="2079" spans="2:28" x14ac:dyDescent="0.25">
      <c r="B2079" s="2" t="s">
        <v>23</v>
      </c>
      <c r="C2079" s="2" t="s">
        <v>410</v>
      </c>
      <c r="D2079" s="2" t="s">
        <v>151</v>
      </c>
      <c r="E2079" s="2" t="s">
        <v>228</v>
      </c>
      <c r="F2079" s="2" t="s">
        <v>395</v>
      </c>
      <c r="G2079" s="2" t="s">
        <v>27</v>
      </c>
      <c r="I2079">
        <f>HEX2DEC(_0811_173439[[#This Row],[580C]])*B$4/B$5+B$6</f>
        <v>0</v>
      </c>
      <c r="J2079">
        <f>HEX2DEC(_0811_173439[[#This Row],[4402]])*C$4/C$5+C$6</f>
        <v>39</v>
      </c>
      <c r="K2079">
        <f>HEX2DEC(_0811_173439[[#This Row],[580F]])*D$4/D$5+D$6</f>
        <v>30</v>
      </c>
      <c r="L2079">
        <f>ROUND(HEX2DEC(_0811_173439[[#This Row],[58F0]])*E$4/E$5+E$6,0)</f>
        <v>72</v>
      </c>
      <c r="M2079">
        <f>ROUND(HEX2DEC(_0811_173439[[#This Row],[5805]])*F$4/F$5+F$6,0)</f>
        <v>47</v>
      </c>
      <c r="N2079">
        <f>ROUND(HEX2DEC(_0811_173439[[#This Row],[58DD]])*G$4/G$5+G$6,2)</f>
        <v>-0.03</v>
      </c>
      <c r="P2079">
        <v>0</v>
      </c>
      <c r="Q2079">
        <v>39</v>
      </c>
      <c r="R2079">
        <v>30</v>
      </c>
      <c r="S2079">
        <v>72</v>
      </c>
      <c r="T2079">
        <v>46</v>
      </c>
      <c r="U2079">
        <v>-0.03</v>
      </c>
      <c r="W2079">
        <f>DataLog_T717420_Aug11_4_59_37pm[[#This Row],[RPM '[1/MIN']]]-Table3[[#This Row],[580C]]</f>
        <v>0</v>
      </c>
      <c r="X2079">
        <f>DataLog_T717420_Aug11_4_59_37pm[[#This Row],[OIL TEMP '[Â°C']]]-Table3[[#This Row],[4402]]</f>
        <v>0</v>
      </c>
      <c r="Y2079">
        <f>DataLog_T717420_Aug11_4_59_37pm[[#This Row],[INTAKE TEMP '[Â°C']]]-Table3[[#This Row],[580F]]</f>
        <v>0</v>
      </c>
      <c r="Z2079">
        <f>DataLog_T717420_Aug11_4_59_37pm[[#This Row],[HPFP PRES. '[BAR']]]-Table3[[#This Row],[58F0]]</f>
        <v>0</v>
      </c>
      <c r="AA2079">
        <f>DataLog_T717420_Aug11_4_59_37pm[[#This Row],[COOLANT TEMP '[Â°C']]]-Table3[[#This Row],[5805]]</f>
        <v>-1</v>
      </c>
      <c r="AB2079">
        <f>DataLog_T717420_Aug11_4_59_37pm[[#This Row],[BOOST '[BAR']]]-Table3[[#This Row],[58DD]]</f>
        <v>0</v>
      </c>
    </row>
    <row r="2080" spans="2:28" x14ac:dyDescent="0.25">
      <c r="B2080" s="2" t="s">
        <v>23</v>
      </c>
      <c r="C2080" s="2" t="s">
        <v>410</v>
      </c>
      <c r="D2080" s="2" t="s">
        <v>151</v>
      </c>
      <c r="E2080" s="2" t="s">
        <v>228</v>
      </c>
      <c r="F2080" s="2" t="s">
        <v>395</v>
      </c>
      <c r="G2080" s="2" t="s">
        <v>27</v>
      </c>
      <c r="I2080">
        <f>HEX2DEC(_0811_173439[[#This Row],[580C]])*B$4/B$5+B$6</f>
        <v>0</v>
      </c>
      <c r="J2080">
        <f>HEX2DEC(_0811_173439[[#This Row],[4402]])*C$4/C$5+C$6</f>
        <v>39</v>
      </c>
      <c r="K2080">
        <f>HEX2DEC(_0811_173439[[#This Row],[580F]])*D$4/D$5+D$6</f>
        <v>30</v>
      </c>
      <c r="L2080">
        <f>ROUND(HEX2DEC(_0811_173439[[#This Row],[58F0]])*E$4/E$5+E$6,0)</f>
        <v>72</v>
      </c>
      <c r="M2080">
        <f>ROUND(HEX2DEC(_0811_173439[[#This Row],[5805]])*F$4/F$5+F$6,0)</f>
        <v>47</v>
      </c>
      <c r="N2080">
        <f>ROUND(HEX2DEC(_0811_173439[[#This Row],[58DD]])*G$4/G$5+G$6,2)</f>
        <v>-0.03</v>
      </c>
      <c r="P2080">
        <v>0</v>
      </c>
      <c r="Q2080">
        <v>39</v>
      </c>
      <c r="R2080">
        <v>30</v>
      </c>
      <c r="S2080">
        <v>72</v>
      </c>
      <c r="T2080">
        <v>46</v>
      </c>
      <c r="U2080">
        <v>-0.03</v>
      </c>
      <c r="W2080">
        <f>DataLog_T717420_Aug11_4_59_37pm[[#This Row],[RPM '[1/MIN']]]-Table3[[#This Row],[580C]]</f>
        <v>0</v>
      </c>
      <c r="X2080">
        <f>DataLog_T717420_Aug11_4_59_37pm[[#This Row],[OIL TEMP '[Â°C']]]-Table3[[#This Row],[4402]]</f>
        <v>0</v>
      </c>
      <c r="Y2080">
        <f>DataLog_T717420_Aug11_4_59_37pm[[#This Row],[INTAKE TEMP '[Â°C']]]-Table3[[#This Row],[580F]]</f>
        <v>0</v>
      </c>
      <c r="Z2080">
        <f>DataLog_T717420_Aug11_4_59_37pm[[#This Row],[HPFP PRES. '[BAR']]]-Table3[[#This Row],[58F0]]</f>
        <v>0</v>
      </c>
      <c r="AA2080">
        <f>DataLog_T717420_Aug11_4_59_37pm[[#This Row],[COOLANT TEMP '[Â°C']]]-Table3[[#This Row],[5805]]</f>
        <v>-1</v>
      </c>
      <c r="AB2080">
        <f>DataLog_T717420_Aug11_4_59_37pm[[#This Row],[BOOST '[BAR']]]-Table3[[#This Row],[58DD]]</f>
        <v>0</v>
      </c>
    </row>
    <row r="2081" spans="2:28" x14ac:dyDescent="0.25">
      <c r="B2081" s="2" t="s">
        <v>23</v>
      </c>
      <c r="C2081" s="2" t="s">
        <v>410</v>
      </c>
      <c r="D2081" s="2" t="s">
        <v>151</v>
      </c>
      <c r="E2081" s="2" t="s">
        <v>228</v>
      </c>
      <c r="F2081" s="2" t="s">
        <v>395</v>
      </c>
      <c r="G2081" s="2" t="s">
        <v>27</v>
      </c>
      <c r="I2081">
        <f>HEX2DEC(_0811_173439[[#This Row],[580C]])*B$4/B$5+B$6</f>
        <v>0</v>
      </c>
      <c r="J2081">
        <f>HEX2DEC(_0811_173439[[#This Row],[4402]])*C$4/C$5+C$6</f>
        <v>39</v>
      </c>
      <c r="K2081">
        <f>HEX2DEC(_0811_173439[[#This Row],[580F]])*D$4/D$5+D$6</f>
        <v>30</v>
      </c>
      <c r="L2081">
        <f>ROUND(HEX2DEC(_0811_173439[[#This Row],[58F0]])*E$4/E$5+E$6,0)</f>
        <v>72</v>
      </c>
      <c r="M2081">
        <f>ROUND(HEX2DEC(_0811_173439[[#This Row],[5805]])*F$4/F$5+F$6,0)</f>
        <v>47</v>
      </c>
      <c r="N2081">
        <f>ROUND(HEX2DEC(_0811_173439[[#This Row],[58DD]])*G$4/G$5+G$6,2)</f>
        <v>-0.03</v>
      </c>
      <c r="P2081">
        <v>0</v>
      </c>
      <c r="Q2081">
        <v>39</v>
      </c>
      <c r="R2081">
        <v>30</v>
      </c>
      <c r="S2081">
        <v>72</v>
      </c>
      <c r="T2081">
        <v>46</v>
      </c>
      <c r="U2081">
        <v>-0.03</v>
      </c>
      <c r="W2081">
        <f>DataLog_T717420_Aug11_4_59_37pm[[#This Row],[RPM '[1/MIN']]]-Table3[[#This Row],[580C]]</f>
        <v>0</v>
      </c>
      <c r="X2081">
        <f>DataLog_T717420_Aug11_4_59_37pm[[#This Row],[OIL TEMP '[Â°C']]]-Table3[[#This Row],[4402]]</f>
        <v>0</v>
      </c>
      <c r="Y2081">
        <f>DataLog_T717420_Aug11_4_59_37pm[[#This Row],[INTAKE TEMP '[Â°C']]]-Table3[[#This Row],[580F]]</f>
        <v>0</v>
      </c>
      <c r="Z2081">
        <f>DataLog_T717420_Aug11_4_59_37pm[[#This Row],[HPFP PRES. '[BAR']]]-Table3[[#This Row],[58F0]]</f>
        <v>0</v>
      </c>
      <c r="AA2081">
        <f>DataLog_T717420_Aug11_4_59_37pm[[#This Row],[COOLANT TEMP '[Â°C']]]-Table3[[#This Row],[5805]]</f>
        <v>-1</v>
      </c>
      <c r="AB2081">
        <f>DataLog_T717420_Aug11_4_59_37pm[[#This Row],[BOOST '[BAR']]]-Table3[[#This Row],[58DD]]</f>
        <v>0</v>
      </c>
    </row>
    <row r="2082" spans="2:28" x14ac:dyDescent="0.25">
      <c r="B2082" s="2" t="s">
        <v>23</v>
      </c>
      <c r="C2082" s="2" t="s">
        <v>410</v>
      </c>
      <c r="D2082" s="2" t="s">
        <v>151</v>
      </c>
      <c r="E2082" s="2" t="s">
        <v>228</v>
      </c>
      <c r="F2082" s="2" t="s">
        <v>395</v>
      </c>
      <c r="G2082" s="2" t="s">
        <v>28</v>
      </c>
      <c r="I2082">
        <f>HEX2DEC(_0811_173439[[#This Row],[580C]])*B$4/B$5+B$6</f>
        <v>0</v>
      </c>
      <c r="J2082">
        <f>HEX2DEC(_0811_173439[[#This Row],[4402]])*C$4/C$5+C$6</f>
        <v>39</v>
      </c>
      <c r="K2082">
        <f>HEX2DEC(_0811_173439[[#This Row],[580F]])*D$4/D$5+D$6</f>
        <v>30</v>
      </c>
      <c r="L2082">
        <f>ROUND(HEX2DEC(_0811_173439[[#This Row],[58F0]])*E$4/E$5+E$6,0)</f>
        <v>72</v>
      </c>
      <c r="M2082">
        <f>ROUND(HEX2DEC(_0811_173439[[#This Row],[5805]])*F$4/F$5+F$6,0)</f>
        <v>47</v>
      </c>
      <c r="N2082">
        <f>ROUND(HEX2DEC(_0811_173439[[#This Row],[58DD]])*G$4/G$5+G$6,2)</f>
        <v>-0.02</v>
      </c>
      <c r="P2082">
        <v>0</v>
      </c>
      <c r="Q2082">
        <v>39</v>
      </c>
      <c r="R2082">
        <v>30</v>
      </c>
      <c r="S2082">
        <v>72</v>
      </c>
      <c r="T2082">
        <v>46</v>
      </c>
      <c r="U2082">
        <v>-0.02</v>
      </c>
      <c r="W2082">
        <f>DataLog_T717420_Aug11_4_59_37pm[[#This Row],[RPM '[1/MIN']]]-Table3[[#This Row],[580C]]</f>
        <v>0</v>
      </c>
      <c r="X2082">
        <f>DataLog_T717420_Aug11_4_59_37pm[[#This Row],[OIL TEMP '[Â°C']]]-Table3[[#This Row],[4402]]</f>
        <v>0</v>
      </c>
      <c r="Y2082">
        <f>DataLog_T717420_Aug11_4_59_37pm[[#This Row],[INTAKE TEMP '[Â°C']]]-Table3[[#This Row],[580F]]</f>
        <v>0</v>
      </c>
      <c r="Z2082">
        <f>DataLog_T717420_Aug11_4_59_37pm[[#This Row],[HPFP PRES. '[BAR']]]-Table3[[#This Row],[58F0]]</f>
        <v>0</v>
      </c>
      <c r="AA2082">
        <f>DataLog_T717420_Aug11_4_59_37pm[[#This Row],[COOLANT TEMP '[Â°C']]]-Table3[[#This Row],[5805]]</f>
        <v>-1</v>
      </c>
      <c r="AB2082">
        <f>DataLog_T717420_Aug11_4_59_37pm[[#This Row],[BOOST '[BAR']]]-Table3[[#This Row],[58DD]]</f>
        <v>0</v>
      </c>
    </row>
    <row r="2083" spans="2:28" x14ac:dyDescent="0.25">
      <c r="B2083" s="2" t="s">
        <v>23</v>
      </c>
      <c r="C2083" s="2" t="s">
        <v>410</v>
      </c>
      <c r="D2083" s="2" t="s">
        <v>151</v>
      </c>
      <c r="E2083" s="2" t="s">
        <v>228</v>
      </c>
      <c r="F2083" s="2" t="s">
        <v>395</v>
      </c>
      <c r="G2083" s="2" t="s">
        <v>27</v>
      </c>
      <c r="I2083">
        <f>HEX2DEC(_0811_173439[[#This Row],[580C]])*B$4/B$5+B$6</f>
        <v>0</v>
      </c>
      <c r="J2083">
        <f>HEX2DEC(_0811_173439[[#This Row],[4402]])*C$4/C$5+C$6</f>
        <v>39</v>
      </c>
      <c r="K2083">
        <f>HEX2DEC(_0811_173439[[#This Row],[580F]])*D$4/D$5+D$6</f>
        <v>30</v>
      </c>
      <c r="L2083">
        <f>ROUND(HEX2DEC(_0811_173439[[#This Row],[58F0]])*E$4/E$5+E$6,0)</f>
        <v>72</v>
      </c>
      <c r="M2083">
        <f>ROUND(HEX2DEC(_0811_173439[[#This Row],[5805]])*F$4/F$5+F$6,0)</f>
        <v>47</v>
      </c>
      <c r="N2083">
        <f>ROUND(HEX2DEC(_0811_173439[[#This Row],[58DD]])*G$4/G$5+G$6,2)</f>
        <v>-0.03</v>
      </c>
      <c r="P2083">
        <v>0</v>
      </c>
      <c r="Q2083">
        <v>39</v>
      </c>
      <c r="R2083">
        <v>30</v>
      </c>
      <c r="S2083">
        <v>72</v>
      </c>
      <c r="T2083">
        <v>46</v>
      </c>
      <c r="U2083">
        <v>-0.03</v>
      </c>
      <c r="W2083">
        <f>DataLog_T717420_Aug11_4_59_37pm[[#This Row],[RPM '[1/MIN']]]-Table3[[#This Row],[580C]]</f>
        <v>0</v>
      </c>
      <c r="X2083">
        <f>DataLog_T717420_Aug11_4_59_37pm[[#This Row],[OIL TEMP '[Â°C']]]-Table3[[#This Row],[4402]]</f>
        <v>0</v>
      </c>
      <c r="Y2083">
        <f>DataLog_T717420_Aug11_4_59_37pm[[#This Row],[INTAKE TEMP '[Â°C']]]-Table3[[#This Row],[580F]]</f>
        <v>0</v>
      </c>
      <c r="Z2083">
        <f>DataLog_T717420_Aug11_4_59_37pm[[#This Row],[HPFP PRES. '[BAR']]]-Table3[[#This Row],[58F0]]</f>
        <v>0</v>
      </c>
      <c r="AA2083">
        <f>DataLog_T717420_Aug11_4_59_37pm[[#This Row],[COOLANT TEMP '[Â°C']]]-Table3[[#This Row],[5805]]</f>
        <v>-1</v>
      </c>
      <c r="AB2083">
        <f>DataLog_T717420_Aug11_4_59_37pm[[#This Row],[BOOST '[BAR']]]-Table3[[#This Row],[58DD]]</f>
        <v>0</v>
      </c>
    </row>
  </sheetData>
  <conditionalFormatting sqref="U8:U2083">
    <cfRule type="colorScale" priority="1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T8:T2083">
    <cfRule type="colorScale" priority="1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S8:S2083">
    <cfRule type="colorScale" priority="1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8:R2083">
    <cfRule type="colorScale" priority="1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Q8:Q2083">
    <cfRule type="colorScale" priority="2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P8:P2083">
    <cfRule type="colorScale" priority="2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I8:I2083">
    <cfRule type="colorScale" priority="2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J8:J2083">
    <cfRule type="colorScale" priority="2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K8:K2083">
    <cfRule type="colorScale" priority="2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L8:L2083">
    <cfRule type="colorScale" priority="2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M8:M2083">
    <cfRule type="colorScale" priority="2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N8:N2083">
    <cfRule type="colorScale" priority="2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drawing r:id="rId1"/>
  <tableParts count="4">
    <tablePart r:id="rId2"/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03721-BA41-4CC1-A0AA-9EB50F837A7A}">
  <dimension ref="A2:G10"/>
  <sheetViews>
    <sheetView workbookViewId="0">
      <selection activeCell="E10" sqref="E10"/>
    </sheetView>
  </sheetViews>
  <sheetFormatPr defaultRowHeight="15" x14ac:dyDescent="0.25"/>
  <cols>
    <col min="2" max="2" width="30.5703125" bestFit="1" customWidth="1"/>
  </cols>
  <sheetData>
    <row r="2" spans="1:7" x14ac:dyDescent="0.25">
      <c r="A2" t="s">
        <v>0</v>
      </c>
      <c r="B2" t="s">
        <v>1</v>
      </c>
      <c r="C2" t="s">
        <v>4</v>
      </c>
      <c r="D2" t="s">
        <v>17</v>
      </c>
      <c r="E2" t="s">
        <v>18</v>
      </c>
      <c r="F2" t="s">
        <v>19</v>
      </c>
      <c r="G2" t="s">
        <v>5</v>
      </c>
    </row>
    <row r="3" spans="1:7" x14ac:dyDescent="0.25">
      <c r="A3" s="3" t="s">
        <v>21</v>
      </c>
      <c r="B3" t="s">
        <v>14</v>
      </c>
      <c r="C3">
        <v>8</v>
      </c>
      <c r="D3" s="5">
        <v>1</v>
      </c>
      <c r="E3" s="5">
        <v>1</v>
      </c>
      <c r="F3" s="5">
        <v>-60</v>
      </c>
      <c r="G3" t="s">
        <v>16</v>
      </c>
    </row>
    <row r="4" spans="1:7" x14ac:dyDescent="0.25">
      <c r="A4" s="3" t="s">
        <v>22</v>
      </c>
      <c r="B4" t="s">
        <v>15</v>
      </c>
      <c r="C4">
        <v>8</v>
      </c>
      <c r="D4" s="6">
        <v>3</v>
      </c>
      <c r="E4" s="6">
        <v>4</v>
      </c>
      <c r="F4" s="6">
        <v>-48</v>
      </c>
      <c r="G4" t="s">
        <v>16</v>
      </c>
    </row>
    <row r="5" spans="1:7" x14ac:dyDescent="0.25">
      <c r="A5" s="3" t="s">
        <v>20</v>
      </c>
      <c r="B5" t="s">
        <v>411</v>
      </c>
      <c r="C5">
        <v>8</v>
      </c>
      <c r="D5" s="5">
        <v>40</v>
      </c>
      <c r="E5" s="5">
        <v>1</v>
      </c>
      <c r="F5" s="5">
        <v>0</v>
      </c>
      <c r="G5" t="s">
        <v>419</v>
      </c>
    </row>
    <row r="6" spans="1:7" x14ac:dyDescent="0.25">
      <c r="A6" s="1" t="s">
        <v>7</v>
      </c>
      <c r="B6" t="s">
        <v>11</v>
      </c>
      <c r="C6">
        <v>8</v>
      </c>
      <c r="D6">
        <v>1</v>
      </c>
      <c r="E6">
        <v>1</v>
      </c>
      <c r="F6">
        <v>0</v>
      </c>
    </row>
    <row r="7" spans="1:7" x14ac:dyDescent="0.25">
      <c r="A7" s="1" t="s">
        <v>10</v>
      </c>
      <c r="B7" t="s">
        <v>412</v>
      </c>
      <c r="C7">
        <v>8</v>
      </c>
      <c r="D7" s="5">
        <v>3</v>
      </c>
      <c r="E7" s="5">
        <v>4</v>
      </c>
      <c r="F7" s="5">
        <v>-48</v>
      </c>
      <c r="G7" t="s">
        <v>16</v>
      </c>
    </row>
    <row r="8" spans="1:7" x14ac:dyDescent="0.25">
      <c r="A8" s="1" t="s">
        <v>8</v>
      </c>
      <c r="B8" t="s">
        <v>12</v>
      </c>
      <c r="C8">
        <v>16</v>
      </c>
      <c r="D8" s="6">
        <v>1</v>
      </c>
      <c r="E8" s="6">
        <v>12950</v>
      </c>
      <c r="F8" s="6">
        <v>-1</v>
      </c>
    </row>
    <row r="9" spans="1:7" x14ac:dyDescent="0.25">
      <c r="A9" s="1" t="s">
        <v>9</v>
      </c>
      <c r="B9" t="s">
        <v>13</v>
      </c>
      <c r="C9">
        <v>16</v>
      </c>
      <c r="D9" s="5">
        <v>1</v>
      </c>
      <c r="E9" s="5">
        <v>2000</v>
      </c>
      <c r="F9" s="5">
        <v>0</v>
      </c>
    </row>
    <row r="10" spans="1:7" x14ac:dyDescent="0.25">
      <c r="A10" s="1" t="s">
        <v>2</v>
      </c>
      <c r="B10" t="s">
        <v>3</v>
      </c>
      <c r="C10">
        <v>16</v>
      </c>
      <c r="D10">
        <v>1</v>
      </c>
      <c r="E10">
        <v>1</v>
      </c>
      <c r="F10">
        <v>0</v>
      </c>
      <c r="G10" t="s">
        <v>6</v>
      </c>
    </row>
  </sheetData>
  <conditionalFormatting sqref="A3:A10">
    <cfRule type="expression" dxfId="30" priority="1">
      <formula>ISNUMBER(A3)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366B5-A56B-4328-BDDA-4DEB13A70CCC}">
  <dimension ref="A1:Z38"/>
  <sheetViews>
    <sheetView workbookViewId="0">
      <selection activeCell="H11" sqref="H11"/>
    </sheetView>
  </sheetViews>
  <sheetFormatPr defaultRowHeight="15" x14ac:dyDescent="0.25"/>
  <cols>
    <col min="2" max="2" width="12" bestFit="1" customWidth="1"/>
    <col min="3" max="4" width="8.85546875" bestFit="1" customWidth="1"/>
    <col min="5" max="5" width="6.5703125" bestFit="1" customWidth="1"/>
    <col min="6" max="6" width="2.42578125" customWidth="1"/>
    <col min="7" max="7" width="3" customWidth="1"/>
    <col min="13" max="13" width="2.42578125" customWidth="1"/>
    <col min="14" max="14" width="2.5703125" customWidth="1"/>
    <col min="20" max="20" width="2.28515625" customWidth="1"/>
    <col min="21" max="21" width="3" customWidth="1"/>
    <col min="27" max="27" width="2.28515625" customWidth="1"/>
    <col min="28" max="28" width="2.85546875" customWidth="1"/>
  </cols>
  <sheetData>
    <row r="1" spans="1:26" x14ac:dyDescent="0.25">
      <c r="A1" t="e" cm="1">
        <f t="array" ref="A1">LINEST(_580F_correl[Actual],_580F_correl[Dec],TRUE,TRUE)</f>
        <v>#VALUE!</v>
      </c>
      <c r="C1" t="e">
        <f>TEXT(A1,"####/####")</f>
        <v>#VALUE!</v>
      </c>
      <c r="H1" s="2" cm="1">
        <f t="array" ref="H1:I5">LINEST(_580F_correl9[Actual],_580F_correl9[Dec],TRUE,TRUE)</f>
        <v>5.0000002374871611E-4</v>
      </c>
      <c r="I1">
        <v>1.5987211554602254E-13</v>
      </c>
      <c r="J1" t="str">
        <f>TEXT(H1,"####/####")</f>
        <v>1/2000</v>
      </c>
      <c r="O1" cm="1">
        <f t="array" ref="O1:P5">LINEST(_580F_correl910[Actual],_580F_correl910[Dec],TRUE,TRUE)</f>
        <v>0</v>
      </c>
      <c r="P1">
        <v>86</v>
      </c>
      <c r="Q1" t="str">
        <f>TEXT(O1,"####/####")</f>
        <v>0/1</v>
      </c>
      <c r="V1" s="2" cm="1">
        <f t="array" ref="V1:W5">LINEST(_580F_correl91011[Actual],_580F_correl91011[Dec],TRUE,TRUE)</f>
        <v>7.8124999999999986E-2</v>
      </c>
      <c r="W1">
        <v>2.2737367544323206E-13</v>
      </c>
      <c r="X1" t="str">
        <f>TEXT(V1,"####/####")</f>
        <v>5/64</v>
      </c>
    </row>
    <row r="2" spans="1:26" x14ac:dyDescent="0.25">
      <c r="H2">
        <v>4.2225835840122748E-18</v>
      </c>
      <c r="I2">
        <v>7.9810690627414985E-14</v>
      </c>
      <c r="O2">
        <v>0</v>
      </c>
      <c r="P2">
        <v>0</v>
      </c>
      <c r="V2">
        <v>0</v>
      </c>
      <c r="W2">
        <v>0</v>
      </c>
    </row>
    <row r="3" spans="1:26" x14ac:dyDescent="0.25">
      <c r="H3">
        <v>1</v>
      </c>
      <c r="I3">
        <v>2.2951178034122423E-14</v>
      </c>
      <c r="O3">
        <v>1</v>
      </c>
      <c r="P3">
        <v>0</v>
      </c>
      <c r="V3">
        <v>1</v>
      </c>
      <c r="W3">
        <v>0</v>
      </c>
    </row>
    <row r="4" spans="1:26" x14ac:dyDescent="0.25">
      <c r="H4">
        <v>1.4021146916846298E+28</v>
      </c>
      <c r="I4">
        <v>8</v>
      </c>
      <c r="O4" t="e">
        <v>#NUM!</v>
      </c>
      <c r="P4">
        <v>0</v>
      </c>
      <c r="V4" t="e">
        <v>#NUM!</v>
      </c>
      <c r="W4">
        <v>3</v>
      </c>
    </row>
    <row r="5" spans="1:26" x14ac:dyDescent="0.25">
      <c r="H5">
        <v>7.3857313016064978</v>
      </c>
      <c r="I5">
        <v>4.2140525852318685E-27</v>
      </c>
      <c r="O5">
        <v>0</v>
      </c>
      <c r="P5">
        <v>0</v>
      </c>
      <c r="V5">
        <v>15.22216796875</v>
      </c>
      <c r="W5">
        <v>0</v>
      </c>
    </row>
    <row r="6" spans="1:26" x14ac:dyDescent="0.25">
      <c r="A6" t="s">
        <v>423</v>
      </c>
      <c r="B6" s="8" t="s">
        <v>10</v>
      </c>
      <c r="C6" t="str">
        <f>VLOOKUP(B6,CIList[],2)</f>
        <v>IAT</v>
      </c>
      <c r="H6" t="s">
        <v>423</v>
      </c>
      <c r="I6" s="8" t="s">
        <v>9</v>
      </c>
      <c r="J6" t="str">
        <f>VLOOKUP(I6,CIList[],2)</f>
        <v>HPFP</v>
      </c>
      <c r="O6" t="s">
        <v>423</v>
      </c>
      <c r="P6" s="8" t="s">
        <v>21</v>
      </c>
      <c r="Q6" t="str">
        <f>VLOOKUP(P6,CIList[],2)</f>
        <v>Oil Temp</v>
      </c>
      <c r="V6" t="s">
        <v>423</v>
      </c>
      <c r="W6" s="8" t="s">
        <v>8</v>
      </c>
      <c r="X6" t="str">
        <f>VLOOKUP(W6,CIList[],2)</f>
        <v>Boost</v>
      </c>
    </row>
    <row r="7" spans="1:26" x14ac:dyDescent="0.25">
      <c r="A7" t="s">
        <v>17</v>
      </c>
      <c r="B7">
        <v>3</v>
      </c>
      <c r="H7" t="s">
        <v>17</v>
      </c>
      <c r="I7">
        <v>1</v>
      </c>
      <c r="O7" t="s">
        <v>17</v>
      </c>
      <c r="P7">
        <v>1</v>
      </c>
      <c r="V7" t="s">
        <v>17</v>
      </c>
      <c r="W7">
        <v>5</v>
      </c>
    </row>
    <row r="8" spans="1:26" x14ac:dyDescent="0.25">
      <c r="A8" t="s">
        <v>18</v>
      </c>
      <c r="B8">
        <v>4</v>
      </c>
      <c r="H8" t="s">
        <v>18</v>
      </c>
      <c r="I8">
        <v>2000</v>
      </c>
      <c r="O8" t="s">
        <v>18</v>
      </c>
      <c r="P8">
        <v>1</v>
      </c>
      <c r="V8" t="s">
        <v>18</v>
      </c>
      <c r="W8">
        <v>64</v>
      </c>
    </row>
    <row r="9" spans="1:26" x14ac:dyDescent="0.25">
      <c r="A9" t="s">
        <v>19</v>
      </c>
      <c r="B9">
        <v>-48</v>
      </c>
      <c r="H9" t="s">
        <v>19</v>
      </c>
      <c r="I9">
        <v>0</v>
      </c>
      <c r="O9" t="s">
        <v>19</v>
      </c>
      <c r="P9">
        <v>-60</v>
      </c>
      <c r="V9" t="s">
        <v>19</v>
      </c>
      <c r="W9">
        <v>0</v>
      </c>
    </row>
    <row r="10" spans="1:26" x14ac:dyDescent="0.25">
      <c r="A10" t="s">
        <v>420</v>
      </c>
      <c r="B10" t="s">
        <v>421</v>
      </c>
      <c r="C10" t="s">
        <v>422</v>
      </c>
      <c r="D10" t="s">
        <v>426</v>
      </c>
      <c r="E10" t="s">
        <v>427</v>
      </c>
      <c r="H10" t="s">
        <v>420</v>
      </c>
      <c r="I10" t="s">
        <v>421</v>
      </c>
      <c r="J10" t="s">
        <v>422</v>
      </c>
      <c r="K10" t="s">
        <v>426</v>
      </c>
      <c r="L10" t="s">
        <v>427</v>
      </c>
      <c r="O10" t="s">
        <v>420</v>
      </c>
      <c r="P10" t="s">
        <v>421</v>
      </c>
      <c r="Q10" t="s">
        <v>422</v>
      </c>
      <c r="R10" t="s">
        <v>426</v>
      </c>
      <c r="S10" t="s">
        <v>427</v>
      </c>
      <c r="V10" t="s">
        <v>420</v>
      </c>
      <c r="W10" t="s">
        <v>421</v>
      </c>
      <c r="X10" t="s">
        <v>422</v>
      </c>
      <c r="Y10" t="s">
        <v>426</v>
      </c>
      <c r="Z10" t="s">
        <v>427</v>
      </c>
    </row>
    <row r="11" spans="1:26" x14ac:dyDescent="0.25">
      <c r="A11" s="7" t="s">
        <v>424</v>
      </c>
      <c r="B11">
        <f>HEX2DEC(_580F_correl[[#This Row],[Hex]])</f>
        <v>130</v>
      </c>
      <c r="C11">
        <v>49.5</v>
      </c>
      <c r="D11">
        <f>B$7*_580F_correl[[#This Row],[Dec]]/B$8+B$9</f>
        <v>49.5</v>
      </c>
      <c r="E11" s="2">
        <f>_580F_correl[[#This Row],[Actual]]-_580F_correl[[#This Row],[Recalc]]</f>
        <v>0</v>
      </c>
      <c r="H11" s="7" t="s">
        <v>428</v>
      </c>
      <c r="I11">
        <f>HEX2DEC(_580F_correl9[[#This Row],[Hex]])</f>
        <v>16773</v>
      </c>
      <c r="J11">
        <v>8.38650039833737</v>
      </c>
      <c r="K11">
        <f>I$7*_580F_correl9[[#This Row],[Dec]]/I$8+I$9</f>
        <v>8.3864999999999998</v>
      </c>
      <c r="L11" s="2">
        <f>_580F_correl9[[#This Row],[Actual]]-_580F_correl9[[#This Row],[Recalc]]</f>
        <v>3.9833737019989712E-7</v>
      </c>
      <c r="O11" s="7" t="s">
        <v>439</v>
      </c>
      <c r="P11">
        <f>HEX2DEC(_580F_correl910[[#This Row],[Hex]])</f>
        <v>146</v>
      </c>
      <c r="Q11">
        <v>86</v>
      </c>
      <c r="R11">
        <f>P$7*_580F_correl910[[#This Row],[Dec]]/P$8+P$9</f>
        <v>86</v>
      </c>
      <c r="S11" s="2">
        <f>_580F_correl910[[#This Row],[Actual]]-_580F_correl910[[#This Row],[Recalc]]</f>
        <v>0</v>
      </c>
      <c r="V11" s="7" t="s">
        <v>440</v>
      </c>
      <c r="W11">
        <f>HEX2DEC(_580F_correl91011[[#This Row],[Hex]])</f>
        <v>12572</v>
      </c>
      <c r="X11">
        <v>982.1875</v>
      </c>
      <c r="Y11">
        <f>W$7*_580F_correl91011[[#This Row],[Dec]]/W$8+W$9</f>
        <v>982.1875</v>
      </c>
      <c r="Z11" s="2">
        <f>_580F_correl91011[[#This Row],[Actual]]-_580F_correl91011[[#This Row],[Recalc]]</f>
        <v>0</v>
      </c>
    </row>
    <row r="12" spans="1:26" x14ac:dyDescent="0.25">
      <c r="A12" s="7" t="s">
        <v>425</v>
      </c>
      <c r="B12">
        <f>HEX2DEC(_580F_correl[[#This Row],[Hex]])</f>
        <v>128</v>
      </c>
      <c r="C12">
        <v>48</v>
      </c>
      <c r="D12">
        <f>B$7*_580F_correl[[#This Row],[Dec]]/B$8+B$9</f>
        <v>48</v>
      </c>
      <c r="E12" s="2">
        <f>_580F_correl[[#This Row],[Actual]]-_580F_correl[[#This Row],[Recalc]]</f>
        <v>0</v>
      </c>
      <c r="H12" s="7" t="s">
        <v>429</v>
      </c>
      <c r="I12">
        <f>HEX2DEC(_580F_correl9[[#This Row],[Hex]])</f>
        <v>16956</v>
      </c>
      <c r="J12">
        <v>8.4780004026833904</v>
      </c>
      <c r="K12">
        <f>I$7*_580F_correl9[[#This Row],[Dec]]/I$8+I$9</f>
        <v>8.4779999999999998</v>
      </c>
      <c r="L12" s="2">
        <f>_580F_correl9[[#This Row],[Actual]]-_580F_correl9[[#This Row],[Recalc]]</f>
        <v>4.0268339063231906E-7</v>
      </c>
      <c r="V12" s="7" t="s">
        <v>441</v>
      </c>
      <c r="W12" s="2">
        <f>HEX2DEC(_580F_correl91011[[#This Row],[Hex]])</f>
        <v>12570</v>
      </c>
      <c r="X12">
        <v>982.03125</v>
      </c>
      <c r="Y12" s="2">
        <f>W$7*_580F_correl91011[[#This Row],[Dec]]/W$8+W$9</f>
        <v>982.03125</v>
      </c>
      <c r="Z12" s="2">
        <f>_580F_correl91011[[#This Row],[Actual]]-_580F_correl91011[[#This Row],[Recalc]]</f>
        <v>0</v>
      </c>
    </row>
    <row r="13" spans="1:26" x14ac:dyDescent="0.25">
      <c r="A13" t="s">
        <v>409</v>
      </c>
      <c r="B13">
        <f>HEX2DEC(_580F_correl[[#This Row],[Hex]])</f>
        <v>127</v>
      </c>
      <c r="C13">
        <v>47.25</v>
      </c>
      <c r="D13">
        <f>B$7*_580F_correl[[#This Row],[Dec]]/B$8+B$9</f>
        <v>47.25</v>
      </c>
      <c r="E13" s="2">
        <f>_580F_correl[[#This Row],[Actual]]-_580F_correl[[#This Row],[Recalc]]</f>
        <v>0</v>
      </c>
      <c r="H13" s="7" t="s">
        <v>431</v>
      </c>
      <c r="I13">
        <f>HEX2DEC(_580F_correl9[[#This Row],[Hex]])</f>
        <v>16961</v>
      </c>
      <c r="J13">
        <v>8.4805004028021305</v>
      </c>
      <c r="K13">
        <f>I$7*_580F_correl9[[#This Row],[Dec]]/I$8+I$9</f>
        <v>8.4804999999999993</v>
      </c>
      <c r="L13" s="2">
        <f>_580F_correl9[[#This Row],[Actual]]-_580F_correl9[[#This Row],[Recalc]]</f>
        <v>4.0280213120524877E-7</v>
      </c>
      <c r="V13" s="7" t="s">
        <v>442</v>
      </c>
      <c r="W13" s="2">
        <f>HEX2DEC(_580F_correl91011[[#This Row],[Hex]])</f>
        <v>12565</v>
      </c>
      <c r="X13">
        <v>981.640625</v>
      </c>
      <c r="Y13" s="2">
        <f>W$7*_580F_correl91011[[#This Row],[Dec]]/W$8+W$9</f>
        <v>981.640625</v>
      </c>
      <c r="Z13" s="2">
        <f>_580F_correl91011[[#This Row],[Actual]]-_580F_correl91011[[#This Row],[Recalc]]</f>
        <v>0</v>
      </c>
    </row>
    <row r="14" spans="1:26" x14ac:dyDescent="0.25">
      <c r="A14" t="s">
        <v>395</v>
      </c>
      <c r="B14" s="2">
        <f>HEX2DEC(_580F_correl[[#This Row],[Hex]])</f>
        <v>126</v>
      </c>
      <c r="C14">
        <v>46.5</v>
      </c>
      <c r="D14">
        <f>B$7*_580F_correl[[#This Row],[Dec]]/B$8+B$9</f>
        <v>46.5</v>
      </c>
      <c r="E14" s="2">
        <f>_580F_correl[[#This Row],[Actual]]-_580F_correl[[#This Row],[Recalc]]</f>
        <v>0</v>
      </c>
      <c r="H14" s="7" t="s">
        <v>432</v>
      </c>
      <c r="I14" s="2">
        <f>HEX2DEC(_580F_correl9[[#This Row],[Hex]])</f>
        <v>16957</v>
      </c>
      <c r="J14">
        <v>8.4785004027071391</v>
      </c>
      <c r="K14">
        <f>I$7*_580F_correl9[[#This Row],[Dec]]/I$8+I$9</f>
        <v>8.4785000000000004</v>
      </c>
      <c r="L14" s="2">
        <f>_580F_correl9[[#This Row],[Actual]]-_580F_correl9[[#This Row],[Recalc]]</f>
        <v>4.02707138746905E-7</v>
      </c>
      <c r="V14" s="7" t="s">
        <v>443</v>
      </c>
      <c r="W14" s="2">
        <f>HEX2DEC(_580F_correl91011[[#This Row],[Hex]])</f>
        <v>12512</v>
      </c>
      <c r="X14">
        <v>977.5</v>
      </c>
      <c r="Y14" s="2">
        <f>W$7*_580F_correl91011[[#This Row],[Dec]]/W$8+W$9</f>
        <v>977.5</v>
      </c>
      <c r="Z14" s="2">
        <f>_580F_correl91011[[#This Row],[Actual]]-_580F_correl91011[[#This Row],[Recalc]]</f>
        <v>0</v>
      </c>
    </row>
    <row r="15" spans="1:26" x14ac:dyDescent="0.25">
      <c r="A15" s="7" t="s">
        <v>430</v>
      </c>
      <c r="B15" s="2">
        <f>HEX2DEC(_580F_correl[[#This Row],[Hex]])</f>
        <v>129</v>
      </c>
      <c r="C15">
        <v>48.75</v>
      </c>
      <c r="D15" s="2">
        <f>B$7*_580F_correl[[#This Row],[Dec]]/B$8+B$9</f>
        <v>48.75</v>
      </c>
      <c r="E15" s="2">
        <f>_580F_correl[[#This Row],[Actual]]-_580F_correl[[#This Row],[Recalc]]</f>
        <v>0</v>
      </c>
      <c r="H15" s="7" t="s">
        <v>433</v>
      </c>
      <c r="I15" s="2">
        <f>HEX2DEC(_580F_correl9[[#This Row],[Hex]])</f>
        <v>18731</v>
      </c>
      <c r="J15">
        <v>9.3655004448373802</v>
      </c>
      <c r="K15" s="2">
        <f>I$7*_580F_correl9[[#This Row],[Dec]]/I$8+I$9</f>
        <v>9.3655000000000008</v>
      </c>
      <c r="L15" s="2">
        <f>_580F_correl9[[#This Row],[Actual]]-_580F_correl9[[#This Row],[Recalc]]</f>
        <v>4.4483737937639489E-7</v>
      </c>
      <c r="V15" s="7" t="s">
        <v>444</v>
      </c>
      <c r="W15" s="2">
        <f>HEX2DEC(_580F_correl91011[[#This Row],[Hex]])</f>
        <v>12561</v>
      </c>
      <c r="X15">
        <v>981.328125</v>
      </c>
      <c r="Y15" s="2">
        <f>W$7*_580F_correl91011[[#This Row],[Dec]]/W$8+W$9</f>
        <v>981.328125</v>
      </c>
      <c r="Z15" s="2">
        <f>_580F_correl91011[[#This Row],[Actual]]-_580F_correl91011[[#This Row],[Recalc]]</f>
        <v>0</v>
      </c>
    </row>
    <row r="16" spans="1:26" x14ac:dyDescent="0.25">
      <c r="A16">
        <v>29</v>
      </c>
      <c r="B16" s="2">
        <f>HEX2DEC(_580F_correl[[#This Row],[Hex]])</f>
        <v>41</v>
      </c>
      <c r="D16" s="2">
        <f>B$7*_580F_correl[[#This Row],[Dec]]/B$8+B$9</f>
        <v>-17.25</v>
      </c>
      <c r="E16" s="2">
        <f>_580F_correl[[#This Row],[Actual]]-_580F_correl[[#This Row],[Recalc]]</f>
        <v>17.25</v>
      </c>
      <c r="H16" s="7" t="s">
        <v>434</v>
      </c>
      <c r="I16" s="2">
        <f>HEX2DEC(_580F_correl9[[#This Row],[Hex]])</f>
        <v>19479</v>
      </c>
      <c r="J16">
        <v>9.7395004626014199</v>
      </c>
      <c r="K16" s="2">
        <f>I$7*_580F_correl9[[#This Row],[Dec]]/I$8+I$9</f>
        <v>9.7394999999999996</v>
      </c>
      <c r="L16" s="2">
        <f>_580F_correl9[[#This Row],[Actual]]-_580F_correl9[[#This Row],[Recalc]]</f>
        <v>4.6260142028131668E-7</v>
      </c>
    </row>
    <row r="17" spans="1:12" x14ac:dyDescent="0.25">
      <c r="H17" s="7" t="s">
        <v>435</v>
      </c>
      <c r="I17" s="2">
        <f>HEX2DEC(_580F_correl9[[#This Row],[Hex]])</f>
        <v>21786</v>
      </c>
      <c r="J17">
        <v>10.8930005173897</v>
      </c>
      <c r="K17" s="2">
        <f>I$7*_580F_correl9[[#This Row],[Dec]]/I$8+I$9</f>
        <v>10.893000000000001</v>
      </c>
      <c r="L17" s="2">
        <f>_580F_correl9[[#This Row],[Actual]]-_580F_correl9[[#This Row],[Recalc]]</f>
        <v>5.1738969908399213E-7</v>
      </c>
    </row>
    <row r="18" spans="1:12" x14ac:dyDescent="0.25">
      <c r="H18" s="9" t="s">
        <v>436</v>
      </c>
      <c r="I18" s="2">
        <f>HEX2DEC(_580F_correl9[[#This Row],[Hex]])</f>
        <v>20024</v>
      </c>
      <c r="J18">
        <v>10.012000475544401</v>
      </c>
      <c r="K18" s="2">
        <f>I$7*_580F_correl9[[#This Row],[Dec]]/I$8+I$9</f>
        <v>10.012</v>
      </c>
      <c r="L18" s="2">
        <f>_580F_correl9[[#This Row],[Actual]]-_580F_correl9[[#This Row],[Recalc]]</f>
        <v>4.7554440030239675E-7</v>
      </c>
    </row>
    <row r="19" spans="1:12" x14ac:dyDescent="0.25">
      <c r="H19" t="s">
        <v>437</v>
      </c>
      <c r="I19" s="2">
        <f>HEX2DEC(_580F_correl9[[#This Row],[Hex]])</f>
        <v>20314</v>
      </c>
      <c r="J19">
        <v>10.1570004824316</v>
      </c>
      <c r="K19" s="2">
        <f>I$7*_580F_correl9[[#This Row],[Dec]]/I$8+I$9</f>
        <v>10.157</v>
      </c>
      <c r="L19" s="2">
        <f>_580F_correl9[[#This Row],[Actual]]-_580F_correl9[[#This Row],[Recalc]]</f>
        <v>4.8243160044592059E-7</v>
      </c>
    </row>
    <row r="20" spans="1:12" x14ac:dyDescent="0.25">
      <c r="H20" t="s">
        <v>438</v>
      </c>
      <c r="I20" s="2">
        <f>HEX2DEC(_580F_correl9[[#This Row],[Hex]])</f>
        <v>20245</v>
      </c>
      <c r="J20">
        <v>10.122500480792899</v>
      </c>
      <c r="K20" s="2">
        <f>I$7*_580F_correl9[[#This Row],[Dec]]/I$8+I$9</f>
        <v>10.1225</v>
      </c>
      <c r="L20" s="2">
        <f>_580F_correl9[[#This Row],[Actual]]-_580F_correl9[[#This Row],[Recalc]]</f>
        <v>4.8079289882707599E-7</v>
      </c>
    </row>
    <row r="24" spans="1:12" x14ac:dyDescent="0.25">
      <c r="A24" s="2" cm="1">
        <f t="array" ref="A24:B28">LINEST(_580F_correl9101112[Actual],_580F_correl9101112[Dec],TRUE,TRUE)</f>
        <v>7.8124999999999986E-2</v>
      </c>
      <c r="B24">
        <v>2.2737367544323206E-13</v>
      </c>
      <c r="C24" t="str">
        <f>TEXT(A24,"####/####")</f>
        <v>5/64</v>
      </c>
    </row>
    <row r="25" spans="1:12" x14ac:dyDescent="0.25">
      <c r="A25">
        <v>0</v>
      </c>
      <c r="B25">
        <v>0</v>
      </c>
    </row>
    <row r="26" spans="1:12" x14ac:dyDescent="0.25">
      <c r="A26">
        <v>1</v>
      </c>
      <c r="B26">
        <v>0</v>
      </c>
    </row>
    <row r="27" spans="1:12" x14ac:dyDescent="0.25">
      <c r="A27" t="e">
        <v>#NUM!</v>
      </c>
      <c r="B27">
        <v>3</v>
      </c>
    </row>
    <row r="28" spans="1:12" x14ac:dyDescent="0.25">
      <c r="A28">
        <v>15.22216796875</v>
      </c>
      <c r="B28">
        <v>0</v>
      </c>
    </row>
    <row r="29" spans="1:12" x14ac:dyDescent="0.25">
      <c r="A29" t="s">
        <v>423</v>
      </c>
      <c r="B29" s="8" t="s">
        <v>8</v>
      </c>
      <c r="C29" t="str">
        <f>VLOOKUP(B29,CIList[],2)</f>
        <v>Boost</v>
      </c>
    </row>
    <row r="30" spans="1:12" x14ac:dyDescent="0.25">
      <c r="A30" t="s">
        <v>17</v>
      </c>
      <c r="B30">
        <v>5</v>
      </c>
    </row>
    <row r="31" spans="1:12" x14ac:dyDescent="0.25">
      <c r="A31" t="s">
        <v>18</v>
      </c>
      <c r="B31">
        <v>64</v>
      </c>
    </row>
    <row r="32" spans="1:12" x14ac:dyDescent="0.25">
      <c r="A32" t="s">
        <v>19</v>
      </c>
      <c r="B32">
        <v>0</v>
      </c>
    </row>
    <row r="33" spans="1:5" x14ac:dyDescent="0.25">
      <c r="A33" t="s">
        <v>420</v>
      </c>
      <c r="B33" t="s">
        <v>421</v>
      </c>
      <c r="C33" t="s">
        <v>422</v>
      </c>
      <c r="D33" t="s">
        <v>426</v>
      </c>
      <c r="E33" t="s">
        <v>427</v>
      </c>
    </row>
    <row r="34" spans="1:5" x14ac:dyDescent="0.25">
      <c r="A34" s="7" t="s">
        <v>440</v>
      </c>
      <c r="B34">
        <f>HEX2DEC(_580F_correl9101112[[#This Row],[Hex]])</f>
        <v>12572</v>
      </c>
      <c r="C34">
        <v>982.1875</v>
      </c>
      <c r="D34">
        <f>B$30*_580F_correl9101112[[#This Row],[Dec]]/B$31+B$32</f>
        <v>982.1875</v>
      </c>
      <c r="E34" s="2">
        <f>_580F_correl9101112[[#This Row],[Actual]]-_580F_correl9101112[[#This Row],[Recalc]]</f>
        <v>0</v>
      </c>
    </row>
    <row r="35" spans="1:5" x14ac:dyDescent="0.25">
      <c r="A35" s="7" t="s">
        <v>441</v>
      </c>
      <c r="B35" s="2">
        <f>HEX2DEC(_580F_correl9101112[[#This Row],[Hex]])</f>
        <v>12570</v>
      </c>
      <c r="C35">
        <v>982.03125</v>
      </c>
      <c r="D35" s="2">
        <f>B$30*_580F_correl9101112[[#This Row],[Dec]]/B$31+B$32</f>
        <v>982.03125</v>
      </c>
      <c r="E35" s="2">
        <f>_580F_correl9101112[[#This Row],[Actual]]-_580F_correl9101112[[#This Row],[Recalc]]</f>
        <v>0</v>
      </c>
    </row>
    <row r="36" spans="1:5" x14ac:dyDescent="0.25">
      <c r="A36" s="7" t="s">
        <v>442</v>
      </c>
      <c r="B36" s="2">
        <f>HEX2DEC(_580F_correl9101112[[#This Row],[Hex]])</f>
        <v>12565</v>
      </c>
      <c r="C36">
        <v>981.640625</v>
      </c>
      <c r="D36" s="2">
        <f>B$30*_580F_correl9101112[[#This Row],[Dec]]/B$31+B$32</f>
        <v>981.640625</v>
      </c>
      <c r="E36" s="2">
        <f>_580F_correl9101112[[#This Row],[Actual]]-_580F_correl9101112[[#This Row],[Recalc]]</f>
        <v>0</v>
      </c>
    </row>
    <row r="37" spans="1:5" x14ac:dyDescent="0.25">
      <c r="A37" s="7" t="s">
        <v>443</v>
      </c>
      <c r="B37" s="2">
        <f>HEX2DEC(_580F_correl9101112[[#This Row],[Hex]])</f>
        <v>12512</v>
      </c>
      <c r="C37">
        <v>977.5</v>
      </c>
      <c r="D37" s="2">
        <f>B$30*_580F_correl9101112[[#This Row],[Dec]]/B$31+B$32</f>
        <v>977.5</v>
      </c>
      <c r="E37" s="2">
        <f>_580F_correl9101112[[#This Row],[Actual]]-_580F_correl9101112[[#This Row],[Recalc]]</f>
        <v>0</v>
      </c>
    </row>
    <row r="38" spans="1:5" x14ac:dyDescent="0.25">
      <c r="A38" s="7" t="s">
        <v>444</v>
      </c>
      <c r="B38" s="2">
        <f>HEX2DEC(_580F_correl9101112[[#This Row],[Hex]])</f>
        <v>12561</v>
      </c>
      <c r="C38">
        <v>981.328125</v>
      </c>
      <c r="D38" s="2">
        <f>B$30*_580F_correl9101112[[#This Row],[Dec]]/B$31+B$32</f>
        <v>981.328125</v>
      </c>
      <c r="E38" s="2">
        <f>_580F_correl9101112[[#This Row],[Actual]]-_580F_correl9101112[[#This Row],[Recalc]]</f>
        <v>0</v>
      </c>
    </row>
  </sheetData>
  <pageMargins left="0.7" right="0.7" top="0.75" bottom="0.75" header="0.3" footer="0.3"/>
  <pageSetup paperSize="9" orientation="portrait" r:id="rId1"/>
  <tableParts count="5">
    <tablePart r:id="rId2"/>
    <tablePart r:id="rId3"/>
    <tablePart r:id="rId4"/>
    <tablePart r:id="rId5"/>
    <tablePart r:id="rId6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C4D2D-0DD3-4439-9444-6251F2127BCE}">
  <dimension ref="A1:R400"/>
  <sheetViews>
    <sheetView tabSelected="1" topLeftCell="B1" zoomScale="90" zoomScaleNormal="90" workbookViewId="0">
      <selection activeCell="P117" sqref="P117"/>
    </sheetView>
  </sheetViews>
  <sheetFormatPr defaultRowHeight="15" x14ac:dyDescent="0.25"/>
  <cols>
    <col min="1" max="1" width="19.42578125" bestFit="1" customWidth="1"/>
    <col min="2" max="2" width="7.85546875" bestFit="1" customWidth="1"/>
    <col min="3" max="3" width="38.28515625" customWidth="1"/>
    <col min="4" max="4" width="20" customWidth="1"/>
    <col min="5" max="5" width="42.85546875" customWidth="1"/>
    <col min="6" max="6" width="13.7109375" bestFit="1" customWidth="1"/>
    <col min="7" max="7" width="13.28515625" customWidth="1"/>
    <col min="8" max="8" width="6.28515625" bestFit="1" customWidth="1"/>
    <col min="9" max="9" width="16.140625" bestFit="1" customWidth="1"/>
    <col min="10" max="10" width="13" bestFit="1" customWidth="1"/>
    <col min="11" max="11" width="6.28515625" customWidth="1"/>
    <col min="12" max="12" width="12" bestFit="1" customWidth="1"/>
    <col min="13" max="13" width="6.42578125" bestFit="1" customWidth="1"/>
    <col min="14" max="14" width="12.28515625" bestFit="1" customWidth="1"/>
    <col min="15" max="15" width="7.140625" bestFit="1" customWidth="1"/>
  </cols>
  <sheetData>
    <row r="1" spans="1:18" x14ac:dyDescent="0.25">
      <c r="A1" t="s">
        <v>445</v>
      </c>
      <c r="B1" t="s">
        <v>446</v>
      </c>
      <c r="C1" t="s">
        <v>447</v>
      </c>
      <c r="D1" t="s">
        <v>448</v>
      </c>
      <c r="E1" t="s">
        <v>2309</v>
      </c>
      <c r="F1" t="s">
        <v>449</v>
      </c>
      <c r="G1" t="s">
        <v>450</v>
      </c>
      <c r="H1" t="s">
        <v>451</v>
      </c>
      <c r="I1" t="s">
        <v>452</v>
      </c>
      <c r="J1" t="s">
        <v>2311</v>
      </c>
      <c r="K1" t="s">
        <v>453</v>
      </c>
      <c r="L1" t="s">
        <v>17</v>
      </c>
      <c r="M1" t="s">
        <v>18</v>
      </c>
      <c r="N1" t="s">
        <v>2310</v>
      </c>
      <c r="O1" t="s">
        <v>19</v>
      </c>
      <c r="P1" t="s">
        <v>420</v>
      </c>
      <c r="Q1" t="s">
        <v>421</v>
      </c>
      <c r="R1" t="s">
        <v>2374</v>
      </c>
    </row>
    <row r="2" spans="1:18" hidden="1" x14ac:dyDescent="0.25">
      <c r="A2" s="13" t="s">
        <v>454</v>
      </c>
      <c r="B2" s="13" t="s">
        <v>455</v>
      </c>
      <c r="C2" s="13" t="s">
        <v>456</v>
      </c>
      <c r="D2" s="13" t="s">
        <v>457</v>
      </c>
      <c r="E2" s="13" t="s">
        <v>2347</v>
      </c>
      <c r="F2" s="13" t="s">
        <v>458</v>
      </c>
      <c r="G2" s="13" t="s">
        <v>459</v>
      </c>
      <c r="H2" s="13" t="s">
        <v>460</v>
      </c>
      <c r="I2" s="13" t="s">
        <v>461</v>
      </c>
      <c r="J2" s="13" cm="1">
        <f t="array" ref="J2">_xlfn.IFS(DDLI_DME[[#This Row],[DATENTYP]]="unsigned integer",2,DDLI_DME[[#This Row],[DATENTYP]]="unsigned char",1,DDLI_DME[[#This Row],[DATENTYP]]="signed integer",2)</f>
        <v>1</v>
      </c>
      <c r="K2" s="13" t="s">
        <v>460</v>
      </c>
      <c r="L2" s="14">
        <v>0.75</v>
      </c>
      <c r="M2" s="14">
        <v>1</v>
      </c>
      <c r="N2" s="14" t="str">
        <f>TEXT(DDLI_DME[[#This Row],[MUL]],"######/######")</f>
        <v>3/4</v>
      </c>
      <c r="O2" s="14">
        <v>-48</v>
      </c>
      <c r="P2">
        <v>0</v>
      </c>
      <c r="Q2">
        <f>HEX2DEC(DDLI_DME[[#This Row],[Hex]])</f>
        <v>0</v>
      </c>
      <c r="R2">
        <f>DDLI_DME[[#This Row],[ADD]]+DDLI_DME[[#This Row],[Dec]]*DDLI_DME[[#This Row],[MUL]]/DDLI_DME[[#This Row],[DIV]]</f>
        <v>-48</v>
      </c>
    </row>
    <row r="3" spans="1:18" hidden="1" x14ac:dyDescent="0.25">
      <c r="A3" s="2" t="s">
        <v>462</v>
      </c>
      <c r="B3" s="2" t="s">
        <v>463</v>
      </c>
      <c r="C3" s="2" t="s">
        <v>464</v>
      </c>
      <c r="D3" s="2" t="s">
        <v>465</v>
      </c>
      <c r="E3" s="2" t="s">
        <v>2314</v>
      </c>
      <c r="F3" s="2" t="s">
        <v>6</v>
      </c>
      <c r="G3" s="2" t="s">
        <v>466</v>
      </c>
      <c r="H3" s="2" t="s">
        <v>460</v>
      </c>
      <c r="I3" s="2" t="s">
        <v>467</v>
      </c>
      <c r="J3" s="2" cm="1">
        <f t="array" ref="J3">_xlfn.IFS(DDLI_DME[[#This Row],[DATENTYP]]="unsigned integer",2,DDLI_DME[[#This Row],[DATENTYP]]="unsigned char",1,DDLI_DME[[#This Row],[DATENTYP]]="signed integer",2)</f>
        <v>2</v>
      </c>
      <c r="K3" s="2" t="s">
        <v>460</v>
      </c>
      <c r="L3">
        <v>3.90625E-2</v>
      </c>
      <c r="M3">
        <v>1</v>
      </c>
      <c r="N3" t="str">
        <f>TEXT(DDLI_DME[[#This Row],[MUL]],"######/######")</f>
        <v>5/128</v>
      </c>
      <c r="O3">
        <v>0</v>
      </c>
      <c r="Q3">
        <f>HEX2DEC(DDLI_DME[[#This Row],[Hex]])</f>
        <v>0</v>
      </c>
      <c r="R3">
        <f>DDLI_DME[[#This Row],[ADD]]+DDLI_DME[[#This Row],[Dec]]*DDLI_DME[[#This Row],[MUL]]/DDLI_DME[[#This Row],[DIV]]</f>
        <v>0</v>
      </c>
    </row>
    <row r="4" spans="1:18" hidden="1" x14ac:dyDescent="0.25">
      <c r="A4" s="2" t="s">
        <v>468</v>
      </c>
      <c r="B4" s="2" t="s">
        <v>469</v>
      </c>
      <c r="C4" s="2" t="s">
        <v>470</v>
      </c>
      <c r="D4" s="2" t="s">
        <v>471</v>
      </c>
      <c r="E4" s="2" t="s">
        <v>2315</v>
      </c>
      <c r="F4" s="2" t="s">
        <v>6</v>
      </c>
      <c r="G4" s="2" t="s">
        <v>472</v>
      </c>
      <c r="H4" s="2" t="s">
        <v>460</v>
      </c>
      <c r="I4" s="2" t="s">
        <v>467</v>
      </c>
      <c r="J4" s="2" cm="1">
        <f t="array" ref="J4">_xlfn.IFS(DDLI_DME[[#This Row],[DATENTYP]]="unsigned integer",2,DDLI_DME[[#This Row],[DATENTYP]]="unsigned char",1,DDLI_DME[[#This Row],[DATENTYP]]="signed integer",2)</f>
        <v>2</v>
      </c>
      <c r="K4" s="2" t="s">
        <v>460</v>
      </c>
      <c r="L4">
        <v>3.90625E-2</v>
      </c>
      <c r="M4">
        <v>1</v>
      </c>
      <c r="N4" t="str">
        <f>TEXT(DDLI_DME[[#This Row],[MUL]],"######/######")</f>
        <v>5/128</v>
      </c>
      <c r="O4">
        <v>0</v>
      </c>
      <c r="Q4">
        <f>HEX2DEC(DDLI_DME[[#This Row],[Hex]])</f>
        <v>0</v>
      </c>
      <c r="R4">
        <f>DDLI_DME[[#This Row],[ADD]]+DDLI_DME[[#This Row],[Dec]]*DDLI_DME[[#This Row],[MUL]]/DDLI_DME[[#This Row],[DIV]]</f>
        <v>0</v>
      </c>
    </row>
    <row r="5" spans="1:18" hidden="1" x14ac:dyDescent="0.25">
      <c r="A5" s="2" t="s">
        <v>473</v>
      </c>
      <c r="B5" s="2" t="s">
        <v>474</v>
      </c>
      <c r="C5" s="2" t="s">
        <v>475</v>
      </c>
      <c r="D5" s="2" t="s">
        <v>476</v>
      </c>
      <c r="E5" s="2" t="s">
        <v>2316</v>
      </c>
      <c r="F5" s="2" t="s">
        <v>477</v>
      </c>
      <c r="G5" s="2" t="s">
        <v>478</v>
      </c>
      <c r="H5" s="2" t="s">
        <v>460</v>
      </c>
      <c r="I5" s="2" t="s">
        <v>467</v>
      </c>
      <c r="J5" s="2" cm="1">
        <f t="array" ref="J5">_xlfn.IFS(DDLI_DME[[#This Row],[DATENTYP]]="unsigned integer",2,DDLI_DME[[#This Row],[DATENTYP]]="unsigned char",1,DDLI_DME[[#This Row],[DATENTYP]]="signed integer",2)</f>
        <v>2</v>
      </c>
      <c r="K5" s="2" t="s">
        <v>460</v>
      </c>
      <c r="L5">
        <v>0.10000000149011612</v>
      </c>
      <c r="M5">
        <v>1</v>
      </c>
      <c r="N5" t="str">
        <f>TEXT(DDLI_DME[[#This Row],[MUL]],"######/######")</f>
        <v>1/10</v>
      </c>
      <c r="O5">
        <v>0</v>
      </c>
      <c r="Q5">
        <f>HEX2DEC(DDLI_DME[[#This Row],[Hex]])</f>
        <v>0</v>
      </c>
      <c r="R5">
        <f>DDLI_DME[[#This Row],[ADD]]+DDLI_DME[[#This Row],[Dec]]*DDLI_DME[[#This Row],[MUL]]/DDLI_DME[[#This Row],[DIV]]</f>
        <v>0</v>
      </c>
    </row>
    <row r="6" spans="1:18" hidden="1" x14ac:dyDescent="0.25">
      <c r="A6" s="2" t="s">
        <v>479</v>
      </c>
      <c r="B6" s="2" t="s">
        <v>480</v>
      </c>
      <c r="C6" s="2" t="s">
        <v>481</v>
      </c>
      <c r="D6" s="2" t="s">
        <v>482</v>
      </c>
      <c r="E6" s="2" t="s">
        <v>2317</v>
      </c>
      <c r="F6" s="2" t="s">
        <v>458</v>
      </c>
      <c r="G6" s="2" t="s">
        <v>483</v>
      </c>
      <c r="H6" s="2" t="s">
        <v>460</v>
      </c>
      <c r="I6" s="2" t="s">
        <v>461</v>
      </c>
      <c r="J6" s="2" cm="1">
        <f t="array" ref="J6">_xlfn.IFS(DDLI_DME[[#This Row],[DATENTYP]]="unsigned integer",2,DDLI_DME[[#This Row],[DATENTYP]]="unsigned char",1,DDLI_DME[[#This Row],[DATENTYP]]="signed integer",2)</f>
        <v>1</v>
      </c>
      <c r="K6" s="2" t="s">
        <v>460</v>
      </c>
      <c r="L6">
        <v>0.75</v>
      </c>
      <c r="M6">
        <v>1</v>
      </c>
      <c r="N6" t="str">
        <f>TEXT(DDLI_DME[[#This Row],[MUL]],"######/######")</f>
        <v>3/4</v>
      </c>
      <c r="O6">
        <v>-48</v>
      </c>
      <c r="Q6">
        <f>HEX2DEC(DDLI_DME[[#This Row],[Hex]])</f>
        <v>0</v>
      </c>
      <c r="R6">
        <f>DDLI_DME[[#This Row],[ADD]]+DDLI_DME[[#This Row],[Dec]]*DDLI_DME[[#This Row],[MUL]]/DDLI_DME[[#This Row],[DIV]]</f>
        <v>-48</v>
      </c>
    </row>
    <row r="7" spans="1:18" hidden="1" x14ac:dyDescent="0.25">
      <c r="A7" s="2" t="s">
        <v>484</v>
      </c>
      <c r="B7" s="2" t="s">
        <v>485</v>
      </c>
      <c r="C7" s="2" t="s">
        <v>486</v>
      </c>
      <c r="D7" s="2" t="s">
        <v>487</v>
      </c>
      <c r="E7" s="2" t="s">
        <v>2318</v>
      </c>
      <c r="F7" s="2" t="s">
        <v>6</v>
      </c>
      <c r="G7" s="2" t="s">
        <v>488</v>
      </c>
      <c r="H7" s="2" t="s">
        <v>460</v>
      </c>
      <c r="I7" s="2" t="s">
        <v>467</v>
      </c>
      <c r="J7" s="2" cm="1">
        <f t="array" ref="J7">_xlfn.IFS(DDLI_DME[[#This Row],[DATENTYP]]="unsigned integer",2,DDLI_DME[[#This Row],[DATENTYP]]="unsigned char",1,DDLI_DME[[#This Row],[DATENTYP]]="signed integer",2)</f>
        <v>2</v>
      </c>
      <c r="K7" s="2" t="s">
        <v>460</v>
      </c>
      <c r="L7">
        <v>7.8125E-2</v>
      </c>
      <c r="M7">
        <v>1</v>
      </c>
      <c r="N7" t="str">
        <f>TEXT(DDLI_DME[[#This Row],[MUL]],"######/######")</f>
        <v>5/64</v>
      </c>
      <c r="O7">
        <v>0</v>
      </c>
      <c r="Q7">
        <f>HEX2DEC(DDLI_DME[[#This Row],[Hex]])</f>
        <v>0</v>
      </c>
      <c r="R7">
        <f>DDLI_DME[[#This Row],[ADD]]+DDLI_DME[[#This Row],[Dec]]*DDLI_DME[[#This Row],[MUL]]/DDLI_DME[[#This Row],[DIV]]</f>
        <v>0</v>
      </c>
    </row>
    <row r="8" spans="1:18" hidden="1" x14ac:dyDescent="0.25">
      <c r="A8" s="13" t="s">
        <v>489</v>
      </c>
      <c r="B8" s="13" t="s">
        <v>490</v>
      </c>
      <c r="C8" s="13" t="s">
        <v>491</v>
      </c>
      <c r="D8" s="13" t="s">
        <v>492</v>
      </c>
      <c r="E8" s="13" t="s">
        <v>2319</v>
      </c>
      <c r="F8" s="13" t="s">
        <v>458</v>
      </c>
      <c r="G8" s="13" t="s">
        <v>493</v>
      </c>
      <c r="H8" s="13" t="s">
        <v>460</v>
      </c>
      <c r="I8" s="13" t="s">
        <v>461</v>
      </c>
      <c r="J8" s="13" cm="1">
        <f t="array" ref="J8">_xlfn.IFS(DDLI_DME[[#This Row],[DATENTYP]]="unsigned integer",2,DDLI_DME[[#This Row],[DATENTYP]]="unsigned char",1,DDLI_DME[[#This Row],[DATENTYP]]="signed integer",2)</f>
        <v>1</v>
      </c>
      <c r="K8" s="13" t="s">
        <v>460</v>
      </c>
      <c r="L8" s="14">
        <v>0.75</v>
      </c>
      <c r="M8" s="14">
        <v>1</v>
      </c>
      <c r="N8" s="14" t="str">
        <f>TEXT(DDLI_DME[[#This Row],[MUL]],"######/######")</f>
        <v>3/4</v>
      </c>
      <c r="O8" s="14">
        <v>-48</v>
      </c>
      <c r="Q8">
        <f>HEX2DEC(DDLI_DME[[#This Row],[Hex]])</f>
        <v>0</v>
      </c>
      <c r="R8">
        <f>DDLI_DME[[#This Row],[ADD]]+DDLI_DME[[#This Row],[Dec]]*DDLI_DME[[#This Row],[MUL]]/DDLI_DME[[#This Row],[DIV]]</f>
        <v>-48</v>
      </c>
    </row>
    <row r="9" spans="1:18" x14ac:dyDescent="0.25">
      <c r="A9" s="10" t="s">
        <v>494</v>
      </c>
      <c r="B9" s="10" t="s">
        <v>495</v>
      </c>
      <c r="C9" s="10" t="s">
        <v>496</v>
      </c>
      <c r="D9" s="10" t="s">
        <v>497</v>
      </c>
      <c r="E9" s="10" t="s">
        <v>2312</v>
      </c>
      <c r="F9" s="10" t="s">
        <v>458</v>
      </c>
      <c r="G9" s="10" t="s">
        <v>498</v>
      </c>
      <c r="H9" s="10" t="s">
        <v>460</v>
      </c>
      <c r="I9" s="10" t="s">
        <v>461</v>
      </c>
      <c r="J9" s="10" cm="1">
        <f t="array" ref="J9">_xlfn.IFS(DDLI_DME[[#This Row],[DATENTYP]]="unsigned integer",2,DDLI_DME[[#This Row],[DATENTYP]]="unsigned char",1,DDLI_DME[[#This Row],[DATENTYP]]="signed integer",2)</f>
        <v>1</v>
      </c>
      <c r="K9" s="10" t="s">
        <v>460</v>
      </c>
      <c r="L9" s="6">
        <v>1</v>
      </c>
      <c r="M9" s="6">
        <v>1</v>
      </c>
      <c r="N9" s="6" t="str">
        <f>TEXT(DDLI_DME[[#This Row],[MUL]],"######/######")</f>
        <v>1/1</v>
      </c>
      <c r="O9" s="6">
        <v>-60</v>
      </c>
      <c r="P9" s="7" t="s">
        <v>2376</v>
      </c>
      <c r="Q9">
        <f>HEX2DEC(DDLI_DME[[#This Row],[Hex]])</f>
        <v>88</v>
      </c>
      <c r="R9">
        <f>DDLI_DME[[#This Row],[ADD]]+DDLI_DME[[#This Row],[Dec]]*DDLI_DME[[#This Row],[MUL]]/DDLI_DME[[#This Row],[DIV]]</f>
        <v>28</v>
      </c>
    </row>
    <row r="10" spans="1:18" hidden="1" x14ac:dyDescent="0.25">
      <c r="A10" s="2" t="s">
        <v>499</v>
      </c>
      <c r="B10" s="2" t="s">
        <v>500</v>
      </c>
      <c r="C10" s="2" t="s">
        <v>501</v>
      </c>
      <c r="D10" s="2" t="s">
        <v>502</v>
      </c>
      <c r="E10" s="2" t="s">
        <v>2320</v>
      </c>
      <c r="F10" s="2" t="s">
        <v>460</v>
      </c>
      <c r="G10" s="2" t="s">
        <v>503</v>
      </c>
      <c r="H10" s="2" t="s">
        <v>460</v>
      </c>
      <c r="I10" s="2" t="s">
        <v>504</v>
      </c>
      <c r="J10" s="2" t="e" cm="1">
        <f t="array" ref="J10">_xlfn.IFS(DDLI_DME[[#This Row],[DATENTYP]]="unsigned integer",2,DDLI_DME[[#This Row],[DATENTYP]]="unsigned char",1,DDLI_DME[[#This Row],[DATENTYP]]="signed integer",2)</f>
        <v>#N/A</v>
      </c>
      <c r="K10" s="2" t="s">
        <v>460</v>
      </c>
      <c r="L10">
        <v>1.220703125E-4</v>
      </c>
      <c r="M10">
        <v>1</v>
      </c>
      <c r="N10" t="str">
        <f>TEXT(DDLI_DME[[#This Row],[MUL]],"######/######")</f>
        <v>1/8192</v>
      </c>
      <c r="O10">
        <v>0</v>
      </c>
      <c r="Q10">
        <f>HEX2DEC(DDLI_DME[[#This Row],[Hex]])</f>
        <v>0</v>
      </c>
      <c r="R10">
        <f>DDLI_DME[[#This Row],[ADD]]+DDLI_DME[[#This Row],[Dec]]*DDLI_DME[[#This Row],[MUL]]/DDLI_DME[[#This Row],[DIV]]</f>
        <v>0</v>
      </c>
    </row>
    <row r="11" spans="1:18" hidden="1" x14ac:dyDescent="0.25">
      <c r="A11" s="11" t="s">
        <v>505</v>
      </c>
      <c r="B11" s="11" t="s">
        <v>506</v>
      </c>
      <c r="C11" s="11" t="s">
        <v>507</v>
      </c>
      <c r="D11" s="11" t="s">
        <v>508</v>
      </c>
      <c r="E11" s="11" t="s">
        <v>2321</v>
      </c>
      <c r="F11" s="11" t="s">
        <v>460</v>
      </c>
      <c r="G11" s="11" t="s">
        <v>509</v>
      </c>
      <c r="H11" s="11" t="s">
        <v>460</v>
      </c>
      <c r="I11" s="11" t="s">
        <v>461</v>
      </c>
      <c r="J11" s="11" cm="1">
        <f t="array" ref="J11">_xlfn.IFS(DDLI_DME[[#This Row],[DATENTYP]]="unsigned integer",2,DDLI_DME[[#This Row],[DATENTYP]]="unsigned char",1,DDLI_DME[[#This Row],[DATENTYP]]="signed integer",2)</f>
        <v>1</v>
      </c>
      <c r="K11" s="11" t="s">
        <v>460</v>
      </c>
      <c r="L11" s="12">
        <v>9.9999997764825821E-3</v>
      </c>
      <c r="M11" s="12">
        <v>1</v>
      </c>
      <c r="N11" s="12" t="str">
        <f>TEXT(DDLI_DME[[#This Row],[MUL]],"######/######")</f>
        <v>1/100</v>
      </c>
      <c r="O11" s="12">
        <v>0</v>
      </c>
      <c r="Q11">
        <f>HEX2DEC(DDLI_DME[[#This Row],[Hex]])</f>
        <v>0</v>
      </c>
      <c r="R11">
        <f>DDLI_DME[[#This Row],[ADD]]+DDLI_DME[[#This Row],[Dec]]*DDLI_DME[[#This Row],[MUL]]/DDLI_DME[[#This Row],[DIV]]</f>
        <v>0</v>
      </c>
    </row>
    <row r="12" spans="1:18" hidden="1" x14ac:dyDescent="0.25">
      <c r="A12" s="11" t="s">
        <v>510</v>
      </c>
      <c r="B12" s="11" t="s">
        <v>511</v>
      </c>
      <c r="C12" s="11" t="s">
        <v>512</v>
      </c>
      <c r="D12" s="11" t="s">
        <v>513</v>
      </c>
      <c r="E12" s="11" t="s">
        <v>2321</v>
      </c>
      <c r="F12" s="11" t="s">
        <v>460</v>
      </c>
      <c r="G12" s="11" t="s">
        <v>514</v>
      </c>
      <c r="H12" s="11" t="s">
        <v>460</v>
      </c>
      <c r="I12" s="11" t="s">
        <v>461</v>
      </c>
      <c r="J12" s="11" cm="1">
        <f t="array" ref="J12">_xlfn.IFS(DDLI_DME[[#This Row],[DATENTYP]]="unsigned integer",2,DDLI_DME[[#This Row],[DATENTYP]]="unsigned char",1,DDLI_DME[[#This Row],[DATENTYP]]="signed integer",2)</f>
        <v>1</v>
      </c>
      <c r="K12" s="11" t="s">
        <v>460</v>
      </c>
      <c r="L12" s="12">
        <v>9.9999997764825821E-3</v>
      </c>
      <c r="M12" s="12">
        <v>1</v>
      </c>
      <c r="N12" s="12" t="str">
        <f>TEXT(DDLI_DME[[#This Row],[MUL]],"######/######")</f>
        <v>1/100</v>
      </c>
      <c r="O12" s="12">
        <v>0</v>
      </c>
      <c r="Q12">
        <f>HEX2DEC(DDLI_DME[[#This Row],[Hex]])</f>
        <v>0</v>
      </c>
      <c r="R12">
        <f>DDLI_DME[[#This Row],[ADD]]+DDLI_DME[[#This Row],[Dec]]*DDLI_DME[[#This Row],[MUL]]/DDLI_DME[[#This Row],[DIV]]</f>
        <v>0</v>
      </c>
    </row>
    <row r="13" spans="1:18" hidden="1" x14ac:dyDescent="0.25">
      <c r="A13" s="11" t="s">
        <v>515</v>
      </c>
      <c r="B13" s="11" t="s">
        <v>516</v>
      </c>
      <c r="C13" s="11" t="s">
        <v>517</v>
      </c>
      <c r="D13" s="11" t="s">
        <v>518</v>
      </c>
      <c r="E13" s="11" t="s">
        <v>2321</v>
      </c>
      <c r="F13" s="11" t="s">
        <v>460</v>
      </c>
      <c r="G13" s="11" t="s">
        <v>519</v>
      </c>
      <c r="H13" s="11" t="s">
        <v>460</v>
      </c>
      <c r="I13" s="11" t="s">
        <v>461</v>
      </c>
      <c r="J13" s="11" cm="1">
        <f t="array" ref="J13">_xlfn.IFS(DDLI_DME[[#This Row],[DATENTYP]]="unsigned integer",2,DDLI_DME[[#This Row],[DATENTYP]]="unsigned char",1,DDLI_DME[[#This Row],[DATENTYP]]="signed integer",2)</f>
        <v>1</v>
      </c>
      <c r="K13" s="11" t="s">
        <v>460</v>
      </c>
      <c r="L13" s="12">
        <v>9.9999997764825821E-3</v>
      </c>
      <c r="M13" s="12">
        <v>1</v>
      </c>
      <c r="N13" s="12" t="str">
        <f>TEXT(DDLI_DME[[#This Row],[MUL]],"######/######")</f>
        <v>1/100</v>
      </c>
      <c r="O13" s="12">
        <v>0</v>
      </c>
      <c r="Q13">
        <f>HEX2DEC(DDLI_DME[[#This Row],[Hex]])</f>
        <v>0</v>
      </c>
      <c r="R13">
        <f>DDLI_DME[[#This Row],[ADD]]+DDLI_DME[[#This Row],[Dec]]*DDLI_DME[[#This Row],[MUL]]/DDLI_DME[[#This Row],[DIV]]</f>
        <v>0</v>
      </c>
    </row>
    <row r="14" spans="1:18" hidden="1" x14ac:dyDescent="0.25">
      <c r="A14" s="11" t="s">
        <v>520</v>
      </c>
      <c r="B14" s="11" t="s">
        <v>521</v>
      </c>
      <c r="C14" s="11" t="s">
        <v>522</v>
      </c>
      <c r="D14" s="11" t="s">
        <v>523</v>
      </c>
      <c r="E14" s="11" t="s">
        <v>2321</v>
      </c>
      <c r="F14" s="11" t="s">
        <v>460</v>
      </c>
      <c r="G14" s="11" t="s">
        <v>524</v>
      </c>
      <c r="H14" s="11" t="s">
        <v>460</v>
      </c>
      <c r="I14" s="11" t="s">
        <v>461</v>
      </c>
      <c r="J14" s="11" cm="1">
        <f t="array" ref="J14">_xlfn.IFS(DDLI_DME[[#This Row],[DATENTYP]]="unsigned integer",2,DDLI_DME[[#This Row],[DATENTYP]]="unsigned char",1,DDLI_DME[[#This Row],[DATENTYP]]="signed integer",2)</f>
        <v>1</v>
      </c>
      <c r="K14" s="11" t="s">
        <v>460</v>
      </c>
      <c r="L14" s="12">
        <v>9.9999997764825821E-3</v>
      </c>
      <c r="M14" s="12">
        <v>1</v>
      </c>
      <c r="N14" s="12" t="str">
        <f>TEXT(DDLI_DME[[#This Row],[MUL]],"######/######")</f>
        <v>1/100</v>
      </c>
      <c r="O14" s="12">
        <v>0</v>
      </c>
      <c r="Q14">
        <f>HEX2DEC(DDLI_DME[[#This Row],[Hex]])</f>
        <v>0</v>
      </c>
      <c r="R14">
        <f>DDLI_DME[[#This Row],[ADD]]+DDLI_DME[[#This Row],[Dec]]*DDLI_DME[[#This Row],[MUL]]/DDLI_DME[[#This Row],[DIV]]</f>
        <v>0</v>
      </c>
    </row>
    <row r="15" spans="1:18" hidden="1" x14ac:dyDescent="0.25">
      <c r="A15" s="11" t="s">
        <v>525</v>
      </c>
      <c r="B15" s="11" t="s">
        <v>526</v>
      </c>
      <c r="C15" s="11" t="s">
        <v>527</v>
      </c>
      <c r="D15" s="11" t="s">
        <v>528</v>
      </c>
      <c r="E15" s="11" t="s">
        <v>2324</v>
      </c>
      <c r="F15" s="11" t="s">
        <v>529</v>
      </c>
      <c r="G15" s="11" t="s">
        <v>530</v>
      </c>
      <c r="H15" s="11" t="s">
        <v>460</v>
      </c>
      <c r="I15" s="11" t="s">
        <v>531</v>
      </c>
      <c r="J15" s="11" cm="1">
        <f t="array" ref="J15">_xlfn.IFS(DDLI_DME[[#This Row],[DATENTYP]]="unsigned integer",2,DDLI_DME[[#This Row],[DATENTYP]]="unsigned char",1,DDLI_DME[[#This Row],[DATENTYP]]="signed integer",2)</f>
        <v>2</v>
      </c>
      <c r="K15" s="11" t="s">
        <v>460</v>
      </c>
      <c r="L15" s="12">
        <v>7.8125E-3</v>
      </c>
      <c r="M15" s="12">
        <v>1</v>
      </c>
      <c r="N15" s="12" t="str">
        <f>TEXT(DDLI_DME[[#This Row],[MUL]],"######/######")</f>
        <v>1/128</v>
      </c>
      <c r="O15" s="12">
        <v>0</v>
      </c>
      <c r="Q15">
        <f>HEX2DEC(DDLI_DME[[#This Row],[Hex]])</f>
        <v>0</v>
      </c>
      <c r="R15">
        <f>DDLI_DME[[#This Row],[ADD]]+DDLI_DME[[#This Row],[Dec]]*DDLI_DME[[#This Row],[MUL]]/DDLI_DME[[#This Row],[DIV]]</f>
        <v>0</v>
      </c>
    </row>
    <row r="16" spans="1:18" hidden="1" x14ac:dyDescent="0.25">
      <c r="A16" s="11" t="s">
        <v>532</v>
      </c>
      <c r="B16" s="11" t="s">
        <v>533</v>
      </c>
      <c r="C16" s="11" t="s">
        <v>534</v>
      </c>
      <c r="D16" s="11" t="s">
        <v>535</v>
      </c>
      <c r="E16" s="11" t="s">
        <v>2322</v>
      </c>
      <c r="F16" s="11" t="s">
        <v>529</v>
      </c>
      <c r="G16" s="11" t="s">
        <v>536</v>
      </c>
      <c r="H16" s="11" t="s">
        <v>460</v>
      </c>
      <c r="I16" s="11" t="s">
        <v>467</v>
      </c>
      <c r="J16" s="11" cm="1">
        <f t="array" ref="J16">_xlfn.IFS(DDLI_DME[[#This Row],[DATENTYP]]="unsigned integer",2,DDLI_DME[[#This Row],[DATENTYP]]="unsigned char",1,DDLI_DME[[#This Row],[DATENTYP]]="signed integer",2)</f>
        <v>2</v>
      </c>
      <c r="K16" s="11" t="s">
        <v>460</v>
      </c>
      <c r="L16" s="12">
        <v>0.10000000149011612</v>
      </c>
      <c r="M16" s="12">
        <v>1</v>
      </c>
      <c r="N16" s="12" t="str">
        <f>TEXT(DDLI_DME[[#This Row],[MUL]],"######/######")</f>
        <v>1/10</v>
      </c>
      <c r="O16" s="12">
        <v>0</v>
      </c>
      <c r="Q16">
        <f>HEX2DEC(DDLI_DME[[#This Row],[Hex]])</f>
        <v>0</v>
      </c>
      <c r="R16">
        <f>DDLI_DME[[#This Row],[ADD]]+DDLI_DME[[#This Row],[Dec]]*DDLI_DME[[#This Row],[MUL]]/DDLI_DME[[#This Row],[DIV]]</f>
        <v>0</v>
      </c>
    </row>
    <row r="17" spans="1:18" hidden="1" x14ac:dyDescent="0.25">
      <c r="A17" s="11" t="s">
        <v>537</v>
      </c>
      <c r="B17" s="11" t="s">
        <v>538</v>
      </c>
      <c r="C17" s="11" t="s">
        <v>539</v>
      </c>
      <c r="D17" s="11" t="s">
        <v>540</v>
      </c>
      <c r="E17" s="11" t="s">
        <v>2323</v>
      </c>
      <c r="F17" s="11" t="s">
        <v>529</v>
      </c>
      <c r="G17" s="11" t="s">
        <v>541</v>
      </c>
      <c r="H17" s="11" t="s">
        <v>460</v>
      </c>
      <c r="I17" s="11" t="s">
        <v>467</v>
      </c>
      <c r="J17" s="11" cm="1">
        <f t="array" ref="J17">_xlfn.IFS(DDLI_DME[[#This Row],[DATENTYP]]="unsigned integer",2,DDLI_DME[[#This Row],[DATENTYP]]="unsigned char",1,DDLI_DME[[#This Row],[DATENTYP]]="signed integer",2)</f>
        <v>2</v>
      </c>
      <c r="K17" s="11" t="s">
        <v>460</v>
      </c>
      <c r="L17" s="12">
        <v>0.10000000149011612</v>
      </c>
      <c r="M17" s="12">
        <v>1</v>
      </c>
      <c r="N17" s="12" t="str">
        <f>TEXT(DDLI_DME[[#This Row],[MUL]],"######/######")</f>
        <v>1/10</v>
      </c>
      <c r="O17" s="12">
        <v>0</v>
      </c>
      <c r="Q17">
        <f>HEX2DEC(DDLI_DME[[#This Row],[Hex]])</f>
        <v>0</v>
      </c>
      <c r="R17">
        <f>DDLI_DME[[#This Row],[ADD]]+DDLI_DME[[#This Row],[Dec]]*DDLI_DME[[#This Row],[MUL]]/DDLI_DME[[#This Row],[DIV]]</f>
        <v>0</v>
      </c>
    </row>
    <row r="18" spans="1:18" hidden="1" x14ac:dyDescent="0.25">
      <c r="A18" s="11" t="s">
        <v>542</v>
      </c>
      <c r="B18" s="11" t="s">
        <v>543</v>
      </c>
      <c r="C18" s="11" t="s">
        <v>544</v>
      </c>
      <c r="D18" s="11" t="s">
        <v>545</v>
      </c>
      <c r="E18" s="11" t="s">
        <v>2325</v>
      </c>
      <c r="F18" s="11" t="s">
        <v>529</v>
      </c>
      <c r="G18" s="11" t="s">
        <v>546</v>
      </c>
      <c r="H18" s="11" t="s">
        <v>460</v>
      </c>
      <c r="I18" s="11" t="s">
        <v>531</v>
      </c>
      <c r="J18" s="11" cm="1">
        <f t="array" ref="J18">_xlfn.IFS(DDLI_DME[[#This Row],[DATENTYP]]="unsigned integer",2,DDLI_DME[[#This Row],[DATENTYP]]="unsigned char",1,DDLI_DME[[#This Row],[DATENTYP]]="signed integer",2)</f>
        <v>2</v>
      </c>
      <c r="K18" s="11" t="s">
        <v>460</v>
      </c>
      <c r="L18" s="12">
        <v>7.8125E-3</v>
      </c>
      <c r="M18" s="12">
        <v>1</v>
      </c>
      <c r="N18" s="12" t="str">
        <f>TEXT(DDLI_DME[[#This Row],[MUL]],"######/######")</f>
        <v>1/128</v>
      </c>
      <c r="O18" s="12">
        <v>0</v>
      </c>
      <c r="Q18">
        <f>HEX2DEC(DDLI_DME[[#This Row],[Hex]])</f>
        <v>0</v>
      </c>
      <c r="R18">
        <f>DDLI_DME[[#This Row],[ADD]]+DDLI_DME[[#This Row],[Dec]]*DDLI_DME[[#This Row],[MUL]]/DDLI_DME[[#This Row],[DIV]]</f>
        <v>0</v>
      </c>
    </row>
    <row r="19" spans="1:18" hidden="1" x14ac:dyDescent="0.25">
      <c r="A19" s="11" t="s">
        <v>547</v>
      </c>
      <c r="B19" s="11" t="s">
        <v>548</v>
      </c>
      <c r="C19" s="11" t="s">
        <v>549</v>
      </c>
      <c r="D19" s="11" t="s">
        <v>550</v>
      </c>
      <c r="E19" s="11" t="s">
        <v>2326</v>
      </c>
      <c r="F19" s="11" t="s">
        <v>529</v>
      </c>
      <c r="G19" s="11" t="s">
        <v>551</v>
      </c>
      <c r="H19" s="11" t="s">
        <v>460</v>
      </c>
      <c r="I19" s="11" t="s">
        <v>531</v>
      </c>
      <c r="J19" s="11" cm="1">
        <f t="array" ref="J19">_xlfn.IFS(DDLI_DME[[#This Row],[DATENTYP]]="unsigned integer",2,DDLI_DME[[#This Row],[DATENTYP]]="unsigned char",1,DDLI_DME[[#This Row],[DATENTYP]]="signed integer",2)</f>
        <v>2</v>
      </c>
      <c r="K19" s="11" t="s">
        <v>460</v>
      </c>
      <c r="L19" s="12">
        <v>7.8125E-3</v>
      </c>
      <c r="M19" s="12">
        <v>1</v>
      </c>
      <c r="N19" s="12" t="str">
        <f>TEXT(DDLI_DME[[#This Row],[MUL]],"######/######")</f>
        <v>1/128</v>
      </c>
      <c r="O19" s="12">
        <v>0</v>
      </c>
      <c r="Q19">
        <f>HEX2DEC(DDLI_DME[[#This Row],[Hex]])</f>
        <v>0</v>
      </c>
      <c r="R19">
        <f>DDLI_DME[[#This Row],[ADD]]+DDLI_DME[[#This Row],[Dec]]*DDLI_DME[[#This Row],[MUL]]/DDLI_DME[[#This Row],[DIV]]</f>
        <v>0</v>
      </c>
    </row>
    <row r="20" spans="1:18" hidden="1" x14ac:dyDescent="0.25">
      <c r="A20" s="11" t="s">
        <v>552</v>
      </c>
      <c r="B20" s="11" t="s">
        <v>553</v>
      </c>
      <c r="C20" s="11" t="s">
        <v>554</v>
      </c>
      <c r="D20" s="11" t="s">
        <v>555</v>
      </c>
      <c r="E20" s="11"/>
      <c r="F20" s="11" t="s">
        <v>460</v>
      </c>
      <c r="G20" s="11" t="s">
        <v>556</v>
      </c>
      <c r="H20" s="11" t="s">
        <v>460</v>
      </c>
      <c r="I20" s="11" t="s">
        <v>461</v>
      </c>
      <c r="J20" s="11" cm="1">
        <f t="array" ref="J20">_xlfn.IFS(DDLI_DME[[#This Row],[DATENTYP]]="unsigned integer",2,DDLI_DME[[#This Row],[DATENTYP]]="unsigned char",1,DDLI_DME[[#This Row],[DATENTYP]]="signed integer",2)</f>
        <v>1</v>
      </c>
      <c r="K20" s="11" t="s">
        <v>460</v>
      </c>
      <c r="L20" s="12">
        <v>1</v>
      </c>
      <c r="M20" s="12">
        <v>1</v>
      </c>
      <c r="N20" s="12" t="str">
        <f>TEXT(DDLI_DME[[#This Row],[MUL]],"######/######")</f>
        <v>1/1</v>
      </c>
      <c r="O20" s="12">
        <v>0</v>
      </c>
      <c r="Q20">
        <f>HEX2DEC(DDLI_DME[[#This Row],[Hex]])</f>
        <v>0</v>
      </c>
      <c r="R20">
        <f>DDLI_DME[[#This Row],[ADD]]+DDLI_DME[[#This Row],[Dec]]*DDLI_DME[[#This Row],[MUL]]/DDLI_DME[[#This Row],[DIV]]</f>
        <v>0</v>
      </c>
    </row>
    <row r="21" spans="1:18" hidden="1" x14ac:dyDescent="0.25">
      <c r="A21" s="11" t="s">
        <v>557</v>
      </c>
      <c r="B21" s="11" t="s">
        <v>558</v>
      </c>
      <c r="C21" s="11" t="s">
        <v>559</v>
      </c>
      <c r="D21" s="11" t="s">
        <v>560</v>
      </c>
      <c r="E21" s="11"/>
      <c r="F21" s="11" t="s">
        <v>460</v>
      </c>
      <c r="G21" s="11" t="s">
        <v>561</v>
      </c>
      <c r="H21" s="11" t="s">
        <v>460</v>
      </c>
      <c r="I21" s="11" t="s">
        <v>461</v>
      </c>
      <c r="J21" s="11" cm="1">
        <f t="array" ref="J21">_xlfn.IFS(DDLI_DME[[#This Row],[DATENTYP]]="unsigned integer",2,DDLI_DME[[#This Row],[DATENTYP]]="unsigned char",1,DDLI_DME[[#This Row],[DATENTYP]]="signed integer",2)</f>
        <v>1</v>
      </c>
      <c r="K21" s="11" t="s">
        <v>460</v>
      </c>
      <c r="L21" s="12">
        <v>1</v>
      </c>
      <c r="M21" s="12">
        <v>1</v>
      </c>
      <c r="N21" s="12" t="str">
        <f>TEXT(DDLI_DME[[#This Row],[MUL]],"######/######")</f>
        <v>1/1</v>
      </c>
      <c r="O21" s="12">
        <v>0</v>
      </c>
      <c r="Q21">
        <f>HEX2DEC(DDLI_DME[[#This Row],[Hex]])</f>
        <v>0</v>
      </c>
      <c r="R21">
        <f>DDLI_DME[[#This Row],[ADD]]+DDLI_DME[[#This Row],[Dec]]*DDLI_DME[[#This Row],[MUL]]/DDLI_DME[[#This Row],[DIV]]</f>
        <v>0</v>
      </c>
    </row>
    <row r="22" spans="1:18" hidden="1" x14ac:dyDescent="0.25">
      <c r="A22" s="11" t="s">
        <v>562</v>
      </c>
      <c r="B22" s="11" t="s">
        <v>563</v>
      </c>
      <c r="C22" s="11" t="s">
        <v>564</v>
      </c>
      <c r="D22" s="11" t="s">
        <v>565</v>
      </c>
      <c r="E22" s="11"/>
      <c r="F22" s="11" t="s">
        <v>566</v>
      </c>
      <c r="G22" s="11" t="s">
        <v>567</v>
      </c>
      <c r="H22" s="11" t="s">
        <v>460</v>
      </c>
      <c r="I22" s="11" t="s">
        <v>531</v>
      </c>
      <c r="J22" s="11" cm="1">
        <f t="array" ref="J22">_xlfn.IFS(DDLI_DME[[#This Row],[DATENTYP]]="unsigned integer",2,DDLI_DME[[#This Row],[DATENTYP]]="unsigned char",1,DDLI_DME[[#This Row],[DATENTYP]]="signed integer",2)</f>
        <v>2</v>
      </c>
      <c r="K22" s="11" t="s">
        <v>460</v>
      </c>
      <c r="L22" s="12">
        <v>2.197265625E-2</v>
      </c>
      <c r="M22" s="12">
        <v>1</v>
      </c>
      <c r="N22" s="12" t="str">
        <f>TEXT(DDLI_DME[[#This Row],[MUL]],"######/######")</f>
        <v>45/2048</v>
      </c>
      <c r="O22" s="12">
        <v>0</v>
      </c>
      <c r="Q22">
        <f>HEX2DEC(DDLI_DME[[#This Row],[Hex]])</f>
        <v>0</v>
      </c>
      <c r="R22">
        <f>DDLI_DME[[#This Row],[ADD]]+DDLI_DME[[#This Row],[Dec]]*DDLI_DME[[#This Row],[MUL]]/DDLI_DME[[#This Row],[DIV]]</f>
        <v>0</v>
      </c>
    </row>
    <row r="23" spans="1:18" hidden="1" x14ac:dyDescent="0.25">
      <c r="A23" s="11" t="s">
        <v>568</v>
      </c>
      <c r="B23" s="11" t="s">
        <v>569</v>
      </c>
      <c r="C23" s="11" t="s">
        <v>570</v>
      </c>
      <c r="D23" s="11" t="s">
        <v>565</v>
      </c>
      <c r="E23" s="11"/>
      <c r="F23" s="11" t="s">
        <v>566</v>
      </c>
      <c r="G23" s="11" t="s">
        <v>567</v>
      </c>
      <c r="H23" s="11" t="s">
        <v>460</v>
      </c>
      <c r="I23" s="11" t="s">
        <v>531</v>
      </c>
      <c r="J23" s="11" cm="1">
        <f t="array" ref="J23">_xlfn.IFS(DDLI_DME[[#This Row],[DATENTYP]]="unsigned integer",2,DDLI_DME[[#This Row],[DATENTYP]]="unsigned char",1,DDLI_DME[[#This Row],[DATENTYP]]="signed integer",2)</f>
        <v>2</v>
      </c>
      <c r="K23" s="11" t="s">
        <v>460</v>
      </c>
      <c r="L23" s="12">
        <v>2.197265625E-2</v>
      </c>
      <c r="M23" s="12">
        <v>1</v>
      </c>
      <c r="N23" s="12" t="str">
        <f>TEXT(DDLI_DME[[#This Row],[MUL]],"######/######")</f>
        <v>45/2048</v>
      </c>
      <c r="O23" s="12">
        <v>0</v>
      </c>
      <c r="Q23">
        <f>HEX2DEC(DDLI_DME[[#This Row],[Hex]])</f>
        <v>0</v>
      </c>
      <c r="R23">
        <f>DDLI_DME[[#This Row],[ADD]]+DDLI_DME[[#This Row],[Dec]]*DDLI_DME[[#This Row],[MUL]]/DDLI_DME[[#This Row],[DIV]]</f>
        <v>0</v>
      </c>
    </row>
    <row r="24" spans="1:18" hidden="1" x14ac:dyDescent="0.25">
      <c r="A24" s="11" t="s">
        <v>571</v>
      </c>
      <c r="B24" s="11" t="s">
        <v>572</v>
      </c>
      <c r="C24" s="11" t="s">
        <v>573</v>
      </c>
      <c r="D24" s="11" t="s">
        <v>574</v>
      </c>
      <c r="E24" s="11"/>
      <c r="F24" s="11" t="s">
        <v>460</v>
      </c>
      <c r="G24" s="11" t="s">
        <v>575</v>
      </c>
      <c r="H24" s="11" t="s">
        <v>460</v>
      </c>
      <c r="I24" s="11" t="s">
        <v>461</v>
      </c>
      <c r="J24" s="11" cm="1">
        <f t="array" ref="J24">_xlfn.IFS(DDLI_DME[[#This Row],[DATENTYP]]="unsigned integer",2,DDLI_DME[[#This Row],[DATENTYP]]="unsigned char",1,DDLI_DME[[#This Row],[DATENTYP]]="signed integer",2)</f>
        <v>1</v>
      </c>
      <c r="K24" s="11" t="s">
        <v>460</v>
      </c>
      <c r="L24" s="12">
        <v>1</v>
      </c>
      <c r="M24" s="12">
        <v>1</v>
      </c>
      <c r="N24" s="12" t="str">
        <f>TEXT(DDLI_DME[[#This Row],[MUL]],"######/######")</f>
        <v>1/1</v>
      </c>
      <c r="O24" s="12">
        <v>0</v>
      </c>
      <c r="Q24">
        <f>HEX2DEC(DDLI_DME[[#This Row],[Hex]])</f>
        <v>0</v>
      </c>
      <c r="R24">
        <f>DDLI_DME[[#This Row],[ADD]]+DDLI_DME[[#This Row],[Dec]]*DDLI_DME[[#This Row],[MUL]]/DDLI_DME[[#This Row],[DIV]]</f>
        <v>0</v>
      </c>
    </row>
    <row r="25" spans="1:18" hidden="1" x14ac:dyDescent="0.25">
      <c r="A25" s="11" t="s">
        <v>576</v>
      </c>
      <c r="B25" s="11" t="s">
        <v>577</v>
      </c>
      <c r="C25" s="11" t="s">
        <v>578</v>
      </c>
      <c r="D25" s="11" t="s">
        <v>579</v>
      </c>
      <c r="E25" s="11"/>
      <c r="F25" s="11" t="s">
        <v>460</v>
      </c>
      <c r="G25" s="11" t="s">
        <v>580</v>
      </c>
      <c r="H25" s="11" t="s">
        <v>460</v>
      </c>
      <c r="I25" s="11" t="s">
        <v>461</v>
      </c>
      <c r="J25" s="11" cm="1">
        <f t="array" ref="J25">_xlfn.IFS(DDLI_DME[[#This Row],[DATENTYP]]="unsigned integer",2,DDLI_DME[[#This Row],[DATENTYP]]="unsigned char",1,DDLI_DME[[#This Row],[DATENTYP]]="signed integer",2)</f>
        <v>1</v>
      </c>
      <c r="K25" s="11" t="s">
        <v>460</v>
      </c>
      <c r="L25" s="12">
        <v>1</v>
      </c>
      <c r="M25" s="12">
        <v>1</v>
      </c>
      <c r="N25" s="12" t="str">
        <f>TEXT(DDLI_DME[[#This Row],[MUL]],"######/######")</f>
        <v>1/1</v>
      </c>
      <c r="O25" s="12">
        <v>0</v>
      </c>
      <c r="Q25">
        <f>HEX2DEC(DDLI_DME[[#This Row],[Hex]])</f>
        <v>0</v>
      </c>
      <c r="R25">
        <f>DDLI_DME[[#This Row],[ADD]]+DDLI_DME[[#This Row],[Dec]]*DDLI_DME[[#This Row],[MUL]]/DDLI_DME[[#This Row],[DIV]]</f>
        <v>0</v>
      </c>
    </row>
    <row r="26" spans="1:18" hidden="1" x14ac:dyDescent="0.25">
      <c r="A26" s="11" t="s">
        <v>581</v>
      </c>
      <c r="B26" s="11" t="s">
        <v>582</v>
      </c>
      <c r="C26" s="11" t="s">
        <v>583</v>
      </c>
      <c r="D26" s="11" t="s">
        <v>584</v>
      </c>
      <c r="E26" s="11"/>
      <c r="F26" s="11" t="s">
        <v>460</v>
      </c>
      <c r="G26" s="11" t="s">
        <v>585</v>
      </c>
      <c r="H26" s="11" t="s">
        <v>460</v>
      </c>
      <c r="I26" s="11" t="s">
        <v>461</v>
      </c>
      <c r="J26" s="11" cm="1">
        <f t="array" ref="J26">_xlfn.IFS(DDLI_DME[[#This Row],[DATENTYP]]="unsigned integer",2,DDLI_DME[[#This Row],[DATENTYP]]="unsigned char",1,DDLI_DME[[#This Row],[DATENTYP]]="signed integer",2)</f>
        <v>1</v>
      </c>
      <c r="K26" s="11" t="s">
        <v>460</v>
      </c>
      <c r="L26" s="12">
        <v>1</v>
      </c>
      <c r="M26" s="12">
        <v>1</v>
      </c>
      <c r="N26" s="12" t="str">
        <f>TEXT(DDLI_DME[[#This Row],[MUL]],"######/######")</f>
        <v>1/1</v>
      </c>
      <c r="O26" s="12">
        <v>0</v>
      </c>
      <c r="Q26">
        <f>HEX2DEC(DDLI_DME[[#This Row],[Hex]])</f>
        <v>0</v>
      </c>
      <c r="R26">
        <f>DDLI_DME[[#This Row],[ADD]]+DDLI_DME[[#This Row],[Dec]]*DDLI_DME[[#This Row],[MUL]]/DDLI_DME[[#This Row],[DIV]]</f>
        <v>0</v>
      </c>
    </row>
    <row r="27" spans="1:18" hidden="1" x14ac:dyDescent="0.25">
      <c r="A27" s="11" t="s">
        <v>586</v>
      </c>
      <c r="B27" s="11" t="s">
        <v>587</v>
      </c>
      <c r="C27" s="11" t="s">
        <v>588</v>
      </c>
      <c r="D27" s="11" t="s">
        <v>589</v>
      </c>
      <c r="E27" s="11"/>
      <c r="F27" s="11" t="s">
        <v>460</v>
      </c>
      <c r="G27" s="11" t="s">
        <v>590</v>
      </c>
      <c r="H27" s="11" t="s">
        <v>460</v>
      </c>
      <c r="I27" s="11" t="s">
        <v>461</v>
      </c>
      <c r="J27" s="11" cm="1">
        <f t="array" ref="J27">_xlfn.IFS(DDLI_DME[[#This Row],[DATENTYP]]="unsigned integer",2,DDLI_DME[[#This Row],[DATENTYP]]="unsigned char",1,DDLI_DME[[#This Row],[DATENTYP]]="signed integer",2)</f>
        <v>1</v>
      </c>
      <c r="K27" s="11" t="s">
        <v>460</v>
      </c>
      <c r="L27" s="12">
        <v>1</v>
      </c>
      <c r="M27" s="12">
        <v>1</v>
      </c>
      <c r="N27" s="12" t="str">
        <f>TEXT(DDLI_DME[[#This Row],[MUL]],"######/######")</f>
        <v>1/1</v>
      </c>
      <c r="O27" s="12">
        <v>0</v>
      </c>
      <c r="Q27">
        <f>HEX2DEC(DDLI_DME[[#This Row],[Hex]])</f>
        <v>0</v>
      </c>
      <c r="R27">
        <f>DDLI_DME[[#This Row],[ADD]]+DDLI_DME[[#This Row],[Dec]]*DDLI_DME[[#This Row],[MUL]]/DDLI_DME[[#This Row],[DIV]]</f>
        <v>0</v>
      </c>
    </row>
    <row r="28" spans="1:18" hidden="1" x14ac:dyDescent="0.25">
      <c r="A28" s="11" t="s">
        <v>591</v>
      </c>
      <c r="B28" s="11" t="s">
        <v>592</v>
      </c>
      <c r="C28" s="11" t="s">
        <v>593</v>
      </c>
      <c r="D28" s="11" t="s">
        <v>594</v>
      </c>
      <c r="E28" s="11"/>
      <c r="F28" s="11" t="s">
        <v>460</v>
      </c>
      <c r="G28" s="11" t="s">
        <v>595</v>
      </c>
      <c r="H28" s="11" t="s">
        <v>460</v>
      </c>
      <c r="I28" s="11" t="s">
        <v>461</v>
      </c>
      <c r="J28" s="11" cm="1">
        <f t="array" ref="J28">_xlfn.IFS(DDLI_DME[[#This Row],[DATENTYP]]="unsigned integer",2,DDLI_DME[[#This Row],[DATENTYP]]="unsigned char",1,DDLI_DME[[#This Row],[DATENTYP]]="signed integer",2)</f>
        <v>1</v>
      </c>
      <c r="K28" s="11" t="s">
        <v>460</v>
      </c>
      <c r="L28" s="12">
        <v>1</v>
      </c>
      <c r="M28" s="12">
        <v>1</v>
      </c>
      <c r="N28" s="12" t="str">
        <f>TEXT(DDLI_DME[[#This Row],[MUL]],"######/######")</f>
        <v>1/1</v>
      </c>
      <c r="O28" s="12">
        <v>0</v>
      </c>
      <c r="Q28">
        <f>HEX2DEC(DDLI_DME[[#This Row],[Hex]])</f>
        <v>0</v>
      </c>
      <c r="R28">
        <f>DDLI_DME[[#This Row],[ADD]]+DDLI_DME[[#This Row],[Dec]]*DDLI_DME[[#This Row],[MUL]]/DDLI_DME[[#This Row],[DIV]]</f>
        <v>0</v>
      </c>
    </row>
    <row r="29" spans="1:18" hidden="1" x14ac:dyDescent="0.25">
      <c r="A29" s="11" t="s">
        <v>596</v>
      </c>
      <c r="B29" s="11" t="s">
        <v>597</v>
      </c>
      <c r="C29" s="11" t="s">
        <v>598</v>
      </c>
      <c r="D29" s="11" t="s">
        <v>599</v>
      </c>
      <c r="E29" s="11"/>
      <c r="F29" s="11" t="s">
        <v>460</v>
      </c>
      <c r="G29" s="11" t="s">
        <v>600</v>
      </c>
      <c r="H29" s="11" t="s">
        <v>460</v>
      </c>
      <c r="I29" s="11" t="s">
        <v>461</v>
      </c>
      <c r="J29" s="11" cm="1">
        <f t="array" ref="J29">_xlfn.IFS(DDLI_DME[[#This Row],[DATENTYP]]="unsigned integer",2,DDLI_DME[[#This Row],[DATENTYP]]="unsigned char",1,DDLI_DME[[#This Row],[DATENTYP]]="signed integer",2)</f>
        <v>1</v>
      </c>
      <c r="K29" s="11" t="s">
        <v>460</v>
      </c>
      <c r="L29" s="12">
        <v>1</v>
      </c>
      <c r="M29" s="12">
        <v>1</v>
      </c>
      <c r="N29" s="12" t="str">
        <f>TEXT(DDLI_DME[[#This Row],[MUL]],"######/######")</f>
        <v>1/1</v>
      </c>
      <c r="O29" s="12">
        <v>0</v>
      </c>
      <c r="Q29">
        <f>HEX2DEC(DDLI_DME[[#This Row],[Hex]])</f>
        <v>0</v>
      </c>
      <c r="R29">
        <f>DDLI_DME[[#This Row],[ADD]]+DDLI_DME[[#This Row],[Dec]]*DDLI_DME[[#This Row],[MUL]]/DDLI_DME[[#This Row],[DIV]]</f>
        <v>0</v>
      </c>
    </row>
    <row r="30" spans="1:18" hidden="1" x14ac:dyDescent="0.25">
      <c r="A30" s="11" t="s">
        <v>601</v>
      </c>
      <c r="B30" s="11" t="s">
        <v>602</v>
      </c>
      <c r="C30" s="11" t="s">
        <v>603</v>
      </c>
      <c r="D30" s="11" t="s">
        <v>604</v>
      </c>
      <c r="E30" s="11"/>
      <c r="F30" s="11" t="s">
        <v>460</v>
      </c>
      <c r="G30" s="11" t="s">
        <v>605</v>
      </c>
      <c r="H30" s="11" t="s">
        <v>460</v>
      </c>
      <c r="I30" s="11" t="s">
        <v>461</v>
      </c>
      <c r="J30" s="11" cm="1">
        <f t="array" ref="J30">_xlfn.IFS(DDLI_DME[[#This Row],[DATENTYP]]="unsigned integer",2,DDLI_DME[[#This Row],[DATENTYP]]="unsigned char",1,DDLI_DME[[#This Row],[DATENTYP]]="signed integer",2)</f>
        <v>1</v>
      </c>
      <c r="K30" s="11" t="s">
        <v>460</v>
      </c>
      <c r="L30" s="12">
        <v>1</v>
      </c>
      <c r="M30" s="12">
        <v>1</v>
      </c>
      <c r="N30" s="12" t="str">
        <f>TEXT(DDLI_DME[[#This Row],[MUL]],"######/######")</f>
        <v>1/1</v>
      </c>
      <c r="O30" s="12">
        <v>0</v>
      </c>
      <c r="Q30">
        <f>HEX2DEC(DDLI_DME[[#This Row],[Hex]])</f>
        <v>0</v>
      </c>
      <c r="R30">
        <f>DDLI_DME[[#This Row],[ADD]]+DDLI_DME[[#This Row],[Dec]]*DDLI_DME[[#This Row],[MUL]]/DDLI_DME[[#This Row],[DIV]]</f>
        <v>0</v>
      </c>
    </row>
    <row r="31" spans="1:18" hidden="1" x14ac:dyDescent="0.25">
      <c r="A31" s="11" t="s">
        <v>606</v>
      </c>
      <c r="B31" s="11" t="s">
        <v>607</v>
      </c>
      <c r="C31" s="11" t="s">
        <v>608</v>
      </c>
      <c r="D31" s="11" t="s">
        <v>609</v>
      </c>
      <c r="E31" s="11"/>
      <c r="F31" s="11" t="s">
        <v>566</v>
      </c>
      <c r="G31" s="11" t="s">
        <v>610</v>
      </c>
      <c r="H31" s="11" t="s">
        <v>460</v>
      </c>
      <c r="I31" s="11" t="s">
        <v>531</v>
      </c>
      <c r="J31" s="11" cm="1">
        <f t="array" ref="J31">_xlfn.IFS(DDLI_DME[[#This Row],[DATENTYP]]="unsigned integer",2,DDLI_DME[[#This Row],[DATENTYP]]="unsigned char",1,DDLI_DME[[#This Row],[DATENTYP]]="signed integer",2)</f>
        <v>2</v>
      </c>
      <c r="K31" s="11" t="s">
        <v>460</v>
      </c>
      <c r="L31" s="12">
        <v>2.197265625E-2</v>
      </c>
      <c r="M31" s="12">
        <v>1</v>
      </c>
      <c r="N31" s="12" t="str">
        <f>TEXT(DDLI_DME[[#This Row],[MUL]],"######/######")</f>
        <v>45/2048</v>
      </c>
      <c r="O31" s="12">
        <v>0</v>
      </c>
      <c r="Q31">
        <f>HEX2DEC(DDLI_DME[[#This Row],[Hex]])</f>
        <v>0</v>
      </c>
      <c r="R31">
        <f>DDLI_DME[[#This Row],[ADD]]+DDLI_DME[[#This Row],[Dec]]*DDLI_DME[[#This Row],[MUL]]/DDLI_DME[[#This Row],[DIV]]</f>
        <v>0</v>
      </c>
    </row>
    <row r="32" spans="1:18" hidden="1" x14ac:dyDescent="0.25">
      <c r="A32" s="11" t="s">
        <v>611</v>
      </c>
      <c r="B32" s="11" t="s">
        <v>612</v>
      </c>
      <c r="C32" s="11" t="s">
        <v>608</v>
      </c>
      <c r="D32" s="11" t="s">
        <v>609</v>
      </c>
      <c r="E32" s="11"/>
      <c r="F32" s="11" t="s">
        <v>566</v>
      </c>
      <c r="G32" s="11" t="s">
        <v>610</v>
      </c>
      <c r="H32" s="11" t="s">
        <v>460</v>
      </c>
      <c r="I32" s="11" t="s">
        <v>531</v>
      </c>
      <c r="J32" s="11" cm="1">
        <f t="array" ref="J32">_xlfn.IFS(DDLI_DME[[#This Row],[DATENTYP]]="unsigned integer",2,DDLI_DME[[#This Row],[DATENTYP]]="unsigned char",1,DDLI_DME[[#This Row],[DATENTYP]]="signed integer",2)</f>
        <v>2</v>
      </c>
      <c r="K32" s="11" t="s">
        <v>460</v>
      </c>
      <c r="L32" s="12">
        <v>2.197265625E-2</v>
      </c>
      <c r="M32" s="12">
        <v>1</v>
      </c>
      <c r="N32" s="12" t="str">
        <f>TEXT(DDLI_DME[[#This Row],[MUL]],"######/######")</f>
        <v>45/2048</v>
      </c>
      <c r="O32" s="12">
        <v>0</v>
      </c>
      <c r="Q32">
        <f>HEX2DEC(DDLI_DME[[#This Row],[Hex]])</f>
        <v>0</v>
      </c>
      <c r="R32">
        <f>DDLI_DME[[#This Row],[ADD]]+DDLI_DME[[#This Row],[Dec]]*DDLI_DME[[#This Row],[MUL]]/DDLI_DME[[#This Row],[DIV]]</f>
        <v>0</v>
      </c>
    </row>
    <row r="33" spans="1:18" hidden="1" x14ac:dyDescent="0.25">
      <c r="A33" s="11" t="s">
        <v>613</v>
      </c>
      <c r="B33" s="11" t="s">
        <v>614</v>
      </c>
      <c r="C33" s="11" t="s">
        <v>608</v>
      </c>
      <c r="D33" s="11" t="s">
        <v>609</v>
      </c>
      <c r="E33" s="11"/>
      <c r="F33" s="11" t="s">
        <v>566</v>
      </c>
      <c r="G33" s="11" t="s">
        <v>610</v>
      </c>
      <c r="H33" s="11" t="s">
        <v>460</v>
      </c>
      <c r="I33" s="11" t="s">
        <v>531</v>
      </c>
      <c r="J33" s="11" cm="1">
        <f t="array" ref="J33">_xlfn.IFS(DDLI_DME[[#This Row],[DATENTYP]]="unsigned integer",2,DDLI_DME[[#This Row],[DATENTYP]]="unsigned char",1,DDLI_DME[[#This Row],[DATENTYP]]="signed integer",2)</f>
        <v>2</v>
      </c>
      <c r="K33" s="11" t="s">
        <v>460</v>
      </c>
      <c r="L33" s="12">
        <v>2.197265625E-2</v>
      </c>
      <c r="M33" s="12">
        <v>1</v>
      </c>
      <c r="N33" s="12" t="str">
        <f>TEXT(DDLI_DME[[#This Row],[MUL]],"######/######")</f>
        <v>45/2048</v>
      </c>
      <c r="O33" s="12">
        <v>0</v>
      </c>
      <c r="Q33">
        <f>HEX2DEC(DDLI_DME[[#This Row],[Hex]])</f>
        <v>0</v>
      </c>
      <c r="R33">
        <f>DDLI_DME[[#This Row],[ADD]]+DDLI_DME[[#This Row],[Dec]]*DDLI_DME[[#This Row],[MUL]]/DDLI_DME[[#This Row],[DIV]]</f>
        <v>0</v>
      </c>
    </row>
    <row r="34" spans="1:18" hidden="1" x14ac:dyDescent="0.25">
      <c r="A34" s="11" t="s">
        <v>615</v>
      </c>
      <c r="B34" s="11" t="s">
        <v>616</v>
      </c>
      <c r="C34" s="11" t="s">
        <v>608</v>
      </c>
      <c r="D34" s="11" t="s">
        <v>609</v>
      </c>
      <c r="E34" s="11"/>
      <c r="F34" s="11" t="s">
        <v>566</v>
      </c>
      <c r="G34" s="11" t="s">
        <v>610</v>
      </c>
      <c r="H34" s="11" t="s">
        <v>460</v>
      </c>
      <c r="I34" s="11" t="s">
        <v>531</v>
      </c>
      <c r="J34" s="11" cm="1">
        <f t="array" ref="J34">_xlfn.IFS(DDLI_DME[[#This Row],[DATENTYP]]="unsigned integer",2,DDLI_DME[[#This Row],[DATENTYP]]="unsigned char",1,DDLI_DME[[#This Row],[DATENTYP]]="signed integer",2)</f>
        <v>2</v>
      </c>
      <c r="K34" s="11" t="s">
        <v>460</v>
      </c>
      <c r="L34" s="12">
        <v>2.197265625E-2</v>
      </c>
      <c r="M34" s="12">
        <v>1</v>
      </c>
      <c r="N34" s="12" t="str">
        <f>TEXT(DDLI_DME[[#This Row],[MUL]],"######/######")</f>
        <v>45/2048</v>
      </c>
      <c r="O34" s="12">
        <v>0</v>
      </c>
      <c r="Q34">
        <f>HEX2DEC(DDLI_DME[[#This Row],[Hex]])</f>
        <v>0</v>
      </c>
      <c r="R34">
        <f>DDLI_DME[[#This Row],[ADD]]+DDLI_DME[[#This Row],[Dec]]*DDLI_DME[[#This Row],[MUL]]/DDLI_DME[[#This Row],[DIV]]</f>
        <v>0</v>
      </c>
    </row>
    <row r="35" spans="1:18" hidden="1" x14ac:dyDescent="0.25">
      <c r="A35" s="11" t="s">
        <v>617</v>
      </c>
      <c r="B35" s="11" t="s">
        <v>618</v>
      </c>
      <c r="C35" s="11" t="s">
        <v>608</v>
      </c>
      <c r="D35" s="11" t="s">
        <v>609</v>
      </c>
      <c r="E35" s="11"/>
      <c r="F35" s="11" t="s">
        <v>566</v>
      </c>
      <c r="G35" s="11" t="s">
        <v>610</v>
      </c>
      <c r="H35" s="11" t="s">
        <v>460</v>
      </c>
      <c r="I35" s="11" t="s">
        <v>531</v>
      </c>
      <c r="J35" s="11" cm="1">
        <f t="array" ref="J35">_xlfn.IFS(DDLI_DME[[#This Row],[DATENTYP]]="unsigned integer",2,DDLI_DME[[#This Row],[DATENTYP]]="unsigned char",1,DDLI_DME[[#This Row],[DATENTYP]]="signed integer",2)</f>
        <v>2</v>
      </c>
      <c r="K35" s="11" t="s">
        <v>460</v>
      </c>
      <c r="L35" s="12">
        <v>2.197265625E-2</v>
      </c>
      <c r="M35" s="12">
        <v>1</v>
      </c>
      <c r="N35" s="12" t="str">
        <f>TEXT(DDLI_DME[[#This Row],[MUL]],"######/######")</f>
        <v>45/2048</v>
      </c>
      <c r="O35" s="12">
        <v>0</v>
      </c>
      <c r="Q35">
        <f>HEX2DEC(DDLI_DME[[#This Row],[Hex]])</f>
        <v>0</v>
      </c>
      <c r="R35">
        <f>DDLI_DME[[#This Row],[ADD]]+DDLI_DME[[#This Row],[Dec]]*DDLI_DME[[#This Row],[MUL]]/DDLI_DME[[#This Row],[DIV]]</f>
        <v>0</v>
      </c>
    </row>
    <row r="36" spans="1:18" hidden="1" x14ac:dyDescent="0.25">
      <c r="A36" s="11" t="s">
        <v>619</v>
      </c>
      <c r="B36" s="11" t="s">
        <v>620</v>
      </c>
      <c r="C36" s="11" t="s">
        <v>608</v>
      </c>
      <c r="D36" s="11" t="s">
        <v>609</v>
      </c>
      <c r="E36" s="11"/>
      <c r="F36" s="11" t="s">
        <v>566</v>
      </c>
      <c r="G36" s="11" t="s">
        <v>610</v>
      </c>
      <c r="H36" s="11" t="s">
        <v>460</v>
      </c>
      <c r="I36" s="11" t="s">
        <v>531</v>
      </c>
      <c r="J36" s="11" cm="1">
        <f t="array" ref="J36">_xlfn.IFS(DDLI_DME[[#This Row],[DATENTYP]]="unsigned integer",2,DDLI_DME[[#This Row],[DATENTYP]]="unsigned char",1,DDLI_DME[[#This Row],[DATENTYP]]="signed integer",2)</f>
        <v>2</v>
      </c>
      <c r="K36" s="11" t="s">
        <v>460</v>
      </c>
      <c r="L36" s="12">
        <v>2.197265625E-2</v>
      </c>
      <c r="M36" s="12">
        <v>1</v>
      </c>
      <c r="N36" s="12" t="str">
        <f>TEXT(DDLI_DME[[#This Row],[MUL]],"######/######")</f>
        <v>45/2048</v>
      </c>
      <c r="O36" s="12">
        <v>0</v>
      </c>
      <c r="Q36">
        <f>HEX2DEC(DDLI_DME[[#This Row],[Hex]])</f>
        <v>0</v>
      </c>
      <c r="R36">
        <f>DDLI_DME[[#This Row],[ADD]]+DDLI_DME[[#This Row],[Dec]]*DDLI_DME[[#This Row],[MUL]]/DDLI_DME[[#This Row],[DIV]]</f>
        <v>0</v>
      </c>
    </row>
    <row r="37" spans="1:18" hidden="1" x14ac:dyDescent="0.25">
      <c r="A37" s="11" t="s">
        <v>621</v>
      </c>
      <c r="B37" s="11" t="s">
        <v>622</v>
      </c>
      <c r="C37" s="11" t="s">
        <v>623</v>
      </c>
      <c r="D37" s="11" t="s">
        <v>624</v>
      </c>
      <c r="E37" s="11"/>
      <c r="F37" s="11" t="s">
        <v>460</v>
      </c>
      <c r="G37" s="11" t="s">
        <v>625</v>
      </c>
      <c r="H37" s="11" t="s">
        <v>460</v>
      </c>
      <c r="I37" s="11" t="s">
        <v>467</v>
      </c>
      <c r="J37" s="11" cm="1">
        <f t="array" ref="J37">_xlfn.IFS(DDLI_DME[[#This Row],[DATENTYP]]="unsigned integer",2,DDLI_DME[[#This Row],[DATENTYP]]="unsigned char",1,DDLI_DME[[#This Row],[DATENTYP]]="signed integer",2)</f>
        <v>2</v>
      </c>
      <c r="K37" s="11" t="s">
        <v>460</v>
      </c>
      <c r="L37" s="12">
        <v>1</v>
      </c>
      <c r="M37" s="12">
        <v>1</v>
      </c>
      <c r="N37" s="12" t="str">
        <f>TEXT(DDLI_DME[[#This Row],[MUL]],"######/######")</f>
        <v>1/1</v>
      </c>
      <c r="O37" s="12">
        <v>0</v>
      </c>
      <c r="Q37">
        <f>HEX2DEC(DDLI_DME[[#This Row],[Hex]])</f>
        <v>0</v>
      </c>
      <c r="R37">
        <f>DDLI_DME[[#This Row],[ADD]]+DDLI_DME[[#This Row],[Dec]]*DDLI_DME[[#This Row],[MUL]]/DDLI_DME[[#This Row],[DIV]]</f>
        <v>0</v>
      </c>
    </row>
    <row r="38" spans="1:18" hidden="1" x14ac:dyDescent="0.25">
      <c r="A38" s="11" t="s">
        <v>626</v>
      </c>
      <c r="B38" s="11" t="s">
        <v>627</v>
      </c>
      <c r="C38" s="11" t="s">
        <v>628</v>
      </c>
      <c r="D38" s="11" t="s">
        <v>629</v>
      </c>
      <c r="E38" s="11"/>
      <c r="F38" s="11" t="s">
        <v>630</v>
      </c>
      <c r="G38" s="11" t="s">
        <v>631</v>
      </c>
      <c r="H38" s="11" t="s">
        <v>460</v>
      </c>
      <c r="I38" s="11" t="s">
        <v>467</v>
      </c>
      <c r="J38" s="11" cm="1">
        <f t="array" ref="J38">_xlfn.IFS(DDLI_DME[[#This Row],[DATENTYP]]="unsigned integer",2,DDLI_DME[[#This Row],[DATENTYP]]="unsigned char",1,DDLI_DME[[#This Row],[DATENTYP]]="signed integer",2)</f>
        <v>2</v>
      </c>
      <c r="K38" s="11" t="s">
        <v>460</v>
      </c>
      <c r="L38" s="12">
        <v>1</v>
      </c>
      <c r="M38" s="12">
        <v>1</v>
      </c>
      <c r="N38" s="12" t="str">
        <f>TEXT(DDLI_DME[[#This Row],[MUL]],"######/######")</f>
        <v>1/1</v>
      </c>
      <c r="O38" s="12">
        <v>0</v>
      </c>
      <c r="Q38">
        <f>HEX2DEC(DDLI_DME[[#This Row],[Hex]])</f>
        <v>0</v>
      </c>
      <c r="R38">
        <f>DDLI_DME[[#This Row],[ADD]]+DDLI_DME[[#This Row],[Dec]]*DDLI_DME[[#This Row],[MUL]]/DDLI_DME[[#This Row],[DIV]]</f>
        <v>0</v>
      </c>
    </row>
    <row r="39" spans="1:18" hidden="1" x14ac:dyDescent="0.25">
      <c r="A39" s="11" t="s">
        <v>632</v>
      </c>
      <c r="B39" s="11" t="s">
        <v>633</v>
      </c>
      <c r="C39" s="11" t="s">
        <v>634</v>
      </c>
      <c r="D39" s="11" t="s">
        <v>635</v>
      </c>
      <c r="E39" s="11"/>
      <c r="F39" s="11" t="s">
        <v>566</v>
      </c>
      <c r="G39" s="11" t="s">
        <v>636</v>
      </c>
      <c r="H39" s="11" t="s">
        <v>460</v>
      </c>
      <c r="I39" s="11" t="s">
        <v>637</v>
      </c>
      <c r="J39" s="11" t="e" cm="1">
        <f t="array" ref="J39">_xlfn.IFS(DDLI_DME[[#This Row],[DATENTYP]]="unsigned integer",2,DDLI_DME[[#This Row],[DATENTYP]]="unsigned char",1,DDLI_DME[[#This Row],[DATENTYP]]="signed integer",2)</f>
        <v>#N/A</v>
      </c>
      <c r="K39" s="11" t="s">
        <v>460</v>
      </c>
      <c r="L39" s="12">
        <v>2.197265625E-2</v>
      </c>
      <c r="M39" s="12">
        <v>1</v>
      </c>
      <c r="N39" s="12" t="str">
        <f>TEXT(DDLI_DME[[#This Row],[MUL]],"######/######")</f>
        <v>45/2048</v>
      </c>
      <c r="O39" s="12">
        <v>0</v>
      </c>
      <c r="Q39">
        <f>HEX2DEC(DDLI_DME[[#This Row],[Hex]])</f>
        <v>0</v>
      </c>
      <c r="R39">
        <f>DDLI_DME[[#This Row],[ADD]]+DDLI_DME[[#This Row],[Dec]]*DDLI_DME[[#This Row],[MUL]]/DDLI_DME[[#This Row],[DIV]]</f>
        <v>0</v>
      </c>
    </row>
    <row r="40" spans="1:18" hidden="1" x14ac:dyDescent="0.25">
      <c r="A40" s="11" t="s">
        <v>638</v>
      </c>
      <c r="B40" s="11" t="s">
        <v>639</v>
      </c>
      <c r="C40" s="11" t="s">
        <v>640</v>
      </c>
      <c r="D40" s="11" t="s">
        <v>635</v>
      </c>
      <c r="E40" s="11"/>
      <c r="F40" s="11" t="s">
        <v>566</v>
      </c>
      <c r="G40" s="11" t="s">
        <v>636</v>
      </c>
      <c r="H40" s="11" t="s">
        <v>460</v>
      </c>
      <c r="I40" s="11" t="s">
        <v>637</v>
      </c>
      <c r="J40" s="11" t="e" cm="1">
        <f t="array" ref="J40">_xlfn.IFS(DDLI_DME[[#This Row],[DATENTYP]]="unsigned integer",2,DDLI_DME[[#This Row],[DATENTYP]]="unsigned char",1,DDLI_DME[[#This Row],[DATENTYP]]="signed integer",2)</f>
        <v>#N/A</v>
      </c>
      <c r="K40" s="11" t="s">
        <v>460</v>
      </c>
      <c r="L40" s="12">
        <v>2.197265625E-2</v>
      </c>
      <c r="M40" s="12">
        <v>1</v>
      </c>
      <c r="N40" s="12" t="str">
        <f>TEXT(DDLI_DME[[#This Row],[MUL]],"######/######")</f>
        <v>45/2048</v>
      </c>
      <c r="O40" s="12">
        <v>0</v>
      </c>
      <c r="Q40">
        <f>HEX2DEC(DDLI_DME[[#This Row],[Hex]])</f>
        <v>0</v>
      </c>
      <c r="R40">
        <f>DDLI_DME[[#This Row],[ADD]]+DDLI_DME[[#This Row],[Dec]]*DDLI_DME[[#This Row],[MUL]]/DDLI_DME[[#This Row],[DIV]]</f>
        <v>0</v>
      </c>
    </row>
    <row r="41" spans="1:18" hidden="1" x14ac:dyDescent="0.25">
      <c r="A41" s="11" t="s">
        <v>641</v>
      </c>
      <c r="B41" s="11" t="s">
        <v>642</v>
      </c>
      <c r="C41" s="11" t="s">
        <v>643</v>
      </c>
      <c r="D41" s="11" t="s">
        <v>644</v>
      </c>
      <c r="E41" s="11"/>
      <c r="F41" s="11" t="s">
        <v>566</v>
      </c>
      <c r="G41" s="11" t="s">
        <v>645</v>
      </c>
      <c r="H41" s="11" t="s">
        <v>460</v>
      </c>
      <c r="I41" s="11" t="s">
        <v>531</v>
      </c>
      <c r="J41" s="11" cm="1">
        <f t="array" ref="J41">_xlfn.IFS(DDLI_DME[[#This Row],[DATENTYP]]="unsigned integer",2,DDLI_DME[[#This Row],[DATENTYP]]="unsigned char",1,DDLI_DME[[#This Row],[DATENTYP]]="signed integer",2)</f>
        <v>2</v>
      </c>
      <c r="K41" s="11" t="s">
        <v>460</v>
      </c>
      <c r="L41" s="12">
        <v>2.197265625E-2</v>
      </c>
      <c r="M41" s="12">
        <v>1</v>
      </c>
      <c r="N41" s="12" t="str">
        <f>TEXT(DDLI_DME[[#This Row],[MUL]],"######/######")</f>
        <v>45/2048</v>
      </c>
      <c r="O41" s="12">
        <v>0</v>
      </c>
      <c r="Q41">
        <f>HEX2DEC(DDLI_DME[[#This Row],[Hex]])</f>
        <v>0</v>
      </c>
      <c r="R41">
        <f>DDLI_DME[[#This Row],[ADD]]+DDLI_DME[[#This Row],[Dec]]*DDLI_DME[[#This Row],[MUL]]/DDLI_DME[[#This Row],[DIV]]</f>
        <v>0</v>
      </c>
    </row>
    <row r="42" spans="1:18" hidden="1" x14ac:dyDescent="0.25">
      <c r="A42" s="11" t="s">
        <v>646</v>
      </c>
      <c r="B42" s="11" t="s">
        <v>647</v>
      </c>
      <c r="C42" s="11" t="s">
        <v>648</v>
      </c>
      <c r="D42" s="11" t="s">
        <v>644</v>
      </c>
      <c r="E42" s="11"/>
      <c r="F42" s="11" t="s">
        <v>566</v>
      </c>
      <c r="G42" s="11" t="s">
        <v>645</v>
      </c>
      <c r="H42" s="11" t="s">
        <v>460</v>
      </c>
      <c r="I42" s="11" t="s">
        <v>531</v>
      </c>
      <c r="J42" s="11" cm="1">
        <f t="array" ref="J42">_xlfn.IFS(DDLI_DME[[#This Row],[DATENTYP]]="unsigned integer",2,DDLI_DME[[#This Row],[DATENTYP]]="unsigned char",1,DDLI_DME[[#This Row],[DATENTYP]]="signed integer",2)</f>
        <v>2</v>
      </c>
      <c r="K42" s="11" t="s">
        <v>460</v>
      </c>
      <c r="L42" s="12">
        <v>2.197265625E-2</v>
      </c>
      <c r="M42" s="12">
        <v>1</v>
      </c>
      <c r="N42" s="12" t="str">
        <f>TEXT(DDLI_DME[[#This Row],[MUL]],"######/######")</f>
        <v>45/2048</v>
      </c>
      <c r="O42" s="12">
        <v>0</v>
      </c>
      <c r="Q42">
        <f>HEX2DEC(DDLI_DME[[#This Row],[Hex]])</f>
        <v>0</v>
      </c>
      <c r="R42">
        <f>DDLI_DME[[#This Row],[ADD]]+DDLI_DME[[#This Row],[Dec]]*DDLI_DME[[#This Row],[MUL]]/DDLI_DME[[#This Row],[DIV]]</f>
        <v>0</v>
      </c>
    </row>
    <row r="43" spans="1:18" hidden="1" x14ac:dyDescent="0.25">
      <c r="A43" s="11" t="s">
        <v>649</v>
      </c>
      <c r="B43" s="11" t="s">
        <v>650</v>
      </c>
      <c r="C43" s="11" t="s">
        <v>651</v>
      </c>
      <c r="D43" s="11" t="s">
        <v>644</v>
      </c>
      <c r="E43" s="11"/>
      <c r="F43" s="11" t="s">
        <v>566</v>
      </c>
      <c r="G43" s="11" t="s">
        <v>645</v>
      </c>
      <c r="H43" s="11" t="s">
        <v>460</v>
      </c>
      <c r="I43" s="11" t="s">
        <v>531</v>
      </c>
      <c r="J43" s="11" cm="1">
        <f t="array" ref="J43">_xlfn.IFS(DDLI_DME[[#This Row],[DATENTYP]]="unsigned integer",2,DDLI_DME[[#This Row],[DATENTYP]]="unsigned char",1,DDLI_DME[[#This Row],[DATENTYP]]="signed integer",2)</f>
        <v>2</v>
      </c>
      <c r="K43" s="11" t="s">
        <v>460</v>
      </c>
      <c r="L43" s="12">
        <v>2.197265625E-2</v>
      </c>
      <c r="M43" s="12">
        <v>1</v>
      </c>
      <c r="N43" s="12" t="str">
        <f>TEXT(DDLI_DME[[#This Row],[MUL]],"######/######")</f>
        <v>45/2048</v>
      </c>
      <c r="O43" s="12">
        <v>0</v>
      </c>
      <c r="Q43">
        <f>HEX2DEC(DDLI_DME[[#This Row],[Hex]])</f>
        <v>0</v>
      </c>
      <c r="R43">
        <f>DDLI_DME[[#This Row],[ADD]]+DDLI_DME[[#This Row],[Dec]]*DDLI_DME[[#This Row],[MUL]]/DDLI_DME[[#This Row],[DIV]]</f>
        <v>0</v>
      </c>
    </row>
    <row r="44" spans="1:18" hidden="1" x14ac:dyDescent="0.25">
      <c r="A44" s="11" t="s">
        <v>652</v>
      </c>
      <c r="B44" s="11" t="s">
        <v>653</v>
      </c>
      <c r="C44" s="11" t="s">
        <v>654</v>
      </c>
      <c r="D44" s="11" t="s">
        <v>644</v>
      </c>
      <c r="E44" s="11"/>
      <c r="F44" s="11" t="s">
        <v>566</v>
      </c>
      <c r="G44" s="11" t="s">
        <v>645</v>
      </c>
      <c r="H44" s="11" t="s">
        <v>460</v>
      </c>
      <c r="I44" s="11" t="s">
        <v>531</v>
      </c>
      <c r="J44" s="11" cm="1">
        <f t="array" ref="J44">_xlfn.IFS(DDLI_DME[[#This Row],[DATENTYP]]="unsigned integer",2,DDLI_DME[[#This Row],[DATENTYP]]="unsigned char",1,DDLI_DME[[#This Row],[DATENTYP]]="signed integer",2)</f>
        <v>2</v>
      </c>
      <c r="K44" s="11" t="s">
        <v>460</v>
      </c>
      <c r="L44" s="12">
        <v>2.197265625E-2</v>
      </c>
      <c r="M44" s="12">
        <v>1</v>
      </c>
      <c r="N44" s="12" t="str">
        <f>TEXT(DDLI_DME[[#This Row],[MUL]],"######/######")</f>
        <v>45/2048</v>
      </c>
      <c r="O44" s="12">
        <v>0</v>
      </c>
      <c r="Q44">
        <f>HEX2DEC(DDLI_DME[[#This Row],[Hex]])</f>
        <v>0</v>
      </c>
      <c r="R44">
        <f>DDLI_DME[[#This Row],[ADD]]+DDLI_DME[[#This Row],[Dec]]*DDLI_DME[[#This Row],[MUL]]/DDLI_DME[[#This Row],[DIV]]</f>
        <v>0</v>
      </c>
    </row>
    <row r="45" spans="1:18" hidden="1" x14ac:dyDescent="0.25">
      <c r="A45" s="11" t="s">
        <v>655</v>
      </c>
      <c r="B45" s="11" t="s">
        <v>656</v>
      </c>
      <c r="C45" s="11" t="s">
        <v>657</v>
      </c>
      <c r="D45" s="11" t="s">
        <v>644</v>
      </c>
      <c r="E45" s="11"/>
      <c r="F45" s="11" t="s">
        <v>566</v>
      </c>
      <c r="G45" s="11" t="s">
        <v>645</v>
      </c>
      <c r="H45" s="11" t="s">
        <v>460</v>
      </c>
      <c r="I45" s="11" t="s">
        <v>531</v>
      </c>
      <c r="J45" s="11" cm="1">
        <f t="array" ref="J45">_xlfn.IFS(DDLI_DME[[#This Row],[DATENTYP]]="unsigned integer",2,DDLI_DME[[#This Row],[DATENTYP]]="unsigned char",1,DDLI_DME[[#This Row],[DATENTYP]]="signed integer",2)</f>
        <v>2</v>
      </c>
      <c r="K45" s="11" t="s">
        <v>460</v>
      </c>
      <c r="L45" s="12">
        <v>2.197265625E-2</v>
      </c>
      <c r="M45" s="12">
        <v>1</v>
      </c>
      <c r="N45" s="12" t="str">
        <f>TEXT(DDLI_DME[[#This Row],[MUL]],"######/######")</f>
        <v>45/2048</v>
      </c>
      <c r="O45" s="12">
        <v>0</v>
      </c>
      <c r="Q45">
        <f>HEX2DEC(DDLI_DME[[#This Row],[Hex]])</f>
        <v>0</v>
      </c>
      <c r="R45">
        <f>DDLI_DME[[#This Row],[ADD]]+DDLI_DME[[#This Row],[Dec]]*DDLI_DME[[#This Row],[MUL]]/DDLI_DME[[#This Row],[DIV]]</f>
        <v>0</v>
      </c>
    </row>
    <row r="46" spans="1:18" hidden="1" x14ac:dyDescent="0.25">
      <c r="A46" s="2" t="s">
        <v>658</v>
      </c>
      <c r="B46" s="2" t="s">
        <v>659</v>
      </c>
      <c r="C46" s="2" t="s">
        <v>660</v>
      </c>
      <c r="D46" s="2" t="s">
        <v>661</v>
      </c>
      <c r="E46" s="2" t="s">
        <v>2327</v>
      </c>
      <c r="F46" s="2" t="s">
        <v>662</v>
      </c>
      <c r="G46" s="2" t="s">
        <v>663</v>
      </c>
      <c r="H46" s="2" t="s">
        <v>460</v>
      </c>
      <c r="I46" s="2" t="s">
        <v>531</v>
      </c>
      <c r="J46" s="2" cm="1">
        <f t="array" ref="J46">_xlfn.IFS(DDLI_DME[[#This Row],[DATENTYP]]="unsigned integer",2,DDLI_DME[[#This Row],[DATENTYP]]="unsigned char",1,DDLI_DME[[#This Row],[DATENTYP]]="signed integer",2)</f>
        <v>2</v>
      </c>
      <c r="K46" s="2" t="s">
        <v>460</v>
      </c>
      <c r="L46">
        <v>2.44140625E-2</v>
      </c>
      <c r="M46">
        <v>1</v>
      </c>
      <c r="N46" t="str">
        <f>TEXT(DDLI_DME[[#This Row],[MUL]],"######/######")</f>
        <v>25/1024</v>
      </c>
      <c r="O46">
        <v>0</v>
      </c>
      <c r="Q46">
        <f>HEX2DEC(DDLI_DME[[#This Row],[Hex]])</f>
        <v>0</v>
      </c>
      <c r="R46">
        <f>DDLI_DME[[#This Row],[ADD]]+DDLI_DME[[#This Row],[Dec]]*DDLI_DME[[#This Row],[MUL]]/DDLI_DME[[#This Row],[DIV]]</f>
        <v>0</v>
      </c>
    </row>
    <row r="47" spans="1:18" hidden="1" x14ac:dyDescent="0.25">
      <c r="A47" s="2" t="s">
        <v>664</v>
      </c>
      <c r="B47" s="2" t="s">
        <v>665</v>
      </c>
      <c r="C47" s="2" t="s">
        <v>666</v>
      </c>
      <c r="D47" s="2" t="s">
        <v>667</v>
      </c>
      <c r="E47" s="2" t="s">
        <v>2328</v>
      </c>
      <c r="F47" s="2" t="s">
        <v>668</v>
      </c>
      <c r="G47" s="2" t="s">
        <v>669</v>
      </c>
      <c r="H47" s="2" t="s">
        <v>460</v>
      </c>
      <c r="I47" s="2" t="s">
        <v>467</v>
      </c>
      <c r="J47" s="2" cm="1">
        <f t="array" ref="J47">_xlfn.IFS(DDLI_DME[[#This Row],[DATENTYP]]="unsigned integer",2,DDLI_DME[[#This Row],[DATENTYP]]="unsigned char",1,DDLI_DME[[#This Row],[DATENTYP]]="signed integer",2)</f>
        <v>2</v>
      </c>
      <c r="K47" s="2" t="s">
        <v>460</v>
      </c>
      <c r="L47">
        <v>1.52587890625E-3</v>
      </c>
      <c r="M47">
        <v>1</v>
      </c>
      <c r="N47" t="str">
        <f>TEXT(DDLI_DME[[#This Row],[MUL]],"######/######")</f>
        <v>25/16384</v>
      </c>
      <c r="O47">
        <v>0</v>
      </c>
      <c r="Q47">
        <f>HEX2DEC(DDLI_DME[[#This Row],[Hex]])</f>
        <v>0</v>
      </c>
      <c r="R47">
        <f>DDLI_DME[[#This Row],[ADD]]+DDLI_DME[[#This Row],[Dec]]*DDLI_DME[[#This Row],[MUL]]/DDLI_DME[[#This Row],[DIV]]</f>
        <v>0</v>
      </c>
    </row>
    <row r="48" spans="1:18" hidden="1" x14ac:dyDescent="0.25">
      <c r="A48" s="11" t="s">
        <v>670</v>
      </c>
      <c r="B48" s="11" t="s">
        <v>671</v>
      </c>
      <c r="C48" s="11" t="s">
        <v>672</v>
      </c>
      <c r="D48" s="11" t="s">
        <v>673</v>
      </c>
      <c r="E48" s="11"/>
      <c r="F48" s="11" t="s">
        <v>674</v>
      </c>
      <c r="G48" s="11" t="s">
        <v>675</v>
      </c>
      <c r="H48" s="11" t="s">
        <v>460</v>
      </c>
      <c r="I48" s="11" t="s">
        <v>461</v>
      </c>
      <c r="J48" s="11" cm="1">
        <f t="array" ref="J48">_xlfn.IFS(DDLI_DME[[#This Row],[DATENTYP]]="unsigned integer",2,DDLI_DME[[#This Row],[DATENTYP]]="unsigned char",1,DDLI_DME[[#This Row],[DATENTYP]]="signed integer",2)</f>
        <v>1</v>
      </c>
      <c r="K48" s="11" t="s">
        <v>460</v>
      </c>
      <c r="L48" s="12">
        <v>0.10000000149011612</v>
      </c>
      <c r="M48" s="12">
        <v>1</v>
      </c>
      <c r="N48" s="12" t="str">
        <f>TEXT(DDLI_DME[[#This Row],[MUL]],"######/######")</f>
        <v>1/10</v>
      </c>
      <c r="O48" s="12">
        <v>11</v>
      </c>
      <c r="Q48">
        <f>HEX2DEC(DDLI_DME[[#This Row],[Hex]])</f>
        <v>0</v>
      </c>
      <c r="R48">
        <f>DDLI_DME[[#This Row],[ADD]]+DDLI_DME[[#This Row],[Dec]]*DDLI_DME[[#This Row],[MUL]]/DDLI_DME[[#This Row],[DIV]]</f>
        <v>11</v>
      </c>
    </row>
    <row r="49" spans="1:18" hidden="1" x14ac:dyDescent="0.25">
      <c r="A49" s="2" t="s">
        <v>676</v>
      </c>
      <c r="B49" s="2" t="s">
        <v>677</v>
      </c>
      <c r="C49" s="2" t="s">
        <v>678</v>
      </c>
      <c r="D49" s="2" t="s">
        <v>679</v>
      </c>
      <c r="E49" s="2" t="s">
        <v>2329</v>
      </c>
      <c r="F49" s="2" t="s">
        <v>458</v>
      </c>
      <c r="G49" s="2" t="s">
        <v>680</v>
      </c>
      <c r="H49" s="2" t="s">
        <v>460</v>
      </c>
      <c r="I49" s="2" t="s">
        <v>461</v>
      </c>
      <c r="J49" s="2" cm="1">
        <f t="array" ref="J49">_xlfn.IFS(DDLI_DME[[#This Row],[DATENTYP]]="unsigned integer",2,DDLI_DME[[#This Row],[DATENTYP]]="unsigned char",1,DDLI_DME[[#This Row],[DATENTYP]]="signed integer",2)</f>
        <v>1</v>
      </c>
      <c r="K49" s="2" t="s">
        <v>460</v>
      </c>
      <c r="L49">
        <v>1</v>
      </c>
      <c r="M49">
        <v>1</v>
      </c>
      <c r="N49" t="str">
        <f>TEXT(DDLI_DME[[#This Row],[MUL]],"######/######")</f>
        <v>1/1</v>
      </c>
      <c r="O49">
        <v>-40</v>
      </c>
      <c r="Q49">
        <f>HEX2DEC(DDLI_DME[[#This Row],[Hex]])</f>
        <v>0</v>
      </c>
      <c r="R49">
        <f>DDLI_DME[[#This Row],[ADD]]+DDLI_DME[[#This Row],[Dec]]*DDLI_DME[[#This Row],[MUL]]/DDLI_DME[[#This Row],[DIV]]</f>
        <v>-40</v>
      </c>
    </row>
    <row r="50" spans="1:18" hidden="1" x14ac:dyDescent="0.25">
      <c r="A50" s="2" t="s">
        <v>681</v>
      </c>
      <c r="B50" s="2" t="s">
        <v>682</v>
      </c>
      <c r="C50" s="2" t="s">
        <v>683</v>
      </c>
      <c r="D50" s="2" t="s">
        <v>684</v>
      </c>
      <c r="E50" s="2" t="s">
        <v>2330</v>
      </c>
      <c r="F50" s="2" t="s">
        <v>460</v>
      </c>
      <c r="G50" s="2" t="s">
        <v>685</v>
      </c>
      <c r="H50" s="2" t="s">
        <v>460</v>
      </c>
      <c r="I50" s="2" t="s">
        <v>461</v>
      </c>
      <c r="J50" s="2" cm="1">
        <f t="array" ref="J50">_xlfn.IFS(DDLI_DME[[#This Row],[DATENTYP]]="unsigned integer",2,DDLI_DME[[#This Row],[DATENTYP]]="unsigned char",1,DDLI_DME[[#This Row],[DATENTYP]]="signed integer",2)</f>
        <v>1</v>
      </c>
      <c r="K50" s="2" t="s">
        <v>460</v>
      </c>
      <c r="L50">
        <v>1</v>
      </c>
      <c r="M50">
        <v>1</v>
      </c>
      <c r="N50" t="str">
        <f>TEXT(DDLI_DME[[#This Row],[MUL]],"######/######")</f>
        <v>1/1</v>
      </c>
      <c r="O50">
        <v>0</v>
      </c>
      <c r="Q50">
        <f>HEX2DEC(DDLI_DME[[#This Row],[Hex]])</f>
        <v>0</v>
      </c>
      <c r="R50">
        <f>DDLI_DME[[#This Row],[ADD]]+DDLI_DME[[#This Row],[Dec]]*DDLI_DME[[#This Row],[MUL]]/DDLI_DME[[#This Row],[DIV]]</f>
        <v>0</v>
      </c>
    </row>
    <row r="51" spans="1:18" hidden="1" x14ac:dyDescent="0.25">
      <c r="A51" s="11" t="s">
        <v>686</v>
      </c>
      <c r="B51" s="11" t="s">
        <v>687</v>
      </c>
      <c r="C51" s="11" t="s">
        <v>688</v>
      </c>
      <c r="D51" s="11" t="s">
        <v>689</v>
      </c>
      <c r="E51" s="11"/>
      <c r="F51" s="11" t="s">
        <v>460</v>
      </c>
      <c r="G51" s="11" t="s">
        <v>690</v>
      </c>
      <c r="H51" s="11" t="s">
        <v>460</v>
      </c>
      <c r="I51" s="11" t="s">
        <v>461</v>
      </c>
      <c r="J51" s="11" cm="1">
        <f t="array" ref="J51">_xlfn.IFS(DDLI_DME[[#This Row],[DATENTYP]]="unsigned integer",2,DDLI_DME[[#This Row],[DATENTYP]]="unsigned char",1,DDLI_DME[[#This Row],[DATENTYP]]="signed integer",2)</f>
        <v>1</v>
      </c>
      <c r="K51" s="11" t="s">
        <v>460</v>
      </c>
      <c r="L51" s="12">
        <v>1</v>
      </c>
      <c r="M51" s="12">
        <v>1</v>
      </c>
      <c r="N51" s="12" t="str">
        <f>TEXT(DDLI_DME[[#This Row],[MUL]],"######/######")</f>
        <v>1/1</v>
      </c>
      <c r="O51" s="12">
        <v>0</v>
      </c>
      <c r="Q51">
        <f>HEX2DEC(DDLI_DME[[#This Row],[Hex]])</f>
        <v>0</v>
      </c>
      <c r="R51">
        <f>DDLI_DME[[#This Row],[ADD]]+DDLI_DME[[#This Row],[Dec]]*DDLI_DME[[#This Row],[MUL]]/DDLI_DME[[#This Row],[DIV]]</f>
        <v>0</v>
      </c>
    </row>
    <row r="52" spans="1:18" hidden="1" x14ac:dyDescent="0.25">
      <c r="A52" s="11" t="s">
        <v>691</v>
      </c>
      <c r="B52" s="11" t="s">
        <v>692</v>
      </c>
      <c r="C52" s="11" t="s">
        <v>693</v>
      </c>
      <c r="D52" s="11" t="s">
        <v>694</v>
      </c>
      <c r="E52" s="11"/>
      <c r="F52" s="11" t="s">
        <v>460</v>
      </c>
      <c r="G52" s="11" t="s">
        <v>695</v>
      </c>
      <c r="H52" s="11" t="s">
        <v>460</v>
      </c>
      <c r="I52" s="11" t="s">
        <v>461</v>
      </c>
      <c r="J52" s="11" cm="1">
        <f t="array" ref="J52">_xlfn.IFS(DDLI_DME[[#This Row],[DATENTYP]]="unsigned integer",2,DDLI_DME[[#This Row],[DATENTYP]]="unsigned char",1,DDLI_DME[[#This Row],[DATENTYP]]="signed integer",2)</f>
        <v>1</v>
      </c>
      <c r="K52" s="11" t="s">
        <v>460</v>
      </c>
      <c r="L52" s="12">
        <v>1</v>
      </c>
      <c r="M52" s="12">
        <v>1</v>
      </c>
      <c r="N52" s="12" t="str">
        <f>TEXT(DDLI_DME[[#This Row],[MUL]],"######/######")</f>
        <v>1/1</v>
      </c>
      <c r="O52" s="12">
        <v>0</v>
      </c>
      <c r="Q52">
        <f>HEX2DEC(DDLI_DME[[#This Row],[Hex]])</f>
        <v>0</v>
      </c>
      <c r="R52">
        <f>DDLI_DME[[#This Row],[ADD]]+DDLI_DME[[#This Row],[Dec]]*DDLI_DME[[#This Row],[MUL]]/DDLI_DME[[#This Row],[DIV]]</f>
        <v>0</v>
      </c>
    </row>
    <row r="53" spans="1:18" hidden="1" x14ac:dyDescent="0.25">
      <c r="A53" s="11" t="s">
        <v>696</v>
      </c>
      <c r="B53" s="11" t="s">
        <v>697</v>
      </c>
      <c r="C53" s="11" t="s">
        <v>698</v>
      </c>
      <c r="D53" s="11" t="s">
        <v>699</v>
      </c>
      <c r="E53" s="11"/>
      <c r="F53" s="11" t="s">
        <v>460</v>
      </c>
      <c r="G53" s="11" t="s">
        <v>700</v>
      </c>
      <c r="H53" s="11" t="s">
        <v>460</v>
      </c>
      <c r="I53" s="11" t="s">
        <v>461</v>
      </c>
      <c r="J53" s="11" cm="1">
        <f t="array" ref="J53">_xlfn.IFS(DDLI_DME[[#This Row],[DATENTYP]]="unsigned integer",2,DDLI_DME[[#This Row],[DATENTYP]]="unsigned char",1,DDLI_DME[[#This Row],[DATENTYP]]="signed integer",2)</f>
        <v>1</v>
      </c>
      <c r="K53" s="11" t="s">
        <v>460</v>
      </c>
      <c r="L53" s="12">
        <v>1</v>
      </c>
      <c r="M53" s="12">
        <v>1</v>
      </c>
      <c r="N53" s="12" t="str">
        <f>TEXT(DDLI_DME[[#This Row],[MUL]],"######/######")</f>
        <v>1/1</v>
      </c>
      <c r="O53" s="12">
        <v>0</v>
      </c>
      <c r="Q53">
        <f>HEX2DEC(DDLI_DME[[#This Row],[Hex]])</f>
        <v>0</v>
      </c>
      <c r="R53">
        <f>DDLI_DME[[#This Row],[ADD]]+DDLI_DME[[#This Row],[Dec]]*DDLI_DME[[#This Row],[MUL]]/DDLI_DME[[#This Row],[DIV]]</f>
        <v>0</v>
      </c>
    </row>
    <row r="54" spans="1:18" hidden="1" x14ac:dyDescent="0.25">
      <c r="A54" s="11" t="s">
        <v>701</v>
      </c>
      <c r="B54" s="11" t="s">
        <v>702</v>
      </c>
      <c r="C54" s="11" t="s">
        <v>703</v>
      </c>
      <c r="D54" s="11" t="s">
        <v>704</v>
      </c>
      <c r="E54" s="11"/>
      <c r="F54" s="11" t="s">
        <v>460</v>
      </c>
      <c r="G54" s="11" t="s">
        <v>705</v>
      </c>
      <c r="H54" s="11" t="s">
        <v>460</v>
      </c>
      <c r="I54" s="11" t="s">
        <v>461</v>
      </c>
      <c r="J54" s="11" cm="1">
        <f t="array" ref="J54">_xlfn.IFS(DDLI_DME[[#This Row],[DATENTYP]]="unsigned integer",2,DDLI_DME[[#This Row],[DATENTYP]]="unsigned char",1,DDLI_DME[[#This Row],[DATENTYP]]="signed integer",2)</f>
        <v>1</v>
      </c>
      <c r="K54" s="11" t="s">
        <v>460</v>
      </c>
      <c r="L54" s="12">
        <v>1</v>
      </c>
      <c r="M54" s="12">
        <v>1</v>
      </c>
      <c r="N54" s="12" t="str">
        <f>TEXT(DDLI_DME[[#This Row],[MUL]],"######/######")</f>
        <v>1/1</v>
      </c>
      <c r="O54" s="12">
        <v>0</v>
      </c>
      <c r="Q54">
        <f>HEX2DEC(DDLI_DME[[#This Row],[Hex]])</f>
        <v>0</v>
      </c>
      <c r="R54">
        <f>DDLI_DME[[#This Row],[ADD]]+DDLI_DME[[#This Row],[Dec]]*DDLI_DME[[#This Row],[MUL]]/DDLI_DME[[#This Row],[DIV]]</f>
        <v>0</v>
      </c>
    </row>
    <row r="55" spans="1:18" hidden="1" x14ac:dyDescent="0.25">
      <c r="A55" s="11" t="s">
        <v>706</v>
      </c>
      <c r="B55" s="11" t="s">
        <v>707</v>
      </c>
      <c r="C55" s="11" t="s">
        <v>708</v>
      </c>
      <c r="D55" s="11" t="s">
        <v>709</v>
      </c>
      <c r="E55" s="11"/>
      <c r="F55" s="11" t="s">
        <v>674</v>
      </c>
      <c r="G55" s="11" t="s">
        <v>710</v>
      </c>
      <c r="H55" s="11" t="s">
        <v>460</v>
      </c>
      <c r="I55" s="11" t="s">
        <v>461</v>
      </c>
      <c r="J55" s="11" cm="1">
        <f t="array" ref="J55">_xlfn.IFS(DDLI_DME[[#This Row],[DATENTYP]]="unsigned integer",2,DDLI_DME[[#This Row],[DATENTYP]]="unsigned char",1,DDLI_DME[[#This Row],[DATENTYP]]="signed integer",2)</f>
        <v>1</v>
      </c>
      <c r="K55" s="11" t="s">
        <v>460</v>
      </c>
      <c r="L55" s="12">
        <v>9.4200000166893005E-2</v>
      </c>
      <c r="M55" s="12">
        <v>1</v>
      </c>
      <c r="N55" s="12" t="str">
        <f>TEXT(DDLI_DME[[#This Row],[MUL]],"######/######")</f>
        <v>471/5000</v>
      </c>
      <c r="O55" s="12">
        <v>0</v>
      </c>
      <c r="Q55">
        <f>HEX2DEC(DDLI_DME[[#This Row],[Hex]])</f>
        <v>0</v>
      </c>
      <c r="R55">
        <f>DDLI_DME[[#This Row],[ADD]]+DDLI_DME[[#This Row],[Dec]]*DDLI_DME[[#This Row],[MUL]]/DDLI_DME[[#This Row],[DIV]]</f>
        <v>0</v>
      </c>
    </row>
    <row r="56" spans="1:18" hidden="1" x14ac:dyDescent="0.25">
      <c r="A56" s="2" t="s">
        <v>711</v>
      </c>
      <c r="B56" s="2" t="s">
        <v>712</v>
      </c>
      <c r="C56" s="2" t="s">
        <v>713</v>
      </c>
      <c r="D56" s="2" t="s">
        <v>714</v>
      </c>
      <c r="E56" s="2" t="s">
        <v>2331</v>
      </c>
      <c r="F56" s="2" t="s">
        <v>674</v>
      </c>
      <c r="G56" s="2" t="s">
        <v>715</v>
      </c>
      <c r="H56" s="2" t="s">
        <v>460</v>
      </c>
      <c r="I56" s="2" t="s">
        <v>467</v>
      </c>
      <c r="J56" s="2" cm="1">
        <f t="array" ref="J56">_xlfn.IFS(DDLI_DME[[#This Row],[DATENTYP]]="unsigned integer",2,DDLI_DME[[#This Row],[DATENTYP]]="unsigned char",1,DDLI_DME[[#This Row],[DATENTYP]]="signed integer",2)</f>
        <v>2</v>
      </c>
      <c r="K56" s="2" t="s">
        <v>460</v>
      </c>
      <c r="L56">
        <v>1.4999999664723873E-2</v>
      </c>
      <c r="M56">
        <v>1</v>
      </c>
      <c r="N56" t="str">
        <f>TEXT(DDLI_DME[[#This Row],[MUL]],"######/######")</f>
        <v>3/200</v>
      </c>
      <c r="O56">
        <v>0</v>
      </c>
      <c r="Q56">
        <f>HEX2DEC(DDLI_DME[[#This Row],[Hex]])</f>
        <v>0</v>
      </c>
      <c r="R56">
        <f>DDLI_DME[[#This Row],[ADD]]+DDLI_DME[[#This Row],[Dec]]*DDLI_DME[[#This Row],[MUL]]/DDLI_DME[[#This Row],[DIV]]</f>
        <v>0</v>
      </c>
    </row>
    <row r="57" spans="1:18" hidden="1" x14ac:dyDescent="0.25">
      <c r="A57" s="2" t="s">
        <v>716</v>
      </c>
      <c r="B57" s="2" t="s">
        <v>717</v>
      </c>
      <c r="C57" s="2" t="s">
        <v>718</v>
      </c>
      <c r="D57" s="2" t="s">
        <v>719</v>
      </c>
      <c r="E57" s="2" t="s">
        <v>2332</v>
      </c>
      <c r="F57" s="2" t="s">
        <v>674</v>
      </c>
      <c r="G57" s="2" t="s">
        <v>720</v>
      </c>
      <c r="H57" s="2" t="s">
        <v>460</v>
      </c>
      <c r="I57" s="2" t="s">
        <v>467</v>
      </c>
      <c r="J57" s="2" cm="1">
        <f t="array" ref="J57">_xlfn.IFS(DDLI_DME[[#This Row],[DATENTYP]]="unsigned integer",2,DDLI_DME[[#This Row],[DATENTYP]]="unsigned char",1,DDLI_DME[[#This Row],[DATENTYP]]="signed integer",2)</f>
        <v>2</v>
      </c>
      <c r="K57" s="2" t="s">
        <v>460</v>
      </c>
      <c r="L57">
        <v>2.5000001187436283E-4</v>
      </c>
      <c r="M57">
        <v>1</v>
      </c>
      <c r="N57" t="str">
        <f>TEXT(DDLI_DME[[#This Row],[MUL]],"######/######")</f>
        <v>1/4000</v>
      </c>
      <c r="O57">
        <v>6</v>
      </c>
      <c r="Q57">
        <f>HEX2DEC(DDLI_DME[[#This Row],[Hex]])</f>
        <v>0</v>
      </c>
      <c r="R57">
        <f>DDLI_DME[[#This Row],[ADD]]+DDLI_DME[[#This Row],[Dec]]*DDLI_DME[[#This Row],[MUL]]/DDLI_DME[[#This Row],[DIV]]</f>
        <v>6</v>
      </c>
    </row>
    <row r="58" spans="1:18" hidden="1" x14ac:dyDescent="0.25">
      <c r="A58" s="2" t="s">
        <v>721</v>
      </c>
      <c r="B58" s="2" t="s">
        <v>722</v>
      </c>
      <c r="C58" s="2" t="s">
        <v>723</v>
      </c>
      <c r="D58" s="2" t="s">
        <v>724</v>
      </c>
      <c r="E58" s="2" t="s">
        <v>2333</v>
      </c>
      <c r="F58" s="2" t="s">
        <v>674</v>
      </c>
      <c r="G58" s="2" t="s">
        <v>725</v>
      </c>
      <c r="H58" s="2" t="s">
        <v>460</v>
      </c>
      <c r="I58" s="2" t="s">
        <v>467</v>
      </c>
      <c r="J58" s="2" cm="1">
        <f t="array" ref="J58">_xlfn.IFS(DDLI_DME[[#This Row],[DATENTYP]]="unsigned integer",2,DDLI_DME[[#This Row],[DATENTYP]]="unsigned char",1,DDLI_DME[[#This Row],[DATENTYP]]="signed integer",2)</f>
        <v>2</v>
      </c>
      <c r="K58" s="2" t="s">
        <v>460</v>
      </c>
      <c r="L58">
        <v>2.3550000041723251E-2</v>
      </c>
      <c r="M58">
        <v>1</v>
      </c>
      <c r="N58" t="str">
        <f>TEXT(DDLI_DME[[#This Row],[MUL]],"######/######")</f>
        <v>471/20000</v>
      </c>
      <c r="O58">
        <v>0</v>
      </c>
      <c r="Q58">
        <f>HEX2DEC(DDLI_DME[[#This Row],[Hex]])</f>
        <v>0</v>
      </c>
      <c r="R58">
        <f>DDLI_DME[[#This Row],[ADD]]+DDLI_DME[[#This Row],[Dec]]*DDLI_DME[[#This Row],[MUL]]/DDLI_DME[[#This Row],[DIV]]</f>
        <v>0</v>
      </c>
    </row>
    <row r="59" spans="1:18" hidden="1" x14ac:dyDescent="0.25">
      <c r="A59" s="2" t="s">
        <v>726</v>
      </c>
      <c r="B59" s="2" t="s">
        <v>727</v>
      </c>
      <c r="C59" s="2" t="s">
        <v>728</v>
      </c>
      <c r="D59" s="2" t="s">
        <v>729</v>
      </c>
      <c r="E59" s="2"/>
      <c r="F59" s="2" t="s">
        <v>668</v>
      </c>
      <c r="G59" s="2" t="s">
        <v>730</v>
      </c>
      <c r="H59" s="2" t="s">
        <v>460</v>
      </c>
      <c r="I59" s="2" t="s">
        <v>467</v>
      </c>
      <c r="J59" s="2" cm="1">
        <f t="array" ref="J59">_xlfn.IFS(DDLI_DME[[#This Row],[DATENTYP]]="unsigned integer",2,DDLI_DME[[#This Row],[DATENTYP]]="unsigned char",1,DDLI_DME[[#This Row],[DATENTYP]]="signed integer",2)</f>
        <v>2</v>
      </c>
      <c r="K59" s="2" t="s">
        <v>460</v>
      </c>
      <c r="L59">
        <v>4.0000001899898052E-3</v>
      </c>
      <c r="M59">
        <v>1</v>
      </c>
      <c r="N59" t="str">
        <f>TEXT(DDLI_DME[[#This Row],[MUL]],"######/######")</f>
        <v>1/250</v>
      </c>
      <c r="O59">
        <v>-100</v>
      </c>
      <c r="Q59">
        <f>HEX2DEC(DDLI_DME[[#This Row],[Hex]])</f>
        <v>0</v>
      </c>
      <c r="R59">
        <f>DDLI_DME[[#This Row],[ADD]]+DDLI_DME[[#This Row],[Dec]]*DDLI_DME[[#This Row],[MUL]]/DDLI_DME[[#This Row],[DIV]]</f>
        <v>-100</v>
      </c>
    </row>
    <row r="60" spans="1:18" hidden="1" x14ac:dyDescent="0.25">
      <c r="A60" s="2" t="s">
        <v>731</v>
      </c>
      <c r="B60" s="2" t="s">
        <v>732</v>
      </c>
      <c r="C60" s="2" t="s">
        <v>733</v>
      </c>
      <c r="D60" s="2" t="s">
        <v>734</v>
      </c>
      <c r="E60" s="2"/>
      <c r="F60" s="2" t="s">
        <v>668</v>
      </c>
      <c r="G60" s="2" t="s">
        <v>735</v>
      </c>
      <c r="H60" s="2" t="s">
        <v>460</v>
      </c>
      <c r="I60" s="2" t="s">
        <v>467</v>
      </c>
      <c r="J60" s="2" cm="1">
        <f t="array" ref="J60">_xlfn.IFS(DDLI_DME[[#This Row],[DATENTYP]]="unsigned integer",2,DDLI_DME[[#This Row],[DATENTYP]]="unsigned char",1,DDLI_DME[[#This Row],[DATENTYP]]="signed integer",2)</f>
        <v>2</v>
      </c>
      <c r="K60" s="2" t="s">
        <v>460</v>
      </c>
      <c r="L60">
        <v>4.0000001899898052E-3</v>
      </c>
      <c r="M60">
        <v>1</v>
      </c>
      <c r="N60" t="str">
        <f>TEXT(DDLI_DME[[#This Row],[MUL]],"######/######")</f>
        <v>1/250</v>
      </c>
      <c r="O60">
        <v>-100</v>
      </c>
      <c r="Q60">
        <f>HEX2DEC(DDLI_DME[[#This Row],[Hex]])</f>
        <v>0</v>
      </c>
      <c r="R60">
        <f>DDLI_DME[[#This Row],[ADD]]+DDLI_DME[[#This Row],[Dec]]*DDLI_DME[[#This Row],[MUL]]/DDLI_DME[[#This Row],[DIV]]</f>
        <v>-100</v>
      </c>
    </row>
    <row r="61" spans="1:18" hidden="1" x14ac:dyDescent="0.25">
      <c r="A61" s="2" t="s">
        <v>736</v>
      </c>
      <c r="B61" s="2" t="s">
        <v>737</v>
      </c>
      <c r="C61" s="2" t="s">
        <v>738</v>
      </c>
      <c r="D61" s="2" t="s">
        <v>739</v>
      </c>
      <c r="E61" s="2"/>
      <c r="F61" s="2" t="s">
        <v>668</v>
      </c>
      <c r="G61" s="2" t="s">
        <v>740</v>
      </c>
      <c r="H61" s="2" t="s">
        <v>460</v>
      </c>
      <c r="I61" s="2" t="s">
        <v>461</v>
      </c>
      <c r="J61" s="2" cm="1">
        <f t="array" ref="J61">_xlfn.IFS(DDLI_DME[[#This Row],[DATENTYP]]="unsigned integer",2,DDLI_DME[[#This Row],[DATENTYP]]="unsigned char",1,DDLI_DME[[#This Row],[DATENTYP]]="signed integer",2)</f>
        <v>1</v>
      </c>
      <c r="K61" s="2" t="s">
        <v>460</v>
      </c>
      <c r="L61">
        <v>0.390625</v>
      </c>
      <c r="M61">
        <v>1</v>
      </c>
      <c r="N61" t="str">
        <f>TEXT(DDLI_DME[[#This Row],[MUL]],"######/######")</f>
        <v>25/64</v>
      </c>
      <c r="O61">
        <v>0</v>
      </c>
      <c r="Q61">
        <f>HEX2DEC(DDLI_DME[[#This Row],[Hex]])</f>
        <v>0</v>
      </c>
      <c r="R61">
        <f>DDLI_DME[[#This Row],[ADD]]+DDLI_DME[[#This Row],[Dec]]*DDLI_DME[[#This Row],[MUL]]/DDLI_DME[[#This Row],[DIV]]</f>
        <v>0</v>
      </c>
    </row>
    <row r="62" spans="1:18" hidden="1" x14ac:dyDescent="0.25">
      <c r="A62" s="2" t="s">
        <v>741</v>
      </c>
      <c r="B62" s="2" t="s">
        <v>742</v>
      </c>
      <c r="C62" s="2" t="s">
        <v>743</v>
      </c>
      <c r="D62" s="2" t="s">
        <v>744</v>
      </c>
      <c r="E62" s="2"/>
      <c r="F62" s="2" t="s">
        <v>668</v>
      </c>
      <c r="G62" s="2" t="s">
        <v>745</v>
      </c>
      <c r="H62" s="2" t="s">
        <v>460</v>
      </c>
      <c r="I62" s="2" t="s">
        <v>461</v>
      </c>
      <c r="J62" s="2" cm="1">
        <f t="array" ref="J62">_xlfn.IFS(DDLI_DME[[#This Row],[DATENTYP]]="unsigned integer",2,DDLI_DME[[#This Row],[DATENTYP]]="unsigned char",1,DDLI_DME[[#This Row],[DATENTYP]]="signed integer",2)</f>
        <v>1</v>
      </c>
      <c r="K62" s="2" t="s">
        <v>460</v>
      </c>
      <c r="L62">
        <v>0.390625</v>
      </c>
      <c r="M62">
        <v>1</v>
      </c>
      <c r="N62" t="str">
        <f>TEXT(DDLI_DME[[#This Row],[MUL]],"######/######")</f>
        <v>25/64</v>
      </c>
      <c r="O62">
        <v>0</v>
      </c>
      <c r="Q62">
        <f>HEX2DEC(DDLI_DME[[#This Row],[Hex]])</f>
        <v>0</v>
      </c>
      <c r="R62">
        <f>DDLI_DME[[#This Row],[ADD]]+DDLI_DME[[#This Row],[Dec]]*DDLI_DME[[#This Row],[MUL]]/DDLI_DME[[#This Row],[DIV]]</f>
        <v>0</v>
      </c>
    </row>
    <row r="63" spans="1:18" hidden="1" x14ac:dyDescent="0.25">
      <c r="A63" s="2" t="s">
        <v>746</v>
      </c>
      <c r="B63" s="2" t="s">
        <v>747</v>
      </c>
      <c r="C63" s="2" t="s">
        <v>748</v>
      </c>
      <c r="D63" s="2" t="s">
        <v>749</v>
      </c>
      <c r="E63" s="2"/>
      <c r="F63" s="2" t="s">
        <v>630</v>
      </c>
      <c r="G63" s="2" t="s">
        <v>750</v>
      </c>
      <c r="H63" s="2" t="s">
        <v>460</v>
      </c>
      <c r="I63" s="2" t="s">
        <v>461</v>
      </c>
      <c r="J63" s="2" cm="1">
        <f t="array" ref="J63">_xlfn.IFS(DDLI_DME[[#This Row],[DATENTYP]]="unsigned integer",2,DDLI_DME[[#This Row],[DATENTYP]]="unsigned char",1,DDLI_DME[[#This Row],[DATENTYP]]="signed integer",2)</f>
        <v>1</v>
      </c>
      <c r="K63" s="2" t="s">
        <v>460</v>
      </c>
      <c r="L63">
        <v>0.125</v>
      </c>
      <c r="M63">
        <v>1</v>
      </c>
      <c r="N63" t="str">
        <f>TEXT(DDLI_DME[[#This Row],[MUL]],"######/######")</f>
        <v>1/8</v>
      </c>
      <c r="O63">
        <v>0</v>
      </c>
      <c r="Q63">
        <f>HEX2DEC(DDLI_DME[[#This Row],[Hex]])</f>
        <v>0</v>
      </c>
      <c r="R63">
        <f>DDLI_DME[[#This Row],[ADD]]+DDLI_DME[[#This Row],[Dec]]*DDLI_DME[[#This Row],[MUL]]/DDLI_DME[[#This Row],[DIV]]</f>
        <v>0</v>
      </c>
    </row>
    <row r="64" spans="1:18" hidden="1" x14ac:dyDescent="0.25">
      <c r="A64" s="2" t="s">
        <v>751</v>
      </c>
      <c r="B64" s="2" t="s">
        <v>752</v>
      </c>
      <c r="C64" s="2" t="s">
        <v>753</v>
      </c>
      <c r="D64" s="2" t="s">
        <v>754</v>
      </c>
      <c r="E64" s="2"/>
      <c r="F64" s="2" t="s">
        <v>674</v>
      </c>
      <c r="G64" s="2" t="s">
        <v>755</v>
      </c>
      <c r="H64" s="2" t="s">
        <v>460</v>
      </c>
      <c r="I64" s="2" t="s">
        <v>461</v>
      </c>
      <c r="J64" s="2" cm="1">
        <f t="array" ref="J64">_xlfn.IFS(DDLI_DME[[#This Row],[DATENTYP]]="unsigned integer",2,DDLI_DME[[#This Row],[DATENTYP]]="unsigned char",1,DDLI_DME[[#This Row],[DATENTYP]]="signed integer",2)</f>
        <v>1</v>
      </c>
      <c r="K64" s="2" t="s">
        <v>460</v>
      </c>
      <c r="L64">
        <v>0.10000000149011612</v>
      </c>
      <c r="M64">
        <v>1</v>
      </c>
      <c r="N64" t="str">
        <f>TEXT(DDLI_DME[[#This Row],[MUL]],"######/######")</f>
        <v>1/10</v>
      </c>
      <c r="O64">
        <v>11</v>
      </c>
      <c r="Q64">
        <f>HEX2DEC(DDLI_DME[[#This Row],[Hex]])</f>
        <v>0</v>
      </c>
      <c r="R64">
        <f>DDLI_DME[[#This Row],[ADD]]+DDLI_DME[[#This Row],[Dec]]*DDLI_DME[[#This Row],[MUL]]/DDLI_DME[[#This Row],[DIV]]</f>
        <v>11</v>
      </c>
    </row>
    <row r="65" spans="1:18" hidden="1" x14ac:dyDescent="0.25">
      <c r="A65" s="2" t="s">
        <v>756</v>
      </c>
      <c r="B65" s="2" t="s">
        <v>757</v>
      </c>
      <c r="C65" s="2" t="s">
        <v>758</v>
      </c>
      <c r="D65" s="2" t="s">
        <v>759</v>
      </c>
      <c r="E65" s="2"/>
      <c r="F65" s="2" t="s">
        <v>668</v>
      </c>
      <c r="G65" s="2" t="s">
        <v>760</v>
      </c>
      <c r="H65" s="2" t="s">
        <v>460</v>
      </c>
      <c r="I65" s="2" t="s">
        <v>461</v>
      </c>
      <c r="J65" s="2" cm="1">
        <f t="array" ref="J65">_xlfn.IFS(DDLI_DME[[#This Row],[DATENTYP]]="unsigned integer",2,DDLI_DME[[#This Row],[DATENTYP]]="unsigned char",1,DDLI_DME[[#This Row],[DATENTYP]]="signed integer",2)</f>
        <v>1</v>
      </c>
      <c r="K65" s="2" t="s">
        <v>460</v>
      </c>
      <c r="L65">
        <v>0.390625</v>
      </c>
      <c r="M65">
        <v>1</v>
      </c>
      <c r="N65" t="str">
        <f>TEXT(DDLI_DME[[#This Row],[MUL]],"######/######")</f>
        <v>25/64</v>
      </c>
      <c r="O65">
        <v>0</v>
      </c>
      <c r="Q65">
        <f>HEX2DEC(DDLI_DME[[#This Row],[Hex]])</f>
        <v>0</v>
      </c>
      <c r="R65">
        <f>DDLI_DME[[#This Row],[ADD]]+DDLI_DME[[#This Row],[Dec]]*DDLI_DME[[#This Row],[MUL]]/DDLI_DME[[#This Row],[DIV]]</f>
        <v>0</v>
      </c>
    </row>
    <row r="66" spans="1:18" hidden="1" x14ac:dyDescent="0.25">
      <c r="A66" s="2" t="s">
        <v>761</v>
      </c>
      <c r="B66" s="2" t="s">
        <v>762</v>
      </c>
      <c r="C66" s="2" t="s">
        <v>763</v>
      </c>
      <c r="D66" s="2" t="s">
        <v>764</v>
      </c>
      <c r="E66" s="2"/>
      <c r="F66" s="2" t="s">
        <v>630</v>
      </c>
      <c r="G66" s="2" t="s">
        <v>765</v>
      </c>
      <c r="H66" s="2" t="s">
        <v>460</v>
      </c>
      <c r="I66" s="2" t="s">
        <v>461</v>
      </c>
      <c r="J66" s="2" cm="1">
        <f t="array" ref="J66">_xlfn.IFS(DDLI_DME[[#This Row],[DATENTYP]]="unsigned integer",2,DDLI_DME[[#This Row],[DATENTYP]]="unsigned char",1,DDLI_DME[[#This Row],[DATENTYP]]="signed integer",2)</f>
        <v>1</v>
      </c>
      <c r="K66" s="2" t="s">
        <v>460</v>
      </c>
      <c r="L66">
        <v>0.125</v>
      </c>
      <c r="M66">
        <v>1</v>
      </c>
      <c r="N66" t="str">
        <f>TEXT(DDLI_DME[[#This Row],[MUL]],"######/######")</f>
        <v>1/8</v>
      </c>
      <c r="O66">
        <v>0</v>
      </c>
      <c r="Q66">
        <f>HEX2DEC(DDLI_DME[[#This Row],[Hex]])</f>
        <v>0</v>
      </c>
      <c r="R66">
        <f>DDLI_DME[[#This Row],[ADD]]+DDLI_DME[[#This Row],[Dec]]*DDLI_DME[[#This Row],[MUL]]/DDLI_DME[[#This Row],[DIV]]</f>
        <v>0</v>
      </c>
    </row>
    <row r="67" spans="1:18" hidden="1" x14ac:dyDescent="0.25">
      <c r="A67" s="2" t="s">
        <v>766</v>
      </c>
      <c r="B67" s="2" t="s">
        <v>767</v>
      </c>
      <c r="C67" s="2" t="s">
        <v>768</v>
      </c>
      <c r="D67" s="2" t="s">
        <v>769</v>
      </c>
      <c r="E67" s="2"/>
      <c r="F67" s="2" t="s">
        <v>770</v>
      </c>
      <c r="G67" s="2" t="s">
        <v>771</v>
      </c>
      <c r="H67" s="2" t="s">
        <v>460</v>
      </c>
      <c r="I67" s="2" t="s">
        <v>461</v>
      </c>
      <c r="J67" s="2" cm="1">
        <f t="array" ref="J67">_xlfn.IFS(DDLI_DME[[#This Row],[DATENTYP]]="unsigned integer",2,DDLI_DME[[#This Row],[DATENTYP]]="unsigned char",1,DDLI_DME[[#This Row],[DATENTYP]]="signed integer",2)</f>
        <v>1</v>
      </c>
      <c r="K67" s="2" t="s">
        <v>460</v>
      </c>
      <c r="L67">
        <v>0.10000000149011612</v>
      </c>
      <c r="M67">
        <v>1</v>
      </c>
      <c r="N67" t="str">
        <f>TEXT(DDLI_DME[[#This Row],[MUL]],"######/######")</f>
        <v>1/10</v>
      </c>
      <c r="O67">
        <v>0</v>
      </c>
      <c r="Q67">
        <f>HEX2DEC(DDLI_DME[[#This Row],[Hex]])</f>
        <v>0</v>
      </c>
      <c r="R67">
        <f>DDLI_DME[[#This Row],[ADD]]+DDLI_DME[[#This Row],[Dec]]*DDLI_DME[[#This Row],[MUL]]/DDLI_DME[[#This Row],[DIV]]</f>
        <v>0</v>
      </c>
    </row>
    <row r="68" spans="1:18" hidden="1" x14ac:dyDescent="0.25">
      <c r="A68" s="2" t="s">
        <v>772</v>
      </c>
      <c r="B68" s="2" t="s">
        <v>773</v>
      </c>
      <c r="C68" s="2" t="s">
        <v>774</v>
      </c>
      <c r="D68" s="2" t="s">
        <v>775</v>
      </c>
      <c r="E68" s="2"/>
      <c r="F68" s="2" t="s">
        <v>668</v>
      </c>
      <c r="G68" s="2" t="s">
        <v>776</v>
      </c>
      <c r="H68" s="2" t="s">
        <v>460</v>
      </c>
      <c r="I68" s="2" t="s">
        <v>467</v>
      </c>
      <c r="J68" s="2" cm="1">
        <f t="array" ref="J68">_xlfn.IFS(DDLI_DME[[#This Row],[DATENTYP]]="unsigned integer",2,DDLI_DME[[#This Row],[DATENTYP]]="unsigned char",1,DDLI_DME[[#This Row],[DATENTYP]]="signed integer",2)</f>
        <v>2</v>
      </c>
      <c r="K68" s="2" t="s">
        <v>460</v>
      </c>
      <c r="L68">
        <v>1.52587890625E-3</v>
      </c>
      <c r="M68">
        <v>1</v>
      </c>
      <c r="N68" t="str">
        <f>TEXT(DDLI_DME[[#This Row],[MUL]],"######/######")</f>
        <v>25/16384</v>
      </c>
      <c r="O68">
        <v>0</v>
      </c>
      <c r="Q68">
        <f>HEX2DEC(DDLI_DME[[#This Row],[Hex]])</f>
        <v>0</v>
      </c>
      <c r="R68">
        <f>DDLI_DME[[#This Row],[ADD]]+DDLI_DME[[#This Row],[Dec]]*DDLI_DME[[#This Row],[MUL]]/DDLI_DME[[#This Row],[DIV]]</f>
        <v>0</v>
      </c>
    </row>
    <row r="69" spans="1:18" hidden="1" x14ac:dyDescent="0.25">
      <c r="A69" s="2" t="s">
        <v>777</v>
      </c>
      <c r="B69" s="2" t="s">
        <v>778</v>
      </c>
      <c r="C69" s="2" t="s">
        <v>779</v>
      </c>
      <c r="D69" s="2" t="s">
        <v>780</v>
      </c>
      <c r="E69" s="2"/>
      <c r="F69" s="2" t="s">
        <v>460</v>
      </c>
      <c r="G69" s="2" t="s">
        <v>781</v>
      </c>
      <c r="H69" s="2" t="s">
        <v>460</v>
      </c>
      <c r="I69" s="2" t="s">
        <v>461</v>
      </c>
      <c r="J69" s="2" cm="1">
        <f t="array" ref="J69">_xlfn.IFS(DDLI_DME[[#This Row],[DATENTYP]]="unsigned integer",2,DDLI_DME[[#This Row],[DATENTYP]]="unsigned char",1,DDLI_DME[[#This Row],[DATENTYP]]="signed integer",2)</f>
        <v>1</v>
      </c>
      <c r="K69" s="2" t="s">
        <v>460</v>
      </c>
      <c r="L69">
        <v>1</v>
      </c>
      <c r="M69">
        <v>1</v>
      </c>
      <c r="N69" t="str">
        <f>TEXT(DDLI_DME[[#This Row],[MUL]],"######/######")</f>
        <v>1/1</v>
      </c>
      <c r="O69">
        <v>0</v>
      </c>
      <c r="Q69">
        <f>HEX2DEC(DDLI_DME[[#This Row],[Hex]])</f>
        <v>0</v>
      </c>
      <c r="R69">
        <f>DDLI_DME[[#This Row],[ADD]]+DDLI_DME[[#This Row],[Dec]]*DDLI_DME[[#This Row],[MUL]]/DDLI_DME[[#This Row],[DIV]]</f>
        <v>0</v>
      </c>
    </row>
    <row r="70" spans="1:18" hidden="1" x14ac:dyDescent="0.25">
      <c r="A70" s="2" t="s">
        <v>782</v>
      </c>
      <c r="B70" s="2" t="s">
        <v>783</v>
      </c>
      <c r="C70" s="2" t="s">
        <v>784</v>
      </c>
      <c r="D70" s="2" t="s">
        <v>785</v>
      </c>
      <c r="E70" s="2"/>
      <c r="F70" s="2" t="s">
        <v>460</v>
      </c>
      <c r="G70" s="2" t="s">
        <v>786</v>
      </c>
      <c r="H70" s="2" t="s">
        <v>460</v>
      </c>
      <c r="I70" s="2" t="s">
        <v>461</v>
      </c>
      <c r="J70" s="2" cm="1">
        <f t="array" ref="J70">_xlfn.IFS(DDLI_DME[[#This Row],[DATENTYP]]="unsigned integer",2,DDLI_DME[[#This Row],[DATENTYP]]="unsigned char",1,DDLI_DME[[#This Row],[DATENTYP]]="signed integer",2)</f>
        <v>1</v>
      </c>
      <c r="K70" s="2" t="s">
        <v>460</v>
      </c>
      <c r="L70">
        <v>1</v>
      </c>
      <c r="M70">
        <v>1</v>
      </c>
      <c r="N70" t="str">
        <f>TEXT(DDLI_DME[[#This Row],[MUL]],"######/######")</f>
        <v>1/1</v>
      </c>
      <c r="O70">
        <v>0</v>
      </c>
      <c r="Q70">
        <f>HEX2DEC(DDLI_DME[[#This Row],[Hex]])</f>
        <v>0</v>
      </c>
      <c r="R70">
        <f>DDLI_DME[[#This Row],[ADD]]+DDLI_DME[[#This Row],[Dec]]*DDLI_DME[[#This Row],[MUL]]/DDLI_DME[[#This Row],[DIV]]</f>
        <v>0</v>
      </c>
    </row>
    <row r="71" spans="1:18" hidden="1" x14ac:dyDescent="0.25">
      <c r="A71" s="2" t="s">
        <v>787</v>
      </c>
      <c r="B71" s="2" t="s">
        <v>788</v>
      </c>
      <c r="C71" s="2" t="s">
        <v>789</v>
      </c>
      <c r="D71" s="2" t="s">
        <v>790</v>
      </c>
      <c r="E71" s="2"/>
      <c r="F71" s="2" t="s">
        <v>674</v>
      </c>
      <c r="G71" s="2" t="s">
        <v>791</v>
      </c>
      <c r="H71" s="2" t="s">
        <v>460</v>
      </c>
      <c r="I71" s="2" t="s">
        <v>461</v>
      </c>
      <c r="J71" s="2" cm="1">
        <f t="array" ref="J71">_xlfn.IFS(DDLI_DME[[#This Row],[DATENTYP]]="unsigned integer",2,DDLI_DME[[#This Row],[DATENTYP]]="unsigned char",1,DDLI_DME[[#This Row],[DATENTYP]]="signed integer",2)</f>
        <v>1</v>
      </c>
      <c r="K71" s="2" t="s">
        <v>460</v>
      </c>
      <c r="L71">
        <v>0.10000000149011612</v>
      </c>
      <c r="M71">
        <v>1</v>
      </c>
      <c r="N71" t="str">
        <f>TEXT(DDLI_DME[[#This Row],[MUL]],"######/######")</f>
        <v>1/10</v>
      </c>
      <c r="O71">
        <v>11</v>
      </c>
      <c r="Q71">
        <f>HEX2DEC(DDLI_DME[[#This Row],[Hex]])</f>
        <v>0</v>
      </c>
      <c r="R71">
        <f>DDLI_DME[[#This Row],[ADD]]+DDLI_DME[[#This Row],[Dec]]*DDLI_DME[[#This Row],[MUL]]/DDLI_DME[[#This Row],[DIV]]</f>
        <v>11</v>
      </c>
    </row>
    <row r="72" spans="1:18" hidden="1" x14ac:dyDescent="0.25">
      <c r="A72" s="2" t="s">
        <v>792</v>
      </c>
      <c r="B72" s="2" t="s">
        <v>793</v>
      </c>
      <c r="C72" s="2" t="s">
        <v>794</v>
      </c>
      <c r="D72" s="2" t="s">
        <v>795</v>
      </c>
      <c r="E72" s="2"/>
      <c r="F72" s="2" t="s">
        <v>674</v>
      </c>
      <c r="G72" s="2" t="s">
        <v>796</v>
      </c>
      <c r="H72" s="2" t="s">
        <v>460</v>
      </c>
      <c r="I72" s="2" t="s">
        <v>467</v>
      </c>
      <c r="J72" s="2" cm="1">
        <f t="array" ref="J72">_xlfn.IFS(DDLI_DME[[#This Row],[DATENTYP]]="unsigned integer",2,DDLI_DME[[#This Row],[DATENTYP]]="unsigned char",1,DDLI_DME[[#This Row],[DATENTYP]]="signed integer",2)</f>
        <v>2</v>
      </c>
      <c r="K72" s="2" t="s">
        <v>460</v>
      </c>
      <c r="L72">
        <v>4.8828125E-3</v>
      </c>
      <c r="M72">
        <v>1</v>
      </c>
      <c r="N72" t="str">
        <f>TEXT(DDLI_DME[[#This Row],[MUL]],"######/######")</f>
        <v>5/1024</v>
      </c>
      <c r="O72">
        <v>0</v>
      </c>
      <c r="Q72">
        <f>HEX2DEC(DDLI_DME[[#This Row],[Hex]])</f>
        <v>0</v>
      </c>
      <c r="R72">
        <f>DDLI_DME[[#This Row],[ADD]]+DDLI_DME[[#This Row],[Dec]]*DDLI_DME[[#This Row],[MUL]]/DDLI_DME[[#This Row],[DIV]]</f>
        <v>0</v>
      </c>
    </row>
    <row r="73" spans="1:18" hidden="1" x14ac:dyDescent="0.25">
      <c r="A73" s="2" t="s">
        <v>797</v>
      </c>
      <c r="B73" s="2" t="s">
        <v>798</v>
      </c>
      <c r="C73" s="2" t="s">
        <v>799</v>
      </c>
      <c r="D73" s="2" t="s">
        <v>800</v>
      </c>
      <c r="E73" s="2" t="s">
        <v>2334</v>
      </c>
      <c r="F73" s="2" t="s">
        <v>460</v>
      </c>
      <c r="G73" s="2" t="s">
        <v>801</v>
      </c>
      <c r="H73" s="2" t="s">
        <v>460</v>
      </c>
      <c r="I73" s="2" t="s">
        <v>461</v>
      </c>
      <c r="J73" s="2" cm="1">
        <f t="array" ref="J73">_xlfn.IFS(DDLI_DME[[#This Row],[DATENTYP]]="unsigned integer",2,DDLI_DME[[#This Row],[DATENTYP]]="unsigned char",1,DDLI_DME[[#This Row],[DATENTYP]]="signed integer",2)</f>
        <v>1</v>
      </c>
      <c r="K73" s="2" t="s">
        <v>460</v>
      </c>
      <c r="L73">
        <v>1</v>
      </c>
      <c r="M73">
        <v>1</v>
      </c>
      <c r="N73" t="str">
        <f>TEXT(DDLI_DME[[#This Row],[MUL]],"######/######")</f>
        <v>1/1</v>
      </c>
      <c r="O73">
        <v>0</v>
      </c>
      <c r="Q73">
        <f>HEX2DEC(DDLI_DME[[#This Row],[Hex]])</f>
        <v>0</v>
      </c>
      <c r="R73">
        <f>DDLI_DME[[#This Row],[ADD]]+DDLI_DME[[#This Row],[Dec]]*DDLI_DME[[#This Row],[MUL]]/DDLI_DME[[#This Row],[DIV]]</f>
        <v>0</v>
      </c>
    </row>
    <row r="74" spans="1:18" hidden="1" x14ac:dyDescent="0.25">
      <c r="A74" s="2" t="s">
        <v>802</v>
      </c>
      <c r="B74" s="2" t="s">
        <v>803</v>
      </c>
      <c r="C74" s="2" t="s">
        <v>804</v>
      </c>
      <c r="D74" s="2" t="s">
        <v>805</v>
      </c>
      <c r="E74" s="2"/>
      <c r="F74" s="2" t="s">
        <v>460</v>
      </c>
      <c r="G74" s="2" t="s">
        <v>806</v>
      </c>
      <c r="H74" s="2" t="s">
        <v>460</v>
      </c>
      <c r="I74" s="2" t="s">
        <v>461</v>
      </c>
      <c r="J74" s="2" cm="1">
        <f t="array" ref="J74">_xlfn.IFS(DDLI_DME[[#This Row],[DATENTYP]]="unsigned integer",2,DDLI_DME[[#This Row],[DATENTYP]]="unsigned char",1,DDLI_DME[[#This Row],[DATENTYP]]="signed integer",2)</f>
        <v>1</v>
      </c>
      <c r="K74" s="2" t="s">
        <v>460</v>
      </c>
      <c r="L74">
        <v>1</v>
      </c>
      <c r="M74">
        <v>1</v>
      </c>
      <c r="N74" t="str">
        <f>TEXT(DDLI_DME[[#This Row],[MUL]],"######/######")</f>
        <v>1/1</v>
      </c>
      <c r="O74">
        <v>0</v>
      </c>
      <c r="Q74">
        <f>HEX2DEC(DDLI_DME[[#This Row],[Hex]])</f>
        <v>0</v>
      </c>
      <c r="R74">
        <f>DDLI_DME[[#This Row],[ADD]]+DDLI_DME[[#This Row],[Dec]]*DDLI_DME[[#This Row],[MUL]]/DDLI_DME[[#This Row],[DIV]]</f>
        <v>0</v>
      </c>
    </row>
    <row r="75" spans="1:18" hidden="1" x14ac:dyDescent="0.25">
      <c r="A75" s="2" t="s">
        <v>807</v>
      </c>
      <c r="B75" s="2" t="s">
        <v>808</v>
      </c>
      <c r="C75" s="2" t="s">
        <v>809</v>
      </c>
      <c r="D75" s="2" t="s">
        <v>810</v>
      </c>
      <c r="E75" s="2"/>
      <c r="F75" s="2" t="s">
        <v>460</v>
      </c>
      <c r="G75" s="2" t="s">
        <v>811</v>
      </c>
      <c r="H75" s="2" t="s">
        <v>460</v>
      </c>
      <c r="I75" s="2" t="s">
        <v>461</v>
      </c>
      <c r="J75" s="2" cm="1">
        <f t="array" ref="J75">_xlfn.IFS(DDLI_DME[[#This Row],[DATENTYP]]="unsigned integer",2,DDLI_DME[[#This Row],[DATENTYP]]="unsigned char",1,DDLI_DME[[#This Row],[DATENTYP]]="signed integer",2)</f>
        <v>1</v>
      </c>
      <c r="K75" s="2" t="s">
        <v>460</v>
      </c>
      <c r="L75">
        <v>1</v>
      </c>
      <c r="M75">
        <v>1</v>
      </c>
      <c r="N75" t="str">
        <f>TEXT(DDLI_DME[[#This Row],[MUL]],"######/######")</f>
        <v>1/1</v>
      </c>
      <c r="O75">
        <v>0</v>
      </c>
      <c r="Q75">
        <f>HEX2DEC(DDLI_DME[[#This Row],[Hex]])</f>
        <v>0</v>
      </c>
      <c r="R75">
        <f>DDLI_DME[[#This Row],[ADD]]+DDLI_DME[[#This Row],[Dec]]*DDLI_DME[[#This Row],[MUL]]/DDLI_DME[[#This Row],[DIV]]</f>
        <v>0</v>
      </c>
    </row>
    <row r="76" spans="1:18" hidden="1" x14ac:dyDescent="0.25">
      <c r="A76" s="2" t="s">
        <v>812</v>
      </c>
      <c r="B76" s="2" t="s">
        <v>813</v>
      </c>
      <c r="C76" s="2" t="s">
        <v>814</v>
      </c>
      <c r="D76" s="2" t="s">
        <v>815</v>
      </c>
      <c r="E76" s="2"/>
      <c r="F76" s="2" t="s">
        <v>674</v>
      </c>
      <c r="G76" s="2" t="s">
        <v>816</v>
      </c>
      <c r="H76" s="2" t="s">
        <v>460</v>
      </c>
      <c r="I76" s="2" t="s">
        <v>467</v>
      </c>
      <c r="J76" s="2" cm="1">
        <f t="array" ref="J76">_xlfn.IFS(DDLI_DME[[#This Row],[DATENTYP]]="unsigned integer",2,DDLI_DME[[#This Row],[DATENTYP]]="unsigned char",1,DDLI_DME[[#This Row],[DATENTYP]]="signed integer",2)</f>
        <v>2</v>
      </c>
      <c r="K76" s="2" t="s">
        <v>460</v>
      </c>
      <c r="L76">
        <v>4.8828125E-4</v>
      </c>
      <c r="M76">
        <v>1</v>
      </c>
      <c r="N76" t="str">
        <f>TEXT(DDLI_DME[[#This Row],[MUL]],"######/######")</f>
        <v>1/2048</v>
      </c>
      <c r="O76">
        <v>0</v>
      </c>
      <c r="Q76">
        <f>HEX2DEC(DDLI_DME[[#This Row],[Hex]])</f>
        <v>0</v>
      </c>
      <c r="R76">
        <f>DDLI_DME[[#This Row],[ADD]]+DDLI_DME[[#This Row],[Dec]]*DDLI_DME[[#This Row],[MUL]]/DDLI_DME[[#This Row],[DIV]]</f>
        <v>0</v>
      </c>
    </row>
    <row r="77" spans="1:18" hidden="1" x14ac:dyDescent="0.25">
      <c r="A77" s="2" t="s">
        <v>817</v>
      </c>
      <c r="B77" s="2" t="s">
        <v>818</v>
      </c>
      <c r="C77" s="2" t="s">
        <v>819</v>
      </c>
      <c r="D77" s="2" t="s">
        <v>820</v>
      </c>
      <c r="E77" s="2"/>
      <c r="F77" s="2" t="s">
        <v>460</v>
      </c>
      <c r="G77" s="2" t="s">
        <v>821</v>
      </c>
      <c r="H77" s="2" t="s">
        <v>460</v>
      </c>
      <c r="I77" s="2" t="s">
        <v>467</v>
      </c>
      <c r="J77" s="2" cm="1">
        <f t="array" ref="J77">_xlfn.IFS(DDLI_DME[[#This Row],[DATENTYP]]="unsigned integer",2,DDLI_DME[[#This Row],[DATENTYP]]="unsigned char",1,DDLI_DME[[#This Row],[DATENTYP]]="signed integer",2)</f>
        <v>2</v>
      </c>
      <c r="K77" s="2" t="s">
        <v>460</v>
      </c>
      <c r="L77">
        <v>2.44140625E-4</v>
      </c>
      <c r="M77">
        <v>1</v>
      </c>
      <c r="N77" t="str">
        <f>TEXT(DDLI_DME[[#This Row],[MUL]],"######/######")</f>
        <v>1/4096</v>
      </c>
      <c r="O77">
        <v>0</v>
      </c>
      <c r="Q77">
        <f>HEX2DEC(DDLI_DME[[#This Row],[Hex]])</f>
        <v>0</v>
      </c>
      <c r="R77">
        <f>DDLI_DME[[#This Row],[ADD]]+DDLI_DME[[#This Row],[Dec]]*DDLI_DME[[#This Row],[MUL]]/DDLI_DME[[#This Row],[DIV]]</f>
        <v>0</v>
      </c>
    </row>
    <row r="78" spans="1:18" hidden="1" x14ac:dyDescent="0.25">
      <c r="A78" s="2" t="s">
        <v>822</v>
      </c>
      <c r="B78" s="2" t="s">
        <v>823</v>
      </c>
      <c r="C78" s="2" t="s">
        <v>824</v>
      </c>
      <c r="D78" s="2" t="s">
        <v>825</v>
      </c>
      <c r="E78" s="2" t="s">
        <v>2335</v>
      </c>
      <c r="F78" s="2" t="s">
        <v>460</v>
      </c>
      <c r="G78" s="2" t="s">
        <v>826</v>
      </c>
      <c r="H78" s="2" t="s">
        <v>460</v>
      </c>
      <c r="I78" s="2" t="s">
        <v>461</v>
      </c>
      <c r="J78" s="2" cm="1">
        <f t="array" ref="J78">_xlfn.IFS(DDLI_DME[[#This Row],[DATENTYP]]="unsigned integer",2,DDLI_DME[[#This Row],[DATENTYP]]="unsigned char",1,DDLI_DME[[#This Row],[DATENTYP]]="signed integer",2)</f>
        <v>1</v>
      </c>
      <c r="K78" s="2" t="s">
        <v>460</v>
      </c>
      <c r="L78">
        <v>1</v>
      </c>
      <c r="M78">
        <v>1</v>
      </c>
      <c r="N78" t="str">
        <f>TEXT(DDLI_DME[[#This Row],[MUL]],"######/######")</f>
        <v>1/1</v>
      </c>
      <c r="O78">
        <v>0</v>
      </c>
      <c r="Q78">
        <f>HEX2DEC(DDLI_DME[[#This Row],[Hex]])</f>
        <v>0</v>
      </c>
      <c r="R78">
        <f>DDLI_DME[[#This Row],[ADD]]+DDLI_DME[[#This Row],[Dec]]*DDLI_DME[[#This Row],[MUL]]/DDLI_DME[[#This Row],[DIV]]</f>
        <v>0</v>
      </c>
    </row>
    <row r="79" spans="1:18" hidden="1" x14ac:dyDescent="0.25">
      <c r="A79" s="2" t="s">
        <v>827</v>
      </c>
      <c r="B79" s="2" t="s">
        <v>828</v>
      </c>
      <c r="C79" s="2" t="s">
        <v>829</v>
      </c>
      <c r="D79" s="2" t="s">
        <v>830</v>
      </c>
      <c r="E79" s="2" t="s">
        <v>2336</v>
      </c>
      <c r="F79" s="2" t="s">
        <v>460</v>
      </c>
      <c r="G79" s="2" t="s">
        <v>831</v>
      </c>
      <c r="H79" s="2" t="s">
        <v>460</v>
      </c>
      <c r="I79" s="2" t="s">
        <v>461</v>
      </c>
      <c r="J79" s="2" cm="1">
        <f t="array" ref="J79">_xlfn.IFS(DDLI_DME[[#This Row],[DATENTYP]]="unsigned integer",2,DDLI_DME[[#This Row],[DATENTYP]]="unsigned char",1,DDLI_DME[[#This Row],[DATENTYP]]="signed integer",2)</f>
        <v>1</v>
      </c>
      <c r="K79" s="2" t="s">
        <v>460</v>
      </c>
      <c r="L79">
        <v>1</v>
      </c>
      <c r="M79">
        <v>1</v>
      </c>
      <c r="N79" t="str">
        <f>TEXT(DDLI_DME[[#This Row],[MUL]],"######/######")</f>
        <v>1/1</v>
      </c>
      <c r="O79">
        <v>0</v>
      </c>
      <c r="Q79">
        <f>HEX2DEC(DDLI_DME[[#This Row],[Hex]])</f>
        <v>0</v>
      </c>
      <c r="R79">
        <f>DDLI_DME[[#This Row],[ADD]]+DDLI_DME[[#This Row],[Dec]]*DDLI_DME[[#This Row],[MUL]]/DDLI_DME[[#This Row],[DIV]]</f>
        <v>0</v>
      </c>
    </row>
    <row r="80" spans="1:18" hidden="1" x14ac:dyDescent="0.25">
      <c r="A80" s="2" t="s">
        <v>832</v>
      </c>
      <c r="B80" s="2" t="s">
        <v>833</v>
      </c>
      <c r="C80" s="2" t="s">
        <v>834</v>
      </c>
      <c r="D80" s="2" t="s">
        <v>835</v>
      </c>
      <c r="E80" s="2" t="s">
        <v>2337</v>
      </c>
      <c r="F80" s="2" t="s">
        <v>460</v>
      </c>
      <c r="G80" s="2" t="s">
        <v>836</v>
      </c>
      <c r="H80" s="2" t="s">
        <v>460</v>
      </c>
      <c r="I80" s="2" t="s">
        <v>461</v>
      </c>
      <c r="J80" s="2" cm="1">
        <f t="array" ref="J80">_xlfn.IFS(DDLI_DME[[#This Row],[DATENTYP]]="unsigned integer",2,DDLI_DME[[#This Row],[DATENTYP]]="unsigned char",1,DDLI_DME[[#This Row],[DATENTYP]]="signed integer",2)</f>
        <v>1</v>
      </c>
      <c r="K80" s="2" t="s">
        <v>460</v>
      </c>
      <c r="L80">
        <v>1</v>
      </c>
      <c r="M80">
        <v>1</v>
      </c>
      <c r="N80" t="str">
        <f>TEXT(DDLI_DME[[#This Row],[MUL]],"######/######")</f>
        <v>1/1</v>
      </c>
      <c r="O80">
        <v>0</v>
      </c>
      <c r="Q80">
        <f>HEX2DEC(DDLI_DME[[#This Row],[Hex]])</f>
        <v>0</v>
      </c>
      <c r="R80">
        <f>DDLI_DME[[#This Row],[ADD]]+DDLI_DME[[#This Row],[Dec]]*DDLI_DME[[#This Row],[MUL]]/DDLI_DME[[#This Row],[DIV]]</f>
        <v>0</v>
      </c>
    </row>
    <row r="81" spans="1:18" hidden="1" x14ac:dyDescent="0.25">
      <c r="A81" s="2" t="s">
        <v>837</v>
      </c>
      <c r="B81" s="2" t="s">
        <v>838</v>
      </c>
      <c r="C81" s="2" t="s">
        <v>839</v>
      </c>
      <c r="D81" s="2" t="s">
        <v>840</v>
      </c>
      <c r="E81" s="2" t="s">
        <v>2338</v>
      </c>
      <c r="F81" s="2" t="s">
        <v>460</v>
      </c>
      <c r="G81" s="2" t="s">
        <v>841</v>
      </c>
      <c r="H81" s="2" t="s">
        <v>460</v>
      </c>
      <c r="I81" s="2" t="s">
        <v>461</v>
      </c>
      <c r="J81" s="2" cm="1">
        <f t="array" ref="J81">_xlfn.IFS(DDLI_DME[[#This Row],[DATENTYP]]="unsigned integer",2,DDLI_DME[[#This Row],[DATENTYP]]="unsigned char",1,DDLI_DME[[#This Row],[DATENTYP]]="signed integer",2)</f>
        <v>1</v>
      </c>
      <c r="K81" s="2" t="s">
        <v>460</v>
      </c>
      <c r="L81">
        <v>1</v>
      </c>
      <c r="M81">
        <v>1</v>
      </c>
      <c r="N81" t="str">
        <f>TEXT(DDLI_DME[[#This Row],[MUL]],"######/######")</f>
        <v>1/1</v>
      </c>
      <c r="O81">
        <v>0</v>
      </c>
      <c r="Q81">
        <f>HEX2DEC(DDLI_DME[[#This Row],[Hex]])</f>
        <v>0</v>
      </c>
      <c r="R81">
        <f>DDLI_DME[[#This Row],[ADD]]+DDLI_DME[[#This Row],[Dec]]*DDLI_DME[[#This Row],[MUL]]/DDLI_DME[[#This Row],[DIV]]</f>
        <v>0</v>
      </c>
    </row>
    <row r="82" spans="1:18" hidden="1" x14ac:dyDescent="0.25">
      <c r="A82" s="2" t="s">
        <v>842</v>
      </c>
      <c r="B82" s="2" t="s">
        <v>843</v>
      </c>
      <c r="C82" s="2" t="s">
        <v>844</v>
      </c>
      <c r="D82" s="2" t="s">
        <v>845</v>
      </c>
      <c r="E82" s="2"/>
      <c r="F82" s="2" t="s">
        <v>460</v>
      </c>
      <c r="G82" s="2" t="s">
        <v>846</v>
      </c>
      <c r="H82" s="2" t="s">
        <v>460</v>
      </c>
      <c r="I82" s="2" t="s">
        <v>461</v>
      </c>
      <c r="J82" s="2" cm="1">
        <f t="array" ref="J82">_xlfn.IFS(DDLI_DME[[#This Row],[DATENTYP]]="unsigned integer",2,DDLI_DME[[#This Row],[DATENTYP]]="unsigned char",1,DDLI_DME[[#This Row],[DATENTYP]]="signed integer",2)</f>
        <v>1</v>
      </c>
      <c r="K82" s="2" t="s">
        <v>460</v>
      </c>
      <c r="L82">
        <v>1</v>
      </c>
      <c r="M82">
        <v>1</v>
      </c>
      <c r="N82" t="str">
        <f>TEXT(DDLI_DME[[#This Row],[MUL]],"######/######")</f>
        <v>1/1</v>
      </c>
      <c r="O82">
        <v>0</v>
      </c>
      <c r="Q82">
        <f>HEX2DEC(DDLI_DME[[#This Row],[Hex]])</f>
        <v>0</v>
      </c>
      <c r="R82">
        <f>DDLI_DME[[#This Row],[ADD]]+DDLI_DME[[#This Row],[Dec]]*DDLI_DME[[#This Row],[MUL]]/DDLI_DME[[#This Row],[DIV]]</f>
        <v>0</v>
      </c>
    </row>
    <row r="83" spans="1:18" hidden="1" x14ac:dyDescent="0.25">
      <c r="A83" s="2" t="s">
        <v>847</v>
      </c>
      <c r="B83" s="2" t="s">
        <v>848</v>
      </c>
      <c r="C83" s="2" t="s">
        <v>849</v>
      </c>
      <c r="D83" s="2" t="s">
        <v>850</v>
      </c>
      <c r="E83" s="2" t="s">
        <v>2339</v>
      </c>
      <c r="F83" s="2" t="s">
        <v>458</v>
      </c>
      <c r="G83" s="2" t="s">
        <v>851</v>
      </c>
      <c r="H83" s="2" t="s">
        <v>460</v>
      </c>
      <c r="I83" s="2" t="s">
        <v>461</v>
      </c>
      <c r="J83" s="2" cm="1">
        <f t="array" ref="J83">_xlfn.IFS(DDLI_DME[[#This Row],[DATENTYP]]="unsigned integer",2,DDLI_DME[[#This Row],[DATENTYP]]="unsigned char",1,DDLI_DME[[#This Row],[DATENTYP]]="signed integer",2)</f>
        <v>1</v>
      </c>
      <c r="K83" s="2" t="s">
        <v>460</v>
      </c>
      <c r="L83">
        <v>0.75</v>
      </c>
      <c r="M83">
        <v>1</v>
      </c>
      <c r="N83" t="str">
        <f>TEXT(DDLI_DME[[#This Row],[MUL]],"######/######")</f>
        <v>3/4</v>
      </c>
      <c r="O83">
        <v>-48</v>
      </c>
      <c r="Q83">
        <f>HEX2DEC(DDLI_DME[[#This Row],[Hex]])</f>
        <v>0</v>
      </c>
      <c r="R83">
        <f>DDLI_DME[[#This Row],[ADD]]+DDLI_DME[[#This Row],[Dec]]*DDLI_DME[[#This Row],[MUL]]/DDLI_DME[[#This Row],[DIV]]</f>
        <v>-48</v>
      </c>
    </row>
    <row r="84" spans="1:18" hidden="1" x14ac:dyDescent="0.25">
      <c r="A84" s="13" t="s">
        <v>852</v>
      </c>
      <c r="B84" s="13" t="s">
        <v>853</v>
      </c>
      <c r="C84" s="13" t="s">
        <v>854</v>
      </c>
      <c r="D84" s="13" t="s">
        <v>855</v>
      </c>
      <c r="E84" s="13" t="s">
        <v>2345</v>
      </c>
      <c r="F84" s="13" t="s">
        <v>419</v>
      </c>
      <c r="G84" s="13" t="s">
        <v>856</v>
      </c>
      <c r="H84" s="13" t="s">
        <v>460</v>
      </c>
      <c r="I84" s="13" t="s">
        <v>467</v>
      </c>
      <c r="J84" s="13" cm="1">
        <f t="array" ref="J84">_xlfn.IFS(DDLI_DME[[#This Row],[DATENTYP]]="unsigned integer",2,DDLI_DME[[#This Row],[DATENTYP]]="unsigned char",1,DDLI_DME[[#This Row],[DATENTYP]]="signed integer",2)</f>
        <v>2</v>
      </c>
      <c r="K84" s="13" t="s">
        <v>460</v>
      </c>
      <c r="L84" s="14">
        <v>0.25</v>
      </c>
      <c r="M84" s="14">
        <v>1</v>
      </c>
      <c r="N84" s="14" t="str">
        <f>TEXT(DDLI_DME[[#This Row],[MUL]],"######/######")</f>
        <v>1/4</v>
      </c>
      <c r="O84" s="14">
        <v>0</v>
      </c>
      <c r="Q84">
        <f>HEX2DEC(DDLI_DME[[#This Row],[Hex]])</f>
        <v>0</v>
      </c>
      <c r="R84">
        <f>DDLI_DME[[#This Row],[ADD]]+DDLI_DME[[#This Row],[Dec]]*DDLI_DME[[#This Row],[MUL]]/DDLI_DME[[#This Row],[DIV]]</f>
        <v>0</v>
      </c>
    </row>
    <row r="85" spans="1:18" hidden="1" x14ac:dyDescent="0.25">
      <c r="A85" s="2" t="s">
        <v>857</v>
      </c>
      <c r="B85" s="2" t="s">
        <v>858</v>
      </c>
      <c r="C85" s="2" t="s">
        <v>859</v>
      </c>
      <c r="D85" s="2" t="s">
        <v>860</v>
      </c>
      <c r="E85" s="2" t="s">
        <v>2340</v>
      </c>
      <c r="F85" s="2" t="s">
        <v>419</v>
      </c>
      <c r="G85" s="2" t="s">
        <v>861</v>
      </c>
      <c r="H85" s="2" t="s">
        <v>460</v>
      </c>
      <c r="I85" s="2" t="s">
        <v>467</v>
      </c>
      <c r="J85" s="2" cm="1">
        <f t="array" ref="J85">_xlfn.IFS(DDLI_DME[[#This Row],[DATENTYP]]="unsigned integer",2,DDLI_DME[[#This Row],[DATENTYP]]="unsigned char",1,DDLI_DME[[#This Row],[DATENTYP]]="signed integer",2)</f>
        <v>2</v>
      </c>
      <c r="K85" s="2" t="s">
        <v>460</v>
      </c>
      <c r="L85">
        <v>0.25</v>
      </c>
      <c r="M85">
        <v>1</v>
      </c>
      <c r="N85" t="str">
        <f>TEXT(DDLI_DME[[#This Row],[MUL]],"######/######")</f>
        <v>1/4</v>
      </c>
      <c r="O85">
        <v>0</v>
      </c>
      <c r="Q85">
        <f>HEX2DEC(DDLI_DME[[#This Row],[Hex]])</f>
        <v>0</v>
      </c>
      <c r="R85">
        <f>DDLI_DME[[#This Row],[ADD]]+DDLI_DME[[#This Row],[Dec]]*DDLI_DME[[#This Row],[MUL]]/DDLI_DME[[#This Row],[DIV]]</f>
        <v>0</v>
      </c>
    </row>
    <row r="86" spans="1:18" hidden="1" x14ac:dyDescent="0.25">
      <c r="A86" s="2" t="s">
        <v>862</v>
      </c>
      <c r="B86" s="2" t="s">
        <v>863</v>
      </c>
      <c r="C86" s="2" t="s">
        <v>864</v>
      </c>
      <c r="D86" s="2" t="s">
        <v>865</v>
      </c>
      <c r="E86" s="2"/>
      <c r="F86" s="2" t="s">
        <v>460</v>
      </c>
      <c r="G86" s="2" t="s">
        <v>866</v>
      </c>
      <c r="H86" s="2" t="s">
        <v>460</v>
      </c>
      <c r="I86" s="2" t="s">
        <v>461</v>
      </c>
      <c r="J86" s="2" cm="1">
        <f t="array" ref="J86">_xlfn.IFS(DDLI_DME[[#This Row],[DATENTYP]]="unsigned integer",2,DDLI_DME[[#This Row],[DATENTYP]]="unsigned char",1,DDLI_DME[[#This Row],[DATENTYP]]="signed integer",2)</f>
        <v>1</v>
      </c>
      <c r="K86" s="2" t="s">
        <v>460</v>
      </c>
      <c r="L86">
        <v>1</v>
      </c>
      <c r="M86">
        <v>1</v>
      </c>
      <c r="N86" t="str">
        <f>TEXT(DDLI_DME[[#This Row],[MUL]],"######/######")</f>
        <v>1/1</v>
      </c>
      <c r="O86">
        <v>0</v>
      </c>
      <c r="Q86">
        <f>HEX2DEC(DDLI_DME[[#This Row],[Hex]])</f>
        <v>0</v>
      </c>
      <c r="R86">
        <f>DDLI_DME[[#This Row],[ADD]]+DDLI_DME[[#This Row],[Dec]]*DDLI_DME[[#This Row],[MUL]]/DDLI_DME[[#This Row],[DIV]]</f>
        <v>0</v>
      </c>
    </row>
    <row r="87" spans="1:18" hidden="1" x14ac:dyDescent="0.25">
      <c r="A87" s="2" t="s">
        <v>867</v>
      </c>
      <c r="B87" s="2" t="s">
        <v>868</v>
      </c>
      <c r="C87" s="2" t="s">
        <v>869</v>
      </c>
      <c r="D87" s="2" t="s">
        <v>870</v>
      </c>
      <c r="E87" s="2" t="s">
        <v>2341</v>
      </c>
      <c r="F87" s="2" t="s">
        <v>460</v>
      </c>
      <c r="G87" s="2" t="s">
        <v>871</v>
      </c>
      <c r="H87" s="2" t="s">
        <v>460</v>
      </c>
      <c r="I87" s="2" t="s">
        <v>504</v>
      </c>
      <c r="J87" s="2" t="e" cm="1">
        <f t="array" ref="J87">_xlfn.IFS(DDLI_DME[[#This Row],[DATENTYP]]="unsigned integer",2,DDLI_DME[[#This Row],[DATENTYP]]="unsigned char",1,DDLI_DME[[#This Row],[DATENTYP]]="signed integer",2)</f>
        <v>#N/A</v>
      </c>
      <c r="K87" s="2" t="s">
        <v>460</v>
      </c>
      <c r="L87">
        <v>1</v>
      </c>
      <c r="M87">
        <v>1</v>
      </c>
      <c r="N87" t="str">
        <f>TEXT(DDLI_DME[[#This Row],[MUL]],"######/######")</f>
        <v>1/1</v>
      </c>
      <c r="O87">
        <v>0</v>
      </c>
      <c r="Q87">
        <f>HEX2DEC(DDLI_DME[[#This Row],[Hex]])</f>
        <v>0</v>
      </c>
      <c r="R87">
        <f>DDLI_DME[[#This Row],[ADD]]+DDLI_DME[[#This Row],[Dec]]*DDLI_DME[[#This Row],[MUL]]/DDLI_DME[[#This Row],[DIV]]</f>
        <v>0</v>
      </c>
    </row>
    <row r="88" spans="1:18" hidden="1" x14ac:dyDescent="0.25">
      <c r="A88" s="2" t="s">
        <v>872</v>
      </c>
      <c r="B88" s="2" t="s">
        <v>873</v>
      </c>
      <c r="C88" s="2" t="s">
        <v>874</v>
      </c>
      <c r="D88" s="2" t="s">
        <v>875</v>
      </c>
      <c r="E88" s="2" t="s">
        <v>2342</v>
      </c>
      <c r="F88" s="2" t="s">
        <v>876</v>
      </c>
      <c r="G88" s="2" t="s">
        <v>877</v>
      </c>
      <c r="H88" s="2" t="s">
        <v>460</v>
      </c>
      <c r="I88" s="2" t="s">
        <v>467</v>
      </c>
      <c r="J88" s="2" cm="1">
        <f t="array" ref="J88">_xlfn.IFS(DDLI_DME[[#This Row],[DATENTYP]]="unsigned integer",2,DDLI_DME[[#This Row],[DATENTYP]]="unsigned char",1,DDLI_DME[[#This Row],[DATENTYP]]="signed integer",2)</f>
        <v>2</v>
      </c>
      <c r="K88" s="2" t="s">
        <v>460</v>
      </c>
      <c r="L88">
        <v>1.5259021893143654E-3</v>
      </c>
      <c r="M88">
        <v>1</v>
      </c>
      <c r="N88" t="str">
        <f>TEXT(DDLI_DME[[#This Row],[MUL]],"######/######")</f>
        <v>20/13107</v>
      </c>
      <c r="O88">
        <v>0</v>
      </c>
      <c r="Q88">
        <f>HEX2DEC(DDLI_DME[[#This Row],[Hex]])</f>
        <v>0</v>
      </c>
      <c r="R88">
        <f>DDLI_DME[[#This Row],[ADD]]+DDLI_DME[[#This Row],[Dec]]*DDLI_DME[[#This Row],[MUL]]/DDLI_DME[[#This Row],[DIV]]</f>
        <v>0</v>
      </c>
    </row>
    <row r="89" spans="1:18" hidden="1" x14ac:dyDescent="0.25">
      <c r="A89" s="2" t="s">
        <v>878</v>
      </c>
      <c r="B89" s="2" t="s">
        <v>879</v>
      </c>
      <c r="C89" s="2" t="s">
        <v>880</v>
      </c>
      <c r="D89" s="2" t="s">
        <v>881</v>
      </c>
      <c r="E89" s="2"/>
      <c r="F89" s="2" t="s">
        <v>668</v>
      </c>
      <c r="G89" s="2" t="s">
        <v>882</v>
      </c>
      <c r="H89" s="2" t="s">
        <v>460</v>
      </c>
      <c r="I89" s="2" t="s">
        <v>461</v>
      </c>
      <c r="J89" s="2" cm="1">
        <f t="array" ref="J89">_xlfn.IFS(DDLI_DME[[#This Row],[DATENTYP]]="unsigned integer",2,DDLI_DME[[#This Row],[DATENTYP]]="unsigned char",1,DDLI_DME[[#This Row],[DATENTYP]]="signed integer",2)</f>
        <v>1</v>
      </c>
      <c r="K89" s="2" t="s">
        <v>460</v>
      </c>
      <c r="L89">
        <v>0.78125</v>
      </c>
      <c r="M89">
        <v>1</v>
      </c>
      <c r="N89" t="str">
        <f>TEXT(DDLI_DME[[#This Row],[MUL]],"######/######")</f>
        <v>25/32</v>
      </c>
      <c r="O89">
        <v>0</v>
      </c>
      <c r="Q89">
        <f>HEX2DEC(DDLI_DME[[#This Row],[Hex]])</f>
        <v>0</v>
      </c>
      <c r="R89">
        <f>DDLI_DME[[#This Row],[ADD]]+DDLI_DME[[#This Row],[Dec]]*DDLI_DME[[#This Row],[MUL]]/DDLI_DME[[#This Row],[DIV]]</f>
        <v>0</v>
      </c>
    </row>
    <row r="90" spans="1:18" hidden="1" x14ac:dyDescent="0.25">
      <c r="A90" s="2" t="s">
        <v>883</v>
      </c>
      <c r="B90" s="2" t="s">
        <v>884</v>
      </c>
      <c r="C90" s="2" t="s">
        <v>885</v>
      </c>
      <c r="D90" s="2" t="s">
        <v>886</v>
      </c>
      <c r="E90" s="2"/>
      <c r="F90" s="2" t="s">
        <v>668</v>
      </c>
      <c r="G90" s="2" t="s">
        <v>887</v>
      </c>
      <c r="H90" s="2" t="s">
        <v>460</v>
      </c>
      <c r="I90" s="2" t="s">
        <v>461</v>
      </c>
      <c r="J90" s="2" cm="1">
        <f t="array" ref="J90">_xlfn.IFS(DDLI_DME[[#This Row],[DATENTYP]]="unsigned integer",2,DDLI_DME[[#This Row],[DATENTYP]]="unsigned char",1,DDLI_DME[[#This Row],[DATENTYP]]="signed integer",2)</f>
        <v>1</v>
      </c>
      <c r="K90" s="2" t="s">
        <v>460</v>
      </c>
      <c r="L90">
        <v>0.78125</v>
      </c>
      <c r="M90">
        <v>1</v>
      </c>
      <c r="N90" t="str">
        <f>TEXT(DDLI_DME[[#This Row],[MUL]],"######/######")</f>
        <v>25/32</v>
      </c>
      <c r="O90">
        <v>0</v>
      </c>
      <c r="Q90">
        <f>HEX2DEC(DDLI_DME[[#This Row],[Hex]])</f>
        <v>0</v>
      </c>
      <c r="R90">
        <f>DDLI_DME[[#This Row],[ADD]]+DDLI_DME[[#This Row],[Dec]]*DDLI_DME[[#This Row],[MUL]]/DDLI_DME[[#This Row],[DIV]]</f>
        <v>0</v>
      </c>
    </row>
    <row r="91" spans="1:18" hidden="1" x14ac:dyDescent="0.25">
      <c r="A91" s="2" t="s">
        <v>888</v>
      </c>
      <c r="B91" s="2" t="s">
        <v>889</v>
      </c>
      <c r="C91" s="2" t="s">
        <v>890</v>
      </c>
      <c r="D91" s="2" t="s">
        <v>891</v>
      </c>
      <c r="E91" s="2"/>
      <c r="F91" s="2" t="s">
        <v>770</v>
      </c>
      <c r="G91" s="2" t="s">
        <v>892</v>
      </c>
      <c r="H91" s="2" t="s">
        <v>460</v>
      </c>
      <c r="I91" s="2" t="s">
        <v>467</v>
      </c>
      <c r="J91" s="2" cm="1">
        <f t="array" ref="J91">_xlfn.IFS(DDLI_DME[[#This Row],[DATENTYP]]="unsigned integer",2,DDLI_DME[[#This Row],[DATENTYP]]="unsigned char",1,DDLI_DME[[#This Row],[DATENTYP]]="signed integer",2)</f>
        <v>2</v>
      </c>
      <c r="K91" s="2" t="s">
        <v>460</v>
      </c>
      <c r="L91">
        <v>0.10000000149011612</v>
      </c>
      <c r="M91">
        <v>1</v>
      </c>
      <c r="N91" t="str">
        <f>TEXT(DDLI_DME[[#This Row],[MUL]],"######/######")</f>
        <v>1/10</v>
      </c>
      <c r="O91">
        <v>0</v>
      </c>
      <c r="Q91">
        <f>HEX2DEC(DDLI_DME[[#This Row],[Hex]])</f>
        <v>0</v>
      </c>
      <c r="R91">
        <f>DDLI_DME[[#This Row],[ADD]]+DDLI_DME[[#This Row],[Dec]]*DDLI_DME[[#This Row],[MUL]]/DDLI_DME[[#This Row],[DIV]]</f>
        <v>0</v>
      </c>
    </row>
    <row r="92" spans="1:18" hidden="1" x14ac:dyDescent="0.25">
      <c r="A92" s="2" t="s">
        <v>893</v>
      </c>
      <c r="B92" s="2" t="s">
        <v>894</v>
      </c>
      <c r="C92" s="2" t="s">
        <v>464</v>
      </c>
      <c r="D92" s="2" t="s">
        <v>465</v>
      </c>
      <c r="E92" s="2" t="s">
        <v>2313</v>
      </c>
      <c r="F92" s="2" t="s">
        <v>6</v>
      </c>
      <c r="G92" s="2" t="s">
        <v>895</v>
      </c>
      <c r="H92" s="2" t="s">
        <v>460</v>
      </c>
      <c r="I92" s="2" t="s">
        <v>461</v>
      </c>
      <c r="J92" s="2" cm="1">
        <f t="array" ref="J92">_xlfn.IFS(DDLI_DME[[#This Row],[DATENTYP]]="unsigned integer",2,DDLI_DME[[#This Row],[DATENTYP]]="unsigned char",1,DDLI_DME[[#This Row],[DATENTYP]]="signed integer",2)</f>
        <v>1</v>
      </c>
      <c r="K92" s="2" t="s">
        <v>460</v>
      </c>
      <c r="L92">
        <v>5</v>
      </c>
      <c r="M92">
        <v>1</v>
      </c>
      <c r="N92" t="str">
        <f>TEXT(DDLI_DME[[#This Row],[MUL]],"######/######")</f>
        <v>5/1</v>
      </c>
      <c r="O92">
        <v>0</v>
      </c>
      <c r="Q92">
        <f>HEX2DEC(DDLI_DME[[#This Row],[Hex]])</f>
        <v>0</v>
      </c>
      <c r="R92">
        <f>DDLI_DME[[#This Row],[ADD]]+DDLI_DME[[#This Row],[Dec]]*DDLI_DME[[#This Row],[MUL]]/DDLI_DME[[#This Row],[DIV]]</f>
        <v>0</v>
      </c>
    </row>
    <row r="93" spans="1:18" hidden="1" x14ac:dyDescent="0.25">
      <c r="A93" s="2" t="s">
        <v>896</v>
      </c>
      <c r="B93" s="2" t="s">
        <v>897</v>
      </c>
      <c r="C93" s="2" t="s">
        <v>898</v>
      </c>
      <c r="D93" s="2" t="s">
        <v>899</v>
      </c>
      <c r="E93" s="2"/>
      <c r="F93" s="2" t="s">
        <v>460</v>
      </c>
      <c r="G93" s="2" t="s">
        <v>900</v>
      </c>
      <c r="H93" s="2" t="s">
        <v>460</v>
      </c>
      <c r="I93" s="2" t="s">
        <v>461</v>
      </c>
      <c r="J93" s="2" cm="1">
        <f t="array" ref="J93">_xlfn.IFS(DDLI_DME[[#This Row],[DATENTYP]]="unsigned integer",2,DDLI_DME[[#This Row],[DATENTYP]]="unsigned char",1,DDLI_DME[[#This Row],[DATENTYP]]="signed integer",2)</f>
        <v>1</v>
      </c>
      <c r="K93" s="2" t="s">
        <v>460</v>
      </c>
      <c r="L93">
        <v>1</v>
      </c>
      <c r="M93">
        <v>1</v>
      </c>
      <c r="N93" t="str">
        <f>TEXT(DDLI_DME[[#This Row],[MUL]],"######/######")</f>
        <v>1/1</v>
      </c>
      <c r="O93">
        <v>0</v>
      </c>
      <c r="Q93">
        <f>HEX2DEC(DDLI_DME[[#This Row],[Hex]])</f>
        <v>0</v>
      </c>
      <c r="R93">
        <f>DDLI_DME[[#This Row],[ADD]]+DDLI_DME[[#This Row],[Dec]]*DDLI_DME[[#This Row],[MUL]]/DDLI_DME[[#This Row],[DIV]]</f>
        <v>0</v>
      </c>
    </row>
    <row r="94" spans="1:18" hidden="1" x14ac:dyDescent="0.25">
      <c r="A94" s="2" t="s">
        <v>901</v>
      </c>
      <c r="B94" s="2" t="s">
        <v>902</v>
      </c>
      <c r="C94" s="2" t="s">
        <v>903</v>
      </c>
      <c r="D94" s="2" t="s">
        <v>904</v>
      </c>
      <c r="E94" s="2"/>
      <c r="F94" s="2" t="s">
        <v>668</v>
      </c>
      <c r="G94" s="2" t="s">
        <v>905</v>
      </c>
      <c r="H94" s="2" t="s">
        <v>460</v>
      </c>
      <c r="I94" s="2" t="s">
        <v>461</v>
      </c>
      <c r="J94" s="2" cm="1">
        <f t="array" ref="J94">_xlfn.IFS(DDLI_DME[[#This Row],[DATENTYP]]="unsigned integer",2,DDLI_DME[[#This Row],[DATENTYP]]="unsigned char",1,DDLI_DME[[#This Row],[DATENTYP]]="signed integer",2)</f>
        <v>1</v>
      </c>
      <c r="K94" s="2" t="s">
        <v>460</v>
      </c>
      <c r="L94">
        <v>0.390625</v>
      </c>
      <c r="M94">
        <v>1</v>
      </c>
      <c r="N94" t="str">
        <f>TEXT(DDLI_DME[[#This Row],[MUL]],"######/######")</f>
        <v>25/64</v>
      </c>
      <c r="O94">
        <v>0</v>
      </c>
      <c r="Q94">
        <f>HEX2DEC(DDLI_DME[[#This Row],[Hex]])</f>
        <v>0</v>
      </c>
      <c r="R94">
        <f>DDLI_DME[[#This Row],[ADD]]+DDLI_DME[[#This Row],[Dec]]*DDLI_DME[[#This Row],[MUL]]/DDLI_DME[[#This Row],[DIV]]</f>
        <v>0</v>
      </c>
    </row>
    <row r="95" spans="1:18" x14ac:dyDescent="0.25">
      <c r="A95" s="10" t="s">
        <v>906</v>
      </c>
      <c r="B95" s="10" t="s">
        <v>907</v>
      </c>
      <c r="C95" s="10" t="s">
        <v>908</v>
      </c>
      <c r="D95" s="10" t="s">
        <v>909</v>
      </c>
      <c r="E95" s="10" t="s">
        <v>2343</v>
      </c>
      <c r="F95" s="10" t="s">
        <v>458</v>
      </c>
      <c r="G95" s="10" t="s">
        <v>910</v>
      </c>
      <c r="H95" s="10" t="s">
        <v>460</v>
      </c>
      <c r="I95" s="10" t="s">
        <v>461</v>
      </c>
      <c r="J95" s="10" cm="1">
        <f t="array" ref="J95">_xlfn.IFS(DDLI_DME[[#This Row],[DATENTYP]]="unsigned integer",2,DDLI_DME[[#This Row],[DATENTYP]]="unsigned char",1,DDLI_DME[[#This Row],[DATENTYP]]="signed integer",2)</f>
        <v>1</v>
      </c>
      <c r="K95" s="10" t="s">
        <v>460</v>
      </c>
      <c r="L95" s="6">
        <v>0.75</v>
      </c>
      <c r="M95" s="6">
        <v>1</v>
      </c>
      <c r="N95" s="6" t="str">
        <f>TEXT(DDLI_DME[[#This Row],[MUL]],"######/######")</f>
        <v>3/4</v>
      </c>
      <c r="O95" s="6">
        <v>-48</v>
      </c>
      <c r="P95" s="7" t="s">
        <v>2381</v>
      </c>
      <c r="Q95">
        <f>HEX2DEC(DDLI_DME[[#This Row],[Hex]])</f>
        <v>112</v>
      </c>
      <c r="R95">
        <f>DDLI_DME[[#This Row],[ADD]]+DDLI_DME[[#This Row],[Dec]]*DDLI_DME[[#This Row],[MUL]]/DDLI_DME[[#This Row],[DIV]]</f>
        <v>36</v>
      </c>
    </row>
    <row r="96" spans="1:18" hidden="1" x14ac:dyDescent="0.25">
      <c r="A96" s="2" t="s">
        <v>911</v>
      </c>
      <c r="B96" s="2" t="s">
        <v>912</v>
      </c>
      <c r="C96" s="2" t="s">
        <v>913</v>
      </c>
      <c r="D96" s="2" t="s">
        <v>914</v>
      </c>
      <c r="E96" s="2"/>
      <c r="F96" s="2" t="s">
        <v>460</v>
      </c>
      <c r="G96" s="2" t="s">
        <v>915</v>
      </c>
      <c r="H96" s="2" t="s">
        <v>460</v>
      </c>
      <c r="I96" s="2" t="s">
        <v>467</v>
      </c>
      <c r="J96" s="2" cm="1">
        <f t="array" ref="J96">_xlfn.IFS(DDLI_DME[[#This Row],[DATENTYP]]="unsigned integer",2,DDLI_DME[[#This Row],[DATENTYP]]="unsigned char",1,DDLI_DME[[#This Row],[DATENTYP]]="signed integer",2)</f>
        <v>2</v>
      </c>
      <c r="K96" s="2" t="s">
        <v>460</v>
      </c>
      <c r="L96">
        <v>3.0517578125E-5</v>
      </c>
      <c r="M96">
        <v>1</v>
      </c>
      <c r="N96" t="str">
        <f>TEXT(DDLI_DME[[#This Row],[MUL]],"######/######")</f>
        <v>1/32768</v>
      </c>
      <c r="O96">
        <v>0</v>
      </c>
      <c r="Q96">
        <f>HEX2DEC(DDLI_DME[[#This Row],[Hex]])</f>
        <v>0</v>
      </c>
      <c r="R96">
        <f>DDLI_DME[[#This Row],[ADD]]+DDLI_DME[[#This Row],[Dec]]*DDLI_DME[[#This Row],[MUL]]/DDLI_DME[[#This Row],[DIV]]</f>
        <v>0</v>
      </c>
    </row>
    <row r="97" spans="1:18" hidden="1" x14ac:dyDescent="0.25">
      <c r="A97" s="2" t="s">
        <v>916</v>
      </c>
      <c r="B97" s="2" t="s">
        <v>917</v>
      </c>
      <c r="C97" s="2" t="s">
        <v>918</v>
      </c>
      <c r="D97" s="2" t="s">
        <v>919</v>
      </c>
      <c r="E97" s="2"/>
      <c r="F97" s="2" t="s">
        <v>460</v>
      </c>
      <c r="G97" s="2" t="s">
        <v>920</v>
      </c>
      <c r="H97" s="2" t="s">
        <v>460</v>
      </c>
      <c r="I97" s="2" t="s">
        <v>467</v>
      </c>
      <c r="J97" s="2" cm="1">
        <f t="array" ref="J97">_xlfn.IFS(DDLI_DME[[#This Row],[DATENTYP]]="unsigned integer",2,DDLI_DME[[#This Row],[DATENTYP]]="unsigned char",1,DDLI_DME[[#This Row],[DATENTYP]]="signed integer",2)</f>
        <v>2</v>
      </c>
      <c r="K97" s="2" t="s">
        <v>460</v>
      </c>
      <c r="L97">
        <v>3.0517578125E-5</v>
      </c>
      <c r="M97">
        <v>1</v>
      </c>
      <c r="N97" t="str">
        <f>TEXT(DDLI_DME[[#This Row],[MUL]],"######/######")</f>
        <v>1/32768</v>
      </c>
      <c r="O97">
        <v>0</v>
      </c>
      <c r="Q97">
        <f>HEX2DEC(DDLI_DME[[#This Row],[Hex]])</f>
        <v>0</v>
      </c>
      <c r="R97">
        <f>DDLI_DME[[#This Row],[ADD]]+DDLI_DME[[#This Row],[Dec]]*DDLI_DME[[#This Row],[MUL]]/DDLI_DME[[#This Row],[DIV]]</f>
        <v>0</v>
      </c>
    </row>
    <row r="98" spans="1:18" hidden="1" x14ac:dyDescent="0.25">
      <c r="A98" s="2" t="s">
        <v>921</v>
      </c>
      <c r="B98" s="2" t="s">
        <v>922</v>
      </c>
      <c r="C98" s="2" t="s">
        <v>470</v>
      </c>
      <c r="D98" s="2" t="s">
        <v>923</v>
      </c>
      <c r="E98" s="2" t="s">
        <v>2344</v>
      </c>
      <c r="F98" s="2" t="s">
        <v>6</v>
      </c>
      <c r="G98" s="2" t="s">
        <v>472</v>
      </c>
      <c r="H98" s="2" t="s">
        <v>460</v>
      </c>
      <c r="I98" s="2" t="s">
        <v>467</v>
      </c>
      <c r="J98" s="2" cm="1">
        <f t="array" ref="J98">_xlfn.IFS(DDLI_DME[[#This Row],[DATENTYP]]="unsigned integer",2,DDLI_DME[[#This Row],[DATENTYP]]="unsigned char",1,DDLI_DME[[#This Row],[DATENTYP]]="signed integer",2)</f>
        <v>2</v>
      </c>
      <c r="K98" s="2" t="s">
        <v>460</v>
      </c>
      <c r="L98">
        <v>3.90625E-2</v>
      </c>
      <c r="M98">
        <v>1</v>
      </c>
      <c r="N98" t="str">
        <f>TEXT(DDLI_DME[[#This Row],[MUL]],"######/######")</f>
        <v>5/128</v>
      </c>
      <c r="O98">
        <v>0</v>
      </c>
      <c r="Q98">
        <f>HEX2DEC(DDLI_DME[[#This Row],[Hex]])</f>
        <v>0</v>
      </c>
      <c r="R98">
        <f>DDLI_DME[[#This Row],[ADD]]+DDLI_DME[[#This Row],[Dec]]*DDLI_DME[[#This Row],[MUL]]/DDLI_DME[[#This Row],[DIV]]</f>
        <v>0</v>
      </c>
    </row>
    <row r="99" spans="1:18" x14ac:dyDescent="0.25">
      <c r="A99" s="10" t="s">
        <v>924</v>
      </c>
      <c r="B99" s="10" t="s">
        <v>925</v>
      </c>
      <c r="C99" s="10" t="s">
        <v>926</v>
      </c>
      <c r="D99" s="10" t="s">
        <v>927</v>
      </c>
      <c r="E99" s="10" t="s">
        <v>2345</v>
      </c>
      <c r="F99" s="10" t="s">
        <v>419</v>
      </c>
      <c r="G99" s="10" t="s">
        <v>928</v>
      </c>
      <c r="H99" s="10" t="s">
        <v>460</v>
      </c>
      <c r="I99" s="10" t="s">
        <v>461</v>
      </c>
      <c r="J99" s="10" cm="1">
        <f t="array" ref="J99">_xlfn.IFS(DDLI_DME[[#This Row],[DATENTYP]]="unsigned integer",2,DDLI_DME[[#This Row],[DATENTYP]]="unsigned char",1,DDLI_DME[[#This Row],[DATENTYP]]="signed integer",2)</f>
        <v>1</v>
      </c>
      <c r="K99" s="10" t="s">
        <v>460</v>
      </c>
      <c r="L99" s="6">
        <v>40</v>
      </c>
      <c r="M99" s="6">
        <v>1</v>
      </c>
      <c r="N99" s="6" t="str">
        <f>TEXT(DDLI_DME[[#This Row],[MUL]],"######/######")</f>
        <v>40/1</v>
      </c>
      <c r="O99" s="6">
        <v>0</v>
      </c>
      <c r="P99" s="7" t="s">
        <v>2378</v>
      </c>
      <c r="Q99">
        <f>HEX2DEC(DDLI_DME[[#This Row],[Hex]])</f>
        <v>187</v>
      </c>
      <c r="R99">
        <f>DDLI_DME[[#This Row],[ADD]]+DDLI_DME[[#This Row],[Dec]]*DDLI_DME[[#This Row],[MUL]]/DDLI_DME[[#This Row],[DIV]]</f>
        <v>7480</v>
      </c>
    </row>
    <row r="100" spans="1:18" x14ac:dyDescent="0.25">
      <c r="A100" s="10" t="s">
        <v>929</v>
      </c>
      <c r="B100" s="10" t="s">
        <v>930</v>
      </c>
      <c r="C100" s="10" t="s">
        <v>931</v>
      </c>
      <c r="D100" s="10" t="s">
        <v>932</v>
      </c>
      <c r="E100" s="10" t="s">
        <v>11</v>
      </c>
      <c r="F100" s="10" t="s">
        <v>933</v>
      </c>
      <c r="G100" s="10" t="s">
        <v>934</v>
      </c>
      <c r="H100" s="10" t="s">
        <v>460</v>
      </c>
      <c r="I100" s="10" t="s">
        <v>461</v>
      </c>
      <c r="J100" s="10" cm="1">
        <f t="array" ref="J100">_xlfn.IFS(DDLI_DME[[#This Row],[DATENTYP]]="unsigned integer",2,DDLI_DME[[#This Row],[DATENTYP]]="unsigned char",1,DDLI_DME[[#This Row],[DATENTYP]]="signed integer",2)</f>
        <v>1</v>
      </c>
      <c r="K100" s="10" t="s">
        <v>460</v>
      </c>
      <c r="L100" s="6">
        <v>1.25</v>
      </c>
      <c r="M100" s="6">
        <v>1</v>
      </c>
      <c r="N100" s="6" t="str">
        <f>TEXT(DDLI_DME[[#This Row],[MUL]],"######/######")</f>
        <v>5/4</v>
      </c>
      <c r="O100" s="6">
        <v>0</v>
      </c>
      <c r="P100" s="7" t="s">
        <v>2380</v>
      </c>
      <c r="Q100">
        <f>HEX2DEC(DDLI_DME[[#This Row],[Hex]])</f>
        <v>85</v>
      </c>
      <c r="R100">
        <f>DDLI_DME[[#This Row],[ADD]]+DDLI_DME[[#This Row],[Dec]]*DDLI_DME[[#This Row],[MUL]]/DDLI_DME[[#This Row],[DIV]]</f>
        <v>106.25</v>
      </c>
    </row>
    <row r="101" spans="1:18" hidden="1" x14ac:dyDescent="0.25">
      <c r="A101" s="2" t="s">
        <v>935</v>
      </c>
      <c r="B101" s="2" t="s">
        <v>936</v>
      </c>
      <c r="C101" s="2" t="s">
        <v>937</v>
      </c>
      <c r="D101" s="2" t="s">
        <v>938</v>
      </c>
      <c r="E101" s="2"/>
      <c r="F101" s="2" t="s">
        <v>529</v>
      </c>
      <c r="G101" s="2" t="s">
        <v>939</v>
      </c>
      <c r="H101" s="2" t="s">
        <v>460</v>
      </c>
      <c r="I101" s="2" t="s">
        <v>940</v>
      </c>
      <c r="J101" s="2" t="e" cm="1">
        <f t="array" ref="J101">_xlfn.IFS(DDLI_DME[[#This Row],[DATENTYP]]="unsigned integer",2,DDLI_DME[[#This Row],[DATENTYP]]="unsigned char",1,DDLI_DME[[#This Row],[DATENTYP]]="signed integer",2)</f>
        <v>#N/A</v>
      </c>
      <c r="K101" s="2" t="s">
        <v>460</v>
      </c>
      <c r="L101">
        <v>0.75</v>
      </c>
      <c r="M101">
        <v>1</v>
      </c>
      <c r="N101" t="str">
        <f>TEXT(DDLI_DME[[#This Row],[MUL]],"######/######")</f>
        <v>3/4</v>
      </c>
      <c r="O101">
        <v>0</v>
      </c>
      <c r="Q101">
        <f>HEX2DEC(DDLI_DME[[#This Row],[Hex]])</f>
        <v>0</v>
      </c>
      <c r="R101">
        <f>DDLI_DME[[#This Row],[ADD]]+DDLI_DME[[#This Row],[Dec]]*DDLI_DME[[#This Row],[MUL]]/DDLI_DME[[#This Row],[DIV]]</f>
        <v>0</v>
      </c>
    </row>
    <row r="102" spans="1:18" x14ac:dyDescent="0.25">
      <c r="A102" s="10" t="s">
        <v>941</v>
      </c>
      <c r="B102" s="10" t="s">
        <v>942</v>
      </c>
      <c r="C102" s="10" t="s">
        <v>943</v>
      </c>
      <c r="D102" s="10" t="s">
        <v>944</v>
      </c>
      <c r="E102" s="10" t="s">
        <v>2346</v>
      </c>
      <c r="F102" s="10" t="s">
        <v>458</v>
      </c>
      <c r="G102" s="10" t="s">
        <v>459</v>
      </c>
      <c r="H102" s="10" t="s">
        <v>460</v>
      </c>
      <c r="I102" s="10" t="s">
        <v>461</v>
      </c>
      <c r="J102" s="10" cm="1">
        <f t="array" ref="J102">_xlfn.IFS(DDLI_DME[[#This Row],[DATENTYP]]="unsigned integer",2,DDLI_DME[[#This Row],[DATENTYP]]="unsigned char",1,DDLI_DME[[#This Row],[DATENTYP]]="signed integer",2)</f>
        <v>1</v>
      </c>
      <c r="K102" s="10" t="s">
        <v>460</v>
      </c>
      <c r="L102" s="6">
        <v>0.75</v>
      </c>
      <c r="M102" s="6">
        <v>1</v>
      </c>
      <c r="N102" s="6" t="str">
        <f>TEXT(DDLI_DME[[#This Row],[MUL]],"######/######")</f>
        <v>3/4</v>
      </c>
      <c r="O102" s="6">
        <v>-48</v>
      </c>
      <c r="P102" s="7" t="s">
        <v>2382</v>
      </c>
      <c r="Q102">
        <f>HEX2DEC(DDLI_DME[[#This Row],[Hex]])</f>
        <v>103</v>
      </c>
      <c r="R102">
        <f>DDLI_DME[[#This Row],[ADD]]+DDLI_DME[[#This Row],[Dec]]*DDLI_DME[[#This Row],[MUL]]/DDLI_DME[[#This Row],[DIV]]</f>
        <v>29.25</v>
      </c>
    </row>
    <row r="103" spans="1:18" hidden="1" x14ac:dyDescent="0.25">
      <c r="A103" s="2" t="s">
        <v>945</v>
      </c>
      <c r="B103" s="2" t="s">
        <v>946</v>
      </c>
      <c r="C103" s="2" t="s">
        <v>947</v>
      </c>
      <c r="D103" s="2" t="s">
        <v>904</v>
      </c>
      <c r="E103" s="2"/>
      <c r="F103" s="2" t="s">
        <v>668</v>
      </c>
      <c r="G103" s="2" t="s">
        <v>905</v>
      </c>
      <c r="H103" s="2" t="s">
        <v>460</v>
      </c>
      <c r="I103" s="2" t="s">
        <v>461</v>
      </c>
      <c r="J103" s="2" cm="1">
        <f t="array" ref="J103">_xlfn.IFS(DDLI_DME[[#This Row],[DATENTYP]]="unsigned integer",2,DDLI_DME[[#This Row],[DATENTYP]]="unsigned char",1,DDLI_DME[[#This Row],[DATENTYP]]="signed integer",2)</f>
        <v>1</v>
      </c>
      <c r="K103" s="2" t="s">
        <v>460</v>
      </c>
      <c r="L103">
        <v>0.390625</v>
      </c>
      <c r="M103">
        <v>1</v>
      </c>
      <c r="N103" t="str">
        <f>TEXT(DDLI_DME[[#This Row],[MUL]],"######/######")</f>
        <v>25/64</v>
      </c>
      <c r="O103">
        <v>0</v>
      </c>
      <c r="Q103">
        <f>HEX2DEC(DDLI_DME[[#This Row],[Hex]])</f>
        <v>0</v>
      </c>
      <c r="R103">
        <f>DDLI_DME[[#This Row],[ADD]]+DDLI_DME[[#This Row],[Dec]]*DDLI_DME[[#This Row],[MUL]]/DDLI_DME[[#This Row],[DIV]]</f>
        <v>0</v>
      </c>
    </row>
    <row r="104" spans="1:18" hidden="1" x14ac:dyDescent="0.25">
      <c r="A104" s="2" t="s">
        <v>948</v>
      </c>
      <c r="B104" s="2" t="s">
        <v>949</v>
      </c>
      <c r="C104" s="2" t="s">
        <v>950</v>
      </c>
      <c r="D104" s="2" t="s">
        <v>951</v>
      </c>
      <c r="E104" s="2"/>
      <c r="F104" s="2" t="s">
        <v>477</v>
      </c>
      <c r="G104" s="2" t="s">
        <v>478</v>
      </c>
      <c r="H104" s="2" t="s">
        <v>460</v>
      </c>
      <c r="I104" s="2" t="s">
        <v>467</v>
      </c>
      <c r="J104" s="2" cm="1">
        <f t="array" ref="J104">_xlfn.IFS(DDLI_DME[[#This Row],[DATENTYP]]="unsigned integer",2,DDLI_DME[[#This Row],[DATENTYP]]="unsigned char",1,DDLI_DME[[#This Row],[DATENTYP]]="signed integer",2)</f>
        <v>2</v>
      </c>
      <c r="K104" s="2" t="s">
        <v>460</v>
      </c>
      <c r="L104">
        <v>0.10000000149011612</v>
      </c>
      <c r="M104">
        <v>1</v>
      </c>
      <c r="N104" t="str">
        <f>TEXT(DDLI_DME[[#This Row],[MUL]],"######/######")</f>
        <v>1/10</v>
      </c>
      <c r="O104">
        <v>0</v>
      </c>
      <c r="Q104">
        <f>HEX2DEC(DDLI_DME[[#This Row],[Hex]])</f>
        <v>0</v>
      </c>
      <c r="R104">
        <f>DDLI_DME[[#This Row],[ADD]]+DDLI_DME[[#This Row],[Dec]]*DDLI_DME[[#This Row],[MUL]]/DDLI_DME[[#This Row],[DIV]]</f>
        <v>0</v>
      </c>
    </row>
    <row r="105" spans="1:18" hidden="1" x14ac:dyDescent="0.25">
      <c r="A105" s="2" t="s">
        <v>952</v>
      </c>
      <c r="B105" s="2" t="s">
        <v>953</v>
      </c>
      <c r="C105" s="2" t="s">
        <v>954</v>
      </c>
      <c r="D105" s="2" t="s">
        <v>955</v>
      </c>
      <c r="E105" s="2"/>
      <c r="F105" s="2" t="s">
        <v>668</v>
      </c>
      <c r="G105" s="2" t="s">
        <v>956</v>
      </c>
      <c r="H105" s="2" t="s">
        <v>460</v>
      </c>
      <c r="I105" s="2" t="s">
        <v>461</v>
      </c>
      <c r="J105" s="2" cm="1">
        <f t="array" ref="J105">_xlfn.IFS(DDLI_DME[[#This Row],[DATENTYP]]="unsigned integer",2,DDLI_DME[[#This Row],[DATENTYP]]="unsigned char",1,DDLI_DME[[#This Row],[DATENTYP]]="signed integer",2)</f>
        <v>1</v>
      </c>
      <c r="K105" s="2" t="s">
        <v>460</v>
      </c>
      <c r="L105">
        <v>0.75</v>
      </c>
      <c r="M105">
        <v>1</v>
      </c>
      <c r="N105" t="str">
        <f>TEXT(DDLI_DME[[#This Row],[MUL]],"######/######")</f>
        <v>3/4</v>
      </c>
      <c r="O105">
        <v>0</v>
      </c>
      <c r="Q105">
        <f>HEX2DEC(DDLI_DME[[#This Row],[Hex]])</f>
        <v>0</v>
      </c>
      <c r="R105">
        <f>DDLI_DME[[#This Row],[ADD]]+DDLI_DME[[#This Row],[Dec]]*DDLI_DME[[#This Row],[MUL]]/DDLI_DME[[#This Row],[DIV]]</f>
        <v>0</v>
      </c>
    </row>
    <row r="106" spans="1:18" hidden="1" x14ac:dyDescent="0.25">
      <c r="A106" s="2" t="s">
        <v>957</v>
      </c>
      <c r="B106" s="2" t="s">
        <v>958</v>
      </c>
      <c r="C106" s="2" t="s">
        <v>959</v>
      </c>
      <c r="D106" s="2" t="s">
        <v>960</v>
      </c>
      <c r="E106" s="2"/>
      <c r="F106" s="2" t="s">
        <v>876</v>
      </c>
      <c r="G106" s="2" t="s">
        <v>961</v>
      </c>
      <c r="H106" s="2" t="s">
        <v>460</v>
      </c>
      <c r="I106" s="2" t="s">
        <v>461</v>
      </c>
      <c r="J106" s="2" cm="1">
        <f t="array" ref="J106">_xlfn.IFS(DDLI_DME[[#This Row],[DATENTYP]]="unsigned integer",2,DDLI_DME[[#This Row],[DATENTYP]]="unsigned char",1,DDLI_DME[[#This Row],[DATENTYP]]="signed integer",2)</f>
        <v>1</v>
      </c>
      <c r="K106" s="2" t="s">
        <v>460</v>
      </c>
      <c r="L106">
        <v>0.39215686917304993</v>
      </c>
      <c r="M106">
        <v>1</v>
      </c>
      <c r="N106" t="str">
        <f>TEXT(DDLI_DME[[#This Row],[MUL]],"######/######")</f>
        <v>20/51</v>
      </c>
      <c r="O106">
        <v>0</v>
      </c>
      <c r="Q106">
        <f>HEX2DEC(DDLI_DME[[#This Row],[Hex]])</f>
        <v>0</v>
      </c>
      <c r="R106">
        <f>DDLI_DME[[#This Row],[ADD]]+DDLI_DME[[#This Row],[Dec]]*DDLI_DME[[#This Row],[MUL]]/DDLI_DME[[#This Row],[DIV]]</f>
        <v>0</v>
      </c>
    </row>
    <row r="107" spans="1:18" hidden="1" x14ac:dyDescent="0.25">
      <c r="A107" s="2" t="s">
        <v>962</v>
      </c>
      <c r="B107" s="2" t="s">
        <v>963</v>
      </c>
      <c r="C107" s="2" t="s">
        <v>964</v>
      </c>
      <c r="D107" s="2" t="s">
        <v>965</v>
      </c>
      <c r="E107" s="2" t="s">
        <v>2348</v>
      </c>
      <c r="F107" s="2" t="s">
        <v>674</v>
      </c>
      <c r="G107" s="2" t="s">
        <v>710</v>
      </c>
      <c r="H107" s="2" t="s">
        <v>460</v>
      </c>
      <c r="I107" s="2" t="s">
        <v>461</v>
      </c>
      <c r="J107" s="2" cm="1">
        <f t="array" ref="J107">_xlfn.IFS(DDLI_DME[[#This Row],[DATENTYP]]="unsigned integer",2,DDLI_DME[[#This Row],[DATENTYP]]="unsigned char",1,DDLI_DME[[#This Row],[DATENTYP]]="signed integer",2)</f>
        <v>1</v>
      </c>
      <c r="K107" s="2" t="s">
        <v>460</v>
      </c>
      <c r="L107">
        <v>9.4200000166893005E-2</v>
      </c>
      <c r="M107">
        <v>1</v>
      </c>
      <c r="N107" t="str">
        <f>TEXT(DDLI_DME[[#This Row],[MUL]],"######/######")</f>
        <v>471/5000</v>
      </c>
      <c r="O107">
        <v>0</v>
      </c>
      <c r="Q107">
        <f>HEX2DEC(DDLI_DME[[#This Row],[Hex]])</f>
        <v>0</v>
      </c>
      <c r="R107">
        <f>DDLI_DME[[#This Row],[ADD]]+DDLI_DME[[#This Row],[Dec]]*DDLI_DME[[#This Row],[MUL]]/DDLI_DME[[#This Row],[DIV]]</f>
        <v>0</v>
      </c>
    </row>
    <row r="108" spans="1:18" hidden="1" x14ac:dyDescent="0.25">
      <c r="A108" s="2" t="s">
        <v>966</v>
      </c>
      <c r="B108" s="2" t="s">
        <v>967</v>
      </c>
      <c r="C108" s="2" t="s">
        <v>968</v>
      </c>
      <c r="D108" s="2" t="s">
        <v>969</v>
      </c>
      <c r="E108" s="2"/>
      <c r="F108" s="2" t="s">
        <v>460</v>
      </c>
      <c r="G108" s="2" t="s">
        <v>970</v>
      </c>
      <c r="H108" s="2" t="s">
        <v>460</v>
      </c>
      <c r="I108" s="2" t="s">
        <v>467</v>
      </c>
      <c r="J108" s="2" cm="1">
        <f t="array" ref="J108">_xlfn.IFS(DDLI_DME[[#This Row],[DATENTYP]]="unsigned integer",2,DDLI_DME[[#This Row],[DATENTYP]]="unsigned char",1,DDLI_DME[[#This Row],[DATENTYP]]="signed integer",2)</f>
        <v>2</v>
      </c>
      <c r="K108" s="2" t="s">
        <v>460</v>
      </c>
      <c r="L108">
        <v>2.44140625E-4</v>
      </c>
      <c r="M108">
        <v>1</v>
      </c>
      <c r="N108" t="str">
        <f>TEXT(DDLI_DME[[#This Row],[MUL]],"######/######")</f>
        <v>1/4096</v>
      </c>
      <c r="O108">
        <v>0</v>
      </c>
      <c r="Q108">
        <f>HEX2DEC(DDLI_DME[[#This Row],[Hex]])</f>
        <v>0</v>
      </c>
      <c r="R108">
        <f>DDLI_DME[[#This Row],[ADD]]+DDLI_DME[[#This Row],[Dec]]*DDLI_DME[[#This Row],[MUL]]/DDLI_DME[[#This Row],[DIV]]</f>
        <v>0</v>
      </c>
    </row>
    <row r="109" spans="1:18" hidden="1" x14ac:dyDescent="0.25">
      <c r="A109" s="2" t="s">
        <v>971</v>
      </c>
      <c r="B109" s="2" t="s">
        <v>972</v>
      </c>
      <c r="C109" s="2" t="s">
        <v>481</v>
      </c>
      <c r="D109" s="2" t="s">
        <v>482</v>
      </c>
      <c r="E109" s="2"/>
      <c r="F109" s="2" t="s">
        <v>458</v>
      </c>
      <c r="G109" s="2" t="s">
        <v>483</v>
      </c>
      <c r="H109" s="2" t="s">
        <v>460</v>
      </c>
      <c r="I109" s="2" t="s">
        <v>461</v>
      </c>
      <c r="J109" s="2" cm="1">
        <f t="array" ref="J109">_xlfn.IFS(DDLI_DME[[#This Row],[DATENTYP]]="unsigned integer",2,DDLI_DME[[#This Row],[DATENTYP]]="unsigned char",1,DDLI_DME[[#This Row],[DATENTYP]]="signed integer",2)</f>
        <v>1</v>
      </c>
      <c r="K109" s="2" t="s">
        <v>460</v>
      </c>
      <c r="L109">
        <v>0.75</v>
      </c>
      <c r="M109">
        <v>1</v>
      </c>
      <c r="N109" t="str">
        <f>TEXT(DDLI_DME[[#This Row],[MUL]],"######/######")</f>
        <v>3/4</v>
      </c>
      <c r="O109">
        <v>-48</v>
      </c>
      <c r="Q109">
        <f>HEX2DEC(DDLI_DME[[#This Row],[Hex]])</f>
        <v>0</v>
      </c>
      <c r="R109">
        <f>DDLI_DME[[#This Row],[ADD]]+DDLI_DME[[#This Row],[Dec]]*DDLI_DME[[#This Row],[MUL]]/DDLI_DME[[#This Row],[DIV]]</f>
        <v>-48</v>
      </c>
    </row>
    <row r="110" spans="1:18" hidden="1" x14ac:dyDescent="0.25">
      <c r="A110" s="2" t="s">
        <v>973</v>
      </c>
      <c r="B110" s="2" t="s">
        <v>974</v>
      </c>
      <c r="C110" s="2" t="s">
        <v>975</v>
      </c>
      <c r="D110" s="2" t="s">
        <v>976</v>
      </c>
      <c r="E110" s="2"/>
      <c r="F110" s="2" t="s">
        <v>477</v>
      </c>
      <c r="G110" s="2" t="s">
        <v>977</v>
      </c>
      <c r="H110" s="2" t="s">
        <v>460</v>
      </c>
      <c r="I110" s="2" t="s">
        <v>461</v>
      </c>
      <c r="J110" s="2" cm="1">
        <f t="array" ref="J110">_xlfn.IFS(DDLI_DME[[#This Row],[DATENTYP]]="unsigned integer",2,DDLI_DME[[#This Row],[DATENTYP]]="unsigned char",1,DDLI_DME[[#This Row],[DATENTYP]]="signed integer",2)</f>
        <v>1</v>
      </c>
      <c r="K110" s="2" t="s">
        <v>460</v>
      </c>
      <c r="L110">
        <v>4</v>
      </c>
      <c r="M110">
        <v>1</v>
      </c>
      <c r="N110" t="str">
        <f>TEXT(DDLI_DME[[#This Row],[MUL]],"######/######")</f>
        <v>4/1</v>
      </c>
      <c r="O110">
        <v>0</v>
      </c>
      <c r="Q110">
        <f>HEX2DEC(DDLI_DME[[#This Row],[Hex]])</f>
        <v>0</v>
      </c>
      <c r="R110">
        <f>DDLI_DME[[#This Row],[ADD]]+DDLI_DME[[#This Row],[Dec]]*DDLI_DME[[#This Row],[MUL]]/DDLI_DME[[#This Row],[DIV]]</f>
        <v>0</v>
      </c>
    </row>
    <row r="111" spans="1:18" hidden="1" x14ac:dyDescent="0.25">
      <c r="A111" s="2" t="s">
        <v>978</v>
      </c>
      <c r="B111" s="2" t="s">
        <v>979</v>
      </c>
      <c r="C111" s="2" t="s">
        <v>980</v>
      </c>
      <c r="D111" s="2" t="s">
        <v>981</v>
      </c>
      <c r="E111" s="2" t="s">
        <v>2345</v>
      </c>
      <c r="F111" s="2" t="s">
        <v>982</v>
      </c>
      <c r="G111" s="2" t="s">
        <v>983</v>
      </c>
      <c r="H111" s="2" t="s">
        <v>460</v>
      </c>
      <c r="I111" s="2" t="s">
        <v>531</v>
      </c>
      <c r="J111" s="2" cm="1">
        <f t="array" ref="J111">_xlfn.IFS(DDLI_DME[[#This Row],[DATENTYP]]="unsigned integer",2,DDLI_DME[[#This Row],[DATENTYP]]="unsigned char",1,DDLI_DME[[#This Row],[DATENTYP]]="signed integer",2)</f>
        <v>2</v>
      </c>
      <c r="K111" s="2" t="s">
        <v>460</v>
      </c>
      <c r="L111">
        <v>0.5</v>
      </c>
      <c r="M111">
        <v>1</v>
      </c>
      <c r="N111" t="str">
        <f>TEXT(DDLI_DME[[#This Row],[MUL]],"######/######")</f>
        <v>1/2</v>
      </c>
      <c r="O111">
        <v>0</v>
      </c>
      <c r="Q111">
        <f>HEX2DEC(DDLI_DME[[#This Row],[Hex]])</f>
        <v>0</v>
      </c>
      <c r="R111">
        <f>DDLI_DME[[#This Row],[ADD]]+DDLI_DME[[#This Row],[Dec]]*DDLI_DME[[#This Row],[MUL]]/DDLI_DME[[#This Row],[DIV]]</f>
        <v>0</v>
      </c>
    </row>
    <row r="112" spans="1:18" hidden="1" x14ac:dyDescent="0.25">
      <c r="A112" s="2" t="s">
        <v>984</v>
      </c>
      <c r="B112" s="2" t="s">
        <v>985</v>
      </c>
      <c r="C112" s="2" t="s">
        <v>986</v>
      </c>
      <c r="D112" s="2" t="s">
        <v>987</v>
      </c>
      <c r="E112" s="2"/>
      <c r="F112" s="2" t="s">
        <v>529</v>
      </c>
      <c r="G112" s="2" t="s">
        <v>546</v>
      </c>
      <c r="H112" s="2" t="s">
        <v>460</v>
      </c>
      <c r="I112" s="2" t="s">
        <v>531</v>
      </c>
      <c r="J112" s="2" cm="1">
        <f t="array" ref="J112">_xlfn.IFS(DDLI_DME[[#This Row],[DATENTYP]]="unsigned integer",2,DDLI_DME[[#This Row],[DATENTYP]]="unsigned char",1,DDLI_DME[[#This Row],[DATENTYP]]="signed integer",2)</f>
        <v>2</v>
      </c>
      <c r="K112" s="2" t="s">
        <v>460</v>
      </c>
      <c r="L112">
        <v>7.8125E-3</v>
      </c>
      <c r="M112">
        <v>1</v>
      </c>
      <c r="N112" t="str">
        <f>TEXT(DDLI_DME[[#This Row],[MUL]],"######/######")</f>
        <v>1/128</v>
      </c>
      <c r="O112">
        <v>0</v>
      </c>
      <c r="Q112">
        <f>HEX2DEC(DDLI_DME[[#This Row],[Hex]])</f>
        <v>0</v>
      </c>
      <c r="R112">
        <f>DDLI_DME[[#This Row],[ADD]]+DDLI_DME[[#This Row],[Dec]]*DDLI_DME[[#This Row],[MUL]]/DDLI_DME[[#This Row],[DIV]]</f>
        <v>0</v>
      </c>
    </row>
    <row r="113" spans="1:18" hidden="1" x14ac:dyDescent="0.25">
      <c r="A113" s="2" t="s">
        <v>988</v>
      </c>
      <c r="B113" s="2" t="s">
        <v>989</v>
      </c>
      <c r="C113" s="2" t="s">
        <v>990</v>
      </c>
      <c r="D113" s="2" t="s">
        <v>991</v>
      </c>
      <c r="E113" s="2"/>
      <c r="F113" s="2" t="s">
        <v>529</v>
      </c>
      <c r="G113" s="2" t="s">
        <v>992</v>
      </c>
      <c r="H113" s="2" t="s">
        <v>460</v>
      </c>
      <c r="I113" s="2" t="s">
        <v>531</v>
      </c>
      <c r="J113" s="2" cm="1">
        <f t="array" ref="J113">_xlfn.IFS(DDLI_DME[[#This Row],[DATENTYP]]="unsigned integer",2,DDLI_DME[[#This Row],[DATENTYP]]="unsigned char",1,DDLI_DME[[#This Row],[DATENTYP]]="signed integer",2)</f>
        <v>2</v>
      </c>
      <c r="K113" s="2" t="s">
        <v>460</v>
      </c>
      <c r="L113">
        <v>7.8125E-3</v>
      </c>
      <c r="M113">
        <v>1</v>
      </c>
      <c r="N113" t="str">
        <f>TEXT(DDLI_DME[[#This Row],[MUL]],"######/######")</f>
        <v>1/128</v>
      </c>
      <c r="O113">
        <v>0</v>
      </c>
      <c r="Q113">
        <f>HEX2DEC(DDLI_DME[[#This Row],[Hex]])</f>
        <v>0</v>
      </c>
      <c r="R113">
        <f>DDLI_DME[[#This Row],[ADD]]+DDLI_DME[[#This Row],[Dec]]*DDLI_DME[[#This Row],[MUL]]/DDLI_DME[[#This Row],[DIV]]</f>
        <v>0</v>
      </c>
    </row>
    <row r="114" spans="1:18" hidden="1" x14ac:dyDescent="0.25">
      <c r="A114" s="2" t="s">
        <v>993</v>
      </c>
      <c r="B114" s="2" t="s">
        <v>994</v>
      </c>
      <c r="C114" s="2" t="s">
        <v>995</v>
      </c>
      <c r="D114" s="2" t="s">
        <v>996</v>
      </c>
      <c r="E114" s="2"/>
      <c r="F114" s="2" t="s">
        <v>529</v>
      </c>
      <c r="G114" s="2" t="s">
        <v>551</v>
      </c>
      <c r="H114" s="2" t="s">
        <v>460</v>
      </c>
      <c r="I114" s="2" t="s">
        <v>531</v>
      </c>
      <c r="J114" s="2" cm="1">
        <f t="array" ref="J114">_xlfn.IFS(DDLI_DME[[#This Row],[DATENTYP]]="unsigned integer",2,DDLI_DME[[#This Row],[DATENTYP]]="unsigned char",1,DDLI_DME[[#This Row],[DATENTYP]]="signed integer",2)</f>
        <v>2</v>
      </c>
      <c r="K114" s="2" t="s">
        <v>460</v>
      </c>
      <c r="L114">
        <v>7.8125E-3</v>
      </c>
      <c r="M114">
        <v>1</v>
      </c>
      <c r="N114" t="str">
        <f>TEXT(DDLI_DME[[#This Row],[MUL]],"######/######")</f>
        <v>1/128</v>
      </c>
      <c r="O114">
        <v>0</v>
      </c>
      <c r="Q114">
        <f>HEX2DEC(DDLI_DME[[#This Row],[Hex]])</f>
        <v>0</v>
      </c>
      <c r="R114">
        <f>DDLI_DME[[#This Row],[ADD]]+DDLI_DME[[#This Row],[Dec]]*DDLI_DME[[#This Row],[MUL]]/DDLI_DME[[#This Row],[DIV]]</f>
        <v>0</v>
      </c>
    </row>
    <row r="115" spans="1:18" hidden="1" x14ac:dyDescent="0.25">
      <c r="A115" s="2" t="s">
        <v>997</v>
      </c>
      <c r="B115" s="2" t="s">
        <v>998</v>
      </c>
      <c r="C115" s="2" t="s">
        <v>999</v>
      </c>
      <c r="D115" s="2" t="s">
        <v>1000</v>
      </c>
      <c r="E115" s="2"/>
      <c r="F115" s="2" t="s">
        <v>529</v>
      </c>
      <c r="G115" s="2" t="s">
        <v>1001</v>
      </c>
      <c r="H115" s="2" t="s">
        <v>460</v>
      </c>
      <c r="I115" s="2" t="s">
        <v>531</v>
      </c>
      <c r="J115" s="2" cm="1">
        <f t="array" ref="J115">_xlfn.IFS(DDLI_DME[[#This Row],[DATENTYP]]="unsigned integer",2,DDLI_DME[[#This Row],[DATENTYP]]="unsigned char",1,DDLI_DME[[#This Row],[DATENTYP]]="signed integer",2)</f>
        <v>2</v>
      </c>
      <c r="K115" s="2" t="s">
        <v>460</v>
      </c>
      <c r="L115">
        <v>7.8125E-3</v>
      </c>
      <c r="M115">
        <v>1</v>
      </c>
      <c r="N115" t="str">
        <f>TEXT(DDLI_DME[[#This Row],[MUL]],"######/######")</f>
        <v>1/128</v>
      </c>
      <c r="O115">
        <v>0</v>
      </c>
      <c r="Q115">
        <f>HEX2DEC(DDLI_DME[[#This Row],[Hex]])</f>
        <v>0</v>
      </c>
      <c r="R115">
        <f>DDLI_DME[[#This Row],[ADD]]+DDLI_DME[[#This Row],[Dec]]*DDLI_DME[[#This Row],[MUL]]/DDLI_DME[[#This Row],[DIV]]</f>
        <v>0</v>
      </c>
    </row>
    <row r="116" spans="1:18" hidden="1" x14ac:dyDescent="0.25">
      <c r="A116" s="13" t="s">
        <v>1002</v>
      </c>
      <c r="B116" s="13" t="s">
        <v>1003</v>
      </c>
      <c r="C116" s="13" t="s">
        <v>943</v>
      </c>
      <c r="D116" s="13" t="s">
        <v>1004</v>
      </c>
      <c r="E116" s="13" t="s">
        <v>2349</v>
      </c>
      <c r="F116" s="13" t="s">
        <v>458</v>
      </c>
      <c r="G116" s="13" t="s">
        <v>1005</v>
      </c>
      <c r="H116" s="13" t="s">
        <v>460</v>
      </c>
      <c r="I116" s="13" t="s">
        <v>461</v>
      </c>
      <c r="J116" s="13" cm="1">
        <f t="array" ref="J116">_xlfn.IFS(DDLI_DME[[#This Row],[DATENTYP]]="unsigned integer",2,DDLI_DME[[#This Row],[DATENTYP]]="unsigned char",1,DDLI_DME[[#This Row],[DATENTYP]]="signed integer",2)</f>
        <v>1</v>
      </c>
      <c r="K116" s="13" t="s">
        <v>460</v>
      </c>
      <c r="L116" s="14">
        <v>0.75</v>
      </c>
      <c r="M116" s="14">
        <v>1</v>
      </c>
      <c r="N116" s="14" t="str">
        <f>TEXT(DDLI_DME[[#This Row],[MUL]],"######/######")</f>
        <v>3/4</v>
      </c>
      <c r="O116" s="14">
        <v>-48</v>
      </c>
      <c r="Q116">
        <f>HEX2DEC(DDLI_DME[[#This Row],[Hex]])</f>
        <v>0</v>
      </c>
      <c r="R116">
        <f>DDLI_DME[[#This Row],[ADD]]+DDLI_DME[[#This Row],[Dec]]*DDLI_DME[[#This Row],[MUL]]/DDLI_DME[[#This Row],[DIV]]</f>
        <v>-48</v>
      </c>
    </row>
    <row r="117" spans="1:18" x14ac:dyDescent="0.25">
      <c r="A117" s="13" t="s">
        <v>1006</v>
      </c>
      <c r="B117" s="13" t="s">
        <v>1007</v>
      </c>
      <c r="C117" s="13" t="s">
        <v>1008</v>
      </c>
      <c r="D117" s="13" t="s">
        <v>909</v>
      </c>
      <c r="E117" s="13" t="s">
        <v>2343</v>
      </c>
      <c r="F117" s="13" t="s">
        <v>458</v>
      </c>
      <c r="G117" s="13" t="s">
        <v>910</v>
      </c>
      <c r="H117" s="13" t="s">
        <v>460</v>
      </c>
      <c r="I117" s="13" t="s">
        <v>461</v>
      </c>
      <c r="J117" s="13" cm="1">
        <f t="array" ref="J117">_xlfn.IFS(DDLI_DME[[#This Row],[DATENTYP]]="unsigned integer",2,DDLI_DME[[#This Row],[DATENTYP]]="unsigned char",1,DDLI_DME[[#This Row],[DATENTYP]]="signed integer",2)</f>
        <v>1</v>
      </c>
      <c r="K117" s="13" t="s">
        <v>460</v>
      </c>
      <c r="L117" s="14">
        <v>0.75</v>
      </c>
      <c r="M117" s="14">
        <v>1</v>
      </c>
      <c r="N117" s="14" t="str">
        <f>TEXT(DDLI_DME[[#This Row],[MUL]],"######/######")</f>
        <v>3/4</v>
      </c>
      <c r="O117" s="14">
        <v>-48</v>
      </c>
      <c r="P117" s="7" t="s">
        <v>2377</v>
      </c>
      <c r="Q117">
        <f>HEX2DEC(DDLI_DME[[#This Row],[Hex]])</f>
        <v>102</v>
      </c>
      <c r="R117">
        <f>DDLI_DME[[#This Row],[ADD]]+DDLI_DME[[#This Row],[Dec]]*DDLI_DME[[#This Row],[MUL]]/DDLI_DME[[#This Row],[DIV]]</f>
        <v>28.5</v>
      </c>
    </row>
    <row r="118" spans="1:18" hidden="1" x14ac:dyDescent="0.25">
      <c r="A118" s="2" t="s">
        <v>1009</v>
      </c>
      <c r="B118" s="2" t="s">
        <v>1010</v>
      </c>
      <c r="C118" s="2" t="s">
        <v>849</v>
      </c>
      <c r="D118" s="2" t="s">
        <v>1011</v>
      </c>
      <c r="E118" s="2"/>
      <c r="F118" s="2" t="s">
        <v>458</v>
      </c>
      <c r="G118" s="2" t="s">
        <v>851</v>
      </c>
      <c r="H118" s="2" t="s">
        <v>460</v>
      </c>
      <c r="I118" s="2" t="s">
        <v>461</v>
      </c>
      <c r="J118" s="2" cm="1">
        <f t="array" ref="J118">_xlfn.IFS(DDLI_DME[[#This Row],[DATENTYP]]="unsigned integer",2,DDLI_DME[[#This Row],[DATENTYP]]="unsigned char",1,DDLI_DME[[#This Row],[DATENTYP]]="signed integer",2)</f>
        <v>1</v>
      </c>
      <c r="K118" s="2" t="s">
        <v>460</v>
      </c>
      <c r="L118">
        <v>0.75</v>
      </c>
      <c r="M118">
        <v>1</v>
      </c>
      <c r="N118" t="str">
        <f>TEXT(DDLI_DME[[#This Row],[MUL]],"######/######")</f>
        <v>3/4</v>
      </c>
      <c r="O118">
        <v>-48</v>
      </c>
      <c r="Q118">
        <f>HEX2DEC(DDLI_DME[[#This Row],[Hex]])</f>
        <v>0</v>
      </c>
      <c r="R118">
        <f>DDLI_DME[[#This Row],[ADD]]+DDLI_DME[[#This Row],[Dec]]*DDLI_DME[[#This Row],[MUL]]/DDLI_DME[[#This Row],[DIV]]</f>
        <v>-48</v>
      </c>
    </row>
    <row r="119" spans="1:18" hidden="1" x14ac:dyDescent="0.25">
      <c r="A119" s="13" t="s">
        <v>1012</v>
      </c>
      <c r="B119" s="13" t="s">
        <v>1013</v>
      </c>
      <c r="C119" s="13" t="s">
        <v>1014</v>
      </c>
      <c r="D119" s="13" t="s">
        <v>497</v>
      </c>
      <c r="E119" s="13" t="s">
        <v>2312</v>
      </c>
      <c r="F119" s="13" t="s">
        <v>458</v>
      </c>
      <c r="G119" s="13" t="s">
        <v>498</v>
      </c>
      <c r="H119" s="13" t="s">
        <v>460</v>
      </c>
      <c r="I119" s="13" t="s">
        <v>461</v>
      </c>
      <c r="J119" s="13" cm="1">
        <f t="array" ref="J119">_xlfn.IFS(DDLI_DME[[#This Row],[DATENTYP]]="unsigned integer",2,DDLI_DME[[#This Row],[DATENTYP]]="unsigned char",1,DDLI_DME[[#This Row],[DATENTYP]]="signed integer",2)</f>
        <v>1</v>
      </c>
      <c r="K119" s="13" t="s">
        <v>460</v>
      </c>
      <c r="L119" s="14">
        <v>1</v>
      </c>
      <c r="M119" s="14">
        <v>1</v>
      </c>
      <c r="N119" s="14" t="str">
        <f>TEXT(DDLI_DME[[#This Row],[MUL]],"######/######")</f>
        <v>1/1</v>
      </c>
      <c r="O119" s="14">
        <v>-60</v>
      </c>
      <c r="Q119">
        <f>HEX2DEC(DDLI_DME[[#This Row],[Hex]])</f>
        <v>0</v>
      </c>
      <c r="R119">
        <f>DDLI_DME[[#This Row],[ADD]]+DDLI_DME[[#This Row],[Dec]]*DDLI_DME[[#This Row],[MUL]]/DDLI_DME[[#This Row],[DIV]]</f>
        <v>-60</v>
      </c>
    </row>
    <row r="120" spans="1:18" hidden="1" x14ac:dyDescent="0.25">
      <c r="A120" s="2" t="s">
        <v>1015</v>
      </c>
      <c r="B120" s="2" t="s">
        <v>1016</v>
      </c>
      <c r="C120" s="2" t="s">
        <v>1017</v>
      </c>
      <c r="D120" s="2" t="s">
        <v>1018</v>
      </c>
      <c r="E120" s="2"/>
      <c r="F120" s="2" t="s">
        <v>770</v>
      </c>
      <c r="G120" s="2" t="s">
        <v>1019</v>
      </c>
      <c r="H120" s="2" t="s">
        <v>460</v>
      </c>
      <c r="I120" s="2" t="s">
        <v>467</v>
      </c>
      <c r="J120" s="2" cm="1">
        <f t="array" ref="J120">_xlfn.IFS(DDLI_DME[[#This Row],[DATENTYP]]="unsigned integer",2,DDLI_DME[[#This Row],[DATENTYP]]="unsigned char",1,DDLI_DME[[#This Row],[DATENTYP]]="signed integer",2)</f>
        <v>2</v>
      </c>
      <c r="K120" s="2" t="s">
        <v>460</v>
      </c>
      <c r="L120">
        <v>1</v>
      </c>
      <c r="M120">
        <v>1</v>
      </c>
      <c r="N120" t="str">
        <f>TEXT(DDLI_DME[[#This Row],[MUL]],"######/######")</f>
        <v>1/1</v>
      </c>
      <c r="O120">
        <v>0</v>
      </c>
      <c r="Q120">
        <f>HEX2DEC(DDLI_DME[[#This Row],[Hex]])</f>
        <v>0</v>
      </c>
      <c r="R120">
        <f>DDLI_DME[[#This Row],[ADD]]+DDLI_DME[[#This Row],[Dec]]*DDLI_DME[[#This Row],[MUL]]/DDLI_DME[[#This Row],[DIV]]</f>
        <v>0</v>
      </c>
    </row>
    <row r="121" spans="1:18" hidden="1" x14ac:dyDescent="0.25">
      <c r="A121" s="2" t="s">
        <v>1020</v>
      </c>
      <c r="B121" s="2" t="s">
        <v>1021</v>
      </c>
      <c r="C121" s="2" t="s">
        <v>1022</v>
      </c>
      <c r="D121" s="2" t="s">
        <v>1023</v>
      </c>
      <c r="E121" s="2"/>
      <c r="F121" s="2" t="s">
        <v>662</v>
      </c>
      <c r="G121" s="2" t="s">
        <v>1024</v>
      </c>
      <c r="H121" s="2" t="s">
        <v>460</v>
      </c>
      <c r="I121" s="2" t="s">
        <v>461</v>
      </c>
      <c r="J121" s="2" cm="1">
        <f t="array" ref="J121">_xlfn.IFS(DDLI_DME[[#This Row],[DATENTYP]]="unsigned integer",2,DDLI_DME[[#This Row],[DATENTYP]]="unsigned char",1,DDLI_DME[[#This Row],[DATENTYP]]="signed integer",2)</f>
        <v>1</v>
      </c>
      <c r="K121" s="2" t="s">
        <v>460</v>
      </c>
      <c r="L121">
        <v>0.39215686917304993</v>
      </c>
      <c r="M121">
        <v>1</v>
      </c>
      <c r="N121" t="str">
        <f>TEXT(DDLI_DME[[#This Row],[MUL]],"######/######")</f>
        <v>20/51</v>
      </c>
      <c r="O121">
        <v>0</v>
      </c>
      <c r="Q121">
        <f>HEX2DEC(DDLI_DME[[#This Row],[Hex]])</f>
        <v>0</v>
      </c>
      <c r="R121">
        <f>DDLI_DME[[#This Row],[ADD]]+DDLI_DME[[#This Row],[Dec]]*DDLI_DME[[#This Row],[MUL]]/DDLI_DME[[#This Row],[DIV]]</f>
        <v>0</v>
      </c>
    </row>
    <row r="122" spans="1:18" hidden="1" x14ac:dyDescent="0.25">
      <c r="A122" s="2" t="s">
        <v>1025</v>
      </c>
      <c r="B122" s="2" t="s">
        <v>1026</v>
      </c>
      <c r="C122" s="2" t="s">
        <v>1027</v>
      </c>
      <c r="D122" s="2" t="s">
        <v>1028</v>
      </c>
      <c r="E122" s="2"/>
      <c r="F122" s="2" t="s">
        <v>668</v>
      </c>
      <c r="G122" s="2" t="s">
        <v>1029</v>
      </c>
      <c r="H122" s="2" t="s">
        <v>460</v>
      </c>
      <c r="I122" s="2" t="s">
        <v>467</v>
      </c>
      <c r="J122" s="2" cm="1">
        <f t="array" ref="J122">_xlfn.IFS(DDLI_DME[[#This Row],[DATENTYP]]="unsigned integer",2,DDLI_DME[[#This Row],[DATENTYP]]="unsigned char",1,DDLI_DME[[#This Row],[DATENTYP]]="signed integer",2)</f>
        <v>2</v>
      </c>
      <c r="K122" s="2" t="s">
        <v>460</v>
      </c>
      <c r="L122">
        <v>3.0517578125E-3</v>
      </c>
      <c r="M122">
        <v>1</v>
      </c>
      <c r="N122" t="str">
        <f>TEXT(DDLI_DME[[#This Row],[MUL]],"######/######")</f>
        <v>25/8192</v>
      </c>
      <c r="O122">
        <v>0</v>
      </c>
      <c r="Q122">
        <f>HEX2DEC(DDLI_DME[[#This Row],[Hex]])</f>
        <v>0</v>
      </c>
      <c r="R122">
        <f>DDLI_DME[[#This Row],[ADD]]+DDLI_DME[[#This Row],[Dec]]*DDLI_DME[[#This Row],[MUL]]/DDLI_DME[[#This Row],[DIV]]</f>
        <v>0</v>
      </c>
    </row>
    <row r="123" spans="1:18" hidden="1" x14ac:dyDescent="0.25">
      <c r="A123" s="2" t="s">
        <v>1030</v>
      </c>
      <c r="B123" s="2" t="s">
        <v>1031</v>
      </c>
      <c r="C123" s="2" t="s">
        <v>1032</v>
      </c>
      <c r="D123" s="2" t="s">
        <v>1033</v>
      </c>
      <c r="E123" s="2"/>
      <c r="F123" s="2" t="s">
        <v>460</v>
      </c>
      <c r="G123" s="2" t="s">
        <v>1034</v>
      </c>
      <c r="H123" s="2" t="s">
        <v>460</v>
      </c>
      <c r="I123" s="2" t="s">
        <v>461</v>
      </c>
      <c r="J123" s="2" cm="1">
        <f t="array" ref="J123">_xlfn.IFS(DDLI_DME[[#This Row],[DATENTYP]]="unsigned integer",2,DDLI_DME[[#This Row],[DATENTYP]]="unsigned char",1,DDLI_DME[[#This Row],[DATENTYP]]="signed integer",2)</f>
        <v>1</v>
      </c>
      <c r="K123" s="2" t="s">
        <v>460</v>
      </c>
      <c r="L123">
        <v>9.9999997764825821E-3</v>
      </c>
      <c r="M123">
        <v>1</v>
      </c>
      <c r="N123" t="str">
        <f>TEXT(DDLI_DME[[#This Row],[MUL]],"######/######")</f>
        <v>1/100</v>
      </c>
      <c r="O123">
        <v>0</v>
      </c>
      <c r="Q123">
        <f>HEX2DEC(DDLI_DME[[#This Row],[Hex]])</f>
        <v>0</v>
      </c>
      <c r="R123">
        <f>DDLI_DME[[#This Row],[ADD]]+DDLI_DME[[#This Row],[Dec]]*DDLI_DME[[#This Row],[MUL]]/DDLI_DME[[#This Row],[DIV]]</f>
        <v>0</v>
      </c>
    </row>
    <row r="124" spans="1:18" hidden="1" x14ac:dyDescent="0.25">
      <c r="A124" s="2" t="s">
        <v>1035</v>
      </c>
      <c r="B124" s="2" t="s">
        <v>1036</v>
      </c>
      <c r="C124" s="2" t="s">
        <v>1037</v>
      </c>
      <c r="D124" s="2" t="s">
        <v>1038</v>
      </c>
      <c r="E124" s="2"/>
      <c r="F124" s="2" t="s">
        <v>668</v>
      </c>
      <c r="G124" s="2" t="s">
        <v>1039</v>
      </c>
      <c r="H124" s="2" t="s">
        <v>460</v>
      </c>
      <c r="I124" s="2" t="s">
        <v>467</v>
      </c>
      <c r="J124" s="2" cm="1">
        <f t="array" ref="J124">_xlfn.IFS(DDLI_DME[[#This Row],[DATENTYP]]="unsigned integer",2,DDLI_DME[[#This Row],[DATENTYP]]="unsigned char",1,DDLI_DME[[#This Row],[DATENTYP]]="signed integer",2)</f>
        <v>2</v>
      </c>
      <c r="K124" s="2" t="s">
        <v>460</v>
      </c>
      <c r="L124">
        <v>1.52587890625E-3</v>
      </c>
      <c r="M124">
        <v>1</v>
      </c>
      <c r="N124" t="str">
        <f>TEXT(DDLI_DME[[#This Row],[MUL]],"######/######")</f>
        <v>25/16384</v>
      </c>
      <c r="O124">
        <v>0</v>
      </c>
      <c r="Q124">
        <f>HEX2DEC(DDLI_DME[[#This Row],[Hex]])</f>
        <v>0</v>
      </c>
      <c r="R124">
        <f>DDLI_DME[[#This Row],[ADD]]+DDLI_DME[[#This Row],[Dec]]*DDLI_DME[[#This Row],[MUL]]/DDLI_DME[[#This Row],[DIV]]</f>
        <v>0</v>
      </c>
    </row>
    <row r="125" spans="1:18" hidden="1" x14ac:dyDescent="0.25">
      <c r="A125" s="2" t="s">
        <v>1040</v>
      </c>
      <c r="B125" s="2" t="s">
        <v>1041</v>
      </c>
      <c r="C125" s="2" t="s">
        <v>1042</v>
      </c>
      <c r="D125" s="2" t="s">
        <v>1043</v>
      </c>
      <c r="E125" s="2"/>
      <c r="F125" s="2" t="s">
        <v>460</v>
      </c>
      <c r="G125" s="2" t="s">
        <v>1044</v>
      </c>
      <c r="H125" s="2" t="s">
        <v>460</v>
      </c>
      <c r="I125" s="2" t="s">
        <v>467</v>
      </c>
      <c r="J125" s="2" cm="1">
        <f t="array" ref="J125">_xlfn.IFS(DDLI_DME[[#This Row],[DATENTYP]]="unsigned integer",2,DDLI_DME[[#This Row],[DATENTYP]]="unsigned char",1,DDLI_DME[[#This Row],[DATENTYP]]="signed integer",2)</f>
        <v>2</v>
      </c>
      <c r="K125" s="2" t="s">
        <v>460</v>
      </c>
      <c r="L125">
        <v>2.44140625E-4</v>
      </c>
      <c r="M125">
        <v>1</v>
      </c>
      <c r="N125" t="str">
        <f>TEXT(DDLI_DME[[#This Row],[MUL]],"######/######")</f>
        <v>1/4096</v>
      </c>
      <c r="O125">
        <v>0</v>
      </c>
      <c r="Q125">
        <f>HEX2DEC(DDLI_DME[[#This Row],[Hex]])</f>
        <v>0</v>
      </c>
      <c r="R125">
        <f>DDLI_DME[[#This Row],[ADD]]+DDLI_DME[[#This Row],[Dec]]*DDLI_DME[[#This Row],[MUL]]/DDLI_DME[[#This Row],[DIV]]</f>
        <v>0</v>
      </c>
    </row>
    <row r="126" spans="1:18" hidden="1" x14ac:dyDescent="0.25">
      <c r="A126" s="2" t="s">
        <v>1045</v>
      </c>
      <c r="B126" s="2" t="s">
        <v>1046</v>
      </c>
      <c r="C126" s="2" t="s">
        <v>1047</v>
      </c>
      <c r="D126" s="2" t="s">
        <v>1048</v>
      </c>
      <c r="E126" s="2"/>
      <c r="F126" s="2" t="s">
        <v>674</v>
      </c>
      <c r="G126" s="2" t="s">
        <v>1049</v>
      </c>
      <c r="H126" s="2" t="s">
        <v>460</v>
      </c>
      <c r="I126" s="2" t="s">
        <v>531</v>
      </c>
      <c r="J126" s="2" cm="1">
        <f t="array" ref="J126">_xlfn.IFS(DDLI_DME[[#This Row],[DATENTYP]]="unsigned integer",2,DDLI_DME[[#This Row],[DATENTYP]]="unsigned char",1,DDLI_DME[[#This Row],[DATENTYP]]="signed integer",2)</f>
        <v>2</v>
      </c>
      <c r="K126" s="2" t="s">
        <v>460</v>
      </c>
      <c r="L126">
        <v>4.8828125E-4</v>
      </c>
      <c r="M126">
        <v>1</v>
      </c>
      <c r="N126" t="str">
        <f>TEXT(DDLI_DME[[#This Row],[MUL]],"######/######")</f>
        <v>1/2048</v>
      </c>
      <c r="O126">
        <v>0</v>
      </c>
      <c r="Q126">
        <f>HEX2DEC(DDLI_DME[[#This Row],[Hex]])</f>
        <v>0</v>
      </c>
      <c r="R126">
        <f>DDLI_DME[[#This Row],[ADD]]+DDLI_DME[[#This Row],[Dec]]*DDLI_DME[[#This Row],[MUL]]/DDLI_DME[[#This Row],[DIV]]</f>
        <v>0</v>
      </c>
    </row>
    <row r="127" spans="1:18" hidden="1" x14ac:dyDescent="0.25">
      <c r="A127" s="2" t="s">
        <v>1050</v>
      </c>
      <c r="B127" s="2" t="s">
        <v>1051</v>
      </c>
      <c r="C127" s="2" t="s">
        <v>1052</v>
      </c>
      <c r="D127" s="2" t="s">
        <v>1053</v>
      </c>
      <c r="E127" s="2"/>
      <c r="F127" s="2" t="s">
        <v>460</v>
      </c>
      <c r="G127" s="2" t="s">
        <v>1054</v>
      </c>
      <c r="H127" s="2" t="s">
        <v>460</v>
      </c>
      <c r="I127" s="2" t="s">
        <v>467</v>
      </c>
      <c r="J127" s="2" cm="1">
        <f t="array" ref="J127">_xlfn.IFS(DDLI_DME[[#This Row],[DATENTYP]]="unsigned integer",2,DDLI_DME[[#This Row],[DATENTYP]]="unsigned char",1,DDLI_DME[[#This Row],[DATENTYP]]="signed integer",2)</f>
        <v>2</v>
      </c>
      <c r="K127" s="2" t="s">
        <v>460</v>
      </c>
      <c r="L127">
        <v>2.44140625E-4</v>
      </c>
      <c r="M127">
        <v>1</v>
      </c>
      <c r="N127" t="str">
        <f>TEXT(DDLI_DME[[#This Row],[MUL]],"######/######")</f>
        <v>1/4096</v>
      </c>
      <c r="O127">
        <v>0</v>
      </c>
      <c r="Q127">
        <f>HEX2DEC(DDLI_DME[[#This Row],[Hex]])</f>
        <v>0</v>
      </c>
      <c r="R127">
        <f>DDLI_DME[[#This Row],[ADD]]+DDLI_DME[[#This Row],[Dec]]*DDLI_DME[[#This Row],[MUL]]/DDLI_DME[[#This Row],[DIV]]</f>
        <v>0</v>
      </c>
    </row>
    <row r="128" spans="1:18" hidden="1" x14ac:dyDescent="0.25">
      <c r="A128" s="2" t="s">
        <v>1055</v>
      </c>
      <c r="B128" s="2" t="s">
        <v>1056</v>
      </c>
      <c r="C128" s="2" t="s">
        <v>1057</v>
      </c>
      <c r="D128" s="2" t="s">
        <v>1058</v>
      </c>
      <c r="E128" s="2"/>
      <c r="F128" s="2" t="s">
        <v>460</v>
      </c>
      <c r="G128" s="2" t="s">
        <v>1059</v>
      </c>
      <c r="H128" s="2" t="s">
        <v>460</v>
      </c>
      <c r="I128" s="2" t="s">
        <v>461</v>
      </c>
      <c r="J128" s="2" cm="1">
        <f t="array" ref="J128">_xlfn.IFS(DDLI_DME[[#This Row],[DATENTYP]]="unsigned integer",2,DDLI_DME[[#This Row],[DATENTYP]]="unsigned char",1,DDLI_DME[[#This Row],[DATENTYP]]="signed integer",2)</f>
        <v>1</v>
      </c>
      <c r="K128" s="2" t="s">
        <v>460</v>
      </c>
      <c r="L128">
        <v>1</v>
      </c>
      <c r="M128">
        <v>1</v>
      </c>
      <c r="N128" t="str">
        <f>TEXT(DDLI_DME[[#This Row],[MUL]],"######/######")</f>
        <v>1/1</v>
      </c>
      <c r="O128">
        <v>0</v>
      </c>
      <c r="Q128">
        <f>HEX2DEC(DDLI_DME[[#This Row],[Hex]])</f>
        <v>0</v>
      </c>
      <c r="R128">
        <f>DDLI_DME[[#This Row],[ADD]]+DDLI_DME[[#This Row],[Dec]]*DDLI_DME[[#This Row],[MUL]]/DDLI_DME[[#This Row],[DIV]]</f>
        <v>0</v>
      </c>
    </row>
    <row r="129" spans="1:18" hidden="1" x14ac:dyDescent="0.25">
      <c r="A129" s="2" t="s">
        <v>1060</v>
      </c>
      <c r="B129" s="2" t="s">
        <v>1061</v>
      </c>
      <c r="C129" s="2" t="s">
        <v>464</v>
      </c>
      <c r="D129" s="2" t="s">
        <v>1062</v>
      </c>
      <c r="E129" s="2"/>
      <c r="F129" s="2" t="s">
        <v>6</v>
      </c>
      <c r="G129" s="2" t="s">
        <v>1063</v>
      </c>
      <c r="H129" s="2" t="s">
        <v>460</v>
      </c>
      <c r="I129" s="2" t="s">
        <v>467</v>
      </c>
      <c r="J129" s="2" cm="1">
        <f t="array" ref="J129">_xlfn.IFS(DDLI_DME[[#This Row],[DATENTYP]]="unsigned integer",2,DDLI_DME[[#This Row],[DATENTYP]]="unsigned char",1,DDLI_DME[[#This Row],[DATENTYP]]="signed integer",2)</f>
        <v>2</v>
      </c>
      <c r="K129" s="2" t="s">
        <v>460</v>
      </c>
      <c r="L129">
        <v>3.90625E-2</v>
      </c>
      <c r="M129">
        <v>1</v>
      </c>
      <c r="N129" t="str">
        <f>TEXT(DDLI_DME[[#This Row],[MUL]],"######/######")</f>
        <v>5/128</v>
      </c>
      <c r="O129">
        <v>0</v>
      </c>
      <c r="Q129">
        <f>HEX2DEC(DDLI_DME[[#This Row],[Hex]])</f>
        <v>0</v>
      </c>
      <c r="R129">
        <f>DDLI_DME[[#This Row],[ADD]]+DDLI_DME[[#This Row],[Dec]]*DDLI_DME[[#This Row],[MUL]]/DDLI_DME[[#This Row],[DIV]]</f>
        <v>0</v>
      </c>
    </row>
    <row r="130" spans="1:18" hidden="1" x14ac:dyDescent="0.25">
      <c r="A130" s="2" t="s">
        <v>1064</v>
      </c>
      <c r="B130" s="2" t="s">
        <v>1065</v>
      </c>
      <c r="C130" s="2" t="s">
        <v>698</v>
      </c>
      <c r="D130" s="2" t="s">
        <v>1066</v>
      </c>
      <c r="E130" s="2"/>
      <c r="F130" s="2" t="s">
        <v>460</v>
      </c>
      <c r="G130" s="2" t="s">
        <v>700</v>
      </c>
      <c r="H130" s="2" t="s">
        <v>460</v>
      </c>
      <c r="I130" s="2" t="s">
        <v>461</v>
      </c>
      <c r="J130" s="2" cm="1">
        <f t="array" ref="J130">_xlfn.IFS(DDLI_DME[[#This Row],[DATENTYP]]="unsigned integer",2,DDLI_DME[[#This Row],[DATENTYP]]="unsigned char",1,DDLI_DME[[#This Row],[DATENTYP]]="signed integer",2)</f>
        <v>1</v>
      </c>
      <c r="K130" s="2" t="s">
        <v>460</v>
      </c>
      <c r="L130">
        <v>1</v>
      </c>
      <c r="M130">
        <v>1</v>
      </c>
      <c r="N130" t="str">
        <f>TEXT(DDLI_DME[[#This Row],[MUL]],"######/######")</f>
        <v>1/1</v>
      </c>
      <c r="O130">
        <v>0</v>
      </c>
      <c r="Q130">
        <f>HEX2DEC(DDLI_DME[[#This Row],[Hex]])</f>
        <v>0</v>
      </c>
      <c r="R130">
        <f>DDLI_DME[[#This Row],[ADD]]+DDLI_DME[[#This Row],[Dec]]*DDLI_DME[[#This Row],[MUL]]/DDLI_DME[[#This Row],[DIV]]</f>
        <v>0</v>
      </c>
    </row>
    <row r="131" spans="1:18" hidden="1" x14ac:dyDescent="0.25">
      <c r="A131" s="2" t="s">
        <v>1067</v>
      </c>
      <c r="B131" s="2" t="s">
        <v>1068</v>
      </c>
      <c r="C131" s="2" t="s">
        <v>1069</v>
      </c>
      <c r="D131" s="2" t="s">
        <v>1070</v>
      </c>
      <c r="E131" s="2"/>
      <c r="F131" s="2" t="s">
        <v>1071</v>
      </c>
      <c r="G131" s="2" t="s">
        <v>1072</v>
      </c>
      <c r="H131" s="2" t="s">
        <v>460</v>
      </c>
      <c r="I131" s="2" t="s">
        <v>940</v>
      </c>
      <c r="J131" s="2" t="e" cm="1">
        <f t="array" ref="J131">_xlfn.IFS(DDLI_DME[[#This Row],[DATENTYP]]="unsigned integer",2,DDLI_DME[[#This Row],[DATENTYP]]="unsigned char",1,DDLI_DME[[#This Row],[DATENTYP]]="signed integer",2)</f>
        <v>#N/A</v>
      </c>
      <c r="K131" s="2" t="s">
        <v>460</v>
      </c>
      <c r="L131">
        <v>100</v>
      </c>
      <c r="M131">
        <v>1</v>
      </c>
      <c r="N131" t="str">
        <f>TEXT(DDLI_DME[[#This Row],[MUL]],"######/######")</f>
        <v>100/1</v>
      </c>
      <c r="O131">
        <v>0</v>
      </c>
      <c r="Q131">
        <f>HEX2DEC(DDLI_DME[[#This Row],[Hex]])</f>
        <v>0</v>
      </c>
      <c r="R131">
        <f>DDLI_DME[[#This Row],[ADD]]+DDLI_DME[[#This Row],[Dec]]*DDLI_DME[[#This Row],[MUL]]/DDLI_DME[[#This Row],[DIV]]</f>
        <v>0</v>
      </c>
    </row>
    <row r="132" spans="1:18" hidden="1" x14ac:dyDescent="0.25">
      <c r="A132" s="2" t="s">
        <v>1073</v>
      </c>
      <c r="B132" s="2" t="s">
        <v>1074</v>
      </c>
      <c r="C132" s="2" t="s">
        <v>1075</v>
      </c>
      <c r="D132" s="2" t="s">
        <v>1076</v>
      </c>
      <c r="E132" s="2" t="s">
        <v>2350</v>
      </c>
      <c r="F132" s="2" t="s">
        <v>1077</v>
      </c>
      <c r="G132" s="2" t="s">
        <v>1078</v>
      </c>
      <c r="H132" s="2" t="s">
        <v>460</v>
      </c>
      <c r="I132" s="2" t="s">
        <v>467</v>
      </c>
      <c r="J132" s="2" cm="1">
        <f t="array" ref="J132">_xlfn.IFS(DDLI_DME[[#This Row],[DATENTYP]]="unsigned integer",2,DDLI_DME[[#This Row],[DATENTYP]]="unsigned char",1,DDLI_DME[[#This Row],[DATENTYP]]="signed integer",2)</f>
        <v>2</v>
      </c>
      <c r="K132" s="2" t="s">
        <v>460</v>
      </c>
      <c r="L132">
        <v>5.0000002374872565E-4</v>
      </c>
      <c r="M132">
        <v>1</v>
      </c>
      <c r="N132" t="str">
        <f>TEXT(DDLI_DME[[#This Row],[MUL]],"######/######")</f>
        <v>1/2000</v>
      </c>
      <c r="O132">
        <v>0</v>
      </c>
      <c r="Q132">
        <f>HEX2DEC(DDLI_DME[[#This Row],[Hex]])</f>
        <v>0</v>
      </c>
      <c r="R132">
        <f>DDLI_DME[[#This Row],[ADD]]+DDLI_DME[[#This Row],[Dec]]*DDLI_DME[[#This Row],[MUL]]/DDLI_DME[[#This Row],[DIV]]</f>
        <v>0</v>
      </c>
    </row>
    <row r="133" spans="1:18" hidden="1" x14ac:dyDescent="0.25">
      <c r="A133" s="2" t="s">
        <v>1079</v>
      </c>
      <c r="B133" s="2" t="s">
        <v>1080</v>
      </c>
      <c r="C133" s="2" t="s">
        <v>1081</v>
      </c>
      <c r="D133" s="2" t="s">
        <v>1082</v>
      </c>
      <c r="E133" s="2"/>
      <c r="F133" s="2" t="s">
        <v>668</v>
      </c>
      <c r="G133" s="2" t="s">
        <v>1083</v>
      </c>
      <c r="H133" s="2" t="s">
        <v>460</v>
      </c>
      <c r="I133" s="2" t="s">
        <v>461</v>
      </c>
      <c r="J133" s="2" cm="1">
        <f t="array" ref="J133">_xlfn.IFS(DDLI_DME[[#This Row],[DATENTYP]]="unsigned integer",2,DDLI_DME[[#This Row],[DATENTYP]]="unsigned char",1,DDLI_DME[[#This Row],[DATENTYP]]="signed integer",2)</f>
        <v>1</v>
      </c>
      <c r="K133" s="2" t="s">
        <v>460</v>
      </c>
      <c r="L133">
        <v>0.390625</v>
      </c>
      <c r="M133">
        <v>1</v>
      </c>
      <c r="N133" t="str">
        <f>TEXT(DDLI_DME[[#This Row],[MUL]],"######/######")</f>
        <v>25/64</v>
      </c>
      <c r="O133">
        <v>0</v>
      </c>
      <c r="Q133">
        <f>HEX2DEC(DDLI_DME[[#This Row],[Hex]])</f>
        <v>0</v>
      </c>
      <c r="R133">
        <f>DDLI_DME[[#This Row],[ADD]]+DDLI_DME[[#This Row],[Dec]]*DDLI_DME[[#This Row],[MUL]]/DDLI_DME[[#This Row],[DIV]]</f>
        <v>0</v>
      </c>
    </row>
    <row r="134" spans="1:18" hidden="1" x14ac:dyDescent="0.25">
      <c r="A134" s="2" t="s">
        <v>1084</v>
      </c>
      <c r="B134" s="2" t="s">
        <v>1085</v>
      </c>
      <c r="C134" s="2" t="s">
        <v>698</v>
      </c>
      <c r="D134" s="2" t="s">
        <v>1086</v>
      </c>
      <c r="E134" s="2"/>
      <c r="F134" s="2" t="s">
        <v>460</v>
      </c>
      <c r="G134" s="2" t="s">
        <v>1087</v>
      </c>
      <c r="H134" s="2" t="s">
        <v>460</v>
      </c>
      <c r="I134" s="2" t="s">
        <v>461</v>
      </c>
      <c r="J134" s="2" cm="1">
        <f t="array" ref="J134">_xlfn.IFS(DDLI_DME[[#This Row],[DATENTYP]]="unsigned integer",2,DDLI_DME[[#This Row],[DATENTYP]]="unsigned char",1,DDLI_DME[[#This Row],[DATENTYP]]="signed integer",2)</f>
        <v>1</v>
      </c>
      <c r="K134" s="2" t="s">
        <v>460</v>
      </c>
      <c r="L134">
        <v>1</v>
      </c>
      <c r="M134">
        <v>1</v>
      </c>
      <c r="N134" t="str">
        <f>TEXT(DDLI_DME[[#This Row],[MUL]],"######/######")</f>
        <v>1/1</v>
      </c>
      <c r="O134">
        <v>0</v>
      </c>
      <c r="Q134">
        <f>HEX2DEC(DDLI_DME[[#This Row],[Hex]])</f>
        <v>0</v>
      </c>
      <c r="R134">
        <f>DDLI_DME[[#This Row],[ADD]]+DDLI_DME[[#This Row],[Dec]]*DDLI_DME[[#This Row],[MUL]]/DDLI_DME[[#This Row],[DIV]]</f>
        <v>0</v>
      </c>
    </row>
    <row r="135" spans="1:18" hidden="1" x14ac:dyDescent="0.25">
      <c r="A135" s="2" t="s">
        <v>1088</v>
      </c>
      <c r="B135" s="2" t="s">
        <v>1089</v>
      </c>
      <c r="C135" s="2" t="s">
        <v>1090</v>
      </c>
      <c r="D135" s="2" t="s">
        <v>1091</v>
      </c>
      <c r="E135" s="2" t="s">
        <v>2351</v>
      </c>
      <c r="F135" s="2" t="s">
        <v>458</v>
      </c>
      <c r="G135" s="2" t="s">
        <v>1092</v>
      </c>
      <c r="H135" s="2" t="s">
        <v>460</v>
      </c>
      <c r="I135" s="2" t="s">
        <v>461</v>
      </c>
      <c r="J135" s="2" cm="1">
        <f t="array" ref="J135">_xlfn.IFS(DDLI_DME[[#This Row],[DATENTYP]]="unsigned integer",2,DDLI_DME[[#This Row],[DATENTYP]]="unsigned char",1,DDLI_DME[[#This Row],[DATENTYP]]="signed integer",2)</f>
        <v>1</v>
      </c>
      <c r="K135" s="2" t="s">
        <v>460</v>
      </c>
      <c r="L135">
        <v>0.75</v>
      </c>
      <c r="M135">
        <v>1</v>
      </c>
      <c r="N135" t="str">
        <f>TEXT(DDLI_DME[[#This Row],[MUL]],"######/######")</f>
        <v>3/4</v>
      </c>
      <c r="O135">
        <v>-48</v>
      </c>
      <c r="Q135">
        <f>HEX2DEC(DDLI_DME[[#This Row],[Hex]])</f>
        <v>0</v>
      </c>
      <c r="R135">
        <f>DDLI_DME[[#This Row],[ADD]]+DDLI_DME[[#This Row],[Dec]]*DDLI_DME[[#This Row],[MUL]]/DDLI_DME[[#This Row],[DIV]]</f>
        <v>-48</v>
      </c>
    </row>
    <row r="136" spans="1:18" hidden="1" x14ac:dyDescent="0.25">
      <c r="A136" s="2" t="s">
        <v>1093</v>
      </c>
      <c r="B136" s="2" t="s">
        <v>1094</v>
      </c>
      <c r="C136" s="2" t="s">
        <v>1095</v>
      </c>
      <c r="D136" s="2" t="s">
        <v>1096</v>
      </c>
      <c r="E136" s="2" t="s">
        <v>2352</v>
      </c>
      <c r="F136" s="2" t="s">
        <v>1097</v>
      </c>
      <c r="G136" s="2" t="s">
        <v>1098</v>
      </c>
      <c r="H136" s="2" t="s">
        <v>460</v>
      </c>
      <c r="I136" s="2" t="s">
        <v>461</v>
      </c>
      <c r="J136" s="2" cm="1">
        <f t="array" ref="J136">_xlfn.IFS(DDLI_DME[[#This Row],[DATENTYP]]="unsigned integer",2,DDLI_DME[[#This Row],[DATENTYP]]="unsigned char",1,DDLI_DME[[#This Row],[DATENTYP]]="signed integer",2)</f>
        <v>1</v>
      </c>
      <c r="K136" s="2" t="s">
        <v>460</v>
      </c>
      <c r="L136">
        <v>1</v>
      </c>
      <c r="M136">
        <v>1</v>
      </c>
      <c r="N136" t="str">
        <f>TEXT(DDLI_DME[[#This Row],[MUL]],"######/######")</f>
        <v>1/1</v>
      </c>
      <c r="O136">
        <v>0</v>
      </c>
      <c r="Q136">
        <f>HEX2DEC(DDLI_DME[[#This Row],[Hex]])</f>
        <v>0</v>
      </c>
      <c r="R136">
        <f>DDLI_DME[[#This Row],[ADD]]+DDLI_DME[[#This Row],[Dec]]*DDLI_DME[[#This Row],[MUL]]/DDLI_DME[[#This Row],[DIV]]</f>
        <v>0</v>
      </c>
    </row>
    <row r="137" spans="1:18" hidden="1" x14ac:dyDescent="0.25">
      <c r="A137" s="2" t="s">
        <v>1099</v>
      </c>
      <c r="B137" s="2" t="s">
        <v>1100</v>
      </c>
      <c r="C137" s="2" t="s">
        <v>1101</v>
      </c>
      <c r="D137" s="2" t="s">
        <v>1102</v>
      </c>
      <c r="E137" s="2"/>
      <c r="F137" s="2" t="s">
        <v>674</v>
      </c>
      <c r="G137" s="2" t="s">
        <v>1103</v>
      </c>
      <c r="H137" s="2" t="s">
        <v>460</v>
      </c>
      <c r="I137" s="2" t="s">
        <v>461</v>
      </c>
      <c r="J137" s="2" cm="1">
        <f t="array" ref="J137">_xlfn.IFS(DDLI_DME[[#This Row],[DATENTYP]]="unsigned integer",2,DDLI_DME[[#This Row],[DATENTYP]]="unsigned char",1,DDLI_DME[[#This Row],[DATENTYP]]="signed integer",2)</f>
        <v>1</v>
      </c>
      <c r="K137" s="2" t="s">
        <v>460</v>
      </c>
      <c r="L137">
        <v>9.4200000166893005E-2</v>
      </c>
      <c r="M137">
        <v>1</v>
      </c>
      <c r="N137" t="str">
        <f>TEXT(DDLI_DME[[#This Row],[MUL]],"######/######")</f>
        <v>471/5000</v>
      </c>
      <c r="O137">
        <v>0</v>
      </c>
      <c r="Q137">
        <f>HEX2DEC(DDLI_DME[[#This Row],[Hex]])</f>
        <v>0</v>
      </c>
      <c r="R137">
        <f>DDLI_DME[[#This Row],[ADD]]+DDLI_DME[[#This Row],[Dec]]*DDLI_DME[[#This Row],[MUL]]/DDLI_DME[[#This Row],[DIV]]</f>
        <v>0</v>
      </c>
    </row>
    <row r="138" spans="1:18" hidden="1" x14ac:dyDescent="0.25">
      <c r="A138" s="2" t="s">
        <v>1104</v>
      </c>
      <c r="B138" s="2" t="s">
        <v>1105</v>
      </c>
      <c r="C138" s="2" t="s">
        <v>1106</v>
      </c>
      <c r="D138" s="2" t="s">
        <v>1107</v>
      </c>
      <c r="E138" s="2"/>
      <c r="F138" s="2" t="s">
        <v>1108</v>
      </c>
      <c r="G138" s="2" t="s">
        <v>1109</v>
      </c>
      <c r="H138" s="2" t="s">
        <v>460</v>
      </c>
      <c r="I138" s="2" t="s">
        <v>467</v>
      </c>
      <c r="J138" s="2" cm="1">
        <f t="array" ref="J138">_xlfn.IFS(DDLI_DME[[#This Row],[DATENTYP]]="unsigned integer",2,DDLI_DME[[#This Row],[DATENTYP]]="unsigned char",1,DDLI_DME[[#This Row],[DATENTYP]]="signed integer",2)</f>
        <v>2</v>
      </c>
      <c r="K138" s="2" t="s">
        <v>460</v>
      </c>
      <c r="L138">
        <v>6</v>
      </c>
      <c r="M138">
        <v>1</v>
      </c>
      <c r="N138" t="str">
        <f>TEXT(DDLI_DME[[#This Row],[MUL]],"######/######")</f>
        <v>6/1</v>
      </c>
      <c r="O138">
        <v>0</v>
      </c>
      <c r="Q138">
        <f>HEX2DEC(DDLI_DME[[#This Row],[Hex]])</f>
        <v>0</v>
      </c>
      <c r="R138">
        <f>DDLI_DME[[#This Row],[ADD]]+DDLI_DME[[#This Row],[Dec]]*DDLI_DME[[#This Row],[MUL]]/DDLI_DME[[#This Row],[DIV]]</f>
        <v>0</v>
      </c>
    </row>
    <row r="139" spans="1:18" hidden="1" x14ac:dyDescent="0.25">
      <c r="A139" s="2" t="s">
        <v>1110</v>
      </c>
      <c r="B139" s="2" t="s">
        <v>1111</v>
      </c>
      <c r="C139" s="2" t="s">
        <v>1112</v>
      </c>
      <c r="D139" s="2" t="s">
        <v>1113</v>
      </c>
      <c r="E139" s="2"/>
      <c r="F139" s="2" t="s">
        <v>662</v>
      </c>
      <c r="G139" s="2" t="s">
        <v>1114</v>
      </c>
      <c r="H139" s="2" t="s">
        <v>460</v>
      </c>
      <c r="I139" s="2" t="s">
        <v>467</v>
      </c>
      <c r="J139" s="2" cm="1">
        <f t="array" ref="J139">_xlfn.IFS(DDLI_DME[[#This Row],[DATENTYP]]="unsigned integer",2,DDLI_DME[[#This Row],[DATENTYP]]="unsigned char",1,DDLI_DME[[#This Row],[DATENTYP]]="signed integer",2)</f>
        <v>2</v>
      </c>
      <c r="K139" s="2" t="s">
        <v>460</v>
      </c>
      <c r="L139">
        <v>1.5259021893143654E-3</v>
      </c>
      <c r="M139">
        <v>1</v>
      </c>
      <c r="N139" t="str">
        <f>TEXT(DDLI_DME[[#This Row],[MUL]],"######/######")</f>
        <v>20/13107</v>
      </c>
      <c r="O139">
        <v>0</v>
      </c>
      <c r="Q139">
        <f>HEX2DEC(DDLI_DME[[#This Row],[Hex]])</f>
        <v>0</v>
      </c>
      <c r="R139">
        <f>DDLI_DME[[#This Row],[ADD]]+DDLI_DME[[#This Row],[Dec]]*DDLI_DME[[#This Row],[MUL]]/DDLI_DME[[#This Row],[DIV]]</f>
        <v>0</v>
      </c>
    </row>
    <row r="140" spans="1:18" hidden="1" x14ac:dyDescent="0.25">
      <c r="A140" s="2" t="s">
        <v>1115</v>
      </c>
      <c r="B140" s="2" t="s">
        <v>1116</v>
      </c>
      <c r="C140" s="2" t="s">
        <v>666</v>
      </c>
      <c r="D140" s="2" t="s">
        <v>1113</v>
      </c>
      <c r="E140" s="2"/>
      <c r="F140" s="2" t="s">
        <v>662</v>
      </c>
      <c r="G140" s="2" t="s">
        <v>1117</v>
      </c>
      <c r="H140" s="2" t="s">
        <v>460</v>
      </c>
      <c r="I140" s="2" t="s">
        <v>461</v>
      </c>
      <c r="J140" s="2" cm="1">
        <f t="array" ref="J140">_xlfn.IFS(DDLI_DME[[#This Row],[DATENTYP]]="unsigned integer",2,DDLI_DME[[#This Row],[DATENTYP]]="unsigned char",1,DDLI_DME[[#This Row],[DATENTYP]]="signed integer",2)</f>
        <v>1</v>
      </c>
      <c r="K140" s="2" t="s">
        <v>460</v>
      </c>
      <c r="L140">
        <v>0.39215686917304993</v>
      </c>
      <c r="M140">
        <v>1</v>
      </c>
      <c r="N140" t="str">
        <f>TEXT(DDLI_DME[[#This Row],[MUL]],"######/######")</f>
        <v>20/51</v>
      </c>
      <c r="O140">
        <v>0</v>
      </c>
      <c r="Q140">
        <f>HEX2DEC(DDLI_DME[[#This Row],[Hex]])</f>
        <v>0</v>
      </c>
      <c r="R140">
        <f>DDLI_DME[[#This Row],[ADD]]+DDLI_DME[[#This Row],[Dec]]*DDLI_DME[[#This Row],[MUL]]/DDLI_DME[[#This Row],[DIV]]</f>
        <v>0</v>
      </c>
    </row>
    <row r="141" spans="1:18" hidden="1" x14ac:dyDescent="0.25">
      <c r="A141" s="2" t="s">
        <v>1118</v>
      </c>
      <c r="B141" s="2" t="s">
        <v>1119</v>
      </c>
      <c r="C141" s="2" t="s">
        <v>1120</v>
      </c>
      <c r="D141" s="2" t="s">
        <v>1121</v>
      </c>
      <c r="E141" s="2"/>
      <c r="F141" s="2" t="s">
        <v>662</v>
      </c>
      <c r="G141" s="2" t="s">
        <v>1122</v>
      </c>
      <c r="H141" s="2" t="s">
        <v>460</v>
      </c>
      <c r="I141" s="2" t="s">
        <v>467</v>
      </c>
      <c r="J141" s="2" cm="1">
        <f t="array" ref="J141">_xlfn.IFS(DDLI_DME[[#This Row],[DATENTYP]]="unsigned integer",2,DDLI_DME[[#This Row],[DATENTYP]]="unsigned char",1,DDLI_DME[[#This Row],[DATENTYP]]="signed integer",2)</f>
        <v>2</v>
      </c>
      <c r="K141" s="2" t="s">
        <v>460</v>
      </c>
      <c r="L141">
        <v>1.5259021893143654E-3</v>
      </c>
      <c r="M141">
        <v>1</v>
      </c>
      <c r="N141" t="str">
        <f>TEXT(DDLI_DME[[#This Row],[MUL]],"######/######")</f>
        <v>20/13107</v>
      </c>
      <c r="O141">
        <v>0</v>
      </c>
      <c r="Q141">
        <f>HEX2DEC(DDLI_DME[[#This Row],[Hex]])</f>
        <v>0</v>
      </c>
      <c r="R141">
        <f>DDLI_DME[[#This Row],[ADD]]+DDLI_DME[[#This Row],[Dec]]*DDLI_DME[[#This Row],[MUL]]/DDLI_DME[[#This Row],[DIV]]</f>
        <v>0</v>
      </c>
    </row>
    <row r="142" spans="1:18" hidden="1" x14ac:dyDescent="0.25">
      <c r="A142" s="2" t="s">
        <v>1123</v>
      </c>
      <c r="B142" s="2" t="s">
        <v>1124</v>
      </c>
      <c r="C142" s="2" t="s">
        <v>1125</v>
      </c>
      <c r="D142" s="2" t="s">
        <v>1126</v>
      </c>
      <c r="E142" s="2"/>
      <c r="F142" s="2" t="s">
        <v>674</v>
      </c>
      <c r="G142" s="2" t="s">
        <v>1127</v>
      </c>
      <c r="H142" s="2" t="s">
        <v>460</v>
      </c>
      <c r="I142" s="2" t="s">
        <v>461</v>
      </c>
      <c r="J142" s="2" cm="1">
        <f t="array" ref="J142">_xlfn.IFS(DDLI_DME[[#This Row],[DATENTYP]]="unsigned integer",2,DDLI_DME[[#This Row],[DATENTYP]]="unsigned char",1,DDLI_DME[[#This Row],[DATENTYP]]="signed integer",2)</f>
        <v>1</v>
      </c>
      <c r="K142" s="2" t="s">
        <v>460</v>
      </c>
      <c r="L142">
        <v>1.953125E-2</v>
      </c>
      <c r="M142">
        <v>1</v>
      </c>
      <c r="N142" t="str">
        <f>TEXT(DDLI_DME[[#This Row],[MUL]],"######/######")</f>
        <v>5/256</v>
      </c>
      <c r="O142">
        <v>0</v>
      </c>
      <c r="Q142">
        <f>HEX2DEC(DDLI_DME[[#This Row],[Hex]])</f>
        <v>0</v>
      </c>
      <c r="R142">
        <f>DDLI_DME[[#This Row],[ADD]]+DDLI_DME[[#This Row],[Dec]]*DDLI_DME[[#This Row],[MUL]]/DDLI_DME[[#This Row],[DIV]]</f>
        <v>0</v>
      </c>
    </row>
    <row r="143" spans="1:18" hidden="1" x14ac:dyDescent="0.25">
      <c r="A143" s="2" t="s">
        <v>1128</v>
      </c>
      <c r="B143" s="2" t="s">
        <v>1129</v>
      </c>
      <c r="C143" s="2" t="s">
        <v>1130</v>
      </c>
      <c r="D143" s="2" t="s">
        <v>1131</v>
      </c>
      <c r="E143" s="2"/>
      <c r="F143" s="2" t="s">
        <v>460</v>
      </c>
      <c r="G143" s="2" t="s">
        <v>705</v>
      </c>
      <c r="H143" s="2" t="s">
        <v>460</v>
      </c>
      <c r="I143" s="2" t="s">
        <v>461</v>
      </c>
      <c r="J143" s="2" cm="1">
        <f t="array" ref="J143">_xlfn.IFS(DDLI_DME[[#This Row],[DATENTYP]]="unsigned integer",2,DDLI_DME[[#This Row],[DATENTYP]]="unsigned char",1,DDLI_DME[[#This Row],[DATENTYP]]="signed integer",2)</f>
        <v>1</v>
      </c>
      <c r="K143" s="2" t="s">
        <v>460</v>
      </c>
      <c r="L143">
        <v>1</v>
      </c>
      <c r="M143">
        <v>1</v>
      </c>
      <c r="N143" t="str">
        <f>TEXT(DDLI_DME[[#This Row],[MUL]],"######/######")</f>
        <v>1/1</v>
      </c>
      <c r="O143">
        <v>0</v>
      </c>
      <c r="Q143">
        <f>HEX2DEC(DDLI_DME[[#This Row],[Hex]])</f>
        <v>0</v>
      </c>
      <c r="R143">
        <f>DDLI_DME[[#This Row],[ADD]]+DDLI_DME[[#This Row],[Dec]]*DDLI_DME[[#This Row],[MUL]]/DDLI_DME[[#This Row],[DIV]]</f>
        <v>0</v>
      </c>
    </row>
    <row r="144" spans="1:18" hidden="1" x14ac:dyDescent="0.25">
      <c r="A144" s="2" t="s">
        <v>1132</v>
      </c>
      <c r="B144" s="2" t="s">
        <v>1133</v>
      </c>
      <c r="C144" s="2" t="s">
        <v>1134</v>
      </c>
      <c r="D144" s="2" t="s">
        <v>1135</v>
      </c>
      <c r="E144" s="2"/>
      <c r="F144" s="2" t="s">
        <v>460</v>
      </c>
      <c r="G144" s="2" t="s">
        <v>1136</v>
      </c>
      <c r="H144" s="2" t="s">
        <v>460</v>
      </c>
      <c r="I144" s="2" t="s">
        <v>461</v>
      </c>
      <c r="J144" s="2" cm="1">
        <f t="array" ref="J144">_xlfn.IFS(DDLI_DME[[#This Row],[DATENTYP]]="unsigned integer",2,DDLI_DME[[#This Row],[DATENTYP]]="unsigned char",1,DDLI_DME[[#This Row],[DATENTYP]]="signed integer",2)</f>
        <v>1</v>
      </c>
      <c r="K144" s="2" t="s">
        <v>460</v>
      </c>
      <c r="L144">
        <v>1</v>
      </c>
      <c r="M144">
        <v>1</v>
      </c>
      <c r="N144" t="str">
        <f>TEXT(DDLI_DME[[#This Row],[MUL]],"######/######")</f>
        <v>1/1</v>
      </c>
      <c r="O144">
        <v>0</v>
      </c>
      <c r="Q144">
        <f>HEX2DEC(DDLI_DME[[#This Row],[Hex]])</f>
        <v>0</v>
      </c>
      <c r="R144">
        <f>DDLI_DME[[#This Row],[ADD]]+DDLI_DME[[#This Row],[Dec]]*DDLI_DME[[#This Row],[MUL]]/DDLI_DME[[#This Row],[DIV]]</f>
        <v>0</v>
      </c>
    </row>
    <row r="145" spans="1:18" hidden="1" x14ac:dyDescent="0.25">
      <c r="A145" s="2" t="s">
        <v>1137</v>
      </c>
      <c r="B145" s="2" t="s">
        <v>1138</v>
      </c>
      <c r="C145" s="2" t="s">
        <v>678</v>
      </c>
      <c r="D145" s="2" t="s">
        <v>679</v>
      </c>
      <c r="E145" s="2"/>
      <c r="F145" s="2" t="s">
        <v>458</v>
      </c>
      <c r="G145" s="2" t="s">
        <v>680</v>
      </c>
      <c r="H145" s="2" t="s">
        <v>460</v>
      </c>
      <c r="I145" s="2" t="s">
        <v>461</v>
      </c>
      <c r="J145" s="2" cm="1">
        <f t="array" ref="J145">_xlfn.IFS(DDLI_DME[[#This Row],[DATENTYP]]="unsigned integer",2,DDLI_DME[[#This Row],[DATENTYP]]="unsigned char",1,DDLI_DME[[#This Row],[DATENTYP]]="signed integer",2)</f>
        <v>1</v>
      </c>
      <c r="K145" s="2" t="s">
        <v>460</v>
      </c>
      <c r="L145">
        <v>1</v>
      </c>
      <c r="M145">
        <v>1</v>
      </c>
      <c r="N145" t="str">
        <f>TEXT(DDLI_DME[[#This Row],[MUL]],"######/######")</f>
        <v>1/1</v>
      </c>
      <c r="O145">
        <v>-40</v>
      </c>
      <c r="Q145">
        <f>HEX2DEC(DDLI_DME[[#This Row],[Hex]])</f>
        <v>0</v>
      </c>
      <c r="R145">
        <f>DDLI_DME[[#This Row],[ADD]]+DDLI_DME[[#This Row],[Dec]]*DDLI_DME[[#This Row],[MUL]]/DDLI_DME[[#This Row],[DIV]]</f>
        <v>-40</v>
      </c>
    </row>
    <row r="146" spans="1:18" hidden="1" x14ac:dyDescent="0.25">
      <c r="A146" s="2" t="s">
        <v>1139</v>
      </c>
      <c r="B146" s="2" t="s">
        <v>1140</v>
      </c>
      <c r="C146" s="2" t="s">
        <v>1141</v>
      </c>
      <c r="D146" s="2" t="s">
        <v>1142</v>
      </c>
      <c r="E146" s="2"/>
      <c r="F146" s="2" t="s">
        <v>674</v>
      </c>
      <c r="G146" s="2" t="s">
        <v>1143</v>
      </c>
      <c r="H146" s="2" t="s">
        <v>460</v>
      </c>
      <c r="I146" s="2" t="s">
        <v>467</v>
      </c>
      <c r="J146" s="2" cm="1">
        <f t="array" ref="J146">_xlfn.IFS(DDLI_DME[[#This Row],[DATENTYP]]="unsigned integer",2,DDLI_DME[[#This Row],[DATENTYP]]="unsigned char",1,DDLI_DME[[#This Row],[DATENTYP]]="signed integer",2)</f>
        <v>2</v>
      </c>
      <c r="K146" s="2" t="s">
        <v>460</v>
      </c>
      <c r="L146">
        <v>4.8828125E-3</v>
      </c>
      <c r="M146">
        <v>1</v>
      </c>
      <c r="N146" t="str">
        <f>TEXT(DDLI_DME[[#This Row],[MUL]],"######/######")</f>
        <v>5/1024</v>
      </c>
      <c r="O146">
        <v>0</v>
      </c>
      <c r="Q146">
        <f>HEX2DEC(DDLI_DME[[#This Row],[Hex]])</f>
        <v>0</v>
      </c>
      <c r="R146">
        <f>DDLI_DME[[#This Row],[ADD]]+DDLI_DME[[#This Row],[Dec]]*DDLI_DME[[#This Row],[MUL]]/DDLI_DME[[#This Row],[DIV]]</f>
        <v>0</v>
      </c>
    </row>
    <row r="147" spans="1:18" hidden="1" x14ac:dyDescent="0.25">
      <c r="A147" s="2" t="s">
        <v>1144</v>
      </c>
      <c r="B147" s="2" t="s">
        <v>1145</v>
      </c>
      <c r="C147" s="2" t="s">
        <v>1146</v>
      </c>
      <c r="D147" s="2" t="s">
        <v>1147</v>
      </c>
      <c r="E147" s="2"/>
      <c r="F147" s="2" t="s">
        <v>674</v>
      </c>
      <c r="G147" s="2" t="s">
        <v>1148</v>
      </c>
      <c r="H147" s="2" t="s">
        <v>460</v>
      </c>
      <c r="I147" s="2" t="s">
        <v>467</v>
      </c>
      <c r="J147" s="2" cm="1">
        <f t="array" ref="J147">_xlfn.IFS(DDLI_DME[[#This Row],[DATENTYP]]="unsigned integer",2,DDLI_DME[[#This Row],[DATENTYP]]="unsigned char",1,DDLI_DME[[#This Row],[DATENTYP]]="signed integer",2)</f>
        <v>2</v>
      </c>
      <c r="K147" s="2" t="s">
        <v>460</v>
      </c>
      <c r="L147">
        <v>4.8828125E-3</v>
      </c>
      <c r="M147">
        <v>1</v>
      </c>
      <c r="N147" t="str">
        <f>TEXT(DDLI_DME[[#This Row],[MUL]],"######/######")</f>
        <v>5/1024</v>
      </c>
      <c r="O147">
        <v>0</v>
      </c>
      <c r="Q147">
        <f>HEX2DEC(DDLI_DME[[#This Row],[Hex]])</f>
        <v>0</v>
      </c>
      <c r="R147">
        <f>DDLI_DME[[#This Row],[ADD]]+DDLI_DME[[#This Row],[Dec]]*DDLI_DME[[#This Row],[MUL]]/DDLI_DME[[#This Row],[DIV]]</f>
        <v>0</v>
      </c>
    </row>
    <row r="148" spans="1:18" hidden="1" x14ac:dyDescent="0.25">
      <c r="A148" s="2" t="s">
        <v>1149</v>
      </c>
      <c r="B148" s="2" t="s">
        <v>1150</v>
      </c>
      <c r="C148" s="2" t="s">
        <v>1151</v>
      </c>
      <c r="D148" s="2" t="s">
        <v>1152</v>
      </c>
      <c r="E148" s="2"/>
      <c r="F148" s="2" t="s">
        <v>674</v>
      </c>
      <c r="G148" s="2" t="s">
        <v>1153</v>
      </c>
      <c r="H148" s="2" t="s">
        <v>460</v>
      </c>
      <c r="I148" s="2" t="s">
        <v>467</v>
      </c>
      <c r="J148" s="2" cm="1">
        <f t="array" ref="J148">_xlfn.IFS(DDLI_DME[[#This Row],[DATENTYP]]="unsigned integer",2,DDLI_DME[[#This Row],[DATENTYP]]="unsigned char",1,DDLI_DME[[#This Row],[DATENTYP]]="signed integer",2)</f>
        <v>2</v>
      </c>
      <c r="K148" s="2" t="s">
        <v>460</v>
      </c>
      <c r="L148">
        <v>4.8828125E-3</v>
      </c>
      <c r="M148">
        <v>1</v>
      </c>
      <c r="N148" t="str">
        <f>TEXT(DDLI_DME[[#This Row],[MUL]],"######/######")</f>
        <v>5/1024</v>
      </c>
      <c r="O148">
        <v>0</v>
      </c>
      <c r="Q148">
        <f>HEX2DEC(DDLI_DME[[#This Row],[Hex]])</f>
        <v>0</v>
      </c>
      <c r="R148">
        <f>DDLI_DME[[#This Row],[ADD]]+DDLI_DME[[#This Row],[Dec]]*DDLI_DME[[#This Row],[MUL]]/DDLI_DME[[#This Row],[DIV]]</f>
        <v>0</v>
      </c>
    </row>
    <row r="149" spans="1:18" hidden="1" x14ac:dyDescent="0.25">
      <c r="A149" s="2" t="s">
        <v>1154</v>
      </c>
      <c r="B149" s="2" t="s">
        <v>1155</v>
      </c>
      <c r="C149" s="2" t="s">
        <v>1156</v>
      </c>
      <c r="D149" s="2" t="s">
        <v>1157</v>
      </c>
      <c r="E149" s="2"/>
      <c r="F149" s="2" t="s">
        <v>674</v>
      </c>
      <c r="G149" s="2" t="s">
        <v>1158</v>
      </c>
      <c r="H149" s="2" t="s">
        <v>460</v>
      </c>
      <c r="I149" s="2" t="s">
        <v>467</v>
      </c>
      <c r="J149" s="2" cm="1">
        <f t="array" ref="J149">_xlfn.IFS(DDLI_DME[[#This Row],[DATENTYP]]="unsigned integer",2,DDLI_DME[[#This Row],[DATENTYP]]="unsigned char",1,DDLI_DME[[#This Row],[DATENTYP]]="signed integer",2)</f>
        <v>2</v>
      </c>
      <c r="K149" s="2" t="s">
        <v>460</v>
      </c>
      <c r="L149">
        <v>4.8828125E-3</v>
      </c>
      <c r="M149">
        <v>1</v>
      </c>
      <c r="N149" t="str">
        <f>TEXT(DDLI_DME[[#This Row],[MUL]],"######/######")</f>
        <v>5/1024</v>
      </c>
      <c r="O149">
        <v>-1</v>
      </c>
      <c r="Q149">
        <f>HEX2DEC(DDLI_DME[[#This Row],[Hex]])</f>
        <v>0</v>
      </c>
      <c r="R149">
        <f>DDLI_DME[[#This Row],[ADD]]+DDLI_DME[[#This Row],[Dec]]*DDLI_DME[[#This Row],[MUL]]/DDLI_DME[[#This Row],[DIV]]</f>
        <v>-1</v>
      </c>
    </row>
    <row r="150" spans="1:18" hidden="1" x14ac:dyDescent="0.25">
      <c r="A150" s="2" t="s">
        <v>1159</v>
      </c>
      <c r="B150" s="2" t="s">
        <v>1160</v>
      </c>
      <c r="C150" s="2" t="s">
        <v>1161</v>
      </c>
      <c r="D150" s="2" t="s">
        <v>1162</v>
      </c>
      <c r="E150" s="2"/>
      <c r="F150" s="2" t="s">
        <v>674</v>
      </c>
      <c r="G150" s="2" t="s">
        <v>1163</v>
      </c>
      <c r="H150" s="2" t="s">
        <v>460</v>
      </c>
      <c r="I150" s="2" t="s">
        <v>467</v>
      </c>
      <c r="J150" s="2" cm="1">
        <f t="array" ref="J150">_xlfn.IFS(DDLI_DME[[#This Row],[DATENTYP]]="unsigned integer",2,DDLI_DME[[#This Row],[DATENTYP]]="unsigned char",1,DDLI_DME[[#This Row],[DATENTYP]]="signed integer",2)</f>
        <v>2</v>
      </c>
      <c r="K150" s="2" t="s">
        <v>460</v>
      </c>
      <c r="L150">
        <v>1.220703125E-3</v>
      </c>
      <c r="M150">
        <v>1</v>
      </c>
      <c r="N150" t="str">
        <f>TEXT(DDLI_DME[[#This Row],[MUL]],"######/######")</f>
        <v>5/4096</v>
      </c>
      <c r="O150">
        <v>0</v>
      </c>
      <c r="Q150">
        <f>HEX2DEC(DDLI_DME[[#This Row],[Hex]])</f>
        <v>0</v>
      </c>
      <c r="R150">
        <f>DDLI_DME[[#This Row],[ADD]]+DDLI_DME[[#This Row],[Dec]]*DDLI_DME[[#This Row],[MUL]]/DDLI_DME[[#This Row],[DIV]]</f>
        <v>0</v>
      </c>
    </row>
    <row r="151" spans="1:18" hidden="1" x14ac:dyDescent="0.25">
      <c r="A151" s="2" t="s">
        <v>1164</v>
      </c>
      <c r="B151" s="2" t="s">
        <v>1165</v>
      </c>
      <c r="C151" s="2" t="s">
        <v>1166</v>
      </c>
      <c r="D151" s="2" t="s">
        <v>1167</v>
      </c>
      <c r="E151" s="2"/>
      <c r="F151" s="2" t="s">
        <v>477</v>
      </c>
      <c r="G151" s="2" t="s">
        <v>1168</v>
      </c>
      <c r="H151" s="2" t="s">
        <v>460</v>
      </c>
      <c r="I151" s="2" t="s">
        <v>467</v>
      </c>
      <c r="J151" s="2" cm="1">
        <f t="array" ref="J151">_xlfn.IFS(DDLI_DME[[#This Row],[DATENTYP]]="unsigned integer",2,DDLI_DME[[#This Row],[DATENTYP]]="unsigned char",1,DDLI_DME[[#This Row],[DATENTYP]]="signed integer",2)</f>
        <v>2</v>
      </c>
      <c r="K151" s="2" t="s">
        <v>460</v>
      </c>
      <c r="L151">
        <v>3.9062500582076609E-4</v>
      </c>
      <c r="M151">
        <v>1</v>
      </c>
      <c r="N151" t="str">
        <f>TEXT(DDLI_DME[[#This Row],[MUL]],"######/######")</f>
        <v>1/2560</v>
      </c>
      <c r="O151">
        <v>0</v>
      </c>
      <c r="Q151">
        <f>HEX2DEC(DDLI_DME[[#This Row],[Hex]])</f>
        <v>0</v>
      </c>
      <c r="R151">
        <f>DDLI_DME[[#This Row],[ADD]]+DDLI_DME[[#This Row],[Dec]]*DDLI_DME[[#This Row],[MUL]]/DDLI_DME[[#This Row],[DIV]]</f>
        <v>0</v>
      </c>
    </row>
    <row r="152" spans="1:18" hidden="1" x14ac:dyDescent="0.25">
      <c r="A152" s="2" t="s">
        <v>1169</v>
      </c>
      <c r="B152" s="2" t="s">
        <v>1170</v>
      </c>
      <c r="C152" s="2" t="s">
        <v>1171</v>
      </c>
      <c r="D152" s="2" t="s">
        <v>1172</v>
      </c>
      <c r="E152" s="2"/>
      <c r="F152" s="2" t="s">
        <v>674</v>
      </c>
      <c r="G152" s="2" t="s">
        <v>1173</v>
      </c>
      <c r="H152" s="2" t="s">
        <v>460</v>
      </c>
      <c r="I152" s="2" t="s">
        <v>467</v>
      </c>
      <c r="J152" s="2" cm="1">
        <f t="array" ref="J152">_xlfn.IFS(DDLI_DME[[#This Row],[DATENTYP]]="unsigned integer",2,DDLI_DME[[#This Row],[DATENTYP]]="unsigned char",1,DDLI_DME[[#This Row],[DATENTYP]]="signed integer",2)</f>
        <v>2</v>
      </c>
      <c r="K152" s="2" t="s">
        <v>460</v>
      </c>
      <c r="L152">
        <v>1.220703125E-3</v>
      </c>
      <c r="M152">
        <v>1</v>
      </c>
      <c r="N152" t="str">
        <f>TEXT(DDLI_DME[[#This Row],[MUL]],"######/######")</f>
        <v>5/4096</v>
      </c>
      <c r="O152">
        <v>0</v>
      </c>
      <c r="Q152">
        <f>HEX2DEC(DDLI_DME[[#This Row],[Hex]])</f>
        <v>0</v>
      </c>
      <c r="R152">
        <f>DDLI_DME[[#This Row],[ADD]]+DDLI_DME[[#This Row],[Dec]]*DDLI_DME[[#This Row],[MUL]]/DDLI_DME[[#This Row],[DIV]]</f>
        <v>0</v>
      </c>
    </row>
    <row r="153" spans="1:18" hidden="1" x14ac:dyDescent="0.25">
      <c r="A153" s="2" t="s">
        <v>1174</v>
      </c>
      <c r="B153" s="2" t="s">
        <v>1175</v>
      </c>
      <c r="C153" s="2" t="s">
        <v>1176</v>
      </c>
      <c r="D153" s="2" t="s">
        <v>1177</v>
      </c>
      <c r="E153" s="2"/>
      <c r="F153" s="2" t="s">
        <v>460</v>
      </c>
      <c r="G153" s="2" t="s">
        <v>1178</v>
      </c>
      <c r="H153" s="2" t="s">
        <v>460</v>
      </c>
      <c r="I153" s="2" t="s">
        <v>461</v>
      </c>
      <c r="J153" s="2" cm="1">
        <f t="array" ref="J153">_xlfn.IFS(DDLI_DME[[#This Row],[DATENTYP]]="unsigned integer",2,DDLI_DME[[#This Row],[DATENTYP]]="unsigned char",1,DDLI_DME[[#This Row],[DATENTYP]]="signed integer",2)</f>
        <v>1</v>
      </c>
      <c r="K153" s="2" t="s">
        <v>460</v>
      </c>
      <c r="L153">
        <v>1</v>
      </c>
      <c r="M153">
        <v>1</v>
      </c>
      <c r="N153" t="str">
        <f>TEXT(DDLI_DME[[#This Row],[MUL]],"######/######")</f>
        <v>1/1</v>
      </c>
      <c r="O153">
        <v>0</v>
      </c>
      <c r="Q153">
        <f>HEX2DEC(DDLI_DME[[#This Row],[Hex]])</f>
        <v>0</v>
      </c>
      <c r="R153">
        <f>DDLI_DME[[#This Row],[ADD]]+DDLI_DME[[#This Row],[Dec]]*DDLI_DME[[#This Row],[MUL]]/DDLI_DME[[#This Row],[DIV]]</f>
        <v>0</v>
      </c>
    </row>
    <row r="154" spans="1:18" hidden="1" x14ac:dyDescent="0.25">
      <c r="A154" s="2" t="s">
        <v>1179</v>
      </c>
      <c r="B154" s="2" t="s">
        <v>1180</v>
      </c>
      <c r="C154" s="2" t="s">
        <v>1181</v>
      </c>
      <c r="D154" s="2" t="s">
        <v>1182</v>
      </c>
      <c r="E154" s="2"/>
      <c r="F154" s="2" t="s">
        <v>674</v>
      </c>
      <c r="G154" s="2" t="s">
        <v>1183</v>
      </c>
      <c r="H154" s="2" t="s">
        <v>460</v>
      </c>
      <c r="I154" s="2" t="s">
        <v>467</v>
      </c>
      <c r="J154" s="2" cm="1">
        <f t="array" ref="J154">_xlfn.IFS(DDLI_DME[[#This Row],[DATENTYP]]="unsigned integer",2,DDLI_DME[[#This Row],[DATENTYP]]="unsigned char",1,DDLI_DME[[#This Row],[DATENTYP]]="signed integer",2)</f>
        <v>2</v>
      </c>
      <c r="K154" s="2" t="s">
        <v>460</v>
      </c>
      <c r="L154">
        <v>4.8828125E-3</v>
      </c>
      <c r="M154">
        <v>1</v>
      </c>
      <c r="N154" t="str">
        <f>TEXT(DDLI_DME[[#This Row],[MUL]],"######/######")</f>
        <v>5/1024</v>
      </c>
      <c r="O154">
        <v>0</v>
      </c>
      <c r="Q154">
        <f>HEX2DEC(DDLI_DME[[#This Row],[Hex]])</f>
        <v>0</v>
      </c>
      <c r="R154">
        <f>DDLI_DME[[#This Row],[ADD]]+DDLI_DME[[#This Row],[Dec]]*DDLI_DME[[#This Row],[MUL]]/DDLI_DME[[#This Row],[DIV]]</f>
        <v>0</v>
      </c>
    </row>
    <row r="155" spans="1:18" hidden="1" x14ac:dyDescent="0.25">
      <c r="A155" s="2" t="s">
        <v>1184</v>
      </c>
      <c r="B155" s="2" t="s">
        <v>1185</v>
      </c>
      <c r="C155" s="2" t="s">
        <v>1186</v>
      </c>
      <c r="D155" s="2" t="s">
        <v>1187</v>
      </c>
      <c r="E155" s="2"/>
      <c r="F155" s="2" t="s">
        <v>460</v>
      </c>
      <c r="G155" s="2" t="s">
        <v>1188</v>
      </c>
      <c r="H155" s="2" t="s">
        <v>460</v>
      </c>
      <c r="I155" s="2" t="s">
        <v>467</v>
      </c>
      <c r="J155" s="2" cm="1">
        <f t="array" ref="J155">_xlfn.IFS(DDLI_DME[[#This Row],[DATENTYP]]="unsigned integer",2,DDLI_DME[[#This Row],[DATENTYP]]="unsigned char",1,DDLI_DME[[#This Row],[DATENTYP]]="signed integer",2)</f>
        <v>2</v>
      </c>
      <c r="K155" s="2" t="s">
        <v>460</v>
      </c>
      <c r="L155">
        <v>3.0517578125E-5</v>
      </c>
      <c r="M155">
        <v>1</v>
      </c>
      <c r="N155" t="str">
        <f>TEXT(DDLI_DME[[#This Row],[MUL]],"######/######")</f>
        <v>1/32768</v>
      </c>
      <c r="O155">
        <v>0</v>
      </c>
      <c r="Q155">
        <f>HEX2DEC(DDLI_DME[[#This Row],[Hex]])</f>
        <v>0</v>
      </c>
      <c r="R155">
        <f>DDLI_DME[[#This Row],[ADD]]+DDLI_DME[[#This Row],[Dec]]*DDLI_DME[[#This Row],[MUL]]/DDLI_DME[[#This Row],[DIV]]</f>
        <v>0</v>
      </c>
    </row>
    <row r="156" spans="1:18" hidden="1" x14ac:dyDescent="0.25">
      <c r="A156" s="2" t="s">
        <v>1189</v>
      </c>
      <c r="B156" s="2" t="s">
        <v>1190</v>
      </c>
      <c r="C156" s="2" t="s">
        <v>748</v>
      </c>
      <c r="D156" s="2" t="s">
        <v>749</v>
      </c>
      <c r="E156" s="2"/>
      <c r="F156" s="2" t="s">
        <v>630</v>
      </c>
      <c r="G156" s="2" t="s">
        <v>750</v>
      </c>
      <c r="H156" s="2" t="s">
        <v>460</v>
      </c>
      <c r="I156" s="2" t="s">
        <v>461</v>
      </c>
      <c r="J156" s="2" cm="1">
        <f t="array" ref="J156">_xlfn.IFS(DDLI_DME[[#This Row],[DATENTYP]]="unsigned integer",2,DDLI_DME[[#This Row],[DATENTYP]]="unsigned char",1,DDLI_DME[[#This Row],[DATENTYP]]="signed integer",2)</f>
        <v>1</v>
      </c>
      <c r="K156" s="2" t="s">
        <v>460</v>
      </c>
      <c r="L156">
        <v>0.125</v>
      </c>
      <c r="M156">
        <v>1</v>
      </c>
      <c r="N156" t="str">
        <f>TEXT(DDLI_DME[[#This Row],[MUL]],"######/######")</f>
        <v>1/8</v>
      </c>
      <c r="O156">
        <v>0</v>
      </c>
      <c r="Q156">
        <f>HEX2DEC(DDLI_DME[[#This Row],[Hex]])</f>
        <v>0</v>
      </c>
      <c r="R156">
        <f>DDLI_DME[[#This Row],[ADD]]+DDLI_DME[[#This Row],[Dec]]*DDLI_DME[[#This Row],[MUL]]/DDLI_DME[[#This Row],[DIV]]</f>
        <v>0</v>
      </c>
    </row>
    <row r="157" spans="1:18" hidden="1" x14ac:dyDescent="0.25">
      <c r="A157" s="2" t="s">
        <v>1191</v>
      </c>
      <c r="B157" s="2" t="s">
        <v>1192</v>
      </c>
      <c r="C157" s="2" t="s">
        <v>1193</v>
      </c>
      <c r="D157" s="2" t="s">
        <v>1194</v>
      </c>
      <c r="E157" s="2"/>
      <c r="F157" s="2" t="s">
        <v>662</v>
      </c>
      <c r="G157" s="2" t="s">
        <v>1195</v>
      </c>
      <c r="H157" s="2" t="s">
        <v>460</v>
      </c>
      <c r="I157" s="2" t="s">
        <v>461</v>
      </c>
      <c r="J157" s="2" cm="1">
        <f t="array" ref="J157">_xlfn.IFS(DDLI_DME[[#This Row],[DATENTYP]]="unsigned integer",2,DDLI_DME[[#This Row],[DATENTYP]]="unsigned char",1,DDLI_DME[[#This Row],[DATENTYP]]="signed integer",2)</f>
        <v>1</v>
      </c>
      <c r="K157" s="2" t="s">
        <v>460</v>
      </c>
      <c r="L157">
        <v>0.39215686917304993</v>
      </c>
      <c r="M157">
        <v>1</v>
      </c>
      <c r="N157" t="str">
        <f>TEXT(DDLI_DME[[#This Row],[MUL]],"######/######")</f>
        <v>20/51</v>
      </c>
      <c r="O157">
        <v>0</v>
      </c>
      <c r="Q157">
        <f>HEX2DEC(DDLI_DME[[#This Row],[Hex]])</f>
        <v>0</v>
      </c>
      <c r="R157">
        <f>DDLI_DME[[#This Row],[ADD]]+DDLI_DME[[#This Row],[Dec]]*DDLI_DME[[#This Row],[MUL]]/DDLI_DME[[#This Row],[DIV]]</f>
        <v>0</v>
      </c>
    </row>
    <row r="158" spans="1:18" hidden="1" x14ac:dyDescent="0.25">
      <c r="A158" s="2" t="s">
        <v>1196</v>
      </c>
      <c r="B158" s="2" t="s">
        <v>1197</v>
      </c>
      <c r="C158" s="2" t="s">
        <v>1198</v>
      </c>
      <c r="D158" s="2" t="s">
        <v>1199</v>
      </c>
      <c r="E158" s="2"/>
      <c r="F158" s="2" t="s">
        <v>1200</v>
      </c>
      <c r="G158" s="2" t="s">
        <v>1201</v>
      </c>
      <c r="H158" s="2" t="s">
        <v>460</v>
      </c>
      <c r="I158" s="2" t="s">
        <v>467</v>
      </c>
      <c r="J158" s="2" cm="1">
        <f t="array" ref="J158">_xlfn.IFS(DDLI_DME[[#This Row],[DATENTYP]]="unsigned integer",2,DDLI_DME[[#This Row],[DATENTYP]]="unsigned char",1,DDLI_DME[[#This Row],[DATENTYP]]="signed integer",2)</f>
        <v>2</v>
      </c>
      <c r="K158" s="2" t="s">
        <v>460</v>
      </c>
      <c r="L158">
        <v>6.103515625E-3</v>
      </c>
      <c r="M158">
        <v>1</v>
      </c>
      <c r="N158" t="str">
        <f>TEXT(DDLI_DME[[#This Row],[MUL]],"######/######")</f>
        <v>25/4096</v>
      </c>
      <c r="O158">
        <v>0</v>
      </c>
      <c r="Q158">
        <f>HEX2DEC(DDLI_DME[[#This Row],[Hex]])</f>
        <v>0</v>
      </c>
      <c r="R158">
        <f>DDLI_DME[[#This Row],[ADD]]+DDLI_DME[[#This Row],[Dec]]*DDLI_DME[[#This Row],[MUL]]/DDLI_DME[[#This Row],[DIV]]</f>
        <v>0</v>
      </c>
    </row>
    <row r="159" spans="1:18" hidden="1" x14ac:dyDescent="0.25">
      <c r="A159" s="2" t="s">
        <v>1202</v>
      </c>
      <c r="B159" s="2" t="s">
        <v>1203</v>
      </c>
      <c r="C159" s="2" t="s">
        <v>1204</v>
      </c>
      <c r="D159" s="2" t="s">
        <v>1205</v>
      </c>
      <c r="E159" s="2"/>
      <c r="F159" s="2" t="s">
        <v>1200</v>
      </c>
      <c r="G159" s="2" t="s">
        <v>1206</v>
      </c>
      <c r="H159" s="2" t="s">
        <v>460</v>
      </c>
      <c r="I159" s="2" t="s">
        <v>467</v>
      </c>
      <c r="J159" s="2" cm="1">
        <f t="array" ref="J159">_xlfn.IFS(DDLI_DME[[#This Row],[DATENTYP]]="unsigned integer",2,DDLI_DME[[#This Row],[DATENTYP]]="unsigned char",1,DDLI_DME[[#This Row],[DATENTYP]]="signed integer",2)</f>
        <v>2</v>
      </c>
      <c r="K159" s="2" t="s">
        <v>460</v>
      </c>
      <c r="L159">
        <v>6.103515625E-3</v>
      </c>
      <c r="M159">
        <v>1</v>
      </c>
      <c r="N159" t="str">
        <f>TEXT(DDLI_DME[[#This Row],[MUL]],"######/######")</f>
        <v>25/4096</v>
      </c>
      <c r="O159">
        <v>0</v>
      </c>
      <c r="Q159">
        <f>HEX2DEC(DDLI_DME[[#This Row],[Hex]])</f>
        <v>0</v>
      </c>
      <c r="R159">
        <f>DDLI_DME[[#This Row],[ADD]]+DDLI_DME[[#This Row],[Dec]]*DDLI_DME[[#This Row],[MUL]]/DDLI_DME[[#This Row],[DIV]]</f>
        <v>0</v>
      </c>
    </row>
    <row r="160" spans="1:18" hidden="1" x14ac:dyDescent="0.25">
      <c r="A160" s="2" t="s">
        <v>1207</v>
      </c>
      <c r="B160" s="2" t="s">
        <v>1208</v>
      </c>
      <c r="C160" s="2" t="s">
        <v>1209</v>
      </c>
      <c r="D160" s="2" t="s">
        <v>1210</v>
      </c>
      <c r="E160" s="2"/>
      <c r="F160" s="2" t="s">
        <v>1200</v>
      </c>
      <c r="G160" s="2" t="s">
        <v>1211</v>
      </c>
      <c r="H160" s="2" t="s">
        <v>460</v>
      </c>
      <c r="I160" s="2" t="s">
        <v>467</v>
      </c>
      <c r="J160" s="2" cm="1">
        <f t="array" ref="J160">_xlfn.IFS(DDLI_DME[[#This Row],[DATENTYP]]="unsigned integer",2,DDLI_DME[[#This Row],[DATENTYP]]="unsigned char",1,DDLI_DME[[#This Row],[DATENTYP]]="signed integer",2)</f>
        <v>2</v>
      </c>
      <c r="K160" s="2" t="s">
        <v>460</v>
      </c>
      <c r="L160">
        <v>6.103515625E-3</v>
      </c>
      <c r="M160">
        <v>1</v>
      </c>
      <c r="N160" t="str">
        <f>TEXT(DDLI_DME[[#This Row],[MUL]],"######/######")</f>
        <v>25/4096</v>
      </c>
      <c r="O160">
        <v>0</v>
      </c>
      <c r="Q160">
        <f>HEX2DEC(DDLI_DME[[#This Row],[Hex]])</f>
        <v>0</v>
      </c>
      <c r="R160">
        <f>DDLI_DME[[#This Row],[ADD]]+DDLI_DME[[#This Row],[Dec]]*DDLI_DME[[#This Row],[MUL]]/DDLI_DME[[#This Row],[DIV]]</f>
        <v>0</v>
      </c>
    </row>
    <row r="161" spans="1:18" hidden="1" x14ac:dyDescent="0.25">
      <c r="A161" s="2" t="s">
        <v>1212</v>
      </c>
      <c r="B161" s="2" t="s">
        <v>1213</v>
      </c>
      <c r="C161" s="2" t="s">
        <v>1214</v>
      </c>
      <c r="D161" s="2" t="s">
        <v>1215</v>
      </c>
      <c r="E161" s="2"/>
      <c r="F161" s="2" t="s">
        <v>1216</v>
      </c>
      <c r="G161" s="2" t="s">
        <v>1217</v>
      </c>
      <c r="H161" s="2" t="s">
        <v>460</v>
      </c>
      <c r="I161" s="2" t="s">
        <v>461</v>
      </c>
      <c r="J161" s="2" cm="1">
        <f t="array" ref="J161">_xlfn.IFS(DDLI_DME[[#This Row],[DATENTYP]]="unsigned integer",2,DDLI_DME[[#This Row],[DATENTYP]]="unsigned char",1,DDLI_DME[[#This Row],[DATENTYP]]="signed integer",2)</f>
        <v>1</v>
      </c>
      <c r="K161" s="2" t="s">
        <v>460</v>
      </c>
      <c r="L161">
        <v>512</v>
      </c>
      <c r="M161">
        <v>1</v>
      </c>
      <c r="N161" t="str">
        <f>TEXT(DDLI_DME[[#This Row],[MUL]],"######/######")</f>
        <v>512/1</v>
      </c>
      <c r="O161">
        <v>0</v>
      </c>
      <c r="Q161">
        <f>HEX2DEC(DDLI_DME[[#This Row],[Hex]])</f>
        <v>0</v>
      </c>
      <c r="R161">
        <f>DDLI_DME[[#This Row],[ADD]]+DDLI_DME[[#This Row],[Dec]]*DDLI_DME[[#This Row],[MUL]]/DDLI_DME[[#This Row],[DIV]]</f>
        <v>0</v>
      </c>
    </row>
    <row r="162" spans="1:18" hidden="1" x14ac:dyDescent="0.25">
      <c r="A162" s="2" t="s">
        <v>1218</v>
      </c>
      <c r="B162" s="2" t="s">
        <v>1219</v>
      </c>
      <c r="C162" s="2" t="s">
        <v>1220</v>
      </c>
      <c r="D162" s="2" t="s">
        <v>1215</v>
      </c>
      <c r="E162" s="2"/>
      <c r="F162" s="2" t="s">
        <v>1216</v>
      </c>
      <c r="G162" s="2" t="s">
        <v>1217</v>
      </c>
      <c r="H162" s="2" t="s">
        <v>460</v>
      </c>
      <c r="I162" s="2" t="s">
        <v>461</v>
      </c>
      <c r="J162" s="2" cm="1">
        <f t="array" ref="J162">_xlfn.IFS(DDLI_DME[[#This Row],[DATENTYP]]="unsigned integer",2,DDLI_DME[[#This Row],[DATENTYP]]="unsigned char",1,DDLI_DME[[#This Row],[DATENTYP]]="signed integer",2)</f>
        <v>1</v>
      </c>
      <c r="K162" s="2" t="s">
        <v>460</v>
      </c>
      <c r="L162">
        <v>2</v>
      </c>
      <c r="M162">
        <v>1</v>
      </c>
      <c r="N162" t="str">
        <f>TEXT(DDLI_DME[[#This Row],[MUL]],"######/######")</f>
        <v>2/1</v>
      </c>
      <c r="O162">
        <v>0</v>
      </c>
      <c r="Q162">
        <f>HEX2DEC(DDLI_DME[[#This Row],[Hex]])</f>
        <v>0</v>
      </c>
      <c r="R162">
        <f>DDLI_DME[[#This Row],[ADD]]+DDLI_DME[[#This Row],[Dec]]*DDLI_DME[[#This Row],[MUL]]/DDLI_DME[[#This Row],[DIV]]</f>
        <v>0</v>
      </c>
    </row>
    <row r="163" spans="1:18" hidden="1" x14ac:dyDescent="0.25">
      <c r="A163" s="2" t="s">
        <v>1221</v>
      </c>
      <c r="B163" s="2" t="s">
        <v>1222</v>
      </c>
      <c r="C163" s="2" t="s">
        <v>1223</v>
      </c>
      <c r="D163" s="2" t="s">
        <v>1224</v>
      </c>
      <c r="E163" s="2"/>
      <c r="F163" s="2" t="s">
        <v>1216</v>
      </c>
      <c r="G163" s="2" t="s">
        <v>1225</v>
      </c>
      <c r="H163" s="2" t="s">
        <v>460</v>
      </c>
      <c r="I163" s="2" t="s">
        <v>461</v>
      </c>
      <c r="J163" s="2" cm="1">
        <f t="array" ref="J163">_xlfn.IFS(DDLI_DME[[#This Row],[DATENTYP]]="unsigned integer",2,DDLI_DME[[#This Row],[DATENTYP]]="unsigned char",1,DDLI_DME[[#This Row],[DATENTYP]]="signed integer",2)</f>
        <v>1</v>
      </c>
      <c r="K163" s="2" t="s">
        <v>460</v>
      </c>
      <c r="L163">
        <v>10</v>
      </c>
      <c r="M163">
        <v>1</v>
      </c>
      <c r="N163" t="str">
        <f>TEXT(DDLI_DME[[#This Row],[MUL]],"######/######")</f>
        <v>10/1</v>
      </c>
      <c r="O163">
        <v>0</v>
      </c>
      <c r="Q163">
        <f>HEX2DEC(DDLI_DME[[#This Row],[Hex]])</f>
        <v>0</v>
      </c>
      <c r="R163">
        <f>DDLI_DME[[#This Row],[ADD]]+DDLI_DME[[#This Row],[Dec]]*DDLI_DME[[#This Row],[MUL]]/DDLI_DME[[#This Row],[DIV]]</f>
        <v>0</v>
      </c>
    </row>
    <row r="164" spans="1:18" hidden="1" x14ac:dyDescent="0.25">
      <c r="A164" s="2" t="s">
        <v>1226</v>
      </c>
      <c r="B164" s="2" t="s">
        <v>1227</v>
      </c>
      <c r="C164" s="2" t="s">
        <v>1228</v>
      </c>
      <c r="D164" s="2" t="s">
        <v>1229</v>
      </c>
      <c r="E164" s="2" t="s">
        <v>2353</v>
      </c>
      <c r="F164" s="2" t="s">
        <v>1230</v>
      </c>
      <c r="G164" s="2" t="s">
        <v>1231</v>
      </c>
      <c r="H164" s="2" t="s">
        <v>460</v>
      </c>
      <c r="I164" s="2" t="s">
        <v>467</v>
      </c>
      <c r="J164" s="2" cm="1">
        <f t="array" ref="J164">_xlfn.IFS(DDLI_DME[[#This Row],[DATENTYP]]="unsigned integer",2,DDLI_DME[[#This Row],[DATENTYP]]="unsigned char",1,DDLI_DME[[#This Row],[DATENTYP]]="signed integer",2)</f>
        <v>2</v>
      </c>
      <c r="K164" s="2" t="s">
        <v>460</v>
      </c>
      <c r="L164">
        <v>0.10000000149011612</v>
      </c>
      <c r="M164">
        <v>1</v>
      </c>
      <c r="N164" t="str">
        <f>TEXT(DDLI_DME[[#This Row],[MUL]],"######/######")</f>
        <v>1/10</v>
      </c>
      <c r="O164">
        <v>0</v>
      </c>
      <c r="Q164">
        <f>HEX2DEC(DDLI_DME[[#This Row],[Hex]])</f>
        <v>0</v>
      </c>
      <c r="R164">
        <f>DDLI_DME[[#This Row],[ADD]]+DDLI_DME[[#This Row],[Dec]]*DDLI_DME[[#This Row],[MUL]]/DDLI_DME[[#This Row],[DIV]]</f>
        <v>0</v>
      </c>
    </row>
    <row r="165" spans="1:18" hidden="1" x14ac:dyDescent="0.25">
      <c r="A165" s="2" t="s">
        <v>1232</v>
      </c>
      <c r="B165" s="2" t="s">
        <v>1233</v>
      </c>
      <c r="C165" s="2" t="s">
        <v>1234</v>
      </c>
      <c r="D165" s="2" t="s">
        <v>1224</v>
      </c>
      <c r="E165" s="2"/>
      <c r="F165" s="2" t="s">
        <v>1216</v>
      </c>
      <c r="G165" s="2" t="s">
        <v>1225</v>
      </c>
      <c r="H165" s="2" t="s">
        <v>460</v>
      </c>
      <c r="I165" s="2" t="s">
        <v>461</v>
      </c>
      <c r="J165" s="2" cm="1">
        <f t="array" ref="J165">_xlfn.IFS(DDLI_DME[[#This Row],[DATENTYP]]="unsigned integer",2,DDLI_DME[[#This Row],[DATENTYP]]="unsigned char",1,DDLI_DME[[#This Row],[DATENTYP]]="signed integer",2)</f>
        <v>1</v>
      </c>
      <c r="K165" s="2" t="s">
        <v>460</v>
      </c>
      <c r="L165">
        <v>3.90625E-2</v>
      </c>
      <c r="M165">
        <v>1</v>
      </c>
      <c r="N165" t="str">
        <f>TEXT(DDLI_DME[[#This Row],[MUL]],"######/######")</f>
        <v>5/128</v>
      </c>
      <c r="O165">
        <v>0</v>
      </c>
      <c r="Q165">
        <f>HEX2DEC(DDLI_DME[[#This Row],[Hex]])</f>
        <v>0</v>
      </c>
      <c r="R165">
        <f>DDLI_DME[[#This Row],[ADD]]+DDLI_DME[[#This Row],[Dec]]*DDLI_DME[[#This Row],[MUL]]/DDLI_DME[[#This Row],[DIV]]</f>
        <v>0</v>
      </c>
    </row>
    <row r="166" spans="1:18" hidden="1" x14ac:dyDescent="0.25">
      <c r="A166" s="2" t="s">
        <v>1235</v>
      </c>
      <c r="B166" s="2" t="s">
        <v>1236</v>
      </c>
      <c r="C166" s="2" t="s">
        <v>1237</v>
      </c>
      <c r="D166" s="2" t="s">
        <v>1238</v>
      </c>
      <c r="E166" s="2"/>
      <c r="F166" s="2" t="s">
        <v>1239</v>
      </c>
      <c r="G166" s="2" t="s">
        <v>1240</v>
      </c>
      <c r="H166" s="2" t="s">
        <v>460</v>
      </c>
      <c r="I166" s="2" t="s">
        <v>467</v>
      </c>
      <c r="J166" s="2" cm="1">
        <f t="array" ref="J166">_xlfn.IFS(DDLI_DME[[#This Row],[DATENTYP]]="unsigned integer",2,DDLI_DME[[#This Row],[DATENTYP]]="unsigned char",1,DDLI_DME[[#This Row],[DATENTYP]]="signed integer",2)</f>
        <v>2</v>
      </c>
      <c r="K166" s="2" t="s">
        <v>460</v>
      </c>
      <c r="L166">
        <v>10</v>
      </c>
      <c r="M166">
        <v>1</v>
      </c>
      <c r="N166" t="str">
        <f>TEXT(DDLI_DME[[#This Row],[MUL]],"######/######")</f>
        <v>10/1</v>
      </c>
      <c r="O166">
        <v>0</v>
      </c>
      <c r="Q166">
        <f>HEX2DEC(DDLI_DME[[#This Row],[Hex]])</f>
        <v>0</v>
      </c>
      <c r="R166">
        <f>DDLI_DME[[#This Row],[ADD]]+DDLI_DME[[#This Row],[Dec]]*DDLI_DME[[#This Row],[MUL]]/DDLI_DME[[#This Row],[DIV]]</f>
        <v>0</v>
      </c>
    </row>
    <row r="167" spans="1:18" hidden="1" x14ac:dyDescent="0.25">
      <c r="A167" s="2" t="s">
        <v>1241</v>
      </c>
      <c r="B167" s="2" t="s">
        <v>1242</v>
      </c>
      <c r="C167" s="2" t="s">
        <v>1243</v>
      </c>
      <c r="D167" s="2" t="s">
        <v>1244</v>
      </c>
      <c r="E167" s="2"/>
      <c r="F167" s="2" t="s">
        <v>460</v>
      </c>
      <c r="G167" s="2" t="s">
        <v>1245</v>
      </c>
      <c r="H167" s="2" t="s">
        <v>460</v>
      </c>
      <c r="I167" s="2" t="s">
        <v>461</v>
      </c>
      <c r="J167" s="2" cm="1">
        <f t="array" ref="J167">_xlfn.IFS(DDLI_DME[[#This Row],[DATENTYP]]="unsigned integer",2,DDLI_DME[[#This Row],[DATENTYP]]="unsigned char",1,DDLI_DME[[#This Row],[DATENTYP]]="signed integer",2)</f>
        <v>1</v>
      </c>
      <c r="K167" s="2" t="s">
        <v>460</v>
      </c>
      <c r="L167">
        <v>1</v>
      </c>
      <c r="M167">
        <v>1</v>
      </c>
      <c r="N167" t="str">
        <f>TEXT(DDLI_DME[[#This Row],[MUL]],"######/######")</f>
        <v>1/1</v>
      </c>
      <c r="O167">
        <v>0</v>
      </c>
      <c r="Q167">
        <f>HEX2DEC(DDLI_DME[[#This Row],[Hex]])</f>
        <v>0</v>
      </c>
      <c r="R167">
        <f>DDLI_DME[[#This Row],[ADD]]+DDLI_DME[[#This Row],[Dec]]*DDLI_DME[[#This Row],[MUL]]/DDLI_DME[[#This Row],[DIV]]</f>
        <v>0</v>
      </c>
    </row>
    <row r="168" spans="1:18" hidden="1" x14ac:dyDescent="0.25">
      <c r="A168" s="2" t="s">
        <v>1246</v>
      </c>
      <c r="B168" s="2" t="s">
        <v>1247</v>
      </c>
      <c r="C168" s="2" t="s">
        <v>1248</v>
      </c>
      <c r="D168" s="2" t="s">
        <v>1249</v>
      </c>
      <c r="E168" s="2"/>
      <c r="F168" s="2" t="s">
        <v>460</v>
      </c>
      <c r="G168" s="2" t="s">
        <v>1250</v>
      </c>
      <c r="H168" s="2" t="s">
        <v>460</v>
      </c>
      <c r="I168" s="2" t="s">
        <v>461</v>
      </c>
      <c r="J168" s="2" cm="1">
        <f t="array" ref="J168">_xlfn.IFS(DDLI_DME[[#This Row],[DATENTYP]]="unsigned integer",2,DDLI_DME[[#This Row],[DATENTYP]]="unsigned char",1,DDLI_DME[[#This Row],[DATENTYP]]="signed integer",2)</f>
        <v>1</v>
      </c>
      <c r="K168" s="2" t="s">
        <v>460</v>
      </c>
      <c r="L168">
        <v>1</v>
      </c>
      <c r="M168">
        <v>1</v>
      </c>
      <c r="N168" t="str">
        <f>TEXT(DDLI_DME[[#This Row],[MUL]],"######/######")</f>
        <v>1/1</v>
      </c>
      <c r="O168">
        <v>0</v>
      </c>
      <c r="Q168">
        <f>HEX2DEC(DDLI_DME[[#This Row],[Hex]])</f>
        <v>0</v>
      </c>
      <c r="R168">
        <f>DDLI_DME[[#This Row],[ADD]]+DDLI_DME[[#This Row],[Dec]]*DDLI_DME[[#This Row],[MUL]]/DDLI_DME[[#This Row],[DIV]]</f>
        <v>0</v>
      </c>
    </row>
    <row r="169" spans="1:18" hidden="1" x14ac:dyDescent="0.25">
      <c r="A169" s="2" t="s">
        <v>1251</v>
      </c>
      <c r="B169" s="2" t="s">
        <v>1252</v>
      </c>
      <c r="C169" s="2" t="s">
        <v>718</v>
      </c>
      <c r="D169" s="2" t="s">
        <v>1253</v>
      </c>
      <c r="E169" s="2"/>
      <c r="F169" s="2" t="s">
        <v>674</v>
      </c>
      <c r="G169" s="2" t="s">
        <v>720</v>
      </c>
      <c r="H169" s="2" t="s">
        <v>460</v>
      </c>
      <c r="I169" s="2" t="s">
        <v>467</v>
      </c>
      <c r="J169" s="2" cm="1">
        <f t="array" ref="J169">_xlfn.IFS(DDLI_DME[[#This Row],[DATENTYP]]="unsigned integer",2,DDLI_DME[[#This Row],[DATENTYP]]="unsigned char",1,DDLI_DME[[#This Row],[DATENTYP]]="signed integer",2)</f>
        <v>2</v>
      </c>
      <c r="K169" s="2" t="s">
        <v>460</v>
      </c>
      <c r="L169">
        <v>2.5000001187436283E-4</v>
      </c>
      <c r="M169">
        <v>1</v>
      </c>
      <c r="N169" t="str">
        <f>TEXT(DDLI_DME[[#This Row],[MUL]],"######/######")</f>
        <v>1/4000</v>
      </c>
      <c r="O169">
        <v>6</v>
      </c>
      <c r="Q169">
        <f>HEX2DEC(DDLI_DME[[#This Row],[Hex]])</f>
        <v>0</v>
      </c>
      <c r="R169">
        <f>DDLI_DME[[#This Row],[ADD]]+DDLI_DME[[#This Row],[Dec]]*DDLI_DME[[#This Row],[MUL]]/DDLI_DME[[#This Row],[DIV]]</f>
        <v>6</v>
      </c>
    </row>
    <row r="170" spans="1:18" hidden="1" x14ac:dyDescent="0.25">
      <c r="A170" s="2" t="s">
        <v>1254</v>
      </c>
      <c r="B170" s="2" t="s">
        <v>1255</v>
      </c>
      <c r="C170" s="2" t="s">
        <v>1256</v>
      </c>
      <c r="D170" s="2" t="s">
        <v>1257</v>
      </c>
      <c r="E170" s="2"/>
      <c r="F170" s="2" t="s">
        <v>1108</v>
      </c>
      <c r="G170" s="2" t="s">
        <v>1258</v>
      </c>
      <c r="H170" s="2" t="s">
        <v>460</v>
      </c>
      <c r="I170" s="2" t="s">
        <v>461</v>
      </c>
      <c r="J170" s="2" cm="1">
        <f t="array" ref="J170">_xlfn.IFS(DDLI_DME[[#This Row],[DATENTYP]]="unsigned integer",2,DDLI_DME[[#This Row],[DATENTYP]]="unsigned char",1,DDLI_DME[[#This Row],[DATENTYP]]="signed integer",2)</f>
        <v>1</v>
      </c>
      <c r="K170" s="2" t="s">
        <v>460</v>
      </c>
      <c r="L170">
        <v>14.933333396911621</v>
      </c>
      <c r="M170">
        <v>1</v>
      </c>
      <c r="N170" t="str">
        <f>TEXT(DDLI_DME[[#This Row],[MUL]],"######/######")</f>
        <v>224/15</v>
      </c>
      <c r="O170">
        <v>0</v>
      </c>
      <c r="Q170">
        <f>HEX2DEC(DDLI_DME[[#This Row],[Hex]])</f>
        <v>0</v>
      </c>
      <c r="R170">
        <f>DDLI_DME[[#This Row],[ADD]]+DDLI_DME[[#This Row],[Dec]]*DDLI_DME[[#This Row],[MUL]]/DDLI_DME[[#This Row],[DIV]]</f>
        <v>0</v>
      </c>
    </row>
    <row r="171" spans="1:18" hidden="1" x14ac:dyDescent="0.25">
      <c r="A171" s="2" t="s">
        <v>1259</v>
      </c>
      <c r="B171" s="2" t="s">
        <v>1260</v>
      </c>
      <c r="C171" s="2" t="s">
        <v>1261</v>
      </c>
      <c r="D171" s="2" t="s">
        <v>1262</v>
      </c>
      <c r="E171" s="2"/>
      <c r="F171" s="2" t="s">
        <v>1108</v>
      </c>
      <c r="G171" s="2" t="s">
        <v>1263</v>
      </c>
      <c r="H171" s="2" t="s">
        <v>460</v>
      </c>
      <c r="I171" s="2" t="s">
        <v>461</v>
      </c>
      <c r="J171" s="2" cm="1">
        <f t="array" ref="J171">_xlfn.IFS(DDLI_DME[[#This Row],[DATENTYP]]="unsigned integer",2,DDLI_DME[[#This Row],[DATENTYP]]="unsigned char",1,DDLI_DME[[#This Row],[DATENTYP]]="signed integer",2)</f>
        <v>1</v>
      </c>
      <c r="K171" s="2" t="s">
        <v>460</v>
      </c>
      <c r="L171">
        <v>14.933333396911621</v>
      </c>
      <c r="M171">
        <v>1</v>
      </c>
      <c r="N171" t="str">
        <f>TEXT(DDLI_DME[[#This Row],[MUL]],"######/######")</f>
        <v>224/15</v>
      </c>
      <c r="O171">
        <v>0</v>
      </c>
      <c r="Q171">
        <f>HEX2DEC(DDLI_DME[[#This Row],[Hex]])</f>
        <v>0</v>
      </c>
      <c r="R171">
        <f>DDLI_DME[[#This Row],[ADD]]+DDLI_DME[[#This Row],[Dec]]*DDLI_DME[[#This Row],[MUL]]/DDLI_DME[[#This Row],[DIV]]</f>
        <v>0</v>
      </c>
    </row>
    <row r="172" spans="1:18" hidden="1" x14ac:dyDescent="0.25">
      <c r="A172" s="2" t="s">
        <v>1264</v>
      </c>
      <c r="B172" s="2" t="s">
        <v>1265</v>
      </c>
      <c r="C172" s="2" t="s">
        <v>1266</v>
      </c>
      <c r="D172" s="2" t="s">
        <v>1267</v>
      </c>
      <c r="E172" s="2"/>
      <c r="F172" s="2" t="s">
        <v>1108</v>
      </c>
      <c r="G172" s="2" t="s">
        <v>1268</v>
      </c>
      <c r="H172" s="2" t="s">
        <v>460</v>
      </c>
      <c r="I172" s="2" t="s">
        <v>461</v>
      </c>
      <c r="J172" s="2" cm="1">
        <f t="array" ref="J172">_xlfn.IFS(DDLI_DME[[#This Row],[DATENTYP]]="unsigned integer",2,DDLI_DME[[#This Row],[DATENTYP]]="unsigned char",1,DDLI_DME[[#This Row],[DATENTYP]]="signed integer",2)</f>
        <v>1</v>
      </c>
      <c r="K172" s="2" t="s">
        <v>460</v>
      </c>
      <c r="L172">
        <v>14.933333396911621</v>
      </c>
      <c r="M172">
        <v>1</v>
      </c>
      <c r="N172" t="str">
        <f>TEXT(DDLI_DME[[#This Row],[MUL]],"######/######")</f>
        <v>224/15</v>
      </c>
      <c r="O172">
        <v>0</v>
      </c>
      <c r="Q172">
        <f>HEX2DEC(DDLI_DME[[#This Row],[Hex]])</f>
        <v>0</v>
      </c>
      <c r="R172">
        <f>DDLI_DME[[#This Row],[ADD]]+DDLI_DME[[#This Row],[Dec]]*DDLI_DME[[#This Row],[MUL]]/DDLI_DME[[#This Row],[DIV]]</f>
        <v>0</v>
      </c>
    </row>
    <row r="173" spans="1:18" hidden="1" x14ac:dyDescent="0.25">
      <c r="A173" s="13" t="s">
        <v>1269</v>
      </c>
      <c r="B173" s="13" t="s">
        <v>1270</v>
      </c>
      <c r="C173" s="13" t="s">
        <v>1271</v>
      </c>
      <c r="D173" s="13" t="s">
        <v>1272</v>
      </c>
      <c r="E173" s="13" t="s">
        <v>2354</v>
      </c>
      <c r="F173" s="13" t="s">
        <v>6</v>
      </c>
      <c r="G173" s="13" t="s">
        <v>1273</v>
      </c>
      <c r="H173" s="13" t="s">
        <v>460</v>
      </c>
      <c r="I173" s="13" t="s">
        <v>531</v>
      </c>
      <c r="J173" s="13" cm="1">
        <f t="array" ref="J173">_xlfn.IFS(DDLI_DME[[#This Row],[DATENTYP]]="unsigned integer",2,DDLI_DME[[#This Row],[DATENTYP]]="unsigned char",1,DDLI_DME[[#This Row],[DATENTYP]]="signed integer",2)</f>
        <v>2</v>
      </c>
      <c r="K173" s="13" t="s">
        <v>460</v>
      </c>
      <c r="L173" s="14">
        <v>1</v>
      </c>
      <c r="M173" s="14">
        <v>1</v>
      </c>
      <c r="N173" s="14" t="str">
        <f>TEXT(DDLI_DME[[#This Row],[MUL]],"######/######")</f>
        <v>1/1</v>
      </c>
      <c r="O173" s="14">
        <v>0</v>
      </c>
      <c r="Q173">
        <f>HEX2DEC(DDLI_DME[[#This Row],[Hex]])</f>
        <v>0</v>
      </c>
      <c r="R173">
        <f>DDLI_DME[[#This Row],[ADD]]+DDLI_DME[[#This Row],[Dec]]*DDLI_DME[[#This Row],[MUL]]/DDLI_DME[[#This Row],[DIV]]</f>
        <v>0</v>
      </c>
    </row>
    <row r="174" spans="1:18" hidden="1" x14ac:dyDescent="0.25">
      <c r="A174" s="2" t="s">
        <v>1274</v>
      </c>
      <c r="B174" s="2" t="s">
        <v>1275</v>
      </c>
      <c r="C174" s="2" t="s">
        <v>1276</v>
      </c>
      <c r="D174" s="2" t="s">
        <v>1277</v>
      </c>
      <c r="E174" s="2"/>
      <c r="F174" s="2" t="s">
        <v>674</v>
      </c>
      <c r="G174" s="2" t="s">
        <v>1278</v>
      </c>
      <c r="H174" s="2" t="s">
        <v>460</v>
      </c>
      <c r="I174" s="2" t="s">
        <v>467</v>
      </c>
      <c r="J174" s="2" cm="1">
        <f t="array" ref="J174">_xlfn.IFS(DDLI_DME[[#This Row],[DATENTYP]]="unsigned integer",2,DDLI_DME[[#This Row],[DATENTYP]]="unsigned char",1,DDLI_DME[[#This Row],[DATENTYP]]="signed integer",2)</f>
        <v>2</v>
      </c>
      <c r="K174" s="2" t="s">
        <v>460</v>
      </c>
      <c r="L174">
        <v>4.8828125E-3</v>
      </c>
      <c r="M174">
        <v>1</v>
      </c>
      <c r="N174" t="str">
        <f>TEXT(DDLI_DME[[#This Row],[MUL]],"######/######")</f>
        <v>5/1024</v>
      </c>
      <c r="O174">
        <v>0</v>
      </c>
      <c r="Q174">
        <f>HEX2DEC(DDLI_DME[[#This Row],[Hex]])</f>
        <v>0</v>
      </c>
      <c r="R174">
        <f>DDLI_DME[[#This Row],[ADD]]+DDLI_DME[[#This Row],[Dec]]*DDLI_DME[[#This Row],[MUL]]/DDLI_DME[[#This Row],[DIV]]</f>
        <v>0</v>
      </c>
    </row>
    <row r="175" spans="1:18" hidden="1" x14ac:dyDescent="0.25">
      <c r="A175" s="2" t="s">
        <v>1279</v>
      </c>
      <c r="B175" s="2" t="s">
        <v>1280</v>
      </c>
      <c r="C175" s="2" t="s">
        <v>693</v>
      </c>
      <c r="D175" s="2" t="s">
        <v>694</v>
      </c>
      <c r="E175" s="2"/>
      <c r="F175" s="2" t="s">
        <v>460</v>
      </c>
      <c r="G175" s="2" t="s">
        <v>695</v>
      </c>
      <c r="H175" s="2" t="s">
        <v>460</v>
      </c>
      <c r="I175" s="2" t="s">
        <v>461</v>
      </c>
      <c r="J175" s="2" cm="1">
        <f t="array" ref="J175">_xlfn.IFS(DDLI_DME[[#This Row],[DATENTYP]]="unsigned integer",2,DDLI_DME[[#This Row],[DATENTYP]]="unsigned char",1,DDLI_DME[[#This Row],[DATENTYP]]="signed integer",2)</f>
        <v>1</v>
      </c>
      <c r="K175" s="2" t="s">
        <v>460</v>
      </c>
      <c r="L175">
        <v>1</v>
      </c>
      <c r="M175">
        <v>1</v>
      </c>
      <c r="N175" t="str">
        <f>TEXT(DDLI_DME[[#This Row],[MUL]],"######/######")</f>
        <v>1/1</v>
      </c>
      <c r="O175">
        <v>0</v>
      </c>
      <c r="Q175">
        <f>HEX2DEC(DDLI_DME[[#This Row],[Hex]])</f>
        <v>0</v>
      </c>
      <c r="R175">
        <f>DDLI_DME[[#This Row],[ADD]]+DDLI_DME[[#This Row],[Dec]]*DDLI_DME[[#This Row],[MUL]]/DDLI_DME[[#This Row],[DIV]]</f>
        <v>0</v>
      </c>
    </row>
    <row r="176" spans="1:18" hidden="1" x14ac:dyDescent="0.25">
      <c r="A176" s="2" t="s">
        <v>1281</v>
      </c>
      <c r="B176" s="2" t="s">
        <v>1282</v>
      </c>
      <c r="C176" s="2" t="s">
        <v>1283</v>
      </c>
      <c r="D176" s="2" t="s">
        <v>1284</v>
      </c>
      <c r="E176" s="2"/>
      <c r="F176" s="2" t="s">
        <v>674</v>
      </c>
      <c r="G176" s="2" t="s">
        <v>1285</v>
      </c>
      <c r="H176" s="2" t="s">
        <v>460</v>
      </c>
      <c r="I176" s="2" t="s">
        <v>467</v>
      </c>
      <c r="J176" s="2" cm="1">
        <f t="array" ref="J176">_xlfn.IFS(DDLI_DME[[#This Row],[DATENTYP]]="unsigned integer",2,DDLI_DME[[#This Row],[DATENTYP]]="unsigned char",1,DDLI_DME[[#This Row],[DATENTYP]]="signed integer",2)</f>
        <v>2</v>
      </c>
      <c r="K176" s="2" t="s">
        <v>460</v>
      </c>
      <c r="L176">
        <v>1.220703125E-3</v>
      </c>
      <c r="M176">
        <v>1</v>
      </c>
      <c r="N176" t="str">
        <f>TEXT(DDLI_DME[[#This Row],[MUL]],"######/######")</f>
        <v>5/4096</v>
      </c>
      <c r="O176">
        <v>0</v>
      </c>
      <c r="Q176">
        <f>HEX2DEC(DDLI_DME[[#This Row],[Hex]])</f>
        <v>0</v>
      </c>
      <c r="R176">
        <f>DDLI_DME[[#This Row],[ADD]]+DDLI_DME[[#This Row],[Dec]]*DDLI_DME[[#This Row],[MUL]]/DDLI_DME[[#This Row],[DIV]]</f>
        <v>0</v>
      </c>
    </row>
    <row r="177" spans="1:18" hidden="1" x14ac:dyDescent="0.25">
      <c r="A177" s="2" t="s">
        <v>1286</v>
      </c>
      <c r="B177" s="2" t="s">
        <v>1287</v>
      </c>
      <c r="C177" s="2" t="s">
        <v>1288</v>
      </c>
      <c r="D177" s="2" t="s">
        <v>1289</v>
      </c>
      <c r="E177" s="2"/>
      <c r="F177" s="2" t="s">
        <v>668</v>
      </c>
      <c r="G177" s="2" t="s">
        <v>1290</v>
      </c>
      <c r="H177" s="2" t="s">
        <v>460</v>
      </c>
      <c r="I177" s="2" t="s">
        <v>467</v>
      </c>
      <c r="J177" s="2" cm="1">
        <f t="array" ref="J177">_xlfn.IFS(DDLI_DME[[#This Row],[DATENTYP]]="unsigned integer",2,DDLI_DME[[#This Row],[DATENTYP]]="unsigned char",1,DDLI_DME[[#This Row],[DATENTYP]]="signed integer",2)</f>
        <v>2</v>
      </c>
      <c r="K177" s="2" t="s">
        <v>460</v>
      </c>
      <c r="L177">
        <v>1.52587890625E-3</v>
      </c>
      <c r="M177">
        <v>1</v>
      </c>
      <c r="N177" t="str">
        <f>TEXT(DDLI_DME[[#This Row],[MUL]],"######/######")</f>
        <v>25/16384</v>
      </c>
      <c r="O177">
        <v>0</v>
      </c>
      <c r="Q177">
        <f>HEX2DEC(DDLI_DME[[#This Row],[Hex]])</f>
        <v>0</v>
      </c>
      <c r="R177">
        <f>DDLI_DME[[#This Row],[ADD]]+DDLI_DME[[#This Row],[Dec]]*DDLI_DME[[#This Row],[MUL]]/DDLI_DME[[#This Row],[DIV]]</f>
        <v>0</v>
      </c>
    </row>
    <row r="178" spans="1:18" hidden="1" x14ac:dyDescent="0.25">
      <c r="A178" s="2" t="s">
        <v>1291</v>
      </c>
      <c r="B178" s="2" t="s">
        <v>1292</v>
      </c>
      <c r="C178" s="2" t="s">
        <v>1293</v>
      </c>
      <c r="D178" s="2" t="s">
        <v>1294</v>
      </c>
      <c r="E178" s="2"/>
      <c r="F178" s="2" t="s">
        <v>1077</v>
      </c>
      <c r="G178" s="2" t="s">
        <v>1295</v>
      </c>
      <c r="H178" s="2" t="s">
        <v>460</v>
      </c>
      <c r="I178" s="2" t="s">
        <v>467</v>
      </c>
      <c r="J178" s="2" cm="1">
        <f t="array" ref="J178">_xlfn.IFS(DDLI_DME[[#This Row],[DATENTYP]]="unsigned integer",2,DDLI_DME[[#This Row],[DATENTYP]]="unsigned char",1,DDLI_DME[[#This Row],[DATENTYP]]="signed integer",2)</f>
        <v>2</v>
      </c>
      <c r="K178" s="2" t="s">
        <v>460</v>
      </c>
      <c r="L178">
        <v>5.0000002374872565E-4</v>
      </c>
      <c r="M178">
        <v>1</v>
      </c>
      <c r="N178" t="str">
        <f>TEXT(DDLI_DME[[#This Row],[MUL]],"######/######")</f>
        <v>1/2000</v>
      </c>
      <c r="O178">
        <v>0</v>
      </c>
      <c r="Q178">
        <f>HEX2DEC(DDLI_DME[[#This Row],[Hex]])</f>
        <v>0</v>
      </c>
      <c r="R178">
        <f>DDLI_DME[[#This Row],[ADD]]+DDLI_DME[[#This Row],[Dec]]*DDLI_DME[[#This Row],[MUL]]/DDLI_DME[[#This Row],[DIV]]</f>
        <v>0</v>
      </c>
    </row>
    <row r="179" spans="1:18" hidden="1" x14ac:dyDescent="0.25">
      <c r="A179" s="2" t="s">
        <v>1296</v>
      </c>
      <c r="B179" s="2" t="s">
        <v>1297</v>
      </c>
      <c r="C179" s="2" t="s">
        <v>1298</v>
      </c>
      <c r="D179" s="2" t="s">
        <v>1299</v>
      </c>
      <c r="E179" s="2"/>
      <c r="F179" s="2" t="s">
        <v>460</v>
      </c>
      <c r="G179" s="2" t="s">
        <v>1300</v>
      </c>
      <c r="H179" s="2" t="s">
        <v>460</v>
      </c>
      <c r="I179" s="2" t="s">
        <v>531</v>
      </c>
      <c r="J179" s="2" cm="1">
        <f t="array" ref="J179">_xlfn.IFS(DDLI_DME[[#This Row],[DATENTYP]]="unsigned integer",2,DDLI_DME[[#This Row],[DATENTYP]]="unsigned char",1,DDLI_DME[[#This Row],[DATENTYP]]="signed integer",2)</f>
        <v>2</v>
      </c>
      <c r="K179" s="2" t="s">
        <v>460</v>
      </c>
      <c r="L179">
        <v>3.0517578125E-5</v>
      </c>
      <c r="M179">
        <v>1</v>
      </c>
      <c r="N179" t="str">
        <f>TEXT(DDLI_DME[[#This Row],[MUL]],"######/######")</f>
        <v>1/32768</v>
      </c>
      <c r="O179">
        <v>0</v>
      </c>
      <c r="Q179">
        <f>HEX2DEC(DDLI_DME[[#This Row],[Hex]])</f>
        <v>0</v>
      </c>
      <c r="R179">
        <f>DDLI_DME[[#This Row],[ADD]]+DDLI_DME[[#This Row],[Dec]]*DDLI_DME[[#This Row],[MUL]]/DDLI_DME[[#This Row],[DIV]]</f>
        <v>0</v>
      </c>
    </row>
    <row r="180" spans="1:18" hidden="1" x14ac:dyDescent="0.25">
      <c r="A180" s="2" t="s">
        <v>1301</v>
      </c>
      <c r="B180" s="2" t="s">
        <v>1302</v>
      </c>
      <c r="C180" s="2" t="s">
        <v>1303</v>
      </c>
      <c r="D180" s="2" t="s">
        <v>1304</v>
      </c>
      <c r="E180" s="2"/>
      <c r="F180" s="2" t="s">
        <v>460</v>
      </c>
      <c r="G180" s="2" t="s">
        <v>1305</v>
      </c>
      <c r="H180" s="2" t="s">
        <v>460</v>
      </c>
      <c r="I180" s="2" t="s">
        <v>461</v>
      </c>
      <c r="J180" s="2" cm="1">
        <f t="array" ref="J180">_xlfn.IFS(DDLI_DME[[#This Row],[DATENTYP]]="unsigned integer",2,DDLI_DME[[#This Row],[DATENTYP]]="unsigned char",1,DDLI_DME[[#This Row],[DATENTYP]]="signed integer",2)</f>
        <v>1</v>
      </c>
      <c r="K180" s="2" t="s">
        <v>460</v>
      </c>
      <c r="L180">
        <v>1</v>
      </c>
      <c r="M180">
        <v>1</v>
      </c>
      <c r="N180" t="str">
        <f>TEXT(DDLI_DME[[#This Row],[MUL]],"######/######")</f>
        <v>1/1</v>
      </c>
      <c r="O180">
        <v>0</v>
      </c>
      <c r="Q180">
        <f>HEX2DEC(DDLI_DME[[#This Row],[Hex]])</f>
        <v>0</v>
      </c>
      <c r="R180">
        <f>DDLI_DME[[#This Row],[ADD]]+DDLI_DME[[#This Row],[Dec]]*DDLI_DME[[#This Row],[MUL]]/DDLI_DME[[#This Row],[DIV]]</f>
        <v>0</v>
      </c>
    </row>
    <row r="181" spans="1:18" hidden="1" x14ac:dyDescent="0.25">
      <c r="A181" s="2" t="s">
        <v>1306</v>
      </c>
      <c r="B181" s="2" t="s">
        <v>1307</v>
      </c>
      <c r="C181" s="2" t="s">
        <v>1308</v>
      </c>
      <c r="D181" s="2" t="s">
        <v>1309</v>
      </c>
      <c r="E181" s="2"/>
      <c r="F181" s="2" t="s">
        <v>1310</v>
      </c>
      <c r="G181" s="2" t="s">
        <v>1311</v>
      </c>
      <c r="H181" s="2" t="s">
        <v>460</v>
      </c>
      <c r="I181" s="2" t="s">
        <v>467</v>
      </c>
      <c r="J181" s="2" cm="1">
        <f t="array" ref="J181">_xlfn.IFS(DDLI_DME[[#This Row],[DATENTYP]]="unsigned integer",2,DDLI_DME[[#This Row],[DATENTYP]]="unsigned char",1,DDLI_DME[[#This Row],[DATENTYP]]="signed integer",2)</f>
        <v>2</v>
      </c>
      <c r="K181" s="2" t="s">
        <v>460</v>
      </c>
      <c r="L181">
        <v>9.9999997473787516E-5</v>
      </c>
      <c r="M181">
        <v>1</v>
      </c>
      <c r="N181" t="str">
        <f>TEXT(DDLI_DME[[#This Row],[MUL]],"######/######")</f>
        <v>1/10000</v>
      </c>
      <c r="O181">
        <v>0</v>
      </c>
      <c r="Q181">
        <f>HEX2DEC(DDLI_DME[[#This Row],[Hex]])</f>
        <v>0</v>
      </c>
      <c r="R181">
        <f>DDLI_DME[[#This Row],[ADD]]+DDLI_DME[[#This Row],[Dec]]*DDLI_DME[[#This Row],[MUL]]/DDLI_DME[[#This Row],[DIV]]</f>
        <v>0</v>
      </c>
    </row>
    <row r="182" spans="1:18" hidden="1" x14ac:dyDescent="0.25">
      <c r="A182" s="2" t="s">
        <v>1312</v>
      </c>
      <c r="B182" s="2" t="s">
        <v>1313</v>
      </c>
      <c r="C182" s="2" t="s">
        <v>1314</v>
      </c>
      <c r="D182" s="2" t="s">
        <v>1315</v>
      </c>
      <c r="E182" s="2"/>
      <c r="F182" s="2" t="s">
        <v>460</v>
      </c>
      <c r="G182" s="2" t="s">
        <v>1316</v>
      </c>
      <c r="H182" s="2" t="s">
        <v>460</v>
      </c>
      <c r="I182" s="2" t="s">
        <v>461</v>
      </c>
      <c r="J182" s="2" cm="1">
        <f t="array" ref="J182">_xlfn.IFS(DDLI_DME[[#This Row],[DATENTYP]]="unsigned integer",2,DDLI_DME[[#This Row],[DATENTYP]]="unsigned char",1,DDLI_DME[[#This Row],[DATENTYP]]="signed integer",2)</f>
        <v>1</v>
      </c>
      <c r="K182" s="2" t="s">
        <v>460</v>
      </c>
      <c r="L182">
        <v>1</v>
      </c>
      <c r="M182">
        <v>1</v>
      </c>
      <c r="N182" t="str">
        <f>TEXT(DDLI_DME[[#This Row],[MUL]],"######/######")</f>
        <v>1/1</v>
      </c>
      <c r="O182">
        <v>0</v>
      </c>
      <c r="Q182">
        <f>HEX2DEC(DDLI_DME[[#This Row],[Hex]])</f>
        <v>0</v>
      </c>
      <c r="R182">
        <f>DDLI_DME[[#This Row],[ADD]]+DDLI_DME[[#This Row],[Dec]]*DDLI_DME[[#This Row],[MUL]]/DDLI_DME[[#This Row],[DIV]]</f>
        <v>0</v>
      </c>
    </row>
    <row r="183" spans="1:18" hidden="1" x14ac:dyDescent="0.25">
      <c r="A183" s="2" t="s">
        <v>1317</v>
      </c>
      <c r="B183" s="2" t="s">
        <v>1318</v>
      </c>
      <c r="C183" s="2" t="s">
        <v>1319</v>
      </c>
      <c r="D183" s="2" t="s">
        <v>1320</v>
      </c>
      <c r="E183" s="2"/>
      <c r="F183" s="2" t="s">
        <v>668</v>
      </c>
      <c r="G183" s="2" t="s">
        <v>745</v>
      </c>
      <c r="H183" s="2" t="s">
        <v>460</v>
      </c>
      <c r="I183" s="2" t="s">
        <v>461</v>
      </c>
      <c r="J183" s="2" cm="1">
        <f t="array" ref="J183">_xlfn.IFS(DDLI_DME[[#This Row],[DATENTYP]]="unsigned integer",2,DDLI_DME[[#This Row],[DATENTYP]]="unsigned char",1,DDLI_DME[[#This Row],[DATENTYP]]="signed integer",2)</f>
        <v>1</v>
      </c>
      <c r="K183" s="2" t="s">
        <v>460</v>
      </c>
      <c r="L183">
        <v>0.390625</v>
      </c>
      <c r="M183">
        <v>1</v>
      </c>
      <c r="N183" t="str">
        <f>TEXT(DDLI_DME[[#This Row],[MUL]],"######/######")</f>
        <v>25/64</v>
      </c>
      <c r="O183">
        <v>0</v>
      </c>
      <c r="Q183">
        <f>HEX2DEC(DDLI_DME[[#This Row],[Hex]])</f>
        <v>0</v>
      </c>
      <c r="R183">
        <f>DDLI_DME[[#This Row],[ADD]]+DDLI_DME[[#This Row],[Dec]]*DDLI_DME[[#This Row],[MUL]]/DDLI_DME[[#This Row],[DIV]]</f>
        <v>0</v>
      </c>
    </row>
    <row r="184" spans="1:18" hidden="1" x14ac:dyDescent="0.25">
      <c r="A184" s="13" t="s">
        <v>1321</v>
      </c>
      <c r="B184" s="13" t="s">
        <v>1322</v>
      </c>
      <c r="C184" s="13" t="s">
        <v>1323</v>
      </c>
      <c r="D184" s="13" t="s">
        <v>1324</v>
      </c>
      <c r="E184" s="13" t="s">
        <v>2355</v>
      </c>
      <c r="F184" s="13" t="s">
        <v>460</v>
      </c>
      <c r="G184" s="13" t="s">
        <v>1325</v>
      </c>
      <c r="H184" s="13" t="s">
        <v>460</v>
      </c>
      <c r="I184" s="13" t="s">
        <v>461</v>
      </c>
      <c r="J184" s="13" cm="1">
        <f t="array" ref="J184">_xlfn.IFS(DDLI_DME[[#This Row],[DATENTYP]]="unsigned integer",2,DDLI_DME[[#This Row],[DATENTYP]]="unsigned char",1,DDLI_DME[[#This Row],[DATENTYP]]="signed integer",2)</f>
        <v>1</v>
      </c>
      <c r="K184" s="13" t="s">
        <v>460</v>
      </c>
      <c r="L184" s="14">
        <v>1</v>
      </c>
      <c r="M184" s="14">
        <v>1</v>
      </c>
      <c r="N184" s="14" t="str">
        <f>TEXT(DDLI_DME[[#This Row],[MUL]],"######/######")</f>
        <v>1/1</v>
      </c>
      <c r="O184" s="14">
        <v>0</v>
      </c>
      <c r="Q184">
        <f>HEX2DEC(DDLI_DME[[#This Row],[Hex]])</f>
        <v>0</v>
      </c>
      <c r="R184">
        <f>DDLI_DME[[#This Row],[ADD]]+DDLI_DME[[#This Row],[Dec]]*DDLI_DME[[#This Row],[MUL]]/DDLI_DME[[#This Row],[DIV]]</f>
        <v>0</v>
      </c>
    </row>
    <row r="185" spans="1:18" hidden="1" x14ac:dyDescent="0.25">
      <c r="A185" s="2" t="s">
        <v>1326</v>
      </c>
      <c r="B185" s="2" t="s">
        <v>1327</v>
      </c>
      <c r="C185" s="2" t="s">
        <v>1328</v>
      </c>
      <c r="D185" s="2" t="s">
        <v>1329</v>
      </c>
      <c r="E185" s="2" t="s">
        <v>2356</v>
      </c>
      <c r="F185" s="2" t="s">
        <v>458</v>
      </c>
      <c r="G185" s="2" t="s">
        <v>1330</v>
      </c>
      <c r="H185" s="2" t="s">
        <v>460</v>
      </c>
      <c r="I185" s="2" t="s">
        <v>461</v>
      </c>
      <c r="J185" s="2" cm="1">
        <f t="array" ref="J185">_xlfn.IFS(DDLI_DME[[#This Row],[DATENTYP]]="unsigned integer",2,DDLI_DME[[#This Row],[DATENTYP]]="unsigned char",1,DDLI_DME[[#This Row],[DATENTYP]]="signed integer",2)</f>
        <v>1</v>
      </c>
      <c r="K185" s="2" t="s">
        <v>460</v>
      </c>
      <c r="L185">
        <v>0.75</v>
      </c>
      <c r="M185">
        <v>1</v>
      </c>
      <c r="N185" t="str">
        <f>TEXT(DDLI_DME[[#This Row],[MUL]],"######/######")</f>
        <v>3/4</v>
      </c>
      <c r="O185">
        <v>-48</v>
      </c>
      <c r="Q185">
        <f>HEX2DEC(DDLI_DME[[#This Row],[Hex]])</f>
        <v>0</v>
      </c>
      <c r="R185">
        <f>DDLI_DME[[#This Row],[ADD]]+DDLI_DME[[#This Row],[Dec]]*DDLI_DME[[#This Row],[MUL]]/DDLI_DME[[#This Row],[DIV]]</f>
        <v>-48</v>
      </c>
    </row>
    <row r="186" spans="1:18" hidden="1" x14ac:dyDescent="0.25">
      <c r="A186" s="2" t="s">
        <v>1331</v>
      </c>
      <c r="B186" s="2" t="s">
        <v>1332</v>
      </c>
      <c r="C186" s="2" t="s">
        <v>1333</v>
      </c>
      <c r="D186" s="2" t="s">
        <v>1334</v>
      </c>
      <c r="E186" s="2"/>
      <c r="F186" s="2" t="s">
        <v>674</v>
      </c>
      <c r="G186" s="2" t="s">
        <v>1335</v>
      </c>
      <c r="H186" s="2" t="s">
        <v>460</v>
      </c>
      <c r="I186" s="2" t="s">
        <v>467</v>
      </c>
      <c r="J186" s="2" cm="1">
        <f t="array" ref="J186">_xlfn.IFS(DDLI_DME[[#This Row],[DATENTYP]]="unsigned integer",2,DDLI_DME[[#This Row],[DATENTYP]]="unsigned char",1,DDLI_DME[[#This Row],[DATENTYP]]="signed integer",2)</f>
        <v>2</v>
      </c>
      <c r="K186" s="2" t="s">
        <v>460</v>
      </c>
      <c r="L186">
        <v>7.62939453125E-5</v>
      </c>
      <c r="M186">
        <v>1</v>
      </c>
      <c r="N186" t="str">
        <f>TEXT(DDLI_DME[[#This Row],[MUL]],"######/######")</f>
        <v>5/65536</v>
      </c>
      <c r="O186">
        <v>0</v>
      </c>
      <c r="Q186">
        <f>HEX2DEC(DDLI_DME[[#This Row],[Hex]])</f>
        <v>0</v>
      </c>
      <c r="R186">
        <f>DDLI_DME[[#This Row],[ADD]]+DDLI_DME[[#This Row],[Dec]]*DDLI_DME[[#This Row],[MUL]]/DDLI_DME[[#This Row],[DIV]]</f>
        <v>0</v>
      </c>
    </row>
    <row r="187" spans="1:18" hidden="1" x14ac:dyDescent="0.25">
      <c r="A187" s="2" t="s">
        <v>1336</v>
      </c>
      <c r="B187" s="2" t="s">
        <v>1337</v>
      </c>
      <c r="C187" s="2" t="s">
        <v>1338</v>
      </c>
      <c r="D187" s="2" t="s">
        <v>764</v>
      </c>
      <c r="E187" s="2"/>
      <c r="F187" s="2" t="s">
        <v>630</v>
      </c>
      <c r="G187" s="2" t="s">
        <v>765</v>
      </c>
      <c r="H187" s="2" t="s">
        <v>460</v>
      </c>
      <c r="I187" s="2" t="s">
        <v>461</v>
      </c>
      <c r="J187" s="2" cm="1">
        <f t="array" ref="J187">_xlfn.IFS(DDLI_DME[[#This Row],[DATENTYP]]="unsigned integer",2,DDLI_DME[[#This Row],[DATENTYP]]="unsigned char",1,DDLI_DME[[#This Row],[DATENTYP]]="signed integer",2)</f>
        <v>1</v>
      </c>
      <c r="K187" s="2" t="s">
        <v>460</v>
      </c>
      <c r="L187">
        <v>0.125</v>
      </c>
      <c r="M187">
        <v>1</v>
      </c>
      <c r="N187" t="str">
        <f>TEXT(DDLI_DME[[#This Row],[MUL]],"######/######")</f>
        <v>1/8</v>
      </c>
      <c r="O187">
        <v>0</v>
      </c>
      <c r="Q187">
        <f>HEX2DEC(DDLI_DME[[#This Row],[Hex]])</f>
        <v>0</v>
      </c>
      <c r="R187">
        <f>DDLI_DME[[#This Row],[ADD]]+DDLI_DME[[#This Row],[Dec]]*DDLI_DME[[#This Row],[MUL]]/DDLI_DME[[#This Row],[DIV]]</f>
        <v>0</v>
      </c>
    </row>
    <row r="188" spans="1:18" hidden="1" x14ac:dyDescent="0.25">
      <c r="A188" s="2" t="s">
        <v>1339</v>
      </c>
      <c r="B188" s="2" t="s">
        <v>1340</v>
      </c>
      <c r="C188" s="2" t="s">
        <v>1341</v>
      </c>
      <c r="D188" s="2" t="s">
        <v>1342</v>
      </c>
      <c r="E188" s="2"/>
      <c r="F188" s="2" t="s">
        <v>674</v>
      </c>
      <c r="G188" s="2" t="s">
        <v>1335</v>
      </c>
      <c r="H188" s="2" t="s">
        <v>460</v>
      </c>
      <c r="I188" s="2" t="s">
        <v>467</v>
      </c>
      <c r="J188" s="2" cm="1">
        <f t="array" ref="J188">_xlfn.IFS(DDLI_DME[[#This Row],[DATENTYP]]="unsigned integer",2,DDLI_DME[[#This Row],[DATENTYP]]="unsigned char",1,DDLI_DME[[#This Row],[DATENTYP]]="signed integer",2)</f>
        <v>2</v>
      </c>
      <c r="K188" s="2" t="s">
        <v>460</v>
      </c>
      <c r="L188">
        <v>7.62939453125E-5</v>
      </c>
      <c r="M188">
        <v>1</v>
      </c>
      <c r="N188" t="str">
        <f>TEXT(DDLI_DME[[#This Row],[MUL]],"######/######")</f>
        <v>5/65536</v>
      </c>
      <c r="O188">
        <v>0</v>
      </c>
      <c r="Q188">
        <f>HEX2DEC(DDLI_DME[[#This Row],[Hex]])</f>
        <v>0</v>
      </c>
      <c r="R188">
        <f>DDLI_DME[[#This Row],[ADD]]+DDLI_DME[[#This Row],[Dec]]*DDLI_DME[[#This Row],[MUL]]/DDLI_DME[[#This Row],[DIV]]</f>
        <v>0</v>
      </c>
    </row>
    <row r="189" spans="1:18" hidden="1" x14ac:dyDescent="0.25">
      <c r="A189" s="2" t="s">
        <v>756</v>
      </c>
      <c r="B189" s="2" t="s">
        <v>1343</v>
      </c>
      <c r="C189" s="2" t="s">
        <v>758</v>
      </c>
      <c r="D189" s="2" t="s">
        <v>759</v>
      </c>
      <c r="E189" s="2"/>
      <c r="F189" s="2" t="s">
        <v>668</v>
      </c>
      <c r="G189" s="2" t="s">
        <v>760</v>
      </c>
      <c r="H189" s="2" t="s">
        <v>460</v>
      </c>
      <c r="I189" s="2" t="s">
        <v>461</v>
      </c>
      <c r="J189" s="2" cm="1">
        <f t="array" ref="J189">_xlfn.IFS(DDLI_DME[[#This Row],[DATENTYP]]="unsigned integer",2,DDLI_DME[[#This Row],[DATENTYP]]="unsigned char",1,DDLI_DME[[#This Row],[DATENTYP]]="signed integer",2)</f>
        <v>1</v>
      </c>
      <c r="K189" s="2" t="s">
        <v>460</v>
      </c>
      <c r="L189">
        <v>0.390625</v>
      </c>
      <c r="M189">
        <v>1</v>
      </c>
      <c r="N189" t="str">
        <f>TEXT(DDLI_DME[[#This Row],[MUL]],"######/######")</f>
        <v>25/64</v>
      </c>
      <c r="O189">
        <v>0</v>
      </c>
      <c r="Q189">
        <f>HEX2DEC(DDLI_DME[[#This Row],[Hex]])</f>
        <v>0</v>
      </c>
      <c r="R189">
        <f>DDLI_DME[[#This Row],[ADD]]+DDLI_DME[[#This Row],[Dec]]*DDLI_DME[[#This Row],[MUL]]/DDLI_DME[[#This Row],[DIV]]</f>
        <v>0</v>
      </c>
    </row>
    <row r="190" spans="1:18" hidden="1" x14ac:dyDescent="0.25">
      <c r="A190" s="2" t="s">
        <v>1344</v>
      </c>
      <c r="B190" s="2" t="s">
        <v>1345</v>
      </c>
      <c r="C190" s="2" t="s">
        <v>1346</v>
      </c>
      <c r="D190" s="2" t="s">
        <v>1347</v>
      </c>
      <c r="E190" s="2"/>
      <c r="F190" s="2" t="s">
        <v>674</v>
      </c>
      <c r="G190" s="2" t="s">
        <v>1335</v>
      </c>
      <c r="H190" s="2" t="s">
        <v>460</v>
      </c>
      <c r="I190" s="2" t="s">
        <v>467</v>
      </c>
      <c r="J190" s="2" cm="1">
        <f t="array" ref="J190">_xlfn.IFS(DDLI_DME[[#This Row],[DATENTYP]]="unsigned integer",2,DDLI_DME[[#This Row],[DATENTYP]]="unsigned char",1,DDLI_DME[[#This Row],[DATENTYP]]="signed integer",2)</f>
        <v>2</v>
      </c>
      <c r="K190" s="2" t="s">
        <v>460</v>
      </c>
      <c r="L190">
        <v>7.62939453125E-5</v>
      </c>
      <c r="M190">
        <v>1</v>
      </c>
      <c r="N190" t="str">
        <f>TEXT(DDLI_DME[[#This Row],[MUL]],"######/######")</f>
        <v>5/65536</v>
      </c>
      <c r="O190">
        <v>0</v>
      </c>
      <c r="Q190">
        <f>HEX2DEC(DDLI_DME[[#This Row],[Hex]])</f>
        <v>0</v>
      </c>
      <c r="R190">
        <f>DDLI_DME[[#This Row],[ADD]]+DDLI_DME[[#This Row],[Dec]]*DDLI_DME[[#This Row],[MUL]]/DDLI_DME[[#This Row],[DIV]]</f>
        <v>0</v>
      </c>
    </row>
    <row r="191" spans="1:18" hidden="1" x14ac:dyDescent="0.25">
      <c r="A191" s="2" t="s">
        <v>1348</v>
      </c>
      <c r="B191" s="2" t="s">
        <v>1349</v>
      </c>
      <c r="C191" s="2" t="s">
        <v>1350</v>
      </c>
      <c r="D191" s="2" t="s">
        <v>1351</v>
      </c>
      <c r="E191" s="2"/>
      <c r="F191" s="2" t="s">
        <v>460</v>
      </c>
      <c r="G191" s="2" t="s">
        <v>1352</v>
      </c>
      <c r="H191" s="2" t="s">
        <v>460</v>
      </c>
      <c r="I191" s="2" t="s">
        <v>467</v>
      </c>
      <c r="J191" s="2" cm="1">
        <f t="array" ref="J191">_xlfn.IFS(DDLI_DME[[#This Row],[DATENTYP]]="unsigned integer",2,DDLI_DME[[#This Row],[DATENTYP]]="unsigned char",1,DDLI_DME[[#This Row],[DATENTYP]]="signed integer",2)</f>
        <v>2</v>
      </c>
      <c r="K191" s="2" t="s">
        <v>460</v>
      </c>
      <c r="L191">
        <v>2.44140625E-4</v>
      </c>
      <c r="M191">
        <v>1</v>
      </c>
      <c r="N191" t="str">
        <f>TEXT(DDLI_DME[[#This Row],[MUL]],"######/######")</f>
        <v>1/4096</v>
      </c>
      <c r="O191">
        <v>0</v>
      </c>
      <c r="Q191">
        <f>HEX2DEC(DDLI_DME[[#This Row],[Hex]])</f>
        <v>0</v>
      </c>
      <c r="R191">
        <f>DDLI_DME[[#This Row],[ADD]]+DDLI_DME[[#This Row],[Dec]]*DDLI_DME[[#This Row],[MUL]]/DDLI_DME[[#This Row],[DIV]]</f>
        <v>0</v>
      </c>
    </row>
    <row r="192" spans="1:18" hidden="1" x14ac:dyDescent="0.25">
      <c r="A192" s="2" t="s">
        <v>1353</v>
      </c>
      <c r="B192" s="2" t="s">
        <v>1354</v>
      </c>
      <c r="C192" s="2" t="s">
        <v>1355</v>
      </c>
      <c r="D192" s="2" t="s">
        <v>1356</v>
      </c>
      <c r="E192" s="2"/>
      <c r="F192" s="2" t="s">
        <v>770</v>
      </c>
      <c r="G192" s="2" t="s">
        <v>1357</v>
      </c>
      <c r="H192" s="2" t="s">
        <v>460</v>
      </c>
      <c r="I192" s="2" t="s">
        <v>467</v>
      </c>
      <c r="J192" s="2" cm="1">
        <f t="array" ref="J192">_xlfn.IFS(DDLI_DME[[#This Row],[DATENTYP]]="unsigned integer",2,DDLI_DME[[#This Row],[DATENTYP]]="unsigned char",1,DDLI_DME[[#This Row],[DATENTYP]]="signed integer",2)</f>
        <v>2</v>
      </c>
      <c r="K192" s="2" t="s">
        <v>460</v>
      </c>
      <c r="L192">
        <v>9.9999997764825821E-3</v>
      </c>
      <c r="M192">
        <v>1</v>
      </c>
      <c r="N192" t="str">
        <f>TEXT(DDLI_DME[[#This Row],[MUL]],"######/######")</f>
        <v>1/100</v>
      </c>
      <c r="O192">
        <v>0</v>
      </c>
      <c r="Q192">
        <f>HEX2DEC(DDLI_DME[[#This Row],[Hex]])</f>
        <v>0</v>
      </c>
      <c r="R192">
        <f>DDLI_DME[[#This Row],[ADD]]+DDLI_DME[[#This Row],[Dec]]*DDLI_DME[[#This Row],[MUL]]/DDLI_DME[[#This Row],[DIV]]</f>
        <v>0</v>
      </c>
    </row>
    <row r="193" spans="1:18" hidden="1" x14ac:dyDescent="0.25">
      <c r="A193" s="2" t="s">
        <v>1358</v>
      </c>
      <c r="B193" s="2" t="s">
        <v>1359</v>
      </c>
      <c r="C193" s="2" t="s">
        <v>1360</v>
      </c>
      <c r="D193" s="2" t="s">
        <v>1361</v>
      </c>
      <c r="E193" s="2"/>
      <c r="F193" s="2" t="s">
        <v>458</v>
      </c>
      <c r="G193" s="2" t="s">
        <v>1362</v>
      </c>
      <c r="H193" s="2" t="s">
        <v>460</v>
      </c>
      <c r="I193" s="2" t="s">
        <v>467</v>
      </c>
      <c r="J193" s="2" cm="1">
        <f t="array" ref="J193">_xlfn.IFS(DDLI_DME[[#This Row],[DATENTYP]]="unsigned integer",2,DDLI_DME[[#This Row],[DATENTYP]]="unsigned char",1,DDLI_DME[[#This Row],[DATENTYP]]="signed integer",2)</f>
        <v>2</v>
      </c>
      <c r="K193" s="2" t="s">
        <v>460</v>
      </c>
      <c r="L193">
        <v>2.34375E-2</v>
      </c>
      <c r="M193">
        <v>1</v>
      </c>
      <c r="N193" t="str">
        <f>TEXT(DDLI_DME[[#This Row],[MUL]],"######/######")</f>
        <v>3/128</v>
      </c>
      <c r="O193">
        <v>-273</v>
      </c>
      <c r="Q193">
        <f>HEX2DEC(DDLI_DME[[#This Row],[Hex]])</f>
        <v>0</v>
      </c>
      <c r="R193">
        <f>DDLI_DME[[#This Row],[ADD]]+DDLI_DME[[#This Row],[Dec]]*DDLI_DME[[#This Row],[MUL]]/DDLI_DME[[#This Row],[DIV]]</f>
        <v>-273</v>
      </c>
    </row>
    <row r="194" spans="1:18" hidden="1" x14ac:dyDescent="0.25">
      <c r="A194" s="2" t="s">
        <v>1363</v>
      </c>
      <c r="B194" s="2" t="s">
        <v>1364</v>
      </c>
      <c r="C194" s="2" t="s">
        <v>1365</v>
      </c>
      <c r="D194" s="2" t="s">
        <v>1366</v>
      </c>
      <c r="E194" s="2"/>
      <c r="F194" s="2" t="s">
        <v>770</v>
      </c>
      <c r="G194" s="2" t="s">
        <v>1367</v>
      </c>
      <c r="H194" s="2" t="s">
        <v>460</v>
      </c>
      <c r="I194" s="2" t="s">
        <v>467</v>
      </c>
      <c r="J194" s="2" cm="1">
        <f t="array" ref="J194">_xlfn.IFS(DDLI_DME[[#This Row],[DATENTYP]]="unsigned integer",2,DDLI_DME[[#This Row],[DATENTYP]]="unsigned char",1,DDLI_DME[[#This Row],[DATENTYP]]="signed integer",2)</f>
        <v>2</v>
      </c>
      <c r="K194" s="2" t="s">
        <v>460</v>
      </c>
      <c r="L194">
        <v>0.10000000149011612</v>
      </c>
      <c r="M194">
        <v>1</v>
      </c>
      <c r="N194" t="str">
        <f>TEXT(DDLI_DME[[#This Row],[MUL]],"######/######")</f>
        <v>1/10</v>
      </c>
      <c r="O194">
        <v>0</v>
      </c>
      <c r="Q194">
        <f>HEX2DEC(DDLI_DME[[#This Row],[Hex]])</f>
        <v>0</v>
      </c>
      <c r="R194">
        <f>DDLI_DME[[#This Row],[ADD]]+DDLI_DME[[#This Row],[Dec]]*DDLI_DME[[#This Row],[MUL]]/DDLI_DME[[#This Row],[DIV]]</f>
        <v>0</v>
      </c>
    </row>
    <row r="195" spans="1:18" hidden="1" x14ac:dyDescent="0.25">
      <c r="A195" s="2" t="s">
        <v>1368</v>
      </c>
      <c r="B195" s="2" t="s">
        <v>1369</v>
      </c>
      <c r="C195" s="2" t="s">
        <v>1370</v>
      </c>
      <c r="D195" s="2" t="s">
        <v>1371</v>
      </c>
      <c r="E195" s="2"/>
      <c r="F195" s="2" t="s">
        <v>1200</v>
      </c>
      <c r="G195" s="2" t="s">
        <v>1372</v>
      </c>
      <c r="H195" s="2" t="s">
        <v>460</v>
      </c>
      <c r="I195" s="2" t="s">
        <v>467</v>
      </c>
      <c r="J195" s="2" cm="1">
        <f t="array" ref="J195">_xlfn.IFS(DDLI_DME[[#This Row],[DATENTYP]]="unsigned integer",2,DDLI_DME[[#This Row],[DATENTYP]]="unsigned char",1,DDLI_DME[[#This Row],[DATENTYP]]="signed integer",2)</f>
        <v>2</v>
      </c>
      <c r="K195" s="2" t="s">
        <v>460</v>
      </c>
      <c r="L195">
        <v>6.103515625E-3</v>
      </c>
      <c r="M195">
        <v>1</v>
      </c>
      <c r="N195" t="str">
        <f>TEXT(DDLI_DME[[#This Row],[MUL]],"######/######")</f>
        <v>25/4096</v>
      </c>
      <c r="O195">
        <v>0</v>
      </c>
      <c r="Q195">
        <f>HEX2DEC(DDLI_DME[[#This Row],[Hex]])</f>
        <v>0</v>
      </c>
      <c r="R195">
        <f>DDLI_DME[[#This Row],[ADD]]+DDLI_DME[[#This Row],[Dec]]*DDLI_DME[[#This Row],[MUL]]/DDLI_DME[[#This Row],[DIV]]</f>
        <v>0</v>
      </c>
    </row>
    <row r="196" spans="1:18" hidden="1" x14ac:dyDescent="0.25">
      <c r="A196" s="2" t="s">
        <v>1373</v>
      </c>
      <c r="B196" s="2" t="s">
        <v>1374</v>
      </c>
      <c r="C196" s="2" t="s">
        <v>1375</v>
      </c>
      <c r="D196" s="2" t="s">
        <v>1376</v>
      </c>
      <c r="E196" s="2"/>
      <c r="F196" s="2" t="s">
        <v>1377</v>
      </c>
      <c r="G196" s="2" t="s">
        <v>1378</v>
      </c>
      <c r="H196" s="2" t="s">
        <v>460</v>
      </c>
      <c r="I196" s="2" t="s">
        <v>531</v>
      </c>
      <c r="J196" s="2" cm="1">
        <f t="array" ref="J196">_xlfn.IFS(DDLI_DME[[#This Row],[DATENTYP]]="unsigned integer",2,DDLI_DME[[#This Row],[DATENTYP]]="unsigned char",1,DDLI_DME[[#This Row],[DATENTYP]]="signed integer",2)</f>
        <v>2</v>
      </c>
      <c r="K196" s="2" t="s">
        <v>460</v>
      </c>
      <c r="L196">
        <v>0.5</v>
      </c>
      <c r="M196">
        <v>1</v>
      </c>
      <c r="N196" t="str">
        <f>TEXT(DDLI_DME[[#This Row],[MUL]],"######/######")</f>
        <v>1/2</v>
      </c>
      <c r="O196">
        <v>0</v>
      </c>
      <c r="Q196">
        <f>HEX2DEC(DDLI_DME[[#This Row],[Hex]])</f>
        <v>0</v>
      </c>
      <c r="R196">
        <f>DDLI_DME[[#This Row],[ADD]]+DDLI_DME[[#This Row],[Dec]]*DDLI_DME[[#This Row],[MUL]]/DDLI_DME[[#This Row],[DIV]]</f>
        <v>0</v>
      </c>
    </row>
    <row r="197" spans="1:18" hidden="1" x14ac:dyDescent="0.25">
      <c r="A197" s="2" t="s">
        <v>1379</v>
      </c>
      <c r="B197" s="2" t="s">
        <v>1380</v>
      </c>
      <c r="C197" s="2" t="s">
        <v>1381</v>
      </c>
      <c r="D197" s="2" t="s">
        <v>1382</v>
      </c>
      <c r="E197" s="2"/>
      <c r="F197" s="2" t="s">
        <v>6</v>
      </c>
      <c r="G197" s="2" t="s">
        <v>1383</v>
      </c>
      <c r="H197" s="2" t="s">
        <v>460</v>
      </c>
      <c r="I197" s="2" t="s">
        <v>531</v>
      </c>
      <c r="J197" s="2" cm="1">
        <f t="array" ref="J197">_xlfn.IFS(DDLI_DME[[#This Row],[DATENTYP]]="unsigned integer",2,DDLI_DME[[#This Row],[DATENTYP]]="unsigned char",1,DDLI_DME[[#This Row],[DATENTYP]]="signed integer",2)</f>
        <v>2</v>
      </c>
      <c r="K197" s="2" t="s">
        <v>460</v>
      </c>
      <c r="L197">
        <v>3.90625E-2</v>
      </c>
      <c r="M197">
        <v>1</v>
      </c>
      <c r="N197" t="str">
        <f>TEXT(DDLI_DME[[#This Row],[MUL]],"######/######")</f>
        <v>5/128</v>
      </c>
      <c r="O197">
        <v>0</v>
      </c>
      <c r="Q197">
        <f>HEX2DEC(DDLI_DME[[#This Row],[Hex]])</f>
        <v>0</v>
      </c>
      <c r="R197">
        <f>DDLI_DME[[#This Row],[ADD]]+DDLI_DME[[#This Row],[Dec]]*DDLI_DME[[#This Row],[MUL]]/DDLI_DME[[#This Row],[DIV]]</f>
        <v>0</v>
      </c>
    </row>
    <row r="198" spans="1:18" hidden="1" x14ac:dyDescent="0.25">
      <c r="A198" s="2" t="s">
        <v>1384</v>
      </c>
      <c r="B198" s="2" t="s">
        <v>1385</v>
      </c>
      <c r="C198" s="2" t="s">
        <v>1386</v>
      </c>
      <c r="D198" s="2" t="s">
        <v>1387</v>
      </c>
      <c r="E198" s="2"/>
      <c r="F198" s="2" t="s">
        <v>668</v>
      </c>
      <c r="G198" s="2" t="s">
        <v>1388</v>
      </c>
      <c r="H198" s="2" t="s">
        <v>460</v>
      </c>
      <c r="I198" s="2" t="s">
        <v>467</v>
      </c>
      <c r="J198" s="2" cm="1">
        <f t="array" ref="J198">_xlfn.IFS(DDLI_DME[[#This Row],[DATENTYP]]="unsigned integer",2,DDLI_DME[[#This Row],[DATENTYP]]="unsigned char",1,DDLI_DME[[#This Row],[DATENTYP]]="signed integer",2)</f>
        <v>2</v>
      </c>
      <c r="K198" s="2" t="s">
        <v>460</v>
      </c>
      <c r="L198">
        <v>1.52587890625E-3</v>
      </c>
      <c r="M198">
        <v>1</v>
      </c>
      <c r="N198" t="str">
        <f>TEXT(DDLI_DME[[#This Row],[MUL]],"######/######")</f>
        <v>25/16384</v>
      </c>
      <c r="O198">
        <v>0</v>
      </c>
      <c r="Q198">
        <f>HEX2DEC(DDLI_DME[[#This Row],[Hex]])</f>
        <v>0</v>
      </c>
      <c r="R198">
        <f>DDLI_DME[[#This Row],[ADD]]+DDLI_DME[[#This Row],[Dec]]*DDLI_DME[[#This Row],[MUL]]/DDLI_DME[[#This Row],[DIV]]</f>
        <v>0</v>
      </c>
    </row>
    <row r="199" spans="1:18" hidden="1" x14ac:dyDescent="0.25">
      <c r="A199" s="2" t="s">
        <v>1389</v>
      </c>
      <c r="B199" s="2" t="s">
        <v>1390</v>
      </c>
      <c r="C199" s="2" t="s">
        <v>1391</v>
      </c>
      <c r="D199" s="2" t="s">
        <v>1392</v>
      </c>
      <c r="E199" s="2"/>
      <c r="F199" s="2" t="s">
        <v>674</v>
      </c>
      <c r="G199" s="2" t="s">
        <v>1335</v>
      </c>
      <c r="H199" s="2" t="s">
        <v>460</v>
      </c>
      <c r="I199" s="2" t="s">
        <v>467</v>
      </c>
      <c r="J199" s="2" cm="1">
        <f t="array" ref="J199">_xlfn.IFS(DDLI_DME[[#This Row],[DATENTYP]]="unsigned integer",2,DDLI_DME[[#This Row],[DATENTYP]]="unsigned char",1,DDLI_DME[[#This Row],[DATENTYP]]="signed integer",2)</f>
        <v>2</v>
      </c>
      <c r="K199" s="2" t="s">
        <v>460</v>
      </c>
      <c r="L199">
        <v>7.62939453125E-5</v>
      </c>
      <c r="M199">
        <v>1</v>
      </c>
      <c r="N199" t="str">
        <f>TEXT(DDLI_DME[[#This Row],[MUL]],"######/######")</f>
        <v>5/65536</v>
      </c>
      <c r="O199">
        <v>0</v>
      </c>
      <c r="Q199">
        <f>HEX2DEC(DDLI_DME[[#This Row],[Hex]])</f>
        <v>0</v>
      </c>
      <c r="R199">
        <f>DDLI_DME[[#This Row],[ADD]]+DDLI_DME[[#This Row],[Dec]]*DDLI_DME[[#This Row],[MUL]]/DDLI_DME[[#This Row],[DIV]]</f>
        <v>0</v>
      </c>
    </row>
    <row r="200" spans="1:18" hidden="1" x14ac:dyDescent="0.25">
      <c r="A200" s="13" t="s">
        <v>1393</v>
      </c>
      <c r="B200" s="13" t="s">
        <v>1394</v>
      </c>
      <c r="C200" s="13" t="s">
        <v>1395</v>
      </c>
      <c r="D200" s="13" t="s">
        <v>1396</v>
      </c>
      <c r="E200" s="13" t="s">
        <v>2357</v>
      </c>
      <c r="F200" s="13" t="s">
        <v>458</v>
      </c>
      <c r="G200" s="13" t="s">
        <v>1397</v>
      </c>
      <c r="H200" s="13" t="s">
        <v>460</v>
      </c>
      <c r="I200" s="13" t="s">
        <v>467</v>
      </c>
      <c r="J200" s="13" cm="1">
        <f t="array" ref="J200">_xlfn.IFS(DDLI_DME[[#This Row],[DATENTYP]]="unsigned integer",2,DDLI_DME[[#This Row],[DATENTYP]]="unsigned char",1,DDLI_DME[[#This Row],[DATENTYP]]="signed integer",2)</f>
        <v>2</v>
      </c>
      <c r="K200" s="13" t="s">
        <v>460</v>
      </c>
      <c r="L200" s="14">
        <v>2.34375E-2</v>
      </c>
      <c r="M200" s="14">
        <v>1</v>
      </c>
      <c r="N200" s="14" t="str">
        <f>TEXT(DDLI_DME[[#This Row],[MUL]],"######/######")</f>
        <v>3/128</v>
      </c>
      <c r="O200" s="14">
        <v>-273</v>
      </c>
      <c r="Q200">
        <f>HEX2DEC(DDLI_DME[[#This Row],[Hex]])</f>
        <v>0</v>
      </c>
      <c r="R200">
        <f>DDLI_DME[[#This Row],[ADD]]+DDLI_DME[[#This Row],[Dec]]*DDLI_DME[[#This Row],[MUL]]/DDLI_DME[[#This Row],[DIV]]</f>
        <v>-273</v>
      </c>
    </row>
    <row r="201" spans="1:18" hidden="1" x14ac:dyDescent="0.25">
      <c r="A201" s="2" t="s">
        <v>1398</v>
      </c>
      <c r="B201" s="2" t="s">
        <v>1399</v>
      </c>
      <c r="C201" s="2" t="s">
        <v>1400</v>
      </c>
      <c r="D201" s="2" t="s">
        <v>1401</v>
      </c>
      <c r="E201" s="2"/>
      <c r="F201" s="2" t="s">
        <v>674</v>
      </c>
      <c r="G201" s="2" t="s">
        <v>675</v>
      </c>
      <c r="H201" s="2" t="s">
        <v>460</v>
      </c>
      <c r="I201" s="2" t="s">
        <v>461</v>
      </c>
      <c r="J201" s="2" cm="1">
        <f t="array" ref="J201">_xlfn.IFS(DDLI_DME[[#This Row],[DATENTYP]]="unsigned integer",2,DDLI_DME[[#This Row],[DATENTYP]]="unsigned char",1,DDLI_DME[[#This Row],[DATENTYP]]="signed integer",2)</f>
        <v>1</v>
      </c>
      <c r="K201" s="2" t="s">
        <v>460</v>
      </c>
      <c r="L201">
        <v>0.10000000149011612</v>
      </c>
      <c r="M201">
        <v>1</v>
      </c>
      <c r="N201" t="str">
        <f>TEXT(DDLI_DME[[#This Row],[MUL]],"######/######")</f>
        <v>1/10</v>
      </c>
      <c r="O201">
        <v>11</v>
      </c>
      <c r="Q201">
        <f>HEX2DEC(DDLI_DME[[#This Row],[Hex]])</f>
        <v>0</v>
      </c>
      <c r="R201">
        <f>DDLI_DME[[#This Row],[ADD]]+DDLI_DME[[#This Row],[Dec]]*DDLI_DME[[#This Row],[MUL]]/DDLI_DME[[#This Row],[DIV]]</f>
        <v>11</v>
      </c>
    </row>
    <row r="202" spans="1:18" hidden="1" x14ac:dyDescent="0.25">
      <c r="A202" s="2" t="s">
        <v>1402</v>
      </c>
      <c r="B202" s="2" t="s">
        <v>1403</v>
      </c>
      <c r="C202" s="2" t="s">
        <v>1404</v>
      </c>
      <c r="D202" s="2" t="s">
        <v>1405</v>
      </c>
      <c r="E202" s="2"/>
      <c r="F202" s="2" t="s">
        <v>460</v>
      </c>
      <c r="G202" s="2" t="s">
        <v>1406</v>
      </c>
      <c r="H202" s="2" t="s">
        <v>460</v>
      </c>
      <c r="I202" s="2" t="s">
        <v>461</v>
      </c>
      <c r="J202" s="2" cm="1">
        <f t="array" ref="J202">_xlfn.IFS(DDLI_DME[[#This Row],[DATENTYP]]="unsigned integer",2,DDLI_DME[[#This Row],[DATENTYP]]="unsigned char",1,DDLI_DME[[#This Row],[DATENTYP]]="signed integer",2)</f>
        <v>1</v>
      </c>
      <c r="K202" s="2" t="s">
        <v>460</v>
      </c>
      <c r="L202">
        <v>1</v>
      </c>
      <c r="M202">
        <v>1</v>
      </c>
      <c r="N202" t="str">
        <f>TEXT(DDLI_DME[[#This Row],[MUL]],"######/######")</f>
        <v>1/1</v>
      </c>
      <c r="O202">
        <v>0</v>
      </c>
      <c r="Q202">
        <f>HEX2DEC(DDLI_DME[[#This Row],[Hex]])</f>
        <v>0</v>
      </c>
      <c r="R202">
        <f>DDLI_DME[[#This Row],[ADD]]+DDLI_DME[[#This Row],[Dec]]*DDLI_DME[[#This Row],[MUL]]/DDLI_DME[[#This Row],[DIV]]</f>
        <v>0</v>
      </c>
    </row>
    <row r="203" spans="1:18" hidden="1" x14ac:dyDescent="0.25">
      <c r="A203" s="2" t="s">
        <v>1407</v>
      </c>
      <c r="B203" s="2" t="s">
        <v>1408</v>
      </c>
      <c r="C203" s="2" t="s">
        <v>1409</v>
      </c>
      <c r="D203" s="2" t="s">
        <v>1410</v>
      </c>
      <c r="E203" s="2"/>
      <c r="F203" s="2" t="s">
        <v>668</v>
      </c>
      <c r="G203" s="2" t="s">
        <v>1411</v>
      </c>
      <c r="H203" s="2" t="s">
        <v>460</v>
      </c>
      <c r="I203" s="2" t="s">
        <v>467</v>
      </c>
      <c r="J203" s="2" cm="1">
        <f t="array" ref="J203">_xlfn.IFS(DDLI_DME[[#This Row],[DATENTYP]]="unsigned integer",2,DDLI_DME[[#This Row],[DATENTYP]]="unsigned char",1,DDLI_DME[[#This Row],[DATENTYP]]="signed integer",2)</f>
        <v>2</v>
      </c>
      <c r="K203" s="2" t="s">
        <v>460</v>
      </c>
      <c r="L203">
        <v>9.9999997764825821E-3</v>
      </c>
      <c r="M203">
        <v>1</v>
      </c>
      <c r="N203" t="str">
        <f>TEXT(DDLI_DME[[#This Row],[MUL]],"######/######")</f>
        <v>1/100</v>
      </c>
      <c r="O203">
        <v>0</v>
      </c>
      <c r="Q203">
        <f>HEX2DEC(DDLI_DME[[#This Row],[Hex]])</f>
        <v>0</v>
      </c>
      <c r="R203">
        <f>DDLI_DME[[#This Row],[ADD]]+DDLI_DME[[#This Row],[Dec]]*DDLI_DME[[#This Row],[MUL]]/DDLI_DME[[#This Row],[DIV]]</f>
        <v>0</v>
      </c>
    </row>
    <row r="204" spans="1:18" hidden="1" x14ac:dyDescent="0.25">
      <c r="A204" s="2" t="s">
        <v>1412</v>
      </c>
      <c r="B204" s="2" t="s">
        <v>1413</v>
      </c>
      <c r="C204" s="2" t="s">
        <v>1414</v>
      </c>
      <c r="D204" s="2" t="s">
        <v>1415</v>
      </c>
      <c r="E204" s="2"/>
      <c r="F204" s="2" t="s">
        <v>460</v>
      </c>
      <c r="G204" s="2" t="s">
        <v>1416</v>
      </c>
      <c r="H204" s="2" t="s">
        <v>460</v>
      </c>
      <c r="I204" s="2" t="s">
        <v>461</v>
      </c>
      <c r="J204" s="2" cm="1">
        <f t="array" ref="J204">_xlfn.IFS(DDLI_DME[[#This Row],[DATENTYP]]="unsigned integer",2,DDLI_DME[[#This Row],[DATENTYP]]="unsigned char",1,DDLI_DME[[#This Row],[DATENTYP]]="signed integer",2)</f>
        <v>1</v>
      </c>
      <c r="K204" s="2" t="s">
        <v>460</v>
      </c>
      <c r="L204">
        <v>1</v>
      </c>
      <c r="M204">
        <v>1</v>
      </c>
      <c r="N204" t="str">
        <f>TEXT(DDLI_DME[[#This Row],[MUL]],"######/######")</f>
        <v>1/1</v>
      </c>
      <c r="O204">
        <v>0</v>
      </c>
      <c r="Q204">
        <f>HEX2DEC(DDLI_DME[[#This Row],[Hex]])</f>
        <v>0</v>
      </c>
      <c r="R204">
        <f>DDLI_DME[[#This Row],[ADD]]+DDLI_DME[[#This Row],[Dec]]*DDLI_DME[[#This Row],[MUL]]/DDLI_DME[[#This Row],[DIV]]</f>
        <v>0</v>
      </c>
    </row>
    <row r="205" spans="1:18" hidden="1" x14ac:dyDescent="0.25">
      <c r="A205" s="2" t="s">
        <v>1417</v>
      </c>
      <c r="B205" s="2" t="s">
        <v>1418</v>
      </c>
      <c r="C205" s="2" t="s">
        <v>1419</v>
      </c>
      <c r="D205" s="2" t="s">
        <v>1420</v>
      </c>
      <c r="E205" s="2"/>
      <c r="F205" s="2" t="s">
        <v>460</v>
      </c>
      <c r="G205" s="2" t="s">
        <v>1421</v>
      </c>
      <c r="H205" s="2" t="s">
        <v>460</v>
      </c>
      <c r="I205" s="2" t="s">
        <v>461</v>
      </c>
      <c r="J205" s="2" cm="1">
        <f t="array" ref="J205">_xlfn.IFS(DDLI_DME[[#This Row],[DATENTYP]]="unsigned integer",2,DDLI_DME[[#This Row],[DATENTYP]]="unsigned char",1,DDLI_DME[[#This Row],[DATENTYP]]="signed integer",2)</f>
        <v>1</v>
      </c>
      <c r="K205" s="2" t="s">
        <v>460</v>
      </c>
      <c r="L205">
        <v>1</v>
      </c>
      <c r="M205">
        <v>1</v>
      </c>
      <c r="N205" t="str">
        <f>TEXT(DDLI_DME[[#This Row],[MUL]],"######/######")</f>
        <v>1/1</v>
      </c>
      <c r="O205">
        <v>0</v>
      </c>
      <c r="Q205">
        <f>HEX2DEC(DDLI_DME[[#This Row],[Hex]])</f>
        <v>0</v>
      </c>
      <c r="R205">
        <f>DDLI_DME[[#This Row],[ADD]]+DDLI_DME[[#This Row],[Dec]]*DDLI_DME[[#This Row],[MUL]]/DDLI_DME[[#This Row],[DIV]]</f>
        <v>0</v>
      </c>
    </row>
    <row r="206" spans="1:18" hidden="1" x14ac:dyDescent="0.25">
      <c r="A206" s="2" t="s">
        <v>1422</v>
      </c>
      <c r="B206" s="2" t="s">
        <v>1423</v>
      </c>
      <c r="C206" s="2" t="s">
        <v>1424</v>
      </c>
      <c r="D206" s="2" t="s">
        <v>1425</v>
      </c>
      <c r="E206" s="2"/>
      <c r="F206" s="2" t="s">
        <v>1426</v>
      </c>
      <c r="G206" s="2" t="s">
        <v>1427</v>
      </c>
      <c r="H206" s="2" t="s">
        <v>460</v>
      </c>
      <c r="I206" s="2" t="s">
        <v>467</v>
      </c>
      <c r="J206" s="2" cm="1">
        <f t="array" ref="J206">_xlfn.IFS(DDLI_DME[[#This Row],[DATENTYP]]="unsigned integer",2,DDLI_DME[[#This Row],[DATENTYP]]="unsigned char",1,DDLI_DME[[#This Row],[DATENTYP]]="signed integer",2)</f>
        <v>2</v>
      </c>
      <c r="K206" s="2" t="s">
        <v>460</v>
      </c>
      <c r="L206">
        <v>0.10000000149011612</v>
      </c>
      <c r="M206">
        <v>1</v>
      </c>
      <c r="N206" t="str">
        <f>TEXT(DDLI_DME[[#This Row],[MUL]],"######/######")</f>
        <v>1/10</v>
      </c>
      <c r="O206">
        <v>0</v>
      </c>
      <c r="Q206">
        <f>HEX2DEC(DDLI_DME[[#This Row],[Hex]])</f>
        <v>0</v>
      </c>
      <c r="R206">
        <f>DDLI_DME[[#This Row],[ADD]]+DDLI_DME[[#This Row],[Dec]]*DDLI_DME[[#This Row],[MUL]]/DDLI_DME[[#This Row],[DIV]]</f>
        <v>0</v>
      </c>
    </row>
    <row r="207" spans="1:18" hidden="1" x14ac:dyDescent="0.25">
      <c r="A207" s="2" t="s">
        <v>1428</v>
      </c>
      <c r="B207" s="2" t="s">
        <v>1429</v>
      </c>
      <c r="C207" s="2" t="s">
        <v>1430</v>
      </c>
      <c r="D207" s="2" t="s">
        <v>1431</v>
      </c>
      <c r="E207" s="2" t="s">
        <v>2358</v>
      </c>
      <c r="F207" s="2" t="s">
        <v>458</v>
      </c>
      <c r="G207" s="2" t="s">
        <v>1432</v>
      </c>
      <c r="H207" s="2" t="s">
        <v>460</v>
      </c>
      <c r="I207" s="2" t="s">
        <v>461</v>
      </c>
      <c r="J207" s="2" cm="1">
        <f t="array" ref="J207">_xlfn.IFS(DDLI_DME[[#This Row],[DATENTYP]]="unsigned integer",2,DDLI_DME[[#This Row],[DATENTYP]]="unsigned char",1,DDLI_DME[[#This Row],[DATENTYP]]="signed integer",2)</f>
        <v>1</v>
      </c>
      <c r="K207" s="2" t="s">
        <v>460</v>
      </c>
      <c r="L207">
        <v>0.75</v>
      </c>
      <c r="M207">
        <v>1</v>
      </c>
      <c r="N207" t="str">
        <f>TEXT(DDLI_DME[[#This Row],[MUL]],"######/######")</f>
        <v>3/4</v>
      </c>
      <c r="O207">
        <v>-48</v>
      </c>
      <c r="Q207">
        <f>HEX2DEC(DDLI_DME[[#This Row],[Hex]])</f>
        <v>0</v>
      </c>
      <c r="R207">
        <f>DDLI_DME[[#This Row],[ADD]]+DDLI_DME[[#This Row],[Dec]]*DDLI_DME[[#This Row],[MUL]]/DDLI_DME[[#This Row],[DIV]]</f>
        <v>-48</v>
      </c>
    </row>
    <row r="208" spans="1:18" hidden="1" x14ac:dyDescent="0.25">
      <c r="A208" s="2" t="s">
        <v>1433</v>
      </c>
      <c r="B208" s="2" t="s">
        <v>1434</v>
      </c>
      <c r="C208" s="2" t="s">
        <v>1237</v>
      </c>
      <c r="D208" s="2" t="s">
        <v>1435</v>
      </c>
      <c r="E208" s="2"/>
      <c r="F208" s="2" t="s">
        <v>1239</v>
      </c>
      <c r="G208" s="2" t="s">
        <v>1436</v>
      </c>
      <c r="H208" s="2" t="s">
        <v>460</v>
      </c>
      <c r="I208" s="2" t="s">
        <v>467</v>
      </c>
      <c r="J208" s="2" cm="1">
        <f t="array" ref="J208">_xlfn.IFS(DDLI_DME[[#This Row],[DATENTYP]]="unsigned integer",2,DDLI_DME[[#This Row],[DATENTYP]]="unsigned char",1,DDLI_DME[[#This Row],[DATENTYP]]="signed integer",2)</f>
        <v>2</v>
      </c>
      <c r="K208" s="2" t="s">
        <v>460</v>
      </c>
      <c r="L208">
        <v>8</v>
      </c>
      <c r="M208">
        <v>1</v>
      </c>
      <c r="N208" t="str">
        <f>TEXT(DDLI_DME[[#This Row],[MUL]],"######/######")</f>
        <v>8/1</v>
      </c>
      <c r="O208">
        <v>0</v>
      </c>
      <c r="Q208">
        <f>HEX2DEC(DDLI_DME[[#This Row],[Hex]])</f>
        <v>0</v>
      </c>
      <c r="R208">
        <f>DDLI_DME[[#This Row],[ADD]]+DDLI_DME[[#This Row],[Dec]]*DDLI_DME[[#This Row],[MUL]]/DDLI_DME[[#This Row],[DIV]]</f>
        <v>0</v>
      </c>
    </row>
    <row r="209" spans="1:18" hidden="1" x14ac:dyDescent="0.25">
      <c r="A209" s="2" t="s">
        <v>1437</v>
      </c>
      <c r="B209" s="2" t="s">
        <v>1438</v>
      </c>
      <c r="C209" s="2" t="s">
        <v>1439</v>
      </c>
      <c r="D209" s="2" t="s">
        <v>1440</v>
      </c>
      <c r="E209" s="2"/>
      <c r="F209" s="2" t="s">
        <v>1426</v>
      </c>
      <c r="G209" s="2" t="s">
        <v>1441</v>
      </c>
      <c r="H209" s="2" t="s">
        <v>460</v>
      </c>
      <c r="I209" s="2" t="s">
        <v>467</v>
      </c>
      <c r="J209" s="2" cm="1">
        <f t="array" ref="J209">_xlfn.IFS(DDLI_DME[[#This Row],[DATENTYP]]="unsigned integer",2,DDLI_DME[[#This Row],[DATENTYP]]="unsigned char",1,DDLI_DME[[#This Row],[DATENTYP]]="signed integer",2)</f>
        <v>2</v>
      </c>
      <c r="K209" s="2" t="s">
        <v>460</v>
      </c>
      <c r="L209">
        <v>0.10000000149011612</v>
      </c>
      <c r="M209">
        <v>1</v>
      </c>
      <c r="N209" t="str">
        <f>TEXT(DDLI_DME[[#This Row],[MUL]],"######/######")</f>
        <v>1/10</v>
      </c>
      <c r="O209">
        <v>0</v>
      </c>
      <c r="Q209">
        <f>HEX2DEC(DDLI_DME[[#This Row],[Hex]])</f>
        <v>0</v>
      </c>
      <c r="R209">
        <f>DDLI_DME[[#This Row],[ADD]]+DDLI_DME[[#This Row],[Dec]]*DDLI_DME[[#This Row],[MUL]]/DDLI_DME[[#This Row],[DIV]]</f>
        <v>0</v>
      </c>
    </row>
    <row r="210" spans="1:18" hidden="1" x14ac:dyDescent="0.25">
      <c r="A210" s="2" t="s">
        <v>1442</v>
      </c>
      <c r="B210" s="2" t="s">
        <v>1443</v>
      </c>
      <c r="C210" s="2" t="s">
        <v>1444</v>
      </c>
      <c r="D210" s="2" t="s">
        <v>1445</v>
      </c>
      <c r="E210" s="2"/>
      <c r="F210" s="2" t="s">
        <v>1426</v>
      </c>
      <c r="G210" s="2" t="s">
        <v>1446</v>
      </c>
      <c r="H210" s="2" t="s">
        <v>460</v>
      </c>
      <c r="I210" s="2" t="s">
        <v>531</v>
      </c>
      <c r="J210" s="2" cm="1">
        <f t="array" ref="J210">_xlfn.IFS(DDLI_DME[[#This Row],[DATENTYP]]="unsigned integer",2,DDLI_DME[[#This Row],[DATENTYP]]="unsigned char",1,DDLI_DME[[#This Row],[DATENTYP]]="signed integer",2)</f>
        <v>2</v>
      </c>
      <c r="K210" s="2" t="s">
        <v>460</v>
      </c>
      <c r="L210">
        <v>0.10000000149011612</v>
      </c>
      <c r="M210">
        <v>1</v>
      </c>
      <c r="N210" t="str">
        <f>TEXT(DDLI_DME[[#This Row],[MUL]],"######/######")</f>
        <v>1/10</v>
      </c>
      <c r="O210">
        <v>0</v>
      </c>
      <c r="Q210">
        <f>HEX2DEC(DDLI_DME[[#This Row],[Hex]])</f>
        <v>0</v>
      </c>
      <c r="R210">
        <f>DDLI_DME[[#This Row],[ADD]]+DDLI_DME[[#This Row],[Dec]]*DDLI_DME[[#This Row],[MUL]]/DDLI_DME[[#This Row],[DIV]]</f>
        <v>0</v>
      </c>
    </row>
    <row r="211" spans="1:18" hidden="1" x14ac:dyDescent="0.25">
      <c r="A211" s="2" t="s">
        <v>1447</v>
      </c>
      <c r="B211" s="2" t="s">
        <v>1448</v>
      </c>
      <c r="C211" s="2" t="s">
        <v>1449</v>
      </c>
      <c r="D211" s="2" t="s">
        <v>1450</v>
      </c>
      <c r="E211" s="2"/>
      <c r="F211" s="2" t="s">
        <v>460</v>
      </c>
      <c r="G211" s="2" t="s">
        <v>1451</v>
      </c>
      <c r="H211" s="2" t="s">
        <v>460</v>
      </c>
      <c r="I211" s="2" t="s">
        <v>461</v>
      </c>
      <c r="J211" s="2" cm="1">
        <f t="array" ref="J211">_xlfn.IFS(DDLI_DME[[#This Row],[DATENTYP]]="unsigned integer",2,DDLI_DME[[#This Row],[DATENTYP]]="unsigned char",1,DDLI_DME[[#This Row],[DATENTYP]]="signed integer",2)</f>
        <v>1</v>
      </c>
      <c r="K211" s="2" t="s">
        <v>460</v>
      </c>
      <c r="L211">
        <v>1</v>
      </c>
      <c r="M211">
        <v>1</v>
      </c>
      <c r="N211" t="str">
        <f>TEXT(DDLI_DME[[#This Row],[MUL]],"######/######")</f>
        <v>1/1</v>
      </c>
      <c r="O211">
        <v>0</v>
      </c>
      <c r="Q211">
        <f>HEX2DEC(DDLI_DME[[#This Row],[Hex]])</f>
        <v>0</v>
      </c>
      <c r="R211">
        <f>DDLI_DME[[#This Row],[ADD]]+DDLI_DME[[#This Row],[Dec]]*DDLI_DME[[#This Row],[MUL]]/DDLI_DME[[#This Row],[DIV]]</f>
        <v>0</v>
      </c>
    </row>
    <row r="212" spans="1:18" hidden="1" x14ac:dyDescent="0.25">
      <c r="A212" s="2" t="s">
        <v>1452</v>
      </c>
      <c r="B212" s="2" t="s">
        <v>1453</v>
      </c>
      <c r="C212" s="2" t="s">
        <v>1454</v>
      </c>
      <c r="D212" s="2" t="s">
        <v>1455</v>
      </c>
      <c r="E212" s="2"/>
      <c r="F212" s="2" t="s">
        <v>668</v>
      </c>
      <c r="G212" s="2" t="s">
        <v>1456</v>
      </c>
      <c r="H212" s="2" t="s">
        <v>460</v>
      </c>
      <c r="I212" s="2" t="s">
        <v>461</v>
      </c>
      <c r="J212" s="2" cm="1">
        <f t="array" ref="J212">_xlfn.IFS(DDLI_DME[[#This Row],[DATENTYP]]="unsigned integer",2,DDLI_DME[[#This Row],[DATENTYP]]="unsigned char",1,DDLI_DME[[#This Row],[DATENTYP]]="signed integer",2)</f>
        <v>1</v>
      </c>
      <c r="K212" s="2" t="s">
        <v>460</v>
      </c>
      <c r="L212">
        <v>0.390625</v>
      </c>
      <c r="M212">
        <v>1</v>
      </c>
      <c r="N212" t="str">
        <f>TEXT(DDLI_DME[[#This Row],[MUL]],"######/######")</f>
        <v>25/64</v>
      </c>
      <c r="O212">
        <v>0</v>
      </c>
      <c r="Q212">
        <f>HEX2DEC(DDLI_DME[[#This Row],[Hex]])</f>
        <v>0</v>
      </c>
      <c r="R212">
        <f>DDLI_DME[[#This Row],[ADD]]+DDLI_DME[[#This Row],[Dec]]*DDLI_DME[[#This Row],[MUL]]/DDLI_DME[[#This Row],[DIV]]</f>
        <v>0</v>
      </c>
    </row>
    <row r="213" spans="1:18" hidden="1" x14ac:dyDescent="0.25">
      <c r="A213" s="2" t="s">
        <v>1457</v>
      </c>
      <c r="B213" s="2" t="s">
        <v>1458</v>
      </c>
      <c r="C213" s="2" t="s">
        <v>1459</v>
      </c>
      <c r="D213" s="2" t="s">
        <v>1460</v>
      </c>
      <c r="E213" s="2"/>
      <c r="F213" s="2" t="s">
        <v>1426</v>
      </c>
      <c r="G213" s="2" t="s">
        <v>1461</v>
      </c>
      <c r="H213" s="2" t="s">
        <v>460</v>
      </c>
      <c r="I213" s="2" t="s">
        <v>531</v>
      </c>
      <c r="J213" s="2" cm="1">
        <f t="array" ref="J213">_xlfn.IFS(DDLI_DME[[#This Row],[DATENTYP]]="unsigned integer",2,DDLI_DME[[#This Row],[DATENTYP]]="unsigned char",1,DDLI_DME[[#This Row],[DATENTYP]]="signed integer",2)</f>
        <v>2</v>
      </c>
      <c r="K213" s="2" t="s">
        <v>460</v>
      </c>
      <c r="L213">
        <v>0.10000000149011612</v>
      </c>
      <c r="M213">
        <v>1</v>
      </c>
      <c r="N213" t="str">
        <f>TEXT(DDLI_DME[[#This Row],[MUL]],"######/######")</f>
        <v>1/10</v>
      </c>
      <c r="O213">
        <v>0</v>
      </c>
      <c r="Q213">
        <f>HEX2DEC(DDLI_DME[[#This Row],[Hex]])</f>
        <v>0</v>
      </c>
      <c r="R213">
        <f>DDLI_DME[[#This Row],[ADD]]+DDLI_DME[[#This Row],[Dec]]*DDLI_DME[[#This Row],[MUL]]/DDLI_DME[[#This Row],[DIV]]</f>
        <v>0</v>
      </c>
    </row>
    <row r="214" spans="1:18" hidden="1" x14ac:dyDescent="0.25">
      <c r="A214" s="2" t="s">
        <v>1462</v>
      </c>
      <c r="B214" s="2" t="s">
        <v>1463</v>
      </c>
      <c r="C214" s="2" t="s">
        <v>1464</v>
      </c>
      <c r="D214" s="2" t="s">
        <v>1465</v>
      </c>
      <c r="E214" s="2"/>
      <c r="F214" s="2" t="s">
        <v>1108</v>
      </c>
      <c r="G214" s="2" t="s">
        <v>1466</v>
      </c>
      <c r="H214" s="2" t="s">
        <v>460</v>
      </c>
      <c r="I214" s="2" t="s">
        <v>467</v>
      </c>
      <c r="J214" s="2" cm="1">
        <f t="array" ref="J214">_xlfn.IFS(DDLI_DME[[#This Row],[DATENTYP]]="unsigned integer",2,DDLI_DME[[#This Row],[DATENTYP]]="unsigned char",1,DDLI_DME[[#This Row],[DATENTYP]]="signed integer",2)</f>
        <v>2</v>
      </c>
      <c r="K214" s="2" t="s">
        <v>460</v>
      </c>
      <c r="L214">
        <v>1</v>
      </c>
      <c r="M214">
        <v>1</v>
      </c>
      <c r="N214" t="str">
        <f>TEXT(DDLI_DME[[#This Row],[MUL]],"######/######")</f>
        <v>1/1</v>
      </c>
      <c r="O214">
        <v>0</v>
      </c>
      <c r="Q214">
        <f>HEX2DEC(DDLI_DME[[#This Row],[Hex]])</f>
        <v>0</v>
      </c>
      <c r="R214">
        <f>DDLI_DME[[#This Row],[ADD]]+DDLI_DME[[#This Row],[Dec]]*DDLI_DME[[#This Row],[MUL]]/DDLI_DME[[#This Row],[DIV]]</f>
        <v>0</v>
      </c>
    </row>
    <row r="215" spans="1:18" hidden="1" x14ac:dyDescent="0.25">
      <c r="A215" s="2" t="s">
        <v>1467</v>
      </c>
      <c r="B215" s="2" t="s">
        <v>1468</v>
      </c>
      <c r="C215" s="2" t="s">
        <v>1469</v>
      </c>
      <c r="D215" s="2" t="s">
        <v>1470</v>
      </c>
      <c r="E215" s="2"/>
      <c r="F215" s="2" t="s">
        <v>1426</v>
      </c>
      <c r="G215" s="2" t="s">
        <v>1471</v>
      </c>
      <c r="H215" s="2" t="s">
        <v>460</v>
      </c>
      <c r="I215" s="2" t="s">
        <v>531</v>
      </c>
      <c r="J215" s="2" cm="1">
        <f t="array" ref="J215">_xlfn.IFS(DDLI_DME[[#This Row],[DATENTYP]]="unsigned integer",2,DDLI_DME[[#This Row],[DATENTYP]]="unsigned char",1,DDLI_DME[[#This Row],[DATENTYP]]="signed integer",2)</f>
        <v>2</v>
      </c>
      <c r="K215" s="2" t="s">
        <v>460</v>
      </c>
      <c r="L215">
        <v>0.10000000149011612</v>
      </c>
      <c r="M215">
        <v>1</v>
      </c>
      <c r="N215" t="str">
        <f>TEXT(DDLI_DME[[#This Row],[MUL]],"######/######")</f>
        <v>1/10</v>
      </c>
      <c r="O215">
        <v>0</v>
      </c>
      <c r="Q215">
        <f>HEX2DEC(DDLI_DME[[#This Row],[Hex]])</f>
        <v>0</v>
      </c>
      <c r="R215">
        <f>DDLI_DME[[#This Row],[ADD]]+DDLI_DME[[#This Row],[Dec]]*DDLI_DME[[#This Row],[MUL]]/DDLI_DME[[#This Row],[DIV]]</f>
        <v>0</v>
      </c>
    </row>
    <row r="216" spans="1:18" hidden="1" x14ac:dyDescent="0.25">
      <c r="A216" s="2" t="s">
        <v>1472</v>
      </c>
      <c r="B216" s="2" t="s">
        <v>1473</v>
      </c>
      <c r="C216" s="2" t="s">
        <v>1474</v>
      </c>
      <c r="D216" s="2" t="s">
        <v>1475</v>
      </c>
      <c r="E216" s="2"/>
      <c r="F216" s="2" t="s">
        <v>1426</v>
      </c>
      <c r="G216" s="2" t="s">
        <v>1476</v>
      </c>
      <c r="H216" s="2" t="s">
        <v>460</v>
      </c>
      <c r="I216" s="2" t="s">
        <v>467</v>
      </c>
      <c r="J216" s="2" cm="1">
        <f t="array" ref="J216">_xlfn.IFS(DDLI_DME[[#This Row],[DATENTYP]]="unsigned integer",2,DDLI_DME[[#This Row],[DATENTYP]]="unsigned char",1,DDLI_DME[[#This Row],[DATENTYP]]="signed integer",2)</f>
        <v>2</v>
      </c>
      <c r="K216" s="2" t="s">
        <v>460</v>
      </c>
      <c r="L216">
        <v>0.10000000149011612</v>
      </c>
      <c r="M216">
        <v>1</v>
      </c>
      <c r="N216" t="str">
        <f>TEXT(DDLI_DME[[#This Row],[MUL]],"######/######")</f>
        <v>1/10</v>
      </c>
      <c r="O216">
        <v>0</v>
      </c>
      <c r="Q216">
        <f>HEX2DEC(DDLI_DME[[#This Row],[Hex]])</f>
        <v>0</v>
      </c>
      <c r="R216">
        <f>DDLI_DME[[#This Row],[ADD]]+DDLI_DME[[#This Row],[Dec]]*DDLI_DME[[#This Row],[MUL]]/DDLI_DME[[#This Row],[DIV]]</f>
        <v>0</v>
      </c>
    </row>
    <row r="217" spans="1:18" hidden="1" x14ac:dyDescent="0.25">
      <c r="A217" s="2" t="s">
        <v>1477</v>
      </c>
      <c r="B217" s="2" t="s">
        <v>1478</v>
      </c>
      <c r="C217" s="2" t="s">
        <v>1479</v>
      </c>
      <c r="D217" s="2" t="s">
        <v>1480</v>
      </c>
      <c r="E217" s="2"/>
      <c r="F217" s="2" t="s">
        <v>1426</v>
      </c>
      <c r="G217" s="2" t="s">
        <v>1481</v>
      </c>
      <c r="H217" s="2" t="s">
        <v>460</v>
      </c>
      <c r="I217" s="2" t="s">
        <v>467</v>
      </c>
      <c r="J217" s="2" cm="1">
        <f t="array" ref="J217">_xlfn.IFS(DDLI_DME[[#This Row],[DATENTYP]]="unsigned integer",2,DDLI_DME[[#This Row],[DATENTYP]]="unsigned char",1,DDLI_DME[[#This Row],[DATENTYP]]="signed integer",2)</f>
        <v>2</v>
      </c>
      <c r="K217" s="2" t="s">
        <v>460</v>
      </c>
      <c r="L217">
        <v>0.10000000149011612</v>
      </c>
      <c r="M217">
        <v>1</v>
      </c>
      <c r="N217" t="str">
        <f>TEXT(DDLI_DME[[#This Row],[MUL]],"######/######")</f>
        <v>1/10</v>
      </c>
      <c r="O217">
        <v>0</v>
      </c>
      <c r="Q217">
        <f>HEX2DEC(DDLI_DME[[#This Row],[Hex]])</f>
        <v>0</v>
      </c>
      <c r="R217">
        <f>DDLI_DME[[#This Row],[ADD]]+DDLI_DME[[#This Row],[Dec]]*DDLI_DME[[#This Row],[MUL]]/DDLI_DME[[#This Row],[DIV]]</f>
        <v>0</v>
      </c>
    </row>
    <row r="218" spans="1:18" hidden="1" x14ac:dyDescent="0.25">
      <c r="A218" s="2" t="s">
        <v>1482</v>
      </c>
      <c r="B218" s="2" t="s">
        <v>1483</v>
      </c>
      <c r="C218" s="2" t="s">
        <v>1484</v>
      </c>
      <c r="D218" s="2" t="s">
        <v>1485</v>
      </c>
      <c r="E218" s="2"/>
      <c r="F218" s="2" t="s">
        <v>668</v>
      </c>
      <c r="G218" s="2" t="s">
        <v>1486</v>
      </c>
      <c r="H218" s="2" t="s">
        <v>460</v>
      </c>
      <c r="I218" s="2" t="s">
        <v>467</v>
      </c>
      <c r="J218" s="2" cm="1">
        <f t="array" ref="J218">_xlfn.IFS(DDLI_DME[[#This Row],[DATENTYP]]="unsigned integer",2,DDLI_DME[[#This Row],[DATENTYP]]="unsigned char",1,DDLI_DME[[#This Row],[DATENTYP]]="signed integer",2)</f>
        <v>2</v>
      </c>
      <c r="K218" s="2" t="s">
        <v>460</v>
      </c>
      <c r="L218">
        <v>1.52587890625E-3</v>
      </c>
      <c r="M218">
        <v>1</v>
      </c>
      <c r="N218" t="str">
        <f>TEXT(DDLI_DME[[#This Row],[MUL]],"######/######")</f>
        <v>25/16384</v>
      </c>
      <c r="O218">
        <v>0</v>
      </c>
      <c r="Q218">
        <f>HEX2DEC(DDLI_DME[[#This Row],[Hex]])</f>
        <v>0</v>
      </c>
      <c r="R218">
        <f>DDLI_DME[[#This Row],[ADD]]+DDLI_DME[[#This Row],[Dec]]*DDLI_DME[[#This Row],[MUL]]/DDLI_DME[[#This Row],[DIV]]</f>
        <v>0</v>
      </c>
    </row>
    <row r="219" spans="1:18" hidden="1" x14ac:dyDescent="0.25">
      <c r="A219" s="2" t="s">
        <v>1487</v>
      </c>
      <c r="B219" s="2" t="s">
        <v>1488</v>
      </c>
      <c r="C219" s="2" t="s">
        <v>1489</v>
      </c>
      <c r="D219" s="2" t="s">
        <v>1490</v>
      </c>
      <c r="E219" s="2"/>
      <c r="F219" s="2" t="s">
        <v>1491</v>
      </c>
      <c r="G219" s="2" t="s">
        <v>1492</v>
      </c>
      <c r="H219" s="2" t="s">
        <v>460</v>
      </c>
      <c r="I219" s="2" t="s">
        <v>467</v>
      </c>
      <c r="J219" s="2" cm="1">
        <f t="array" ref="J219">_xlfn.IFS(DDLI_DME[[#This Row],[DATENTYP]]="unsigned integer",2,DDLI_DME[[#This Row],[DATENTYP]]="unsigned char",1,DDLI_DME[[#This Row],[DATENTYP]]="signed integer",2)</f>
        <v>2</v>
      </c>
      <c r="K219" s="2" t="s">
        <v>460</v>
      </c>
      <c r="L219">
        <v>0.10000000149011612</v>
      </c>
      <c r="M219">
        <v>1</v>
      </c>
      <c r="N219" t="str">
        <f>TEXT(DDLI_DME[[#This Row],[MUL]],"######/######")</f>
        <v>1/10</v>
      </c>
      <c r="O219">
        <v>0</v>
      </c>
      <c r="Q219">
        <f>HEX2DEC(DDLI_DME[[#This Row],[Hex]])</f>
        <v>0</v>
      </c>
      <c r="R219">
        <f>DDLI_DME[[#This Row],[ADD]]+DDLI_DME[[#This Row],[Dec]]*DDLI_DME[[#This Row],[MUL]]/DDLI_DME[[#This Row],[DIV]]</f>
        <v>0</v>
      </c>
    </row>
    <row r="220" spans="1:18" hidden="1" x14ac:dyDescent="0.25">
      <c r="A220" s="2" t="s">
        <v>1493</v>
      </c>
      <c r="B220" s="2" t="s">
        <v>1494</v>
      </c>
      <c r="C220" s="2" t="s">
        <v>1495</v>
      </c>
      <c r="D220" s="2" t="s">
        <v>1496</v>
      </c>
      <c r="E220" s="2"/>
      <c r="F220" s="2" t="s">
        <v>1497</v>
      </c>
      <c r="G220" s="2" t="s">
        <v>1498</v>
      </c>
      <c r="H220" s="2" t="s">
        <v>460</v>
      </c>
      <c r="I220" s="2" t="s">
        <v>467</v>
      </c>
      <c r="J220" s="2" cm="1">
        <f t="array" ref="J220">_xlfn.IFS(DDLI_DME[[#This Row],[DATENTYP]]="unsigned integer",2,DDLI_DME[[#This Row],[DATENTYP]]="unsigned char",1,DDLI_DME[[#This Row],[DATENTYP]]="signed integer",2)</f>
        <v>2</v>
      </c>
      <c r="K220" s="2" t="s">
        <v>460</v>
      </c>
      <c r="L220">
        <v>0.10000000149011612</v>
      </c>
      <c r="M220">
        <v>1</v>
      </c>
      <c r="N220" t="str">
        <f>TEXT(DDLI_DME[[#This Row],[MUL]],"######/######")</f>
        <v>1/10</v>
      </c>
      <c r="O220">
        <v>0</v>
      </c>
      <c r="Q220">
        <f>HEX2DEC(DDLI_DME[[#This Row],[Hex]])</f>
        <v>0</v>
      </c>
      <c r="R220">
        <f>DDLI_DME[[#This Row],[ADD]]+DDLI_DME[[#This Row],[Dec]]*DDLI_DME[[#This Row],[MUL]]/DDLI_DME[[#This Row],[DIV]]</f>
        <v>0</v>
      </c>
    </row>
    <row r="221" spans="1:18" hidden="1" x14ac:dyDescent="0.25">
      <c r="A221" s="2" t="s">
        <v>1499</v>
      </c>
      <c r="B221" s="2" t="s">
        <v>1500</v>
      </c>
      <c r="C221" s="2" t="s">
        <v>1501</v>
      </c>
      <c r="D221" s="2" t="s">
        <v>1502</v>
      </c>
      <c r="E221" s="2"/>
      <c r="F221" s="2" t="s">
        <v>1503</v>
      </c>
      <c r="G221" s="2" t="s">
        <v>1504</v>
      </c>
      <c r="H221" s="2" t="s">
        <v>460</v>
      </c>
      <c r="I221" s="2" t="s">
        <v>461</v>
      </c>
      <c r="J221" s="2" cm="1">
        <f t="array" ref="J221">_xlfn.IFS(DDLI_DME[[#This Row],[DATENTYP]]="unsigned integer",2,DDLI_DME[[#This Row],[DATENTYP]]="unsigned char",1,DDLI_DME[[#This Row],[DATENTYP]]="signed integer",2)</f>
        <v>1</v>
      </c>
      <c r="K221" s="2" t="s">
        <v>460</v>
      </c>
      <c r="L221">
        <v>1</v>
      </c>
      <c r="M221">
        <v>1</v>
      </c>
      <c r="N221" t="str">
        <f>TEXT(DDLI_DME[[#This Row],[MUL]],"######/######")</f>
        <v>1/1</v>
      </c>
      <c r="O221">
        <v>0</v>
      </c>
      <c r="Q221">
        <f>HEX2DEC(DDLI_DME[[#This Row],[Hex]])</f>
        <v>0</v>
      </c>
      <c r="R221">
        <f>DDLI_DME[[#This Row],[ADD]]+DDLI_DME[[#This Row],[Dec]]*DDLI_DME[[#This Row],[MUL]]/DDLI_DME[[#This Row],[DIV]]</f>
        <v>0</v>
      </c>
    </row>
    <row r="222" spans="1:18" hidden="1" x14ac:dyDescent="0.25">
      <c r="A222" s="2" t="s">
        <v>1505</v>
      </c>
      <c r="B222" s="2" t="s">
        <v>1506</v>
      </c>
      <c r="C222" s="2" t="s">
        <v>1507</v>
      </c>
      <c r="D222" s="2" t="s">
        <v>1508</v>
      </c>
      <c r="E222" s="2"/>
      <c r="F222" s="2" t="s">
        <v>460</v>
      </c>
      <c r="G222" s="2" t="s">
        <v>1509</v>
      </c>
      <c r="H222" s="2" t="s">
        <v>460</v>
      </c>
      <c r="I222" s="2" t="s">
        <v>461</v>
      </c>
      <c r="J222" s="2" cm="1">
        <f t="array" ref="J222">_xlfn.IFS(DDLI_DME[[#This Row],[DATENTYP]]="unsigned integer",2,DDLI_DME[[#This Row],[DATENTYP]]="unsigned char",1,DDLI_DME[[#This Row],[DATENTYP]]="signed integer",2)</f>
        <v>1</v>
      </c>
      <c r="K222" s="2" t="s">
        <v>460</v>
      </c>
      <c r="L222">
        <v>1</v>
      </c>
      <c r="M222">
        <v>1</v>
      </c>
      <c r="N222" t="str">
        <f>TEXT(DDLI_DME[[#This Row],[MUL]],"######/######")</f>
        <v>1/1</v>
      </c>
      <c r="O222">
        <v>0</v>
      </c>
      <c r="Q222">
        <f>HEX2DEC(DDLI_DME[[#This Row],[Hex]])</f>
        <v>0</v>
      </c>
      <c r="R222">
        <f>DDLI_DME[[#This Row],[ADD]]+DDLI_DME[[#This Row],[Dec]]*DDLI_DME[[#This Row],[MUL]]/DDLI_DME[[#This Row],[DIV]]</f>
        <v>0</v>
      </c>
    </row>
    <row r="223" spans="1:18" hidden="1" x14ac:dyDescent="0.25">
      <c r="A223" s="2" t="s">
        <v>1510</v>
      </c>
      <c r="B223" s="2" t="s">
        <v>1511</v>
      </c>
      <c r="C223" s="2" t="s">
        <v>1512</v>
      </c>
      <c r="D223" s="2" t="s">
        <v>1513</v>
      </c>
      <c r="E223" s="2"/>
      <c r="F223" s="2" t="s">
        <v>1310</v>
      </c>
      <c r="G223" s="2" t="s">
        <v>1514</v>
      </c>
      <c r="H223" s="2" t="s">
        <v>460</v>
      </c>
      <c r="I223" s="2" t="s">
        <v>467</v>
      </c>
      <c r="J223" s="2" cm="1">
        <f t="array" ref="J223">_xlfn.IFS(DDLI_DME[[#This Row],[DATENTYP]]="unsigned integer",2,DDLI_DME[[#This Row],[DATENTYP]]="unsigned char",1,DDLI_DME[[#This Row],[DATENTYP]]="signed integer",2)</f>
        <v>2</v>
      </c>
      <c r="K223" s="2" t="s">
        <v>460</v>
      </c>
      <c r="L223">
        <v>1.0000000474974513E-3</v>
      </c>
      <c r="M223">
        <v>1</v>
      </c>
      <c r="N223" t="str">
        <f>TEXT(DDLI_DME[[#This Row],[MUL]],"######/######")</f>
        <v>1/1000</v>
      </c>
      <c r="O223">
        <v>0</v>
      </c>
      <c r="Q223">
        <f>HEX2DEC(DDLI_DME[[#This Row],[Hex]])</f>
        <v>0</v>
      </c>
      <c r="R223">
        <f>DDLI_DME[[#This Row],[ADD]]+DDLI_DME[[#This Row],[Dec]]*DDLI_DME[[#This Row],[MUL]]/DDLI_DME[[#This Row],[DIV]]</f>
        <v>0</v>
      </c>
    </row>
    <row r="224" spans="1:18" hidden="1" x14ac:dyDescent="0.25">
      <c r="A224" s="2" t="s">
        <v>1515</v>
      </c>
      <c r="B224" s="2" t="s">
        <v>1516</v>
      </c>
      <c r="C224" s="2" t="s">
        <v>1517</v>
      </c>
      <c r="D224" s="2" t="s">
        <v>1518</v>
      </c>
      <c r="E224" s="2"/>
      <c r="F224" s="2" t="s">
        <v>1310</v>
      </c>
      <c r="G224" s="2" t="s">
        <v>1514</v>
      </c>
      <c r="H224" s="2" t="s">
        <v>460</v>
      </c>
      <c r="I224" s="2" t="s">
        <v>467</v>
      </c>
      <c r="J224" s="2" cm="1">
        <f t="array" ref="J224">_xlfn.IFS(DDLI_DME[[#This Row],[DATENTYP]]="unsigned integer",2,DDLI_DME[[#This Row],[DATENTYP]]="unsigned char",1,DDLI_DME[[#This Row],[DATENTYP]]="signed integer",2)</f>
        <v>2</v>
      </c>
      <c r="K224" s="2" t="s">
        <v>460</v>
      </c>
      <c r="L224">
        <v>1.0000000474974513E-3</v>
      </c>
      <c r="M224">
        <v>1</v>
      </c>
      <c r="N224" t="str">
        <f>TEXT(DDLI_DME[[#This Row],[MUL]],"######/######")</f>
        <v>1/1000</v>
      </c>
      <c r="O224">
        <v>0</v>
      </c>
      <c r="Q224">
        <f>HEX2DEC(DDLI_DME[[#This Row],[Hex]])</f>
        <v>0</v>
      </c>
      <c r="R224">
        <f>DDLI_DME[[#This Row],[ADD]]+DDLI_DME[[#This Row],[Dec]]*DDLI_DME[[#This Row],[MUL]]/DDLI_DME[[#This Row],[DIV]]</f>
        <v>0</v>
      </c>
    </row>
    <row r="225" spans="1:18" hidden="1" x14ac:dyDescent="0.25">
      <c r="A225" s="2" t="s">
        <v>1519</v>
      </c>
      <c r="B225" s="2" t="s">
        <v>1520</v>
      </c>
      <c r="C225" s="2" t="s">
        <v>1521</v>
      </c>
      <c r="D225" s="2" t="s">
        <v>1522</v>
      </c>
      <c r="E225" s="2"/>
      <c r="F225" s="2" t="s">
        <v>1310</v>
      </c>
      <c r="G225" s="2" t="s">
        <v>1514</v>
      </c>
      <c r="H225" s="2" t="s">
        <v>460</v>
      </c>
      <c r="I225" s="2" t="s">
        <v>467</v>
      </c>
      <c r="J225" s="2" cm="1">
        <f t="array" ref="J225">_xlfn.IFS(DDLI_DME[[#This Row],[DATENTYP]]="unsigned integer",2,DDLI_DME[[#This Row],[DATENTYP]]="unsigned char",1,DDLI_DME[[#This Row],[DATENTYP]]="signed integer",2)</f>
        <v>2</v>
      </c>
      <c r="K225" s="2" t="s">
        <v>460</v>
      </c>
      <c r="L225">
        <v>1.0000000474974513E-3</v>
      </c>
      <c r="M225">
        <v>1</v>
      </c>
      <c r="N225" t="str">
        <f>TEXT(DDLI_DME[[#This Row],[MUL]],"######/######")</f>
        <v>1/1000</v>
      </c>
      <c r="O225">
        <v>0</v>
      </c>
      <c r="Q225">
        <f>HEX2DEC(DDLI_DME[[#This Row],[Hex]])</f>
        <v>0</v>
      </c>
      <c r="R225">
        <f>DDLI_DME[[#This Row],[ADD]]+DDLI_DME[[#This Row],[Dec]]*DDLI_DME[[#This Row],[MUL]]/DDLI_DME[[#This Row],[DIV]]</f>
        <v>0</v>
      </c>
    </row>
    <row r="226" spans="1:18" hidden="1" x14ac:dyDescent="0.25">
      <c r="A226" s="2" t="s">
        <v>1523</v>
      </c>
      <c r="B226" s="2" t="s">
        <v>1524</v>
      </c>
      <c r="C226" s="2" t="s">
        <v>1525</v>
      </c>
      <c r="D226" s="2" t="s">
        <v>1526</v>
      </c>
      <c r="E226" s="2"/>
      <c r="F226" s="2" t="s">
        <v>1310</v>
      </c>
      <c r="G226" s="2" t="s">
        <v>1514</v>
      </c>
      <c r="H226" s="2" t="s">
        <v>460</v>
      </c>
      <c r="I226" s="2" t="s">
        <v>467</v>
      </c>
      <c r="J226" s="2" cm="1">
        <f t="array" ref="J226">_xlfn.IFS(DDLI_DME[[#This Row],[DATENTYP]]="unsigned integer",2,DDLI_DME[[#This Row],[DATENTYP]]="unsigned char",1,DDLI_DME[[#This Row],[DATENTYP]]="signed integer",2)</f>
        <v>2</v>
      </c>
      <c r="K226" s="2" t="s">
        <v>460</v>
      </c>
      <c r="L226">
        <v>1.0000000474974513E-3</v>
      </c>
      <c r="M226">
        <v>1</v>
      </c>
      <c r="N226" t="str">
        <f>TEXT(DDLI_DME[[#This Row],[MUL]],"######/######")</f>
        <v>1/1000</v>
      </c>
      <c r="O226">
        <v>0</v>
      </c>
      <c r="Q226">
        <f>HEX2DEC(DDLI_DME[[#This Row],[Hex]])</f>
        <v>0</v>
      </c>
      <c r="R226">
        <f>DDLI_DME[[#This Row],[ADD]]+DDLI_DME[[#This Row],[Dec]]*DDLI_DME[[#This Row],[MUL]]/DDLI_DME[[#This Row],[DIV]]</f>
        <v>0</v>
      </c>
    </row>
    <row r="227" spans="1:18" hidden="1" x14ac:dyDescent="0.25">
      <c r="A227" s="2" t="s">
        <v>1527</v>
      </c>
      <c r="B227" s="2" t="s">
        <v>1528</v>
      </c>
      <c r="C227" s="2" t="s">
        <v>1529</v>
      </c>
      <c r="D227" s="2" t="s">
        <v>1530</v>
      </c>
      <c r="E227" s="2" t="s">
        <v>2359</v>
      </c>
      <c r="F227" s="2" t="s">
        <v>460</v>
      </c>
      <c r="G227" s="2" t="s">
        <v>1531</v>
      </c>
      <c r="H227" s="2" t="s">
        <v>460</v>
      </c>
      <c r="I227" s="2" t="s">
        <v>461</v>
      </c>
      <c r="J227" s="2" cm="1">
        <f t="array" ref="J227">_xlfn.IFS(DDLI_DME[[#This Row],[DATENTYP]]="unsigned integer",2,DDLI_DME[[#This Row],[DATENTYP]]="unsigned char",1,DDLI_DME[[#This Row],[DATENTYP]]="signed integer",2)</f>
        <v>1</v>
      </c>
      <c r="K227" s="2" t="s">
        <v>460</v>
      </c>
      <c r="L227">
        <v>1</v>
      </c>
      <c r="M227">
        <v>1</v>
      </c>
      <c r="N227" t="str">
        <f>TEXT(DDLI_DME[[#This Row],[MUL]],"######/######")</f>
        <v>1/1</v>
      </c>
      <c r="O227">
        <v>0</v>
      </c>
      <c r="Q227">
        <f>HEX2DEC(DDLI_DME[[#This Row],[Hex]])</f>
        <v>0</v>
      </c>
      <c r="R227">
        <f>DDLI_DME[[#This Row],[ADD]]+DDLI_DME[[#This Row],[Dec]]*DDLI_DME[[#This Row],[MUL]]/DDLI_DME[[#This Row],[DIV]]</f>
        <v>0</v>
      </c>
    </row>
    <row r="228" spans="1:18" hidden="1" x14ac:dyDescent="0.25">
      <c r="A228" s="2" t="s">
        <v>1532</v>
      </c>
      <c r="B228" s="2" t="s">
        <v>1533</v>
      </c>
      <c r="C228" s="2" t="s">
        <v>1534</v>
      </c>
      <c r="D228" s="2" t="s">
        <v>1535</v>
      </c>
      <c r="E228" s="2"/>
      <c r="F228" s="2" t="s">
        <v>419</v>
      </c>
      <c r="G228" s="2" t="s">
        <v>1536</v>
      </c>
      <c r="H228" s="2" t="s">
        <v>460</v>
      </c>
      <c r="I228" s="2" t="s">
        <v>461</v>
      </c>
      <c r="J228" s="2" cm="1">
        <f t="array" ref="J228">_xlfn.IFS(DDLI_DME[[#This Row],[DATENTYP]]="unsigned integer",2,DDLI_DME[[#This Row],[DATENTYP]]="unsigned char",1,DDLI_DME[[#This Row],[DATENTYP]]="signed integer",2)</f>
        <v>1</v>
      </c>
      <c r="K228" s="2" t="s">
        <v>460</v>
      </c>
      <c r="L228">
        <v>40</v>
      </c>
      <c r="M228">
        <v>1</v>
      </c>
      <c r="N228" t="str">
        <f>TEXT(DDLI_DME[[#This Row],[MUL]],"######/######")</f>
        <v>40/1</v>
      </c>
      <c r="O228">
        <v>0</v>
      </c>
      <c r="Q228">
        <f>HEX2DEC(DDLI_DME[[#This Row],[Hex]])</f>
        <v>0</v>
      </c>
      <c r="R228">
        <f>DDLI_DME[[#This Row],[ADD]]+DDLI_DME[[#This Row],[Dec]]*DDLI_DME[[#This Row],[MUL]]/DDLI_DME[[#This Row],[DIV]]</f>
        <v>0</v>
      </c>
    </row>
    <row r="229" spans="1:18" hidden="1" x14ac:dyDescent="0.25">
      <c r="A229" s="2" t="s">
        <v>1537</v>
      </c>
      <c r="B229" s="2" t="s">
        <v>1538</v>
      </c>
      <c r="C229" s="2" t="s">
        <v>1539</v>
      </c>
      <c r="D229" s="2" t="s">
        <v>1540</v>
      </c>
      <c r="E229" s="2"/>
      <c r="F229" s="2" t="s">
        <v>674</v>
      </c>
      <c r="G229" s="2" t="s">
        <v>1541</v>
      </c>
      <c r="H229" s="2" t="s">
        <v>460</v>
      </c>
      <c r="I229" s="2" t="s">
        <v>461</v>
      </c>
      <c r="J229" s="2" cm="1">
        <f t="array" ref="J229">_xlfn.IFS(DDLI_DME[[#This Row],[DATENTYP]]="unsigned integer",2,DDLI_DME[[#This Row],[DATENTYP]]="unsigned char",1,DDLI_DME[[#This Row],[DATENTYP]]="signed integer",2)</f>
        <v>1</v>
      </c>
      <c r="K229" s="2" t="s">
        <v>460</v>
      </c>
      <c r="L229">
        <v>1.953125E-2</v>
      </c>
      <c r="M229">
        <v>1</v>
      </c>
      <c r="N229" t="str">
        <f>TEXT(DDLI_DME[[#This Row],[MUL]],"######/######")</f>
        <v>5/256</v>
      </c>
      <c r="O229">
        <v>0</v>
      </c>
      <c r="Q229">
        <f>HEX2DEC(DDLI_DME[[#This Row],[Hex]])</f>
        <v>0</v>
      </c>
      <c r="R229">
        <f>DDLI_DME[[#This Row],[ADD]]+DDLI_DME[[#This Row],[Dec]]*DDLI_DME[[#This Row],[MUL]]/DDLI_DME[[#This Row],[DIV]]</f>
        <v>0</v>
      </c>
    </row>
    <row r="230" spans="1:18" hidden="1" x14ac:dyDescent="0.25">
      <c r="A230" s="2" t="s">
        <v>1542</v>
      </c>
      <c r="B230" s="2" t="s">
        <v>1543</v>
      </c>
      <c r="C230" s="2" t="s">
        <v>1544</v>
      </c>
      <c r="D230" s="2" t="s">
        <v>1545</v>
      </c>
      <c r="E230" s="2"/>
      <c r="F230" s="2" t="s">
        <v>668</v>
      </c>
      <c r="G230" s="2" t="s">
        <v>1546</v>
      </c>
      <c r="H230" s="2" t="s">
        <v>460</v>
      </c>
      <c r="I230" s="2" t="s">
        <v>467</v>
      </c>
      <c r="J230" s="2" cm="1">
        <f t="array" ref="J230">_xlfn.IFS(DDLI_DME[[#This Row],[DATENTYP]]="unsigned integer",2,DDLI_DME[[#This Row],[DATENTYP]]="unsigned char",1,DDLI_DME[[#This Row],[DATENTYP]]="signed integer",2)</f>
        <v>2</v>
      </c>
      <c r="K230" s="2" t="s">
        <v>460</v>
      </c>
      <c r="L230">
        <v>4.6875E-2</v>
      </c>
      <c r="M230">
        <v>1</v>
      </c>
      <c r="N230" t="str">
        <f>TEXT(DDLI_DME[[#This Row],[MUL]],"######/######")</f>
        <v>3/64</v>
      </c>
      <c r="O230">
        <v>0</v>
      </c>
      <c r="Q230">
        <f>HEX2DEC(DDLI_DME[[#This Row],[Hex]])</f>
        <v>0</v>
      </c>
      <c r="R230">
        <f>DDLI_DME[[#This Row],[ADD]]+DDLI_DME[[#This Row],[Dec]]*DDLI_DME[[#This Row],[MUL]]/DDLI_DME[[#This Row],[DIV]]</f>
        <v>0</v>
      </c>
    </row>
    <row r="231" spans="1:18" hidden="1" x14ac:dyDescent="0.25">
      <c r="A231" s="2" t="s">
        <v>1547</v>
      </c>
      <c r="B231" s="2" t="s">
        <v>1548</v>
      </c>
      <c r="C231" s="2" t="s">
        <v>1549</v>
      </c>
      <c r="D231" s="2" t="s">
        <v>1550</v>
      </c>
      <c r="E231" s="2"/>
      <c r="F231" s="2" t="s">
        <v>630</v>
      </c>
      <c r="G231" s="2" t="s">
        <v>1551</v>
      </c>
      <c r="H231" s="2" t="s">
        <v>460</v>
      </c>
      <c r="I231" s="2" t="s">
        <v>531</v>
      </c>
      <c r="J231" s="2" cm="1">
        <f t="array" ref="J231">_xlfn.IFS(DDLI_DME[[#This Row],[DATENTYP]]="unsigned integer",2,DDLI_DME[[#This Row],[DATENTYP]]="unsigned char",1,DDLI_DME[[#This Row],[DATENTYP]]="signed integer",2)</f>
        <v>2</v>
      </c>
      <c r="K231" s="2" t="s">
        <v>460</v>
      </c>
      <c r="L231">
        <v>6.103515625E-3</v>
      </c>
      <c r="M231">
        <v>1</v>
      </c>
      <c r="N231" t="str">
        <f>TEXT(DDLI_DME[[#This Row],[MUL]],"######/######")</f>
        <v>25/4096</v>
      </c>
      <c r="O231">
        <v>0</v>
      </c>
      <c r="Q231">
        <f>HEX2DEC(DDLI_DME[[#This Row],[Hex]])</f>
        <v>0</v>
      </c>
      <c r="R231">
        <f>DDLI_DME[[#This Row],[ADD]]+DDLI_DME[[#This Row],[Dec]]*DDLI_DME[[#This Row],[MUL]]/DDLI_DME[[#This Row],[DIV]]</f>
        <v>0</v>
      </c>
    </row>
    <row r="232" spans="1:18" hidden="1" x14ac:dyDescent="0.25">
      <c r="A232" s="2" t="s">
        <v>1552</v>
      </c>
      <c r="B232" s="2" t="s">
        <v>1553</v>
      </c>
      <c r="C232" s="2" t="s">
        <v>1554</v>
      </c>
      <c r="D232" s="2" t="s">
        <v>1555</v>
      </c>
      <c r="E232" s="2"/>
      <c r="F232" s="2" t="s">
        <v>668</v>
      </c>
      <c r="G232" s="2" t="s">
        <v>1556</v>
      </c>
      <c r="H232" s="2" t="s">
        <v>460</v>
      </c>
      <c r="I232" s="2" t="s">
        <v>461</v>
      </c>
      <c r="J232" s="2" cm="1">
        <f t="array" ref="J232">_xlfn.IFS(DDLI_DME[[#This Row],[DATENTYP]]="unsigned integer",2,DDLI_DME[[#This Row],[DATENTYP]]="unsigned char",1,DDLI_DME[[#This Row],[DATENTYP]]="signed integer",2)</f>
        <v>1</v>
      </c>
      <c r="K232" s="2" t="s">
        <v>460</v>
      </c>
      <c r="L232">
        <v>0.75</v>
      </c>
      <c r="M232">
        <v>1</v>
      </c>
      <c r="N232" t="str">
        <f>TEXT(DDLI_DME[[#This Row],[MUL]],"######/######")</f>
        <v>3/4</v>
      </c>
      <c r="O232">
        <v>0</v>
      </c>
      <c r="Q232">
        <f>HEX2DEC(DDLI_DME[[#This Row],[Hex]])</f>
        <v>0</v>
      </c>
      <c r="R232">
        <f>DDLI_DME[[#This Row],[ADD]]+DDLI_DME[[#This Row],[Dec]]*DDLI_DME[[#This Row],[MUL]]/DDLI_DME[[#This Row],[DIV]]</f>
        <v>0</v>
      </c>
    </row>
    <row r="233" spans="1:18" hidden="1" x14ac:dyDescent="0.25">
      <c r="A233" s="2" t="s">
        <v>1557</v>
      </c>
      <c r="B233" s="2" t="s">
        <v>1558</v>
      </c>
      <c r="C233" s="2" t="s">
        <v>1559</v>
      </c>
      <c r="D233" s="2" t="s">
        <v>1560</v>
      </c>
      <c r="E233" s="2"/>
      <c r="F233" s="2" t="s">
        <v>460</v>
      </c>
      <c r="G233" s="2" t="s">
        <v>1561</v>
      </c>
      <c r="H233" s="2" t="s">
        <v>460</v>
      </c>
      <c r="I233" s="2" t="s">
        <v>461</v>
      </c>
      <c r="J233" s="2" cm="1">
        <f t="array" ref="J233">_xlfn.IFS(DDLI_DME[[#This Row],[DATENTYP]]="unsigned integer",2,DDLI_DME[[#This Row],[DATENTYP]]="unsigned char",1,DDLI_DME[[#This Row],[DATENTYP]]="signed integer",2)</f>
        <v>1</v>
      </c>
      <c r="K233" s="2" t="s">
        <v>460</v>
      </c>
      <c r="L233">
        <v>1</v>
      </c>
      <c r="M233">
        <v>1</v>
      </c>
      <c r="N233" t="str">
        <f>TEXT(DDLI_DME[[#This Row],[MUL]],"######/######")</f>
        <v>1/1</v>
      </c>
      <c r="O233">
        <v>0</v>
      </c>
      <c r="Q233">
        <f>HEX2DEC(DDLI_DME[[#This Row],[Hex]])</f>
        <v>0</v>
      </c>
      <c r="R233">
        <f>DDLI_DME[[#This Row],[ADD]]+DDLI_DME[[#This Row],[Dec]]*DDLI_DME[[#This Row],[MUL]]/DDLI_DME[[#This Row],[DIV]]</f>
        <v>0</v>
      </c>
    </row>
    <row r="234" spans="1:18" hidden="1" x14ac:dyDescent="0.25">
      <c r="A234" s="2" t="s">
        <v>1562</v>
      </c>
      <c r="B234" s="2" t="s">
        <v>1563</v>
      </c>
      <c r="C234" s="2" t="s">
        <v>1564</v>
      </c>
      <c r="D234" s="2" t="s">
        <v>1565</v>
      </c>
      <c r="E234" s="2"/>
      <c r="F234" s="2" t="s">
        <v>460</v>
      </c>
      <c r="G234" s="2" t="s">
        <v>1566</v>
      </c>
      <c r="H234" s="2" t="s">
        <v>460</v>
      </c>
      <c r="I234" s="2" t="s">
        <v>461</v>
      </c>
      <c r="J234" s="2" cm="1">
        <f t="array" ref="J234">_xlfn.IFS(DDLI_DME[[#This Row],[DATENTYP]]="unsigned integer",2,DDLI_DME[[#This Row],[DATENTYP]]="unsigned char",1,DDLI_DME[[#This Row],[DATENTYP]]="signed integer",2)</f>
        <v>1</v>
      </c>
      <c r="K234" s="2" t="s">
        <v>460</v>
      </c>
      <c r="L234">
        <v>1</v>
      </c>
      <c r="M234">
        <v>1</v>
      </c>
      <c r="N234" t="str">
        <f>TEXT(DDLI_DME[[#This Row],[MUL]],"######/######")</f>
        <v>1/1</v>
      </c>
      <c r="O234">
        <v>0</v>
      </c>
      <c r="Q234">
        <f>HEX2DEC(DDLI_DME[[#This Row],[Hex]])</f>
        <v>0</v>
      </c>
      <c r="R234">
        <f>DDLI_DME[[#This Row],[ADD]]+DDLI_DME[[#This Row],[Dec]]*DDLI_DME[[#This Row],[MUL]]/DDLI_DME[[#This Row],[DIV]]</f>
        <v>0</v>
      </c>
    </row>
    <row r="235" spans="1:18" hidden="1" x14ac:dyDescent="0.25">
      <c r="A235" s="2" t="s">
        <v>1567</v>
      </c>
      <c r="B235" s="2" t="s">
        <v>1568</v>
      </c>
      <c r="C235" s="2" t="s">
        <v>1569</v>
      </c>
      <c r="D235" s="2" t="s">
        <v>1570</v>
      </c>
      <c r="E235" s="2"/>
      <c r="F235" s="2" t="s">
        <v>458</v>
      </c>
      <c r="G235" s="2" t="s">
        <v>1571</v>
      </c>
      <c r="H235" s="2" t="s">
        <v>460</v>
      </c>
      <c r="I235" s="2" t="s">
        <v>467</v>
      </c>
      <c r="J235" s="2" cm="1">
        <f t="array" ref="J235">_xlfn.IFS(DDLI_DME[[#This Row],[DATENTYP]]="unsigned integer",2,DDLI_DME[[#This Row],[DATENTYP]]="unsigned char",1,DDLI_DME[[#This Row],[DATENTYP]]="signed integer",2)</f>
        <v>2</v>
      </c>
      <c r="K235" s="2" t="s">
        <v>460</v>
      </c>
      <c r="L235">
        <v>0.75</v>
      </c>
      <c r="M235">
        <v>1</v>
      </c>
      <c r="N235" t="str">
        <f>TEXT(DDLI_DME[[#This Row],[MUL]],"######/######")</f>
        <v>3/4</v>
      </c>
      <c r="O235">
        <v>-48</v>
      </c>
      <c r="Q235">
        <f>HEX2DEC(DDLI_DME[[#This Row],[Hex]])</f>
        <v>0</v>
      </c>
      <c r="R235">
        <f>DDLI_DME[[#This Row],[ADD]]+DDLI_DME[[#This Row],[Dec]]*DDLI_DME[[#This Row],[MUL]]/DDLI_DME[[#This Row],[DIV]]</f>
        <v>-48</v>
      </c>
    </row>
    <row r="236" spans="1:18" hidden="1" x14ac:dyDescent="0.25">
      <c r="A236" s="2" t="s">
        <v>1572</v>
      </c>
      <c r="B236" s="2" t="s">
        <v>1573</v>
      </c>
      <c r="C236" s="2" t="s">
        <v>1574</v>
      </c>
      <c r="D236" s="2" t="s">
        <v>1575</v>
      </c>
      <c r="E236" s="2"/>
      <c r="F236" s="2" t="s">
        <v>668</v>
      </c>
      <c r="G236" s="2" t="s">
        <v>1576</v>
      </c>
      <c r="H236" s="2" t="s">
        <v>460</v>
      </c>
      <c r="I236" s="2" t="s">
        <v>531</v>
      </c>
      <c r="J236" s="2" cm="1">
        <f t="array" ref="J236">_xlfn.IFS(DDLI_DME[[#This Row],[DATENTYP]]="unsigned integer",2,DDLI_DME[[#This Row],[DATENTYP]]="unsigned char",1,DDLI_DME[[#This Row],[DATENTYP]]="signed integer",2)</f>
        <v>2</v>
      </c>
      <c r="K236" s="2" t="s">
        <v>460</v>
      </c>
      <c r="L236">
        <v>3.0517578125E-3</v>
      </c>
      <c r="M236">
        <v>1</v>
      </c>
      <c r="N236" t="str">
        <f>TEXT(DDLI_DME[[#This Row],[MUL]],"######/######")</f>
        <v>25/8192</v>
      </c>
      <c r="O236">
        <v>0</v>
      </c>
      <c r="Q236">
        <f>HEX2DEC(DDLI_DME[[#This Row],[Hex]])</f>
        <v>0</v>
      </c>
      <c r="R236">
        <f>DDLI_DME[[#This Row],[ADD]]+DDLI_DME[[#This Row],[Dec]]*DDLI_DME[[#This Row],[MUL]]/DDLI_DME[[#This Row],[DIV]]</f>
        <v>0</v>
      </c>
    </row>
    <row r="237" spans="1:18" hidden="1" x14ac:dyDescent="0.25">
      <c r="A237" s="2" t="s">
        <v>1577</v>
      </c>
      <c r="B237" s="2" t="s">
        <v>1578</v>
      </c>
      <c r="C237" s="2" t="s">
        <v>1579</v>
      </c>
      <c r="D237" s="2" t="s">
        <v>1580</v>
      </c>
      <c r="E237" s="2"/>
      <c r="F237" s="2" t="s">
        <v>460</v>
      </c>
      <c r="G237" s="2" t="s">
        <v>1581</v>
      </c>
      <c r="H237" s="2" t="s">
        <v>460</v>
      </c>
      <c r="I237" s="2" t="s">
        <v>461</v>
      </c>
      <c r="J237" s="2" cm="1">
        <f t="array" ref="J237">_xlfn.IFS(DDLI_DME[[#This Row],[DATENTYP]]="unsigned integer",2,DDLI_DME[[#This Row],[DATENTYP]]="unsigned char",1,DDLI_DME[[#This Row],[DATENTYP]]="signed integer",2)</f>
        <v>1</v>
      </c>
      <c r="K237" s="2" t="s">
        <v>460</v>
      </c>
      <c r="L237">
        <v>1</v>
      </c>
      <c r="M237">
        <v>1</v>
      </c>
      <c r="N237" t="str">
        <f>TEXT(DDLI_DME[[#This Row],[MUL]],"######/######")</f>
        <v>1/1</v>
      </c>
      <c r="O237">
        <v>0</v>
      </c>
      <c r="Q237">
        <f>HEX2DEC(DDLI_DME[[#This Row],[Hex]])</f>
        <v>0</v>
      </c>
      <c r="R237">
        <f>DDLI_DME[[#This Row],[ADD]]+DDLI_DME[[#This Row],[Dec]]*DDLI_DME[[#This Row],[MUL]]/DDLI_DME[[#This Row],[DIV]]</f>
        <v>0</v>
      </c>
    </row>
    <row r="238" spans="1:18" hidden="1" x14ac:dyDescent="0.25">
      <c r="A238" s="2" t="s">
        <v>1582</v>
      </c>
      <c r="B238" s="2" t="s">
        <v>1583</v>
      </c>
      <c r="C238" s="2" t="s">
        <v>1584</v>
      </c>
      <c r="D238" s="2" t="s">
        <v>1585</v>
      </c>
      <c r="E238" s="2"/>
      <c r="F238" s="2" t="s">
        <v>668</v>
      </c>
      <c r="G238" s="2" t="s">
        <v>1586</v>
      </c>
      <c r="H238" s="2" t="s">
        <v>460</v>
      </c>
      <c r="I238" s="2" t="s">
        <v>531</v>
      </c>
      <c r="J238" s="2" cm="1">
        <f t="array" ref="J238">_xlfn.IFS(DDLI_DME[[#This Row],[DATENTYP]]="unsigned integer",2,DDLI_DME[[#This Row],[DATENTYP]]="unsigned char",1,DDLI_DME[[#This Row],[DATENTYP]]="signed integer",2)</f>
        <v>2</v>
      </c>
      <c r="K238" s="2" t="s">
        <v>460</v>
      </c>
      <c r="L238">
        <v>3.0517578125E-3</v>
      </c>
      <c r="M238">
        <v>1</v>
      </c>
      <c r="N238" t="str">
        <f>TEXT(DDLI_DME[[#This Row],[MUL]],"######/######")</f>
        <v>25/8192</v>
      </c>
      <c r="O238">
        <v>0</v>
      </c>
      <c r="Q238">
        <f>HEX2DEC(DDLI_DME[[#This Row],[Hex]])</f>
        <v>0</v>
      </c>
      <c r="R238">
        <f>DDLI_DME[[#This Row],[ADD]]+DDLI_DME[[#This Row],[Dec]]*DDLI_DME[[#This Row],[MUL]]/DDLI_DME[[#This Row],[DIV]]</f>
        <v>0</v>
      </c>
    </row>
    <row r="239" spans="1:18" hidden="1" x14ac:dyDescent="0.25">
      <c r="A239" s="2" t="s">
        <v>1587</v>
      </c>
      <c r="B239" s="2" t="s">
        <v>1588</v>
      </c>
      <c r="C239" s="2" t="s">
        <v>1589</v>
      </c>
      <c r="D239" s="2" t="s">
        <v>1590</v>
      </c>
      <c r="E239" s="2"/>
      <c r="F239" s="2" t="s">
        <v>460</v>
      </c>
      <c r="G239" s="2" t="s">
        <v>1591</v>
      </c>
      <c r="H239" s="2" t="s">
        <v>460</v>
      </c>
      <c r="I239" s="2" t="s">
        <v>467</v>
      </c>
      <c r="J239" s="2" cm="1">
        <f t="array" ref="J239">_xlfn.IFS(DDLI_DME[[#This Row],[DATENTYP]]="unsigned integer",2,DDLI_DME[[#This Row],[DATENTYP]]="unsigned char",1,DDLI_DME[[#This Row],[DATENTYP]]="signed integer",2)</f>
        <v>2</v>
      </c>
      <c r="K239" s="2" t="s">
        <v>460</v>
      </c>
      <c r="L239">
        <v>1</v>
      </c>
      <c r="M239">
        <v>1</v>
      </c>
      <c r="N239" t="str">
        <f>TEXT(DDLI_DME[[#This Row],[MUL]],"######/######")</f>
        <v>1/1</v>
      </c>
      <c r="O239">
        <v>0</v>
      </c>
      <c r="Q239">
        <f>HEX2DEC(DDLI_DME[[#This Row],[Hex]])</f>
        <v>0</v>
      </c>
      <c r="R239">
        <f>DDLI_DME[[#This Row],[ADD]]+DDLI_DME[[#This Row],[Dec]]*DDLI_DME[[#This Row],[MUL]]/DDLI_DME[[#This Row],[DIV]]</f>
        <v>0</v>
      </c>
    </row>
    <row r="240" spans="1:18" hidden="1" x14ac:dyDescent="0.25">
      <c r="A240" s="2" t="s">
        <v>1592</v>
      </c>
      <c r="B240" s="2" t="s">
        <v>1593</v>
      </c>
      <c r="C240" s="2" t="s">
        <v>1594</v>
      </c>
      <c r="D240" s="2" t="s">
        <v>1595</v>
      </c>
      <c r="E240" s="2"/>
      <c r="F240" s="2" t="s">
        <v>668</v>
      </c>
      <c r="G240" s="2" t="s">
        <v>1596</v>
      </c>
      <c r="H240" s="2" t="s">
        <v>460</v>
      </c>
      <c r="I240" s="2" t="s">
        <v>531</v>
      </c>
      <c r="J240" s="2" cm="1">
        <f t="array" ref="J240">_xlfn.IFS(DDLI_DME[[#This Row],[DATENTYP]]="unsigned integer",2,DDLI_DME[[#This Row],[DATENTYP]]="unsigned char",1,DDLI_DME[[#This Row],[DATENTYP]]="signed integer",2)</f>
        <v>2</v>
      </c>
      <c r="K240" s="2" t="s">
        <v>460</v>
      </c>
      <c r="L240">
        <v>3.0517578125E-3</v>
      </c>
      <c r="M240">
        <v>1</v>
      </c>
      <c r="N240" t="str">
        <f>TEXT(DDLI_DME[[#This Row],[MUL]],"######/######")</f>
        <v>25/8192</v>
      </c>
      <c r="O240">
        <v>0</v>
      </c>
      <c r="Q240">
        <f>HEX2DEC(DDLI_DME[[#This Row],[Hex]])</f>
        <v>0</v>
      </c>
      <c r="R240">
        <f>DDLI_DME[[#This Row],[ADD]]+DDLI_DME[[#This Row],[Dec]]*DDLI_DME[[#This Row],[MUL]]/DDLI_DME[[#This Row],[DIV]]</f>
        <v>0</v>
      </c>
    </row>
    <row r="241" spans="1:18" hidden="1" x14ac:dyDescent="0.25">
      <c r="A241" s="2" t="s">
        <v>1597</v>
      </c>
      <c r="B241" s="2" t="s">
        <v>1598</v>
      </c>
      <c r="C241" s="2" t="s">
        <v>1599</v>
      </c>
      <c r="D241" s="2" t="s">
        <v>1600</v>
      </c>
      <c r="E241" s="2"/>
      <c r="F241" s="2" t="s">
        <v>674</v>
      </c>
      <c r="G241" s="2" t="s">
        <v>1601</v>
      </c>
      <c r="H241" s="2" t="s">
        <v>460</v>
      </c>
      <c r="I241" s="2" t="s">
        <v>461</v>
      </c>
      <c r="J241" s="2" cm="1">
        <f t="array" ref="J241">_xlfn.IFS(DDLI_DME[[#This Row],[DATENTYP]]="unsigned integer",2,DDLI_DME[[#This Row],[DATENTYP]]="unsigned char",1,DDLI_DME[[#This Row],[DATENTYP]]="signed integer",2)</f>
        <v>1</v>
      </c>
      <c r="K241" s="2" t="s">
        <v>460</v>
      </c>
      <c r="L241">
        <v>0.10000000149011612</v>
      </c>
      <c r="M241">
        <v>1</v>
      </c>
      <c r="N241" t="str">
        <f>TEXT(DDLI_DME[[#This Row],[MUL]],"######/######")</f>
        <v>1/10</v>
      </c>
      <c r="O241">
        <v>0</v>
      </c>
      <c r="Q241">
        <f>HEX2DEC(DDLI_DME[[#This Row],[Hex]])</f>
        <v>0</v>
      </c>
      <c r="R241">
        <f>DDLI_DME[[#This Row],[ADD]]+DDLI_DME[[#This Row],[Dec]]*DDLI_DME[[#This Row],[MUL]]/DDLI_DME[[#This Row],[DIV]]</f>
        <v>0</v>
      </c>
    </row>
    <row r="242" spans="1:18" hidden="1" x14ac:dyDescent="0.25">
      <c r="A242" s="2" t="s">
        <v>1602</v>
      </c>
      <c r="B242" s="2" t="s">
        <v>1603</v>
      </c>
      <c r="C242" s="2" t="s">
        <v>1604</v>
      </c>
      <c r="D242" s="2" t="s">
        <v>1605</v>
      </c>
      <c r="E242" s="2"/>
      <c r="F242" s="2" t="s">
        <v>460</v>
      </c>
      <c r="G242" s="2" t="s">
        <v>1606</v>
      </c>
      <c r="H242" s="2" t="s">
        <v>460</v>
      </c>
      <c r="I242" s="2" t="s">
        <v>467</v>
      </c>
      <c r="J242" s="2" cm="1">
        <f t="array" ref="J242">_xlfn.IFS(DDLI_DME[[#This Row],[DATENTYP]]="unsigned integer",2,DDLI_DME[[#This Row],[DATENTYP]]="unsigned char",1,DDLI_DME[[#This Row],[DATENTYP]]="signed integer",2)</f>
        <v>2</v>
      </c>
      <c r="K242" s="2" t="s">
        <v>460</v>
      </c>
      <c r="L242">
        <v>1</v>
      </c>
      <c r="M242">
        <v>1</v>
      </c>
      <c r="N242" t="str">
        <f>TEXT(DDLI_DME[[#This Row],[MUL]],"######/######")</f>
        <v>1/1</v>
      </c>
      <c r="O242">
        <v>0</v>
      </c>
      <c r="Q242">
        <f>HEX2DEC(DDLI_DME[[#This Row],[Hex]])</f>
        <v>0</v>
      </c>
      <c r="R242">
        <f>DDLI_DME[[#This Row],[ADD]]+DDLI_DME[[#This Row],[Dec]]*DDLI_DME[[#This Row],[MUL]]/DDLI_DME[[#This Row],[DIV]]</f>
        <v>0</v>
      </c>
    </row>
    <row r="243" spans="1:18" hidden="1" x14ac:dyDescent="0.25">
      <c r="A243" s="2" t="s">
        <v>1607</v>
      </c>
      <c r="B243" s="2" t="s">
        <v>1608</v>
      </c>
      <c r="C243" s="2" t="s">
        <v>1609</v>
      </c>
      <c r="D243" s="2" t="s">
        <v>1610</v>
      </c>
      <c r="E243" s="2" t="s">
        <v>2360</v>
      </c>
      <c r="F243" s="2" t="s">
        <v>1377</v>
      </c>
      <c r="G243" s="2" t="s">
        <v>1611</v>
      </c>
      <c r="H243" s="2" t="s">
        <v>460</v>
      </c>
      <c r="I243" s="2" t="s">
        <v>531</v>
      </c>
      <c r="J243" s="2" cm="1">
        <f t="array" ref="J243">_xlfn.IFS(DDLI_DME[[#This Row],[DATENTYP]]="unsigned integer",2,DDLI_DME[[#This Row],[DATENTYP]]="unsigned char",1,DDLI_DME[[#This Row],[DATENTYP]]="signed integer",2)</f>
        <v>2</v>
      </c>
      <c r="K243" s="2" t="s">
        <v>460</v>
      </c>
      <c r="L243">
        <v>6.25E-2</v>
      </c>
      <c r="M243">
        <v>1</v>
      </c>
      <c r="N243" t="str">
        <f>TEXT(DDLI_DME[[#This Row],[MUL]],"######/######")</f>
        <v>1/16</v>
      </c>
      <c r="O243">
        <v>0</v>
      </c>
      <c r="Q243">
        <f>HEX2DEC(DDLI_DME[[#This Row],[Hex]])</f>
        <v>0</v>
      </c>
      <c r="R243">
        <f>DDLI_DME[[#This Row],[ADD]]+DDLI_DME[[#This Row],[Dec]]*DDLI_DME[[#This Row],[MUL]]/DDLI_DME[[#This Row],[DIV]]</f>
        <v>0</v>
      </c>
    </row>
    <row r="244" spans="1:18" hidden="1" x14ac:dyDescent="0.25">
      <c r="A244" s="2" t="s">
        <v>1612</v>
      </c>
      <c r="B244" s="2" t="s">
        <v>1613</v>
      </c>
      <c r="C244" s="2" t="s">
        <v>1614</v>
      </c>
      <c r="D244" s="2" t="s">
        <v>1615</v>
      </c>
      <c r="E244" s="2" t="s">
        <v>2361</v>
      </c>
      <c r="F244" s="2" t="s">
        <v>668</v>
      </c>
      <c r="G244" s="2" t="s">
        <v>1616</v>
      </c>
      <c r="H244" s="2" t="s">
        <v>460</v>
      </c>
      <c r="I244" s="2" t="s">
        <v>461</v>
      </c>
      <c r="J244" s="2" cm="1">
        <f t="array" ref="J244">_xlfn.IFS(DDLI_DME[[#This Row],[DATENTYP]]="unsigned integer",2,DDLI_DME[[#This Row],[DATENTYP]]="unsigned char",1,DDLI_DME[[#This Row],[DATENTYP]]="signed integer",2)</f>
        <v>1</v>
      </c>
      <c r="K244" s="2" t="s">
        <v>460</v>
      </c>
      <c r="L244">
        <v>0.390625</v>
      </c>
      <c r="M244">
        <v>1</v>
      </c>
      <c r="N244" t="str">
        <f>TEXT(DDLI_DME[[#This Row],[MUL]],"######/######")</f>
        <v>25/64</v>
      </c>
      <c r="O244">
        <v>0</v>
      </c>
      <c r="Q244">
        <f>HEX2DEC(DDLI_DME[[#This Row],[Hex]])</f>
        <v>0</v>
      </c>
      <c r="R244">
        <f>DDLI_DME[[#This Row],[ADD]]+DDLI_DME[[#This Row],[Dec]]*DDLI_DME[[#This Row],[MUL]]/DDLI_DME[[#This Row],[DIV]]</f>
        <v>0</v>
      </c>
    </row>
    <row r="245" spans="1:18" hidden="1" x14ac:dyDescent="0.25">
      <c r="A245" s="2" t="s">
        <v>1617</v>
      </c>
      <c r="B245" s="2" t="s">
        <v>1618</v>
      </c>
      <c r="C245" s="2" t="s">
        <v>1619</v>
      </c>
      <c r="D245" s="2" t="s">
        <v>1620</v>
      </c>
      <c r="E245" s="2"/>
      <c r="F245" s="2" t="s">
        <v>477</v>
      </c>
      <c r="G245" s="2" t="s">
        <v>1621</v>
      </c>
      <c r="H245" s="2" t="s">
        <v>460</v>
      </c>
      <c r="I245" s="2" t="s">
        <v>467</v>
      </c>
      <c r="J245" s="2" cm="1">
        <f t="array" ref="J245">_xlfn.IFS(DDLI_DME[[#This Row],[DATENTYP]]="unsigned integer",2,DDLI_DME[[#This Row],[DATENTYP]]="unsigned char",1,DDLI_DME[[#This Row],[DATENTYP]]="signed integer",2)</f>
        <v>2</v>
      </c>
      <c r="K245" s="2" t="s">
        <v>460</v>
      </c>
      <c r="L245">
        <v>0.10000000149011612</v>
      </c>
      <c r="M245">
        <v>1</v>
      </c>
      <c r="N245" t="str">
        <f>TEXT(DDLI_DME[[#This Row],[MUL]],"######/######")</f>
        <v>1/10</v>
      </c>
      <c r="O245">
        <v>0</v>
      </c>
      <c r="Q245">
        <f>HEX2DEC(DDLI_DME[[#This Row],[Hex]])</f>
        <v>0</v>
      </c>
      <c r="R245">
        <f>DDLI_DME[[#This Row],[ADD]]+DDLI_DME[[#This Row],[Dec]]*DDLI_DME[[#This Row],[MUL]]/DDLI_DME[[#This Row],[DIV]]</f>
        <v>0</v>
      </c>
    </row>
    <row r="246" spans="1:18" hidden="1" x14ac:dyDescent="0.25">
      <c r="A246" s="2" t="s">
        <v>1622</v>
      </c>
      <c r="B246" s="2" t="s">
        <v>1623</v>
      </c>
      <c r="C246" s="2" t="s">
        <v>1624</v>
      </c>
      <c r="D246" s="2" t="s">
        <v>1625</v>
      </c>
      <c r="E246" s="2"/>
      <c r="F246" s="2" t="s">
        <v>460</v>
      </c>
      <c r="G246" s="2" t="s">
        <v>1626</v>
      </c>
      <c r="H246" s="2" t="s">
        <v>460</v>
      </c>
      <c r="I246" s="2" t="s">
        <v>461</v>
      </c>
      <c r="J246" s="2" cm="1">
        <f t="array" ref="J246">_xlfn.IFS(DDLI_DME[[#This Row],[DATENTYP]]="unsigned integer",2,DDLI_DME[[#This Row],[DATENTYP]]="unsigned char",1,DDLI_DME[[#This Row],[DATENTYP]]="signed integer",2)</f>
        <v>1</v>
      </c>
      <c r="K246" s="2" t="s">
        <v>460</v>
      </c>
      <c r="L246">
        <v>1</v>
      </c>
      <c r="M246">
        <v>1</v>
      </c>
      <c r="N246" t="str">
        <f>TEXT(DDLI_DME[[#This Row],[MUL]],"######/######")</f>
        <v>1/1</v>
      </c>
      <c r="O246">
        <v>0</v>
      </c>
      <c r="Q246">
        <f>HEX2DEC(DDLI_DME[[#This Row],[Hex]])</f>
        <v>0</v>
      </c>
      <c r="R246">
        <f>DDLI_DME[[#This Row],[ADD]]+DDLI_DME[[#This Row],[Dec]]*DDLI_DME[[#This Row],[MUL]]/DDLI_DME[[#This Row],[DIV]]</f>
        <v>0</v>
      </c>
    </row>
    <row r="247" spans="1:18" hidden="1" x14ac:dyDescent="0.25">
      <c r="A247" s="2" t="s">
        <v>1627</v>
      </c>
      <c r="B247" s="2" t="s">
        <v>1628</v>
      </c>
      <c r="C247" s="2" t="s">
        <v>1629</v>
      </c>
      <c r="D247" s="2" t="s">
        <v>1630</v>
      </c>
      <c r="E247" s="2"/>
      <c r="F247" s="2" t="s">
        <v>458</v>
      </c>
      <c r="G247" s="2" t="s">
        <v>1631</v>
      </c>
      <c r="H247" s="2" t="s">
        <v>460</v>
      </c>
      <c r="I247" s="2" t="s">
        <v>461</v>
      </c>
      <c r="J247" s="2" cm="1">
        <f t="array" ref="J247">_xlfn.IFS(DDLI_DME[[#This Row],[DATENTYP]]="unsigned integer",2,DDLI_DME[[#This Row],[DATENTYP]]="unsigned char",1,DDLI_DME[[#This Row],[DATENTYP]]="signed integer",2)</f>
        <v>1</v>
      </c>
      <c r="K247" s="2" t="s">
        <v>460</v>
      </c>
      <c r="L247">
        <v>0.75</v>
      </c>
      <c r="M247">
        <v>1</v>
      </c>
      <c r="N247" t="str">
        <f>TEXT(DDLI_DME[[#This Row],[MUL]],"######/######")</f>
        <v>3/4</v>
      </c>
      <c r="O247">
        <v>-48</v>
      </c>
      <c r="Q247">
        <f>HEX2DEC(DDLI_DME[[#This Row],[Hex]])</f>
        <v>0</v>
      </c>
      <c r="R247">
        <f>DDLI_DME[[#This Row],[ADD]]+DDLI_DME[[#This Row],[Dec]]*DDLI_DME[[#This Row],[MUL]]/DDLI_DME[[#This Row],[DIV]]</f>
        <v>-48</v>
      </c>
    </row>
    <row r="248" spans="1:18" hidden="1" x14ac:dyDescent="0.25">
      <c r="A248" s="2" t="s">
        <v>1632</v>
      </c>
      <c r="B248" s="2" t="s">
        <v>1633</v>
      </c>
      <c r="C248" s="2" t="s">
        <v>1634</v>
      </c>
      <c r="D248" s="2" t="s">
        <v>1635</v>
      </c>
      <c r="E248" s="2"/>
      <c r="F248" s="2" t="s">
        <v>674</v>
      </c>
      <c r="G248" s="2" t="s">
        <v>1636</v>
      </c>
      <c r="H248" s="2" t="s">
        <v>460</v>
      </c>
      <c r="I248" s="2" t="s">
        <v>467</v>
      </c>
      <c r="J248" s="2" cm="1">
        <f t="array" ref="J248">_xlfn.IFS(DDLI_DME[[#This Row],[DATENTYP]]="unsigned integer",2,DDLI_DME[[#This Row],[DATENTYP]]="unsigned char",1,DDLI_DME[[#This Row],[DATENTYP]]="signed integer",2)</f>
        <v>2</v>
      </c>
      <c r="K248" s="2" t="s">
        <v>460</v>
      </c>
      <c r="L248">
        <v>4.8828125E-3</v>
      </c>
      <c r="M248">
        <v>1</v>
      </c>
      <c r="N248" t="str">
        <f>TEXT(DDLI_DME[[#This Row],[MUL]],"######/######")</f>
        <v>5/1024</v>
      </c>
      <c r="O248">
        <v>0</v>
      </c>
      <c r="Q248">
        <f>HEX2DEC(DDLI_DME[[#This Row],[Hex]])</f>
        <v>0</v>
      </c>
      <c r="R248">
        <f>DDLI_DME[[#This Row],[ADD]]+DDLI_DME[[#This Row],[Dec]]*DDLI_DME[[#This Row],[MUL]]/DDLI_DME[[#This Row],[DIV]]</f>
        <v>0</v>
      </c>
    </row>
    <row r="249" spans="1:18" hidden="1" x14ac:dyDescent="0.25">
      <c r="A249" s="2" t="s">
        <v>1637</v>
      </c>
      <c r="B249" s="2" t="s">
        <v>1638</v>
      </c>
      <c r="C249" s="2" t="s">
        <v>1639</v>
      </c>
      <c r="D249" s="2" t="s">
        <v>1640</v>
      </c>
      <c r="E249" s="2"/>
      <c r="F249" s="2" t="s">
        <v>662</v>
      </c>
      <c r="G249" s="2" t="s">
        <v>1641</v>
      </c>
      <c r="H249" s="2" t="s">
        <v>460</v>
      </c>
      <c r="I249" s="2" t="s">
        <v>531</v>
      </c>
      <c r="J249" s="2" cm="1">
        <f t="array" ref="J249">_xlfn.IFS(DDLI_DME[[#This Row],[DATENTYP]]="unsigned integer",2,DDLI_DME[[#This Row],[DATENTYP]]="unsigned char",1,DDLI_DME[[#This Row],[DATENTYP]]="signed integer",2)</f>
        <v>2</v>
      </c>
      <c r="K249" s="2" t="s">
        <v>460</v>
      </c>
      <c r="L249">
        <v>2.44140625E-2</v>
      </c>
      <c r="M249">
        <v>1</v>
      </c>
      <c r="N249" t="str">
        <f>TEXT(DDLI_DME[[#This Row],[MUL]],"######/######")</f>
        <v>25/1024</v>
      </c>
      <c r="O249">
        <v>0</v>
      </c>
      <c r="Q249">
        <f>HEX2DEC(DDLI_DME[[#This Row],[Hex]])</f>
        <v>0</v>
      </c>
      <c r="R249">
        <f>DDLI_DME[[#This Row],[ADD]]+DDLI_DME[[#This Row],[Dec]]*DDLI_DME[[#This Row],[MUL]]/DDLI_DME[[#This Row],[DIV]]</f>
        <v>0</v>
      </c>
    </row>
    <row r="250" spans="1:18" hidden="1" x14ac:dyDescent="0.25">
      <c r="A250" s="2" t="s">
        <v>1642</v>
      </c>
      <c r="B250" s="2" t="s">
        <v>1643</v>
      </c>
      <c r="C250" s="2" t="s">
        <v>1644</v>
      </c>
      <c r="D250" s="2" t="s">
        <v>1645</v>
      </c>
      <c r="E250" s="2"/>
      <c r="F250" s="2" t="s">
        <v>460</v>
      </c>
      <c r="G250" s="2" t="s">
        <v>1646</v>
      </c>
      <c r="H250" s="2" t="s">
        <v>460</v>
      </c>
      <c r="I250" s="2" t="s">
        <v>461</v>
      </c>
      <c r="J250" s="2" cm="1">
        <f t="array" ref="J250">_xlfn.IFS(DDLI_DME[[#This Row],[DATENTYP]]="unsigned integer",2,DDLI_DME[[#This Row],[DATENTYP]]="unsigned char",1,DDLI_DME[[#This Row],[DATENTYP]]="signed integer",2)</f>
        <v>1</v>
      </c>
      <c r="K250" s="2" t="s">
        <v>460</v>
      </c>
      <c r="L250">
        <v>1</v>
      </c>
      <c r="M250">
        <v>1</v>
      </c>
      <c r="N250" t="str">
        <f>TEXT(DDLI_DME[[#This Row],[MUL]],"######/######")</f>
        <v>1/1</v>
      </c>
      <c r="O250">
        <v>0</v>
      </c>
      <c r="Q250">
        <f>HEX2DEC(DDLI_DME[[#This Row],[Hex]])</f>
        <v>0</v>
      </c>
      <c r="R250">
        <f>DDLI_DME[[#This Row],[ADD]]+DDLI_DME[[#This Row],[Dec]]*DDLI_DME[[#This Row],[MUL]]/DDLI_DME[[#This Row],[DIV]]</f>
        <v>0</v>
      </c>
    </row>
    <row r="251" spans="1:18" hidden="1" x14ac:dyDescent="0.25">
      <c r="A251" s="2" t="s">
        <v>1647</v>
      </c>
      <c r="B251" s="2" t="s">
        <v>1648</v>
      </c>
      <c r="C251" s="2" t="s">
        <v>1649</v>
      </c>
      <c r="D251" s="2" t="s">
        <v>1650</v>
      </c>
      <c r="E251" s="2"/>
      <c r="F251" s="2" t="s">
        <v>668</v>
      </c>
      <c r="G251" s="2" t="s">
        <v>1651</v>
      </c>
      <c r="H251" s="2" t="s">
        <v>460</v>
      </c>
      <c r="I251" s="2" t="s">
        <v>467</v>
      </c>
      <c r="J251" s="2" cm="1">
        <f t="array" ref="J251">_xlfn.IFS(DDLI_DME[[#This Row],[DATENTYP]]="unsigned integer",2,DDLI_DME[[#This Row],[DATENTYP]]="unsigned char",1,DDLI_DME[[#This Row],[DATENTYP]]="signed integer",2)</f>
        <v>2</v>
      </c>
      <c r="K251" s="2" t="s">
        <v>460</v>
      </c>
      <c r="L251">
        <v>1.52587890625E-3</v>
      </c>
      <c r="M251">
        <v>1</v>
      </c>
      <c r="N251" t="str">
        <f>TEXT(DDLI_DME[[#This Row],[MUL]],"######/######")</f>
        <v>25/16384</v>
      </c>
      <c r="O251">
        <v>0</v>
      </c>
      <c r="Q251">
        <f>HEX2DEC(DDLI_DME[[#This Row],[Hex]])</f>
        <v>0</v>
      </c>
      <c r="R251">
        <f>DDLI_DME[[#This Row],[ADD]]+DDLI_DME[[#This Row],[Dec]]*DDLI_DME[[#This Row],[MUL]]/DDLI_DME[[#This Row],[DIV]]</f>
        <v>0</v>
      </c>
    </row>
    <row r="252" spans="1:18" hidden="1" x14ac:dyDescent="0.25">
      <c r="A252" s="2" t="s">
        <v>1652</v>
      </c>
      <c r="B252" s="2" t="s">
        <v>1653</v>
      </c>
      <c r="C252" s="2" t="s">
        <v>1654</v>
      </c>
      <c r="D252" s="2" t="s">
        <v>1655</v>
      </c>
      <c r="E252" s="2"/>
      <c r="F252" s="2" t="s">
        <v>460</v>
      </c>
      <c r="G252" s="2" t="s">
        <v>1656</v>
      </c>
      <c r="H252" s="2" t="s">
        <v>460</v>
      </c>
      <c r="I252" s="2" t="s">
        <v>467</v>
      </c>
      <c r="J252" s="2" cm="1">
        <f t="array" ref="J252">_xlfn.IFS(DDLI_DME[[#This Row],[DATENTYP]]="unsigned integer",2,DDLI_DME[[#This Row],[DATENTYP]]="unsigned char",1,DDLI_DME[[#This Row],[DATENTYP]]="signed integer",2)</f>
        <v>2</v>
      </c>
      <c r="K252" s="2" t="s">
        <v>460</v>
      </c>
      <c r="L252">
        <v>1</v>
      </c>
      <c r="M252">
        <v>1</v>
      </c>
      <c r="N252" t="str">
        <f>TEXT(DDLI_DME[[#This Row],[MUL]],"######/######")</f>
        <v>1/1</v>
      </c>
      <c r="O252">
        <v>0</v>
      </c>
      <c r="Q252">
        <f>HEX2DEC(DDLI_DME[[#This Row],[Hex]])</f>
        <v>0</v>
      </c>
      <c r="R252">
        <f>DDLI_DME[[#This Row],[ADD]]+DDLI_DME[[#This Row],[Dec]]*DDLI_DME[[#This Row],[MUL]]/DDLI_DME[[#This Row],[DIV]]</f>
        <v>0</v>
      </c>
    </row>
    <row r="253" spans="1:18" hidden="1" x14ac:dyDescent="0.25">
      <c r="A253" s="2" t="s">
        <v>1657</v>
      </c>
      <c r="B253" s="2" t="s">
        <v>1658</v>
      </c>
      <c r="C253" s="2" t="s">
        <v>1659</v>
      </c>
      <c r="D253" s="2" t="s">
        <v>1660</v>
      </c>
      <c r="E253" s="2"/>
      <c r="F253" s="2" t="s">
        <v>460</v>
      </c>
      <c r="G253" s="2" t="s">
        <v>1661</v>
      </c>
      <c r="H253" s="2" t="s">
        <v>460</v>
      </c>
      <c r="I253" s="2" t="s">
        <v>467</v>
      </c>
      <c r="J253" s="2" cm="1">
        <f t="array" ref="J253">_xlfn.IFS(DDLI_DME[[#This Row],[DATENTYP]]="unsigned integer",2,DDLI_DME[[#This Row],[DATENTYP]]="unsigned char",1,DDLI_DME[[#This Row],[DATENTYP]]="signed integer",2)</f>
        <v>2</v>
      </c>
      <c r="K253" s="2" t="s">
        <v>460</v>
      </c>
      <c r="L253">
        <v>1</v>
      </c>
      <c r="M253">
        <v>1</v>
      </c>
      <c r="N253" t="str">
        <f>TEXT(DDLI_DME[[#This Row],[MUL]],"######/######")</f>
        <v>1/1</v>
      </c>
      <c r="O253">
        <v>0</v>
      </c>
      <c r="Q253">
        <f>HEX2DEC(DDLI_DME[[#This Row],[Hex]])</f>
        <v>0</v>
      </c>
      <c r="R253">
        <f>DDLI_DME[[#This Row],[ADD]]+DDLI_DME[[#This Row],[Dec]]*DDLI_DME[[#This Row],[MUL]]/DDLI_DME[[#This Row],[DIV]]</f>
        <v>0</v>
      </c>
    </row>
    <row r="254" spans="1:18" x14ac:dyDescent="0.25">
      <c r="A254" s="10" t="s">
        <v>1662</v>
      </c>
      <c r="B254" s="10" t="s">
        <v>1663</v>
      </c>
      <c r="C254" s="10" t="s">
        <v>1664</v>
      </c>
      <c r="D254" s="10" t="s">
        <v>1665</v>
      </c>
      <c r="E254" s="10"/>
      <c r="F254" s="10" t="s">
        <v>6</v>
      </c>
      <c r="G254" s="10" t="s">
        <v>1666</v>
      </c>
      <c r="H254" s="10" t="s">
        <v>460</v>
      </c>
      <c r="I254" s="10" t="s">
        <v>467</v>
      </c>
      <c r="J254" s="10" cm="1">
        <f t="array" ref="J254">_xlfn.IFS(DDLI_DME[[#This Row],[DATENTYP]]="unsigned integer",2,DDLI_DME[[#This Row],[DATENTYP]]="unsigned char",1,DDLI_DME[[#This Row],[DATENTYP]]="signed integer",2)</f>
        <v>2</v>
      </c>
      <c r="K254" s="10" t="s">
        <v>460</v>
      </c>
      <c r="L254" s="6">
        <v>7.8125E-2</v>
      </c>
      <c r="M254" s="6">
        <v>1</v>
      </c>
      <c r="N254" s="6" t="str">
        <f>TEXT(DDLI_DME[[#This Row],[MUL]],"######/######")</f>
        <v>5/64</v>
      </c>
      <c r="O254" s="6">
        <v>0</v>
      </c>
      <c r="P254" s="7" t="s">
        <v>28</v>
      </c>
      <c r="Q254">
        <f>HEX2DEC(DDLI_DME[[#This Row],[Hex]])</f>
        <v>12654</v>
      </c>
      <c r="R254">
        <f>DDLI_DME[[#This Row],[ADD]]+DDLI_DME[[#This Row],[Dec]]*DDLI_DME[[#This Row],[MUL]]/DDLI_DME[[#This Row],[DIV]]</f>
        <v>988.59375</v>
      </c>
    </row>
    <row r="255" spans="1:18" hidden="1" x14ac:dyDescent="0.25">
      <c r="A255" s="2" t="s">
        <v>1667</v>
      </c>
      <c r="B255" s="2" t="s">
        <v>1668</v>
      </c>
      <c r="C255" s="2" t="s">
        <v>1669</v>
      </c>
      <c r="D255" s="2" t="s">
        <v>1670</v>
      </c>
      <c r="E255" s="2"/>
      <c r="F255" s="2" t="s">
        <v>674</v>
      </c>
      <c r="G255" s="2" t="s">
        <v>1671</v>
      </c>
      <c r="H255" s="2" t="s">
        <v>460</v>
      </c>
      <c r="I255" s="2" t="s">
        <v>467</v>
      </c>
      <c r="J255" s="2" cm="1">
        <f t="array" ref="J255">_xlfn.IFS(DDLI_DME[[#This Row],[DATENTYP]]="unsigned integer",2,DDLI_DME[[#This Row],[DATENTYP]]="unsigned char",1,DDLI_DME[[#This Row],[DATENTYP]]="signed integer",2)</f>
        <v>2</v>
      </c>
      <c r="K255" s="2" t="s">
        <v>460</v>
      </c>
      <c r="L255">
        <v>4.8828125E-3</v>
      </c>
      <c r="M255">
        <v>1</v>
      </c>
      <c r="N255" t="str">
        <f>TEXT(DDLI_DME[[#This Row],[MUL]],"######/######")</f>
        <v>5/1024</v>
      </c>
      <c r="O255">
        <v>0</v>
      </c>
      <c r="Q255">
        <f>HEX2DEC(DDLI_DME[[#This Row],[Hex]])</f>
        <v>0</v>
      </c>
      <c r="R255">
        <f>DDLI_DME[[#This Row],[ADD]]+DDLI_DME[[#This Row],[Dec]]*DDLI_DME[[#This Row],[MUL]]/DDLI_DME[[#This Row],[DIV]]</f>
        <v>0</v>
      </c>
    </row>
    <row r="256" spans="1:18" hidden="1" x14ac:dyDescent="0.25">
      <c r="A256" s="2" t="s">
        <v>1672</v>
      </c>
      <c r="B256" s="2" t="s">
        <v>1673</v>
      </c>
      <c r="C256" s="2" t="s">
        <v>1674</v>
      </c>
      <c r="D256" s="2" t="s">
        <v>1675</v>
      </c>
      <c r="E256" s="2"/>
      <c r="F256" s="2" t="s">
        <v>460</v>
      </c>
      <c r="G256" s="2" t="s">
        <v>1676</v>
      </c>
      <c r="H256" s="2" t="s">
        <v>460</v>
      </c>
      <c r="I256" s="2" t="s">
        <v>461</v>
      </c>
      <c r="J256" s="2" cm="1">
        <f t="array" ref="J256">_xlfn.IFS(DDLI_DME[[#This Row],[DATENTYP]]="unsigned integer",2,DDLI_DME[[#This Row],[DATENTYP]]="unsigned char",1,DDLI_DME[[#This Row],[DATENTYP]]="signed integer",2)</f>
        <v>1</v>
      </c>
      <c r="K256" s="2" t="s">
        <v>460</v>
      </c>
      <c r="L256">
        <v>7.8125E-3</v>
      </c>
      <c r="M256">
        <v>1</v>
      </c>
      <c r="N256" t="str">
        <f>TEXT(DDLI_DME[[#This Row],[MUL]],"######/######")</f>
        <v>1/128</v>
      </c>
      <c r="O256">
        <v>0</v>
      </c>
      <c r="Q256">
        <f>HEX2DEC(DDLI_DME[[#This Row],[Hex]])</f>
        <v>0</v>
      </c>
      <c r="R256">
        <f>DDLI_DME[[#This Row],[ADD]]+DDLI_DME[[#This Row],[Dec]]*DDLI_DME[[#This Row],[MUL]]/DDLI_DME[[#This Row],[DIV]]</f>
        <v>0</v>
      </c>
    </row>
    <row r="257" spans="1:18" hidden="1" x14ac:dyDescent="0.25">
      <c r="A257" s="2" t="s">
        <v>1677</v>
      </c>
      <c r="B257" s="2" t="s">
        <v>1678</v>
      </c>
      <c r="C257" s="2" t="s">
        <v>1679</v>
      </c>
      <c r="D257" s="2" t="s">
        <v>1680</v>
      </c>
      <c r="E257" s="2"/>
      <c r="F257" s="2" t="s">
        <v>477</v>
      </c>
      <c r="G257" s="2" t="s">
        <v>1681</v>
      </c>
      <c r="H257" s="2" t="s">
        <v>460</v>
      </c>
      <c r="I257" s="2" t="s">
        <v>940</v>
      </c>
      <c r="J257" s="2" t="e" cm="1">
        <f t="array" ref="J257">_xlfn.IFS(DDLI_DME[[#This Row],[DATENTYP]]="unsigned integer",2,DDLI_DME[[#This Row],[DATENTYP]]="unsigned char",1,DDLI_DME[[#This Row],[DATENTYP]]="signed integer",2)</f>
        <v>#N/A</v>
      </c>
      <c r="K257" s="2" t="s">
        <v>460</v>
      </c>
      <c r="L257">
        <v>8</v>
      </c>
      <c r="M257">
        <v>1</v>
      </c>
      <c r="N257" t="str">
        <f>TEXT(DDLI_DME[[#This Row],[MUL]],"######/######")</f>
        <v>8/1</v>
      </c>
      <c r="O257">
        <v>0</v>
      </c>
      <c r="Q257">
        <f>HEX2DEC(DDLI_DME[[#This Row],[Hex]])</f>
        <v>0</v>
      </c>
      <c r="R257">
        <f>DDLI_DME[[#This Row],[ADD]]+DDLI_DME[[#This Row],[Dec]]*DDLI_DME[[#This Row],[MUL]]/DDLI_DME[[#This Row],[DIV]]</f>
        <v>0</v>
      </c>
    </row>
    <row r="258" spans="1:18" hidden="1" x14ac:dyDescent="0.25">
      <c r="A258" s="2" t="s">
        <v>1682</v>
      </c>
      <c r="B258" s="2" t="s">
        <v>1683</v>
      </c>
      <c r="C258" s="2" t="s">
        <v>1684</v>
      </c>
      <c r="D258" s="2" t="s">
        <v>1685</v>
      </c>
      <c r="E258" s="2"/>
      <c r="F258" s="2" t="s">
        <v>460</v>
      </c>
      <c r="G258" s="2" t="s">
        <v>1686</v>
      </c>
      <c r="H258" s="2" t="s">
        <v>460</v>
      </c>
      <c r="I258" s="2" t="s">
        <v>461</v>
      </c>
      <c r="J258" s="2" cm="1">
        <f t="array" ref="J258">_xlfn.IFS(DDLI_DME[[#This Row],[DATENTYP]]="unsigned integer",2,DDLI_DME[[#This Row],[DATENTYP]]="unsigned char",1,DDLI_DME[[#This Row],[DATENTYP]]="signed integer",2)</f>
        <v>1</v>
      </c>
      <c r="K258" s="2" t="s">
        <v>460</v>
      </c>
      <c r="L258">
        <v>7.8125E-3</v>
      </c>
      <c r="M258">
        <v>1</v>
      </c>
      <c r="N258" t="str">
        <f>TEXT(DDLI_DME[[#This Row],[MUL]],"######/######")</f>
        <v>1/128</v>
      </c>
      <c r="O258">
        <v>0</v>
      </c>
      <c r="Q258">
        <f>HEX2DEC(DDLI_DME[[#This Row],[Hex]])</f>
        <v>0</v>
      </c>
      <c r="R258">
        <f>DDLI_DME[[#This Row],[ADD]]+DDLI_DME[[#This Row],[Dec]]*DDLI_DME[[#This Row],[MUL]]/DDLI_DME[[#This Row],[DIV]]</f>
        <v>0</v>
      </c>
    </row>
    <row r="259" spans="1:18" hidden="1" x14ac:dyDescent="0.25">
      <c r="A259" s="2" t="s">
        <v>1687</v>
      </c>
      <c r="B259" s="2" t="s">
        <v>1688</v>
      </c>
      <c r="C259" s="2" t="s">
        <v>1689</v>
      </c>
      <c r="D259" s="2" t="s">
        <v>1690</v>
      </c>
      <c r="E259" s="2"/>
      <c r="F259" s="2" t="s">
        <v>477</v>
      </c>
      <c r="G259" s="2" t="s">
        <v>1691</v>
      </c>
      <c r="H259" s="2" t="s">
        <v>460</v>
      </c>
      <c r="I259" s="2" t="s">
        <v>940</v>
      </c>
      <c r="J259" s="2" t="e" cm="1">
        <f t="array" ref="J259">_xlfn.IFS(DDLI_DME[[#This Row],[DATENTYP]]="unsigned integer",2,DDLI_DME[[#This Row],[DATENTYP]]="unsigned char",1,DDLI_DME[[#This Row],[DATENTYP]]="signed integer",2)</f>
        <v>#N/A</v>
      </c>
      <c r="K259" s="2" t="s">
        <v>460</v>
      </c>
      <c r="L259">
        <v>8</v>
      </c>
      <c r="M259">
        <v>1</v>
      </c>
      <c r="N259" t="str">
        <f>TEXT(DDLI_DME[[#This Row],[MUL]],"######/######")</f>
        <v>8/1</v>
      </c>
      <c r="O259">
        <v>0</v>
      </c>
      <c r="Q259">
        <f>HEX2DEC(DDLI_DME[[#This Row],[Hex]])</f>
        <v>0</v>
      </c>
      <c r="R259">
        <f>DDLI_DME[[#This Row],[ADD]]+DDLI_DME[[#This Row],[Dec]]*DDLI_DME[[#This Row],[MUL]]/DDLI_DME[[#This Row],[DIV]]</f>
        <v>0</v>
      </c>
    </row>
    <row r="260" spans="1:18" hidden="1" x14ac:dyDescent="0.25">
      <c r="A260" s="2" t="s">
        <v>1692</v>
      </c>
      <c r="B260" s="2" t="s">
        <v>1693</v>
      </c>
      <c r="C260" s="2" t="s">
        <v>1694</v>
      </c>
      <c r="D260" s="2" t="s">
        <v>1695</v>
      </c>
      <c r="E260" s="2"/>
      <c r="F260" s="2" t="s">
        <v>460</v>
      </c>
      <c r="G260" s="2" t="s">
        <v>1696</v>
      </c>
      <c r="H260" s="2" t="s">
        <v>460</v>
      </c>
      <c r="I260" s="2" t="s">
        <v>461</v>
      </c>
      <c r="J260" s="2" cm="1">
        <f t="array" ref="J260">_xlfn.IFS(DDLI_DME[[#This Row],[DATENTYP]]="unsigned integer",2,DDLI_DME[[#This Row],[DATENTYP]]="unsigned char",1,DDLI_DME[[#This Row],[DATENTYP]]="signed integer",2)</f>
        <v>1</v>
      </c>
      <c r="K260" s="2" t="s">
        <v>460</v>
      </c>
      <c r="L260">
        <v>1</v>
      </c>
      <c r="M260">
        <v>1</v>
      </c>
      <c r="N260" t="str">
        <f>TEXT(DDLI_DME[[#This Row],[MUL]],"######/######")</f>
        <v>1/1</v>
      </c>
      <c r="O260">
        <v>0</v>
      </c>
      <c r="Q260">
        <f>HEX2DEC(DDLI_DME[[#This Row],[Hex]])</f>
        <v>0</v>
      </c>
      <c r="R260">
        <f>DDLI_DME[[#This Row],[ADD]]+DDLI_DME[[#This Row],[Dec]]*DDLI_DME[[#This Row],[MUL]]/DDLI_DME[[#This Row],[DIV]]</f>
        <v>0</v>
      </c>
    </row>
    <row r="261" spans="1:18" hidden="1" x14ac:dyDescent="0.25">
      <c r="A261" s="2" t="s">
        <v>1697</v>
      </c>
      <c r="B261" s="2" t="s">
        <v>1698</v>
      </c>
      <c r="C261" s="2" t="s">
        <v>1699</v>
      </c>
      <c r="D261" s="2" t="s">
        <v>1700</v>
      </c>
      <c r="E261" s="2"/>
      <c r="F261" s="2" t="s">
        <v>1310</v>
      </c>
      <c r="G261" s="2" t="s">
        <v>1701</v>
      </c>
      <c r="H261" s="2" t="s">
        <v>460</v>
      </c>
      <c r="I261" s="2" t="s">
        <v>467</v>
      </c>
      <c r="J261" s="2" cm="1">
        <f t="array" ref="J261">_xlfn.IFS(DDLI_DME[[#This Row],[DATENTYP]]="unsigned integer",2,DDLI_DME[[#This Row],[DATENTYP]]="unsigned char",1,DDLI_DME[[#This Row],[DATENTYP]]="signed integer",2)</f>
        <v>2</v>
      </c>
      <c r="K261" s="2" t="s">
        <v>460</v>
      </c>
      <c r="L261">
        <v>1.0000000474974513E-3</v>
      </c>
      <c r="M261">
        <v>1</v>
      </c>
      <c r="N261" t="str">
        <f>TEXT(DDLI_DME[[#This Row],[MUL]],"######/######")</f>
        <v>1/1000</v>
      </c>
      <c r="O261">
        <v>0</v>
      </c>
      <c r="Q261">
        <f>HEX2DEC(DDLI_DME[[#This Row],[Hex]])</f>
        <v>0</v>
      </c>
      <c r="R261">
        <f>DDLI_DME[[#This Row],[ADD]]+DDLI_DME[[#This Row],[Dec]]*DDLI_DME[[#This Row],[MUL]]/DDLI_DME[[#This Row],[DIV]]</f>
        <v>0</v>
      </c>
    </row>
    <row r="262" spans="1:18" hidden="1" x14ac:dyDescent="0.25">
      <c r="A262" s="2" t="s">
        <v>1702</v>
      </c>
      <c r="B262" s="2" t="s">
        <v>1703</v>
      </c>
      <c r="C262" s="2" t="s">
        <v>1704</v>
      </c>
      <c r="D262" s="2" t="s">
        <v>1705</v>
      </c>
      <c r="E262" s="2"/>
      <c r="F262" s="2" t="s">
        <v>1310</v>
      </c>
      <c r="G262" s="2" t="s">
        <v>1701</v>
      </c>
      <c r="H262" s="2" t="s">
        <v>460</v>
      </c>
      <c r="I262" s="2" t="s">
        <v>467</v>
      </c>
      <c r="J262" s="2" cm="1">
        <f t="array" ref="J262">_xlfn.IFS(DDLI_DME[[#This Row],[DATENTYP]]="unsigned integer",2,DDLI_DME[[#This Row],[DATENTYP]]="unsigned char",1,DDLI_DME[[#This Row],[DATENTYP]]="signed integer",2)</f>
        <v>2</v>
      </c>
      <c r="K262" s="2" t="s">
        <v>460</v>
      </c>
      <c r="L262">
        <v>1.0000000474974513E-3</v>
      </c>
      <c r="M262">
        <v>1</v>
      </c>
      <c r="N262" t="str">
        <f>TEXT(DDLI_DME[[#This Row],[MUL]],"######/######")</f>
        <v>1/1000</v>
      </c>
      <c r="O262">
        <v>0</v>
      </c>
      <c r="Q262">
        <f>HEX2DEC(DDLI_DME[[#This Row],[Hex]])</f>
        <v>0</v>
      </c>
      <c r="R262">
        <f>DDLI_DME[[#This Row],[ADD]]+DDLI_DME[[#This Row],[Dec]]*DDLI_DME[[#This Row],[MUL]]/DDLI_DME[[#This Row],[DIV]]</f>
        <v>0</v>
      </c>
    </row>
    <row r="263" spans="1:18" hidden="1" x14ac:dyDescent="0.25">
      <c r="A263" s="2" t="s">
        <v>1706</v>
      </c>
      <c r="B263" s="2" t="s">
        <v>1707</v>
      </c>
      <c r="C263" s="2" t="s">
        <v>1708</v>
      </c>
      <c r="D263" s="2" t="s">
        <v>1709</v>
      </c>
      <c r="E263" s="2"/>
      <c r="F263" s="2" t="s">
        <v>1310</v>
      </c>
      <c r="G263" s="2" t="s">
        <v>1701</v>
      </c>
      <c r="H263" s="2" t="s">
        <v>460</v>
      </c>
      <c r="I263" s="2" t="s">
        <v>467</v>
      </c>
      <c r="J263" s="2" cm="1">
        <f t="array" ref="J263">_xlfn.IFS(DDLI_DME[[#This Row],[DATENTYP]]="unsigned integer",2,DDLI_DME[[#This Row],[DATENTYP]]="unsigned char",1,DDLI_DME[[#This Row],[DATENTYP]]="signed integer",2)</f>
        <v>2</v>
      </c>
      <c r="K263" s="2" t="s">
        <v>460</v>
      </c>
      <c r="L263">
        <v>1.0000000474974513E-3</v>
      </c>
      <c r="M263">
        <v>1</v>
      </c>
      <c r="N263" t="str">
        <f>TEXT(DDLI_DME[[#This Row],[MUL]],"######/######")</f>
        <v>1/1000</v>
      </c>
      <c r="O263">
        <v>0</v>
      </c>
      <c r="Q263">
        <f>HEX2DEC(DDLI_DME[[#This Row],[Hex]])</f>
        <v>0</v>
      </c>
      <c r="R263">
        <f>DDLI_DME[[#This Row],[ADD]]+DDLI_DME[[#This Row],[Dec]]*DDLI_DME[[#This Row],[MUL]]/DDLI_DME[[#This Row],[DIV]]</f>
        <v>0</v>
      </c>
    </row>
    <row r="264" spans="1:18" hidden="1" x14ac:dyDescent="0.25">
      <c r="A264" s="2" t="s">
        <v>1710</v>
      </c>
      <c r="B264" s="2" t="s">
        <v>1711</v>
      </c>
      <c r="C264" s="2" t="s">
        <v>1712</v>
      </c>
      <c r="D264" s="2" t="s">
        <v>1713</v>
      </c>
      <c r="E264" s="2"/>
      <c r="F264" s="2" t="s">
        <v>1310</v>
      </c>
      <c r="G264" s="2" t="s">
        <v>1701</v>
      </c>
      <c r="H264" s="2" t="s">
        <v>460</v>
      </c>
      <c r="I264" s="2" t="s">
        <v>467</v>
      </c>
      <c r="J264" s="2" cm="1">
        <f t="array" ref="J264">_xlfn.IFS(DDLI_DME[[#This Row],[DATENTYP]]="unsigned integer",2,DDLI_DME[[#This Row],[DATENTYP]]="unsigned char",1,DDLI_DME[[#This Row],[DATENTYP]]="signed integer",2)</f>
        <v>2</v>
      </c>
      <c r="K264" s="2" t="s">
        <v>460</v>
      </c>
      <c r="L264">
        <v>1.0000000474974513E-3</v>
      </c>
      <c r="M264">
        <v>1</v>
      </c>
      <c r="N264" t="str">
        <f>TEXT(DDLI_DME[[#This Row],[MUL]],"######/######")</f>
        <v>1/1000</v>
      </c>
      <c r="O264">
        <v>0</v>
      </c>
      <c r="Q264">
        <f>HEX2DEC(DDLI_DME[[#This Row],[Hex]])</f>
        <v>0</v>
      </c>
      <c r="R264">
        <f>DDLI_DME[[#This Row],[ADD]]+DDLI_DME[[#This Row],[Dec]]*DDLI_DME[[#This Row],[MUL]]/DDLI_DME[[#This Row],[DIV]]</f>
        <v>0</v>
      </c>
    </row>
    <row r="265" spans="1:18" hidden="1" x14ac:dyDescent="0.25">
      <c r="A265" s="13" t="s">
        <v>1714</v>
      </c>
      <c r="B265" s="13" t="s">
        <v>1715</v>
      </c>
      <c r="C265" s="13" t="s">
        <v>1716</v>
      </c>
      <c r="D265" s="13" t="s">
        <v>1717</v>
      </c>
      <c r="E265" s="13" t="s">
        <v>2363</v>
      </c>
      <c r="F265" s="13" t="s">
        <v>1077</v>
      </c>
      <c r="G265" s="13" t="s">
        <v>1718</v>
      </c>
      <c r="H265" s="13" t="s">
        <v>460</v>
      </c>
      <c r="I265" s="13" t="s">
        <v>467</v>
      </c>
      <c r="J265" s="13" cm="1">
        <f t="array" ref="J265">_xlfn.IFS(DDLI_DME[[#This Row],[DATENTYP]]="unsigned integer",2,DDLI_DME[[#This Row],[DATENTYP]]="unsigned char",1,DDLI_DME[[#This Row],[DATENTYP]]="signed integer",2)</f>
        <v>2</v>
      </c>
      <c r="K265" s="13" t="s">
        <v>460</v>
      </c>
      <c r="L265" s="14">
        <v>5.0000002374872565E-4</v>
      </c>
      <c r="M265" s="14">
        <v>1</v>
      </c>
      <c r="N265" s="14" t="str">
        <f>TEXT(DDLI_DME[[#This Row],[MUL]],"######/######")</f>
        <v>1/2000</v>
      </c>
      <c r="O265" s="14">
        <v>0</v>
      </c>
      <c r="Q265">
        <f>HEX2DEC(DDLI_DME[[#This Row],[Hex]])</f>
        <v>0</v>
      </c>
      <c r="R265">
        <f>DDLI_DME[[#This Row],[ADD]]+DDLI_DME[[#This Row],[Dec]]*DDLI_DME[[#This Row],[MUL]]/DDLI_DME[[#This Row],[DIV]]</f>
        <v>0</v>
      </c>
    </row>
    <row r="266" spans="1:18" x14ac:dyDescent="0.25">
      <c r="A266" s="10" t="s">
        <v>1719</v>
      </c>
      <c r="B266" s="10" t="s">
        <v>1720</v>
      </c>
      <c r="C266" s="10" t="s">
        <v>1721</v>
      </c>
      <c r="D266" s="10" t="s">
        <v>1722</v>
      </c>
      <c r="E266" s="10" t="s">
        <v>2362</v>
      </c>
      <c r="F266" s="10" t="s">
        <v>1077</v>
      </c>
      <c r="G266" s="10" t="s">
        <v>1723</v>
      </c>
      <c r="H266" s="10" t="s">
        <v>460</v>
      </c>
      <c r="I266" s="10" t="s">
        <v>467</v>
      </c>
      <c r="J266" s="10" cm="1">
        <f t="array" ref="J266">_xlfn.IFS(DDLI_DME[[#This Row],[DATENTYP]]="unsigned integer",2,DDLI_DME[[#This Row],[DATENTYP]]="unsigned char",1,DDLI_DME[[#This Row],[DATENTYP]]="signed integer",2)</f>
        <v>2</v>
      </c>
      <c r="K266" s="10" t="s">
        <v>460</v>
      </c>
      <c r="L266" s="6">
        <v>5.0000002374872565E-4</v>
      </c>
      <c r="M266" s="6">
        <v>1</v>
      </c>
      <c r="N266" s="6" t="str">
        <f>TEXT(DDLI_DME[[#This Row],[MUL]],"######/######")</f>
        <v>1/2000</v>
      </c>
      <c r="O266" s="6">
        <v>0</v>
      </c>
      <c r="P266" s="7" t="s">
        <v>2375</v>
      </c>
      <c r="Q266">
        <f>HEX2DEC(DDLI_DME[[#This Row],[Hex]])</f>
        <v>906</v>
      </c>
      <c r="R266">
        <f>DDLI_DME[[#This Row],[ADD]]+DDLI_DME[[#This Row],[Dec]]*DDLI_DME[[#This Row],[MUL]]/DDLI_DME[[#This Row],[DIV]]</f>
        <v>0.45300002151634544</v>
      </c>
    </row>
    <row r="267" spans="1:18" hidden="1" x14ac:dyDescent="0.25">
      <c r="A267" s="2" t="s">
        <v>1724</v>
      </c>
      <c r="B267" s="2" t="s">
        <v>1725</v>
      </c>
      <c r="C267" s="2" t="s">
        <v>1726</v>
      </c>
      <c r="D267" s="2" t="s">
        <v>1727</v>
      </c>
      <c r="E267" s="2"/>
      <c r="F267" s="2" t="s">
        <v>668</v>
      </c>
      <c r="G267" s="2" t="s">
        <v>1728</v>
      </c>
      <c r="H267" s="2" t="s">
        <v>460</v>
      </c>
      <c r="I267" s="2" t="s">
        <v>467</v>
      </c>
      <c r="J267" s="2" cm="1">
        <f t="array" ref="J267">_xlfn.IFS(DDLI_DME[[#This Row],[DATENTYP]]="unsigned integer",2,DDLI_DME[[#This Row],[DATENTYP]]="unsigned char",1,DDLI_DME[[#This Row],[DATENTYP]]="signed integer",2)</f>
        <v>2</v>
      </c>
      <c r="K267" s="2" t="s">
        <v>460</v>
      </c>
      <c r="L267">
        <v>1.52587890625E-3</v>
      </c>
      <c r="M267">
        <v>1</v>
      </c>
      <c r="N267" t="str">
        <f>TEXT(DDLI_DME[[#This Row],[MUL]],"######/######")</f>
        <v>25/16384</v>
      </c>
      <c r="O267">
        <v>0</v>
      </c>
      <c r="Q267">
        <f>HEX2DEC(DDLI_DME[[#This Row],[Hex]])</f>
        <v>0</v>
      </c>
      <c r="R267">
        <f>DDLI_DME[[#This Row],[ADD]]+DDLI_DME[[#This Row],[Dec]]*DDLI_DME[[#This Row],[MUL]]/DDLI_DME[[#This Row],[DIV]]</f>
        <v>0</v>
      </c>
    </row>
    <row r="268" spans="1:18" hidden="1" x14ac:dyDescent="0.25">
      <c r="A268" s="2" t="s">
        <v>1729</v>
      </c>
      <c r="B268" s="2" t="s">
        <v>1730</v>
      </c>
      <c r="C268" s="2" t="s">
        <v>1731</v>
      </c>
      <c r="D268" s="2" t="s">
        <v>1732</v>
      </c>
      <c r="E268" s="2" t="s">
        <v>2364</v>
      </c>
      <c r="F268" s="2" t="s">
        <v>1230</v>
      </c>
      <c r="G268" s="2" t="s">
        <v>1733</v>
      </c>
      <c r="H268" s="2" t="s">
        <v>460</v>
      </c>
      <c r="I268" s="2" t="s">
        <v>467</v>
      </c>
      <c r="J268" s="2" cm="1">
        <f t="array" ref="J268">_xlfn.IFS(DDLI_DME[[#This Row],[DATENTYP]]="unsigned integer",2,DDLI_DME[[#This Row],[DATENTYP]]="unsigned char",1,DDLI_DME[[#This Row],[DATENTYP]]="signed integer",2)</f>
        <v>2</v>
      </c>
      <c r="K268" s="2" t="s">
        <v>460</v>
      </c>
      <c r="L268">
        <v>0.10000000149011612</v>
      </c>
      <c r="M268">
        <v>1</v>
      </c>
      <c r="N268" t="str">
        <f>TEXT(DDLI_DME[[#This Row],[MUL]],"######/######")</f>
        <v>1/10</v>
      </c>
      <c r="O268">
        <v>0</v>
      </c>
      <c r="Q268">
        <f>HEX2DEC(DDLI_DME[[#This Row],[Hex]])</f>
        <v>0</v>
      </c>
      <c r="R268">
        <f>DDLI_DME[[#This Row],[ADD]]+DDLI_DME[[#This Row],[Dec]]*DDLI_DME[[#This Row],[MUL]]/DDLI_DME[[#This Row],[DIV]]</f>
        <v>0</v>
      </c>
    </row>
    <row r="269" spans="1:18" hidden="1" x14ac:dyDescent="0.25">
      <c r="A269" s="2" t="s">
        <v>1734</v>
      </c>
      <c r="B269" s="2" t="s">
        <v>1735</v>
      </c>
      <c r="C269" s="2" t="s">
        <v>1736</v>
      </c>
      <c r="D269" s="2" t="s">
        <v>1737</v>
      </c>
      <c r="E269" s="2"/>
      <c r="F269" s="2" t="s">
        <v>674</v>
      </c>
      <c r="G269" s="2" t="s">
        <v>1738</v>
      </c>
      <c r="H269" s="2" t="s">
        <v>460</v>
      </c>
      <c r="I269" s="2" t="s">
        <v>461</v>
      </c>
      <c r="J269" s="2" cm="1">
        <f t="array" ref="J269">_xlfn.IFS(DDLI_DME[[#This Row],[DATENTYP]]="unsigned integer",2,DDLI_DME[[#This Row],[DATENTYP]]="unsigned char",1,DDLI_DME[[#This Row],[DATENTYP]]="signed integer",2)</f>
        <v>1</v>
      </c>
      <c r="K269" s="2" t="s">
        <v>460</v>
      </c>
      <c r="L269">
        <v>1.2890624813735485E-2</v>
      </c>
      <c r="M269">
        <v>1</v>
      </c>
      <c r="N269" t="str">
        <f>TEXT(DDLI_DME[[#This Row],[MUL]],"######/######")</f>
        <v>33/2560</v>
      </c>
      <c r="O269">
        <v>0</v>
      </c>
      <c r="Q269">
        <f>HEX2DEC(DDLI_DME[[#This Row],[Hex]])</f>
        <v>0</v>
      </c>
      <c r="R269">
        <f>DDLI_DME[[#This Row],[ADD]]+DDLI_DME[[#This Row],[Dec]]*DDLI_DME[[#This Row],[MUL]]/DDLI_DME[[#This Row],[DIV]]</f>
        <v>0</v>
      </c>
    </row>
    <row r="270" spans="1:18" hidden="1" x14ac:dyDescent="0.25">
      <c r="A270" s="2" t="s">
        <v>1739</v>
      </c>
      <c r="B270" s="2" t="s">
        <v>1740</v>
      </c>
      <c r="C270" s="2" t="s">
        <v>1741</v>
      </c>
      <c r="D270" s="2" t="s">
        <v>1742</v>
      </c>
      <c r="E270" s="2"/>
      <c r="F270" s="2" t="s">
        <v>674</v>
      </c>
      <c r="G270" s="2" t="s">
        <v>1743</v>
      </c>
      <c r="H270" s="2" t="s">
        <v>460</v>
      </c>
      <c r="I270" s="2" t="s">
        <v>531</v>
      </c>
      <c r="J270" s="2" cm="1">
        <f t="array" ref="J270">_xlfn.IFS(DDLI_DME[[#This Row],[DATENTYP]]="unsigned integer",2,DDLI_DME[[#This Row],[DATENTYP]]="unsigned char",1,DDLI_DME[[#This Row],[DATENTYP]]="signed integer",2)</f>
        <v>2</v>
      </c>
      <c r="K270" s="2" t="s">
        <v>460</v>
      </c>
      <c r="L270">
        <v>7.8125001164153218E-4</v>
      </c>
      <c r="M270">
        <v>1</v>
      </c>
      <c r="N270" t="str">
        <f>TEXT(DDLI_DME[[#This Row],[MUL]],"######/######")</f>
        <v>1/1280</v>
      </c>
      <c r="O270">
        <v>0</v>
      </c>
      <c r="Q270">
        <f>HEX2DEC(DDLI_DME[[#This Row],[Hex]])</f>
        <v>0</v>
      </c>
      <c r="R270">
        <f>DDLI_DME[[#This Row],[ADD]]+DDLI_DME[[#This Row],[Dec]]*DDLI_DME[[#This Row],[MUL]]/DDLI_DME[[#This Row],[DIV]]</f>
        <v>0</v>
      </c>
    </row>
    <row r="271" spans="1:18" hidden="1" x14ac:dyDescent="0.25">
      <c r="A271" s="2" t="s">
        <v>1744</v>
      </c>
      <c r="B271" s="2" t="s">
        <v>1745</v>
      </c>
      <c r="C271" s="2" t="s">
        <v>1746</v>
      </c>
      <c r="D271" s="2" t="s">
        <v>1747</v>
      </c>
      <c r="E271" s="2"/>
      <c r="F271" s="2" t="s">
        <v>460</v>
      </c>
      <c r="G271" s="2" t="s">
        <v>1748</v>
      </c>
      <c r="H271" s="2" t="s">
        <v>460</v>
      </c>
      <c r="I271" s="2" t="s">
        <v>461</v>
      </c>
      <c r="J271" s="2" cm="1">
        <f t="array" ref="J271">_xlfn.IFS(DDLI_DME[[#This Row],[DATENTYP]]="unsigned integer",2,DDLI_DME[[#This Row],[DATENTYP]]="unsigned char",1,DDLI_DME[[#This Row],[DATENTYP]]="signed integer",2)</f>
        <v>1</v>
      </c>
      <c r="K271" s="2" t="s">
        <v>460</v>
      </c>
      <c r="L271">
        <v>1</v>
      </c>
      <c r="M271">
        <v>1</v>
      </c>
      <c r="N271" t="str">
        <f>TEXT(DDLI_DME[[#This Row],[MUL]],"######/######")</f>
        <v>1/1</v>
      </c>
      <c r="O271">
        <v>0</v>
      </c>
      <c r="Q271">
        <f>HEX2DEC(DDLI_DME[[#This Row],[Hex]])</f>
        <v>0</v>
      </c>
      <c r="R271">
        <f>DDLI_DME[[#This Row],[ADD]]+DDLI_DME[[#This Row],[Dec]]*DDLI_DME[[#This Row],[MUL]]/DDLI_DME[[#This Row],[DIV]]</f>
        <v>0</v>
      </c>
    </row>
    <row r="272" spans="1:18" hidden="1" x14ac:dyDescent="0.25">
      <c r="A272" s="2" t="s">
        <v>1749</v>
      </c>
      <c r="B272" s="2" t="s">
        <v>1750</v>
      </c>
      <c r="C272" s="2" t="s">
        <v>1751</v>
      </c>
      <c r="D272" s="2" t="s">
        <v>1752</v>
      </c>
      <c r="E272" s="2"/>
      <c r="F272" s="2" t="s">
        <v>460</v>
      </c>
      <c r="G272" s="2" t="s">
        <v>1753</v>
      </c>
      <c r="H272" s="2" t="s">
        <v>460</v>
      </c>
      <c r="I272" s="2" t="s">
        <v>940</v>
      </c>
      <c r="J272" s="2" t="e" cm="1">
        <f t="array" ref="J272">_xlfn.IFS(DDLI_DME[[#This Row],[DATENTYP]]="unsigned integer",2,DDLI_DME[[#This Row],[DATENTYP]]="unsigned char",1,DDLI_DME[[#This Row],[DATENTYP]]="signed integer",2)</f>
        <v>#N/A</v>
      </c>
      <c r="K272" s="2" t="s">
        <v>460</v>
      </c>
      <c r="L272">
        <v>0.5</v>
      </c>
      <c r="M272">
        <v>1</v>
      </c>
      <c r="N272" t="str">
        <f>TEXT(DDLI_DME[[#This Row],[MUL]],"######/######")</f>
        <v>1/2</v>
      </c>
      <c r="O272">
        <v>0</v>
      </c>
      <c r="Q272">
        <f>HEX2DEC(DDLI_DME[[#This Row],[Hex]])</f>
        <v>0</v>
      </c>
      <c r="R272">
        <f>DDLI_DME[[#This Row],[ADD]]+DDLI_DME[[#This Row],[Dec]]*DDLI_DME[[#This Row],[MUL]]/DDLI_DME[[#This Row],[DIV]]</f>
        <v>0</v>
      </c>
    </row>
    <row r="273" spans="1:18" hidden="1" x14ac:dyDescent="0.25">
      <c r="A273" s="2" t="s">
        <v>1754</v>
      </c>
      <c r="B273" s="2" t="s">
        <v>1755</v>
      </c>
      <c r="C273" s="2" t="s">
        <v>1756</v>
      </c>
      <c r="D273" s="2" t="s">
        <v>1757</v>
      </c>
      <c r="E273" s="2"/>
      <c r="F273" s="2" t="s">
        <v>460</v>
      </c>
      <c r="G273" s="2" t="s">
        <v>1758</v>
      </c>
      <c r="H273" s="2" t="s">
        <v>460</v>
      </c>
      <c r="I273" s="2" t="s">
        <v>461</v>
      </c>
      <c r="J273" s="2" cm="1">
        <f t="array" ref="J273">_xlfn.IFS(DDLI_DME[[#This Row],[DATENTYP]]="unsigned integer",2,DDLI_DME[[#This Row],[DATENTYP]]="unsigned char",1,DDLI_DME[[#This Row],[DATENTYP]]="signed integer",2)</f>
        <v>1</v>
      </c>
      <c r="K273" s="2" t="s">
        <v>460</v>
      </c>
      <c r="L273">
        <v>1</v>
      </c>
      <c r="M273">
        <v>1</v>
      </c>
      <c r="N273" t="str">
        <f>TEXT(DDLI_DME[[#This Row],[MUL]],"######/######")</f>
        <v>1/1</v>
      </c>
      <c r="O273">
        <v>0</v>
      </c>
      <c r="Q273">
        <f>HEX2DEC(DDLI_DME[[#This Row],[Hex]])</f>
        <v>0</v>
      </c>
      <c r="R273">
        <f>DDLI_DME[[#This Row],[ADD]]+DDLI_DME[[#This Row],[Dec]]*DDLI_DME[[#This Row],[MUL]]/DDLI_DME[[#This Row],[DIV]]</f>
        <v>0</v>
      </c>
    </row>
    <row r="274" spans="1:18" hidden="1" x14ac:dyDescent="0.25">
      <c r="A274" s="2" t="s">
        <v>1759</v>
      </c>
      <c r="B274" s="2" t="s">
        <v>1760</v>
      </c>
      <c r="C274" s="2" t="s">
        <v>1761</v>
      </c>
      <c r="D274" s="2" t="s">
        <v>1762</v>
      </c>
      <c r="E274" s="2"/>
      <c r="F274" s="2" t="s">
        <v>460</v>
      </c>
      <c r="G274" s="2" t="s">
        <v>1763</v>
      </c>
      <c r="H274" s="2" t="s">
        <v>460</v>
      </c>
      <c r="I274" s="2" t="s">
        <v>461</v>
      </c>
      <c r="J274" s="2" cm="1">
        <f t="array" ref="J274">_xlfn.IFS(DDLI_DME[[#This Row],[DATENTYP]]="unsigned integer",2,DDLI_DME[[#This Row],[DATENTYP]]="unsigned char",1,DDLI_DME[[#This Row],[DATENTYP]]="signed integer",2)</f>
        <v>1</v>
      </c>
      <c r="K274" s="2" t="s">
        <v>460</v>
      </c>
      <c r="L274">
        <v>1</v>
      </c>
      <c r="M274">
        <v>1</v>
      </c>
      <c r="N274" t="str">
        <f>TEXT(DDLI_DME[[#This Row],[MUL]],"######/######")</f>
        <v>1/1</v>
      </c>
      <c r="O274">
        <v>0</v>
      </c>
      <c r="Q274">
        <f>HEX2DEC(DDLI_DME[[#This Row],[Hex]])</f>
        <v>0</v>
      </c>
      <c r="R274">
        <f>DDLI_DME[[#This Row],[ADD]]+DDLI_DME[[#This Row],[Dec]]*DDLI_DME[[#This Row],[MUL]]/DDLI_DME[[#This Row],[DIV]]</f>
        <v>0</v>
      </c>
    </row>
    <row r="275" spans="1:18" hidden="1" x14ac:dyDescent="0.25">
      <c r="A275" s="2" t="s">
        <v>1764</v>
      </c>
      <c r="B275" s="2" t="s">
        <v>1765</v>
      </c>
      <c r="C275" s="2" t="s">
        <v>1766</v>
      </c>
      <c r="D275" s="2" t="s">
        <v>1767</v>
      </c>
      <c r="E275" s="2"/>
      <c r="F275" s="2" t="s">
        <v>460</v>
      </c>
      <c r="G275" s="2" t="s">
        <v>1768</v>
      </c>
      <c r="H275" s="2" t="s">
        <v>460</v>
      </c>
      <c r="I275" s="2" t="s">
        <v>461</v>
      </c>
      <c r="J275" s="2" cm="1">
        <f t="array" ref="J275">_xlfn.IFS(DDLI_DME[[#This Row],[DATENTYP]]="unsigned integer",2,DDLI_DME[[#This Row],[DATENTYP]]="unsigned char",1,DDLI_DME[[#This Row],[DATENTYP]]="signed integer",2)</f>
        <v>1</v>
      </c>
      <c r="K275" s="2" t="s">
        <v>460</v>
      </c>
      <c r="L275">
        <v>1</v>
      </c>
      <c r="M275">
        <v>1</v>
      </c>
      <c r="N275" t="str">
        <f>TEXT(DDLI_DME[[#This Row],[MUL]],"######/######")</f>
        <v>1/1</v>
      </c>
      <c r="O275">
        <v>0</v>
      </c>
      <c r="Q275">
        <f>HEX2DEC(DDLI_DME[[#This Row],[Hex]])</f>
        <v>0</v>
      </c>
      <c r="R275">
        <f>DDLI_DME[[#This Row],[ADD]]+DDLI_DME[[#This Row],[Dec]]*DDLI_DME[[#This Row],[MUL]]/DDLI_DME[[#This Row],[DIV]]</f>
        <v>0</v>
      </c>
    </row>
    <row r="276" spans="1:18" hidden="1" x14ac:dyDescent="0.25">
      <c r="A276" s="2" t="s">
        <v>1769</v>
      </c>
      <c r="B276" s="2" t="s">
        <v>1770</v>
      </c>
      <c r="C276" s="2" t="s">
        <v>1146</v>
      </c>
      <c r="D276" s="2" t="s">
        <v>1771</v>
      </c>
      <c r="E276" s="2"/>
      <c r="F276" s="2" t="s">
        <v>674</v>
      </c>
      <c r="G276" s="2" t="s">
        <v>1148</v>
      </c>
      <c r="H276" s="2" t="s">
        <v>460</v>
      </c>
      <c r="I276" s="2" t="s">
        <v>467</v>
      </c>
      <c r="J276" s="2" cm="1">
        <f t="array" ref="J276">_xlfn.IFS(DDLI_DME[[#This Row],[DATENTYP]]="unsigned integer",2,DDLI_DME[[#This Row],[DATENTYP]]="unsigned char",1,DDLI_DME[[#This Row],[DATENTYP]]="signed integer",2)</f>
        <v>2</v>
      </c>
      <c r="K276" s="2" t="s">
        <v>460</v>
      </c>
      <c r="L276">
        <v>4.8828125E-3</v>
      </c>
      <c r="M276">
        <v>1</v>
      </c>
      <c r="N276" t="str">
        <f>TEXT(DDLI_DME[[#This Row],[MUL]],"######/######")</f>
        <v>5/1024</v>
      </c>
      <c r="O276">
        <v>0</v>
      </c>
      <c r="Q276">
        <f>HEX2DEC(DDLI_DME[[#This Row],[Hex]])</f>
        <v>0</v>
      </c>
      <c r="R276">
        <f>DDLI_DME[[#This Row],[ADD]]+DDLI_DME[[#This Row],[Dec]]*DDLI_DME[[#This Row],[MUL]]/DDLI_DME[[#This Row],[DIV]]</f>
        <v>0</v>
      </c>
    </row>
    <row r="277" spans="1:18" hidden="1" x14ac:dyDescent="0.25">
      <c r="A277" s="2" t="s">
        <v>1772</v>
      </c>
      <c r="B277" s="2" t="s">
        <v>1773</v>
      </c>
      <c r="C277" s="2" t="s">
        <v>1151</v>
      </c>
      <c r="D277" s="2" t="s">
        <v>1774</v>
      </c>
      <c r="E277" s="2"/>
      <c r="F277" s="2" t="s">
        <v>674</v>
      </c>
      <c r="G277" s="2" t="s">
        <v>1153</v>
      </c>
      <c r="H277" s="2" t="s">
        <v>460</v>
      </c>
      <c r="I277" s="2" t="s">
        <v>467</v>
      </c>
      <c r="J277" s="2" cm="1">
        <f t="array" ref="J277">_xlfn.IFS(DDLI_DME[[#This Row],[DATENTYP]]="unsigned integer",2,DDLI_DME[[#This Row],[DATENTYP]]="unsigned char",1,DDLI_DME[[#This Row],[DATENTYP]]="signed integer",2)</f>
        <v>2</v>
      </c>
      <c r="K277" s="2" t="s">
        <v>460</v>
      </c>
      <c r="L277">
        <v>4.8828125E-3</v>
      </c>
      <c r="M277">
        <v>1</v>
      </c>
      <c r="N277" t="str">
        <f>TEXT(DDLI_DME[[#This Row],[MUL]],"######/######")</f>
        <v>5/1024</v>
      </c>
      <c r="O277">
        <v>0</v>
      </c>
      <c r="Q277">
        <f>HEX2DEC(DDLI_DME[[#This Row],[Hex]])</f>
        <v>0</v>
      </c>
      <c r="R277">
        <f>DDLI_DME[[#This Row],[ADD]]+DDLI_DME[[#This Row],[Dec]]*DDLI_DME[[#This Row],[MUL]]/DDLI_DME[[#This Row],[DIV]]</f>
        <v>0</v>
      </c>
    </row>
    <row r="278" spans="1:18" hidden="1" x14ac:dyDescent="0.25">
      <c r="A278" s="2" t="s">
        <v>1775</v>
      </c>
      <c r="B278" s="2" t="s">
        <v>1776</v>
      </c>
      <c r="C278" s="2" t="s">
        <v>1171</v>
      </c>
      <c r="D278" s="2" t="s">
        <v>1777</v>
      </c>
      <c r="E278" s="2"/>
      <c r="F278" s="2" t="s">
        <v>674</v>
      </c>
      <c r="G278" s="2" t="s">
        <v>1173</v>
      </c>
      <c r="H278" s="2" t="s">
        <v>460</v>
      </c>
      <c r="I278" s="2" t="s">
        <v>467</v>
      </c>
      <c r="J278" s="2" cm="1">
        <f t="array" ref="J278">_xlfn.IFS(DDLI_DME[[#This Row],[DATENTYP]]="unsigned integer",2,DDLI_DME[[#This Row],[DATENTYP]]="unsigned char",1,DDLI_DME[[#This Row],[DATENTYP]]="signed integer",2)</f>
        <v>2</v>
      </c>
      <c r="K278" s="2" t="s">
        <v>460</v>
      </c>
      <c r="L278">
        <v>1.220703125E-3</v>
      </c>
      <c r="M278">
        <v>1</v>
      </c>
      <c r="N278" t="str">
        <f>TEXT(DDLI_DME[[#This Row],[MUL]],"######/######")</f>
        <v>5/4096</v>
      </c>
      <c r="O278">
        <v>0</v>
      </c>
      <c r="Q278">
        <f>HEX2DEC(DDLI_DME[[#This Row],[Hex]])</f>
        <v>0</v>
      </c>
      <c r="R278">
        <f>DDLI_DME[[#This Row],[ADD]]+DDLI_DME[[#This Row],[Dec]]*DDLI_DME[[#This Row],[MUL]]/DDLI_DME[[#This Row],[DIV]]</f>
        <v>0</v>
      </c>
    </row>
    <row r="279" spans="1:18" hidden="1" x14ac:dyDescent="0.25">
      <c r="A279" s="2" t="s">
        <v>1778</v>
      </c>
      <c r="B279" s="2" t="s">
        <v>1779</v>
      </c>
      <c r="C279" s="2" t="s">
        <v>1161</v>
      </c>
      <c r="D279" s="2" t="s">
        <v>1780</v>
      </c>
      <c r="E279" s="2"/>
      <c r="F279" s="2" t="s">
        <v>674</v>
      </c>
      <c r="G279" s="2" t="s">
        <v>1163</v>
      </c>
      <c r="H279" s="2" t="s">
        <v>460</v>
      </c>
      <c r="I279" s="2" t="s">
        <v>467</v>
      </c>
      <c r="J279" s="2" cm="1">
        <f t="array" ref="J279">_xlfn.IFS(DDLI_DME[[#This Row],[DATENTYP]]="unsigned integer",2,DDLI_DME[[#This Row],[DATENTYP]]="unsigned char",1,DDLI_DME[[#This Row],[DATENTYP]]="signed integer",2)</f>
        <v>2</v>
      </c>
      <c r="K279" s="2" t="s">
        <v>460</v>
      </c>
      <c r="L279">
        <v>1.220703125E-3</v>
      </c>
      <c r="M279">
        <v>1</v>
      </c>
      <c r="N279" t="str">
        <f>TEXT(DDLI_DME[[#This Row],[MUL]],"######/######")</f>
        <v>5/4096</v>
      </c>
      <c r="O279">
        <v>0</v>
      </c>
      <c r="Q279">
        <f>HEX2DEC(DDLI_DME[[#This Row],[Hex]])</f>
        <v>0</v>
      </c>
      <c r="R279">
        <f>DDLI_DME[[#This Row],[ADD]]+DDLI_DME[[#This Row],[Dec]]*DDLI_DME[[#This Row],[MUL]]/DDLI_DME[[#This Row],[DIV]]</f>
        <v>0</v>
      </c>
    </row>
    <row r="280" spans="1:18" hidden="1" x14ac:dyDescent="0.25">
      <c r="A280" s="2" t="s">
        <v>1781</v>
      </c>
      <c r="B280" s="2" t="s">
        <v>1782</v>
      </c>
      <c r="C280" s="2" t="s">
        <v>1783</v>
      </c>
      <c r="D280" s="2" t="s">
        <v>1784</v>
      </c>
      <c r="E280" s="2"/>
      <c r="F280" s="2" t="s">
        <v>674</v>
      </c>
      <c r="G280" s="2" t="s">
        <v>1636</v>
      </c>
      <c r="H280" s="2" t="s">
        <v>460</v>
      </c>
      <c r="I280" s="2" t="s">
        <v>467</v>
      </c>
      <c r="J280" s="2" cm="1">
        <f t="array" ref="J280">_xlfn.IFS(DDLI_DME[[#This Row],[DATENTYP]]="unsigned integer",2,DDLI_DME[[#This Row],[DATENTYP]]="unsigned char",1,DDLI_DME[[#This Row],[DATENTYP]]="signed integer",2)</f>
        <v>2</v>
      </c>
      <c r="K280" s="2" t="s">
        <v>460</v>
      </c>
      <c r="L280">
        <v>4.8828125E-3</v>
      </c>
      <c r="M280">
        <v>1</v>
      </c>
      <c r="N280" t="str">
        <f>TEXT(DDLI_DME[[#This Row],[MUL]],"######/######")</f>
        <v>5/1024</v>
      </c>
      <c r="O280">
        <v>0</v>
      </c>
      <c r="Q280">
        <f>HEX2DEC(DDLI_DME[[#This Row],[Hex]])</f>
        <v>0</v>
      </c>
      <c r="R280">
        <f>DDLI_DME[[#This Row],[ADD]]+DDLI_DME[[#This Row],[Dec]]*DDLI_DME[[#This Row],[MUL]]/DDLI_DME[[#This Row],[DIV]]</f>
        <v>0</v>
      </c>
    </row>
    <row r="281" spans="1:18" hidden="1" x14ac:dyDescent="0.25">
      <c r="A281" s="2" t="s">
        <v>1785</v>
      </c>
      <c r="B281" s="2" t="s">
        <v>1786</v>
      </c>
      <c r="C281" s="2" t="s">
        <v>1181</v>
      </c>
      <c r="D281" s="2" t="s">
        <v>1787</v>
      </c>
      <c r="E281" s="2"/>
      <c r="F281" s="2" t="s">
        <v>674</v>
      </c>
      <c r="G281" s="2" t="s">
        <v>1183</v>
      </c>
      <c r="H281" s="2" t="s">
        <v>460</v>
      </c>
      <c r="I281" s="2" t="s">
        <v>467</v>
      </c>
      <c r="J281" s="2" cm="1">
        <f t="array" ref="J281">_xlfn.IFS(DDLI_DME[[#This Row],[DATENTYP]]="unsigned integer",2,DDLI_DME[[#This Row],[DATENTYP]]="unsigned char",1,DDLI_DME[[#This Row],[DATENTYP]]="signed integer",2)</f>
        <v>2</v>
      </c>
      <c r="K281" s="2" t="s">
        <v>460</v>
      </c>
      <c r="L281">
        <v>4.8828125E-3</v>
      </c>
      <c r="M281">
        <v>1</v>
      </c>
      <c r="N281" t="str">
        <f>TEXT(DDLI_DME[[#This Row],[MUL]],"######/######")</f>
        <v>5/1024</v>
      </c>
      <c r="O281">
        <v>0</v>
      </c>
      <c r="Q281">
        <f>HEX2DEC(DDLI_DME[[#This Row],[Hex]])</f>
        <v>0</v>
      </c>
      <c r="R281">
        <f>DDLI_DME[[#This Row],[ADD]]+DDLI_DME[[#This Row],[Dec]]*DDLI_DME[[#This Row],[MUL]]/DDLI_DME[[#This Row],[DIV]]</f>
        <v>0</v>
      </c>
    </row>
    <row r="282" spans="1:18" hidden="1" x14ac:dyDescent="0.25">
      <c r="A282" s="2" t="s">
        <v>1788</v>
      </c>
      <c r="B282" s="2" t="s">
        <v>1789</v>
      </c>
      <c r="C282" s="2" t="s">
        <v>1276</v>
      </c>
      <c r="D282" s="2" t="s">
        <v>1790</v>
      </c>
      <c r="E282" s="2"/>
      <c r="F282" s="2" t="s">
        <v>674</v>
      </c>
      <c r="G282" s="2" t="s">
        <v>1278</v>
      </c>
      <c r="H282" s="2" t="s">
        <v>460</v>
      </c>
      <c r="I282" s="2" t="s">
        <v>467</v>
      </c>
      <c r="J282" s="2" cm="1">
        <f t="array" ref="J282">_xlfn.IFS(DDLI_DME[[#This Row],[DATENTYP]]="unsigned integer",2,DDLI_DME[[#This Row],[DATENTYP]]="unsigned char",1,DDLI_DME[[#This Row],[DATENTYP]]="signed integer",2)</f>
        <v>2</v>
      </c>
      <c r="K282" s="2" t="s">
        <v>460</v>
      </c>
      <c r="L282">
        <v>4.8828125E-3</v>
      </c>
      <c r="M282">
        <v>1</v>
      </c>
      <c r="N282" t="str">
        <f>TEXT(DDLI_DME[[#This Row],[MUL]],"######/######")</f>
        <v>5/1024</v>
      </c>
      <c r="O282">
        <v>0</v>
      </c>
      <c r="Q282">
        <f>HEX2DEC(DDLI_DME[[#This Row],[Hex]])</f>
        <v>0</v>
      </c>
      <c r="R282">
        <f>DDLI_DME[[#This Row],[ADD]]+DDLI_DME[[#This Row],[Dec]]*DDLI_DME[[#This Row],[MUL]]/DDLI_DME[[#This Row],[DIV]]</f>
        <v>0</v>
      </c>
    </row>
    <row r="283" spans="1:18" hidden="1" x14ac:dyDescent="0.25">
      <c r="A283" s="2" t="s">
        <v>1791</v>
      </c>
      <c r="B283" s="2" t="s">
        <v>1792</v>
      </c>
      <c r="C283" s="2" t="s">
        <v>1793</v>
      </c>
      <c r="D283" s="2" t="s">
        <v>1794</v>
      </c>
      <c r="E283" s="2"/>
      <c r="F283" s="2" t="s">
        <v>674</v>
      </c>
      <c r="G283" s="2" t="s">
        <v>1127</v>
      </c>
      <c r="H283" s="2" t="s">
        <v>460</v>
      </c>
      <c r="I283" s="2" t="s">
        <v>461</v>
      </c>
      <c r="J283" s="2" cm="1">
        <f t="array" ref="J283">_xlfn.IFS(DDLI_DME[[#This Row],[DATENTYP]]="unsigned integer",2,DDLI_DME[[#This Row],[DATENTYP]]="unsigned char",1,DDLI_DME[[#This Row],[DATENTYP]]="signed integer",2)</f>
        <v>1</v>
      </c>
      <c r="K283" s="2" t="s">
        <v>460</v>
      </c>
      <c r="L283">
        <v>1.953125E-2</v>
      </c>
      <c r="M283">
        <v>1</v>
      </c>
      <c r="N283" t="str">
        <f>TEXT(DDLI_DME[[#This Row],[MUL]],"######/######")</f>
        <v>5/256</v>
      </c>
      <c r="O283">
        <v>0</v>
      </c>
      <c r="Q283">
        <f>HEX2DEC(DDLI_DME[[#This Row],[Hex]])</f>
        <v>0</v>
      </c>
      <c r="R283">
        <f>DDLI_DME[[#This Row],[ADD]]+DDLI_DME[[#This Row],[Dec]]*DDLI_DME[[#This Row],[MUL]]/DDLI_DME[[#This Row],[DIV]]</f>
        <v>0</v>
      </c>
    </row>
    <row r="284" spans="1:18" hidden="1" x14ac:dyDescent="0.25">
      <c r="A284" s="2" t="s">
        <v>1795</v>
      </c>
      <c r="B284" s="2" t="s">
        <v>1796</v>
      </c>
      <c r="C284" s="2" t="s">
        <v>1141</v>
      </c>
      <c r="D284" s="2" t="s">
        <v>1797</v>
      </c>
      <c r="E284" s="2"/>
      <c r="F284" s="2" t="s">
        <v>674</v>
      </c>
      <c r="G284" s="2" t="s">
        <v>1143</v>
      </c>
      <c r="H284" s="2" t="s">
        <v>460</v>
      </c>
      <c r="I284" s="2" t="s">
        <v>467</v>
      </c>
      <c r="J284" s="2" cm="1">
        <f t="array" ref="J284">_xlfn.IFS(DDLI_DME[[#This Row],[DATENTYP]]="unsigned integer",2,DDLI_DME[[#This Row],[DATENTYP]]="unsigned char",1,DDLI_DME[[#This Row],[DATENTYP]]="signed integer",2)</f>
        <v>2</v>
      </c>
      <c r="K284" s="2" t="s">
        <v>460</v>
      </c>
      <c r="L284">
        <v>4.8828125E-3</v>
      </c>
      <c r="M284">
        <v>1</v>
      </c>
      <c r="N284" t="str">
        <f>TEXT(DDLI_DME[[#This Row],[MUL]],"######/######")</f>
        <v>5/1024</v>
      </c>
      <c r="O284">
        <v>0</v>
      </c>
      <c r="Q284">
        <f>HEX2DEC(DDLI_DME[[#This Row],[Hex]])</f>
        <v>0</v>
      </c>
      <c r="R284">
        <f>DDLI_DME[[#This Row],[ADD]]+DDLI_DME[[#This Row],[Dec]]*DDLI_DME[[#This Row],[MUL]]/DDLI_DME[[#This Row],[DIV]]</f>
        <v>0</v>
      </c>
    </row>
    <row r="285" spans="1:18" hidden="1" x14ac:dyDescent="0.25">
      <c r="A285" s="2" t="s">
        <v>1798</v>
      </c>
      <c r="B285" s="2" t="s">
        <v>1799</v>
      </c>
      <c r="C285" s="2" t="s">
        <v>1156</v>
      </c>
      <c r="D285" s="2" t="s">
        <v>1800</v>
      </c>
      <c r="E285" s="2"/>
      <c r="F285" s="2" t="s">
        <v>674</v>
      </c>
      <c r="G285" s="2" t="s">
        <v>1158</v>
      </c>
      <c r="H285" s="2" t="s">
        <v>460</v>
      </c>
      <c r="I285" s="2" t="s">
        <v>467</v>
      </c>
      <c r="J285" s="2" cm="1">
        <f t="array" ref="J285">_xlfn.IFS(DDLI_DME[[#This Row],[DATENTYP]]="unsigned integer",2,DDLI_DME[[#This Row],[DATENTYP]]="unsigned char",1,DDLI_DME[[#This Row],[DATENTYP]]="signed integer",2)</f>
        <v>2</v>
      </c>
      <c r="K285" s="2" t="s">
        <v>460</v>
      </c>
      <c r="L285">
        <v>4.8828125E-3</v>
      </c>
      <c r="M285">
        <v>1</v>
      </c>
      <c r="N285" t="str">
        <f>TEXT(DDLI_DME[[#This Row],[MUL]],"######/######")</f>
        <v>5/1024</v>
      </c>
      <c r="O285">
        <v>-1</v>
      </c>
      <c r="Q285">
        <f>HEX2DEC(DDLI_DME[[#This Row],[Hex]])</f>
        <v>0</v>
      </c>
      <c r="R285">
        <f>DDLI_DME[[#This Row],[ADD]]+DDLI_DME[[#This Row],[Dec]]*DDLI_DME[[#This Row],[MUL]]/DDLI_DME[[#This Row],[DIV]]</f>
        <v>-1</v>
      </c>
    </row>
    <row r="286" spans="1:18" hidden="1" x14ac:dyDescent="0.25">
      <c r="A286" s="2" t="s">
        <v>1801</v>
      </c>
      <c r="B286" s="2" t="s">
        <v>1802</v>
      </c>
      <c r="C286" s="2" t="s">
        <v>1283</v>
      </c>
      <c r="D286" s="2" t="s">
        <v>1803</v>
      </c>
      <c r="E286" s="2"/>
      <c r="F286" s="2" t="s">
        <v>674</v>
      </c>
      <c r="G286" s="2" t="s">
        <v>1804</v>
      </c>
      <c r="H286" s="2" t="s">
        <v>460</v>
      </c>
      <c r="I286" s="2" t="s">
        <v>467</v>
      </c>
      <c r="J286" s="2" cm="1">
        <f t="array" ref="J286">_xlfn.IFS(DDLI_DME[[#This Row],[DATENTYP]]="unsigned integer",2,DDLI_DME[[#This Row],[DATENTYP]]="unsigned char",1,DDLI_DME[[#This Row],[DATENTYP]]="signed integer",2)</f>
        <v>2</v>
      </c>
      <c r="K286" s="2" t="s">
        <v>460</v>
      </c>
      <c r="L286">
        <v>4.8828125E-3</v>
      </c>
      <c r="M286">
        <v>1</v>
      </c>
      <c r="N286" t="str">
        <f>TEXT(DDLI_DME[[#This Row],[MUL]],"######/######")</f>
        <v>5/1024</v>
      </c>
      <c r="O286">
        <v>0</v>
      </c>
      <c r="Q286">
        <f>HEX2DEC(DDLI_DME[[#This Row],[Hex]])</f>
        <v>0</v>
      </c>
      <c r="R286">
        <f>DDLI_DME[[#This Row],[ADD]]+DDLI_DME[[#This Row],[Dec]]*DDLI_DME[[#This Row],[MUL]]/DDLI_DME[[#This Row],[DIV]]</f>
        <v>0</v>
      </c>
    </row>
    <row r="287" spans="1:18" hidden="1" x14ac:dyDescent="0.25">
      <c r="A287" s="2" t="s">
        <v>1805</v>
      </c>
      <c r="B287" s="2" t="s">
        <v>1806</v>
      </c>
      <c r="C287" s="2" t="s">
        <v>1807</v>
      </c>
      <c r="D287" s="2" t="s">
        <v>1808</v>
      </c>
      <c r="E287" s="2"/>
      <c r="F287" s="2" t="s">
        <v>460</v>
      </c>
      <c r="G287" s="2" t="s">
        <v>1809</v>
      </c>
      <c r="H287" s="2" t="s">
        <v>460</v>
      </c>
      <c r="I287" s="2" t="s">
        <v>461</v>
      </c>
      <c r="J287" s="2" cm="1">
        <f t="array" ref="J287">_xlfn.IFS(DDLI_DME[[#This Row],[DATENTYP]]="unsigned integer",2,DDLI_DME[[#This Row],[DATENTYP]]="unsigned char",1,DDLI_DME[[#This Row],[DATENTYP]]="signed integer",2)</f>
        <v>1</v>
      </c>
      <c r="K287" s="2" t="s">
        <v>460</v>
      </c>
      <c r="L287">
        <v>1</v>
      </c>
      <c r="M287">
        <v>1</v>
      </c>
      <c r="N287" t="str">
        <f>TEXT(DDLI_DME[[#This Row],[MUL]],"######/######")</f>
        <v>1/1</v>
      </c>
      <c r="O287">
        <v>0</v>
      </c>
      <c r="Q287">
        <f>HEX2DEC(DDLI_DME[[#This Row],[Hex]])</f>
        <v>0</v>
      </c>
      <c r="R287">
        <f>DDLI_DME[[#This Row],[ADD]]+DDLI_DME[[#This Row],[Dec]]*DDLI_DME[[#This Row],[MUL]]/DDLI_DME[[#This Row],[DIV]]</f>
        <v>0</v>
      </c>
    </row>
    <row r="288" spans="1:18" hidden="1" x14ac:dyDescent="0.25">
      <c r="A288" s="2" t="s">
        <v>1810</v>
      </c>
      <c r="B288" s="2" t="s">
        <v>1811</v>
      </c>
      <c r="C288" s="2" t="s">
        <v>1812</v>
      </c>
      <c r="D288" s="2" t="s">
        <v>1813</v>
      </c>
      <c r="E288" s="2"/>
      <c r="F288" s="2" t="s">
        <v>674</v>
      </c>
      <c r="G288" s="2" t="s">
        <v>1814</v>
      </c>
      <c r="H288" s="2" t="s">
        <v>460</v>
      </c>
      <c r="I288" s="2" t="s">
        <v>467</v>
      </c>
      <c r="J288" s="2" cm="1">
        <f t="array" ref="J288">_xlfn.IFS(DDLI_DME[[#This Row],[DATENTYP]]="unsigned integer",2,DDLI_DME[[#This Row],[DATENTYP]]="unsigned char",1,DDLI_DME[[#This Row],[DATENTYP]]="signed integer",2)</f>
        <v>2</v>
      </c>
      <c r="K288" s="2" t="s">
        <v>460</v>
      </c>
      <c r="L288">
        <v>4.8828125E-3</v>
      </c>
      <c r="M288">
        <v>1</v>
      </c>
      <c r="N288" t="str">
        <f>TEXT(DDLI_DME[[#This Row],[MUL]],"######/######")</f>
        <v>5/1024</v>
      </c>
      <c r="O288">
        <v>0</v>
      </c>
      <c r="Q288">
        <f>HEX2DEC(DDLI_DME[[#This Row],[Hex]])</f>
        <v>0</v>
      </c>
      <c r="R288">
        <f>DDLI_DME[[#This Row],[ADD]]+DDLI_DME[[#This Row],[Dec]]*DDLI_DME[[#This Row],[MUL]]/DDLI_DME[[#This Row],[DIV]]</f>
        <v>0</v>
      </c>
    </row>
    <row r="289" spans="1:18" hidden="1" x14ac:dyDescent="0.25">
      <c r="A289" s="2" t="s">
        <v>1815</v>
      </c>
      <c r="B289" s="2" t="s">
        <v>1816</v>
      </c>
      <c r="C289" s="2" t="s">
        <v>1817</v>
      </c>
      <c r="D289" s="2" t="s">
        <v>1818</v>
      </c>
      <c r="E289" s="2"/>
      <c r="F289" s="2" t="s">
        <v>6</v>
      </c>
      <c r="G289" s="2" t="s">
        <v>1383</v>
      </c>
      <c r="H289" s="2" t="s">
        <v>460</v>
      </c>
      <c r="I289" s="2" t="s">
        <v>531</v>
      </c>
      <c r="J289" s="2" cm="1">
        <f t="array" ref="J289">_xlfn.IFS(DDLI_DME[[#This Row],[DATENTYP]]="unsigned integer",2,DDLI_DME[[#This Row],[DATENTYP]]="unsigned char",1,DDLI_DME[[#This Row],[DATENTYP]]="signed integer",2)</f>
        <v>2</v>
      </c>
      <c r="K289" s="2" t="s">
        <v>460</v>
      </c>
      <c r="L289">
        <v>3.90625E-2</v>
      </c>
      <c r="M289">
        <v>1</v>
      </c>
      <c r="N289" t="str">
        <f>TEXT(DDLI_DME[[#This Row],[MUL]],"######/######")</f>
        <v>5/128</v>
      </c>
      <c r="O289">
        <v>0</v>
      </c>
      <c r="Q289">
        <f>HEX2DEC(DDLI_DME[[#This Row],[Hex]])</f>
        <v>0</v>
      </c>
      <c r="R289">
        <f>DDLI_DME[[#This Row],[ADD]]+DDLI_DME[[#This Row],[Dec]]*DDLI_DME[[#This Row],[MUL]]/DDLI_DME[[#This Row],[DIV]]</f>
        <v>0</v>
      </c>
    </row>
    <row r="290" spans="1:18" hidden="1" x14ac:dyDescent="0.25">
      <c r="A290" s="2" t="s">
        <v>1819</v>
      </c>
      <c r="B290" s="2" t="s">
        <v>1820</v>
      </c>
      <c r="C290" s="2" t="s">
        <v>1821</v>
      </c>
      <c r="D290" s="2" t="s">
        <v>1822</v>
      </c>
      <c r="E290" s="2"/>
      <c r="F290" s="2" t="s">
        <v>1497</v>
      </c>
      <c r="G290" s="2" t="s">
        <v>1498</v>
      </c>
      <c r="H290" s="2" t="s">
        <v>460</v>
      </c>
      <c r="I290" s="2" t="s">
        <v>467</v>
      </c>
      <c r="J290" s="2" cm="1">
        <f t="array" ref="J290">_xlfn.IFS(DDLI_DME[[#This Row],[DATENTYP]]="unsigned integer",2,DDLI_DME[[#This Row],[DATENTYP]]="unsigned char",1,DDLI_DME[[#This Row],[DATENTYP]]="signed integer",2)</f>
        <v>2</v>
      </c>
      <c r="K290" s="2" t="s">
        <v>460</v>
      </c>
      <c r="L290">
        <v>0.10000000149011612</v>
      </c>
      <c r="M290">
        <v>1</v>
      </c>
      <c r="N290" t="str">
        <f>TEXT(DDLI_DME[[#This Row],[MUL]],"######/######")</f>
        <v>1/10</v>
      </c>
      <c r="O290">
        <v>0</v>
      </c>
      <c r="Q290">
        <f>HEX2DEC(DDLI_DME[[#This Row],[Hex]])</f>
        <v>0</v>
      </c>
      <c r="R290">
        <f>DDLI_DME[[#This Row],[ADD]]+DDLI_DME[[#This Row],[Dec]]*DDLI_DME[[#This Row],[MUL]]/DDLI_DME[[#This Row],[DIV]]</f>
        <v>0</v>
      </c>
    </row>
    <row r="291" spans="1:18" hidden="1" x14ac:dyDescent="0.25">
      <c r="A291" s="13" t="s">
        <v>1823</v>
      </c>
      <c r="B291" s="13" t="s">
        <v>1824</v>
      </c>
      <c r="C291" s="13" t="s">
        <v>1825</v>
      </c>
      <c r="D291" s="13" t="s">
        <v>1826</v>
      </c>
      <c r="E291" s="13" t="s">
        <v>2365</v>
      </c>
      <c r="F291" s="13" t="s">
        <v>458</v>
      </c>
      <c r="G291" s="13" t="s">
        <v>1827</v>
      </c>
      <c r="H291" s="13" t="s">
        <v>460</v>
      </c>
      <c r="I291" s="13" t="s">
        <v>461</v>
      </c>
      <c r="J291" s="13" cm="1">
        <f t="array" ref="J291">_xlfn.IFS(DDLI_DME[[#This Row],[DATENTYP]]="unsigned integer",2,DDLI_DME[[#This Row],[DATENTYP]]="unsigned char",1,DDLI_DME[[#This Row],[DATENTYP]]="signed integer",2)</f>
        <v>1</v>
      </c>
      <c r="K291" s="13" t="s">
        <v>460</v>
      </c>
      <c r="L291" s="14">
        <v>0.75</v>
      </c>
      <c r="M291" s="14">
        <v>1</v>
      </c>
      <c r="N291" s="14" t="str">
        <f>TEXT(DDLI_DME[[#This Row],[MUL]],"######/######")</f>
        <v>3/4</v>
      </c>
      <c r="O291" s="14">
        <v>-48</v>
      </c>
      <c r="Q291">
        <f>HEX2DEC(DDLI_DME[[#This Row],[Hex]])</f>
        <v>0</v>
      </c>
      <c r="R291">
        <f>DDLI_DME[[#This Row],[ADD]]+DDLI_DME[[#This Row],[Dec]]*DDLI_DME[[#This Row],[MUL]]/DDLI_DME[[#This Row],[DIV]]</f>
        <v>-48</v>
      </c>
    </row>
    <row r="292" spans="1:18" hidden="1" x14ac:dyDescent="0.25">
      <c r="A292" s="2" t="s">
        <v>1828</v>
      </c>
      <c r="B292" s="2" t="s">
        <v>1829</v>
      </c>
      <c r="C292" s="2" t="s">
        <v>1228</v>
      </c>
      <c r="D292" s="2" t="s">
        <v>1229</v>
      </c>
      <c r="E292" s="2" t="s">
        <v>2353</v>
      </c>
      <c r="F292" s="2" t="s">
        <v>1230</v>
      </c>
      <c r="G292" s="2" t="s">
        <v>1231</v>
      </c>
      <c r="H292" s="2" t="s">
        <v>460</v>
      </c>
      <c r="I292" s="2" t="s">
        <v>467</v>
      </c>
      <c r="J292" s="2" cm="1">
        <f t="array" ref="J292">_xlfn.IFS(DDLI_DME[[#This Row],[DATENTYP]]="unsigned integer",2,DDLI_DME[[#This Row],[DATENTYP]]="unsigned char",1,DDLI_DME[[#This Row],[DATENTYP]]="signed integer",2)</f>
        <v>2</v>
      </c>
      <c r="K292" s="2" t="s">
        <v>460</v>
      </c>
      <c r="L292">
        <v>0.10000000149011612</v>
      </c>
      <c r="M292">
        <v>1</v>
      </c>
      <c r="N292" t="str">
        <f>TEXT(DDLI_DME[[#This Row],[MUL]],"######/######")</f>
        <v>1/10</v>
      </c>
      <c r="O292">
        <v>0</v>
      </c>
      <c r="Q292">
        <f>HEX2DEC(DDLI_DME[[#This Row],[Hex]])</f>
        <v>0</v>
      </c>
      <c r="R292">
        <f>DDLI_DME[[#This Row],[ADD]]+DDLI_DME[[#This Row],[Dec]]*DDLI_DME[[#This Row],[MUL]]/DDLI_DME[[#This Row],[DIV]]</f>
        <v>0</v>
      </c>
    </row>
    <row r="293" spans="1:18" hidden="1" x14ac:dyDescent="0.25">
      <c r="A293" s="2" t="s">
        <v>1830</v>
      </c>
      <c r="B293" s="2" t="s">
        <v>1831</v>
      </c>
      <c r="C293" s="2" t="s">
        <v>666</v>
      </c>
      <c r="D293" s="2" t="s">
        <v>667</v>
      </c>
      <c r="E293" s="2" t="s">
        <v>2366</v>
      </c>
      <c r="F293" s="2" t="s">
        <v>668</v>
      </c>
      <c r="G293" s="2" t="s">
        <v>669</v>
      </c>
      <c r="H293" s="2" t="s">
        <v>460</v>
      </c>
      <c r="I293" s="2" t="s">
        <v>467</v>
      </c>
      <c r="J293" s="2" cm="1">
        <f t="array" ref="J293">_xlfn.IFS(DDLI_DME[[#This Row],[DATENTYP]]="unsigned integer",2,DDLI_DME[[#This Row],[DATENTYP]]="unsigned char",1,DDLI_DME[[#This Row],[DATENTYP]]="signed integer",2)</f>
        <v>2</v>
      </c>
      <c r="K293" s="2" t="s">
        <v>460</v>
      </c>
      <c r="L293">
        <v>1.52587890625E-3</v>
      </c>
      <c r="M293">
        <v>1</v>
      </c>
      <c r="N293" t="str">
        <f>TEXT(DDLI_DME[[#This Row],[MUL]],"######/######")</f>
        <v>25/16384</v>
      </c>
      <c r="O293">
        <v>0</v>
      </c>
      <c r="Q293">
        <f>HEX2DEC(DDLI_DME[[#This Row],[Hex]])</f>
        <v>0</v>
      </c>
      <c r="R293">
        <f>DDLI_DME[[#This Row],[ADD]]+DDLI_DME[[#This Row],[Dec]]*DDLI_DME[[#This Row],[MUL]]/DDLI_DME[[#This Row],[DIV]]</f>
        <v>0</v>
      </c>
    </row>
    <row r="294" spans="1:18" hidden="1" x14ac:dyDescent="0.25">
      <c r="A294" s="13" t="s">
        <v>1832</v>
      </c>
      <c r="B294" s="13" t="s">
        <v>1833</v>
      </c>
      <c r="C294" s="13" t="s">
        <v>1271</v>
      </c>
      <c r="D294" s="13" t="s">
        <v>1834</v>
      </c>
      <c r="E294" s="13" t="s">
        <v>2367</v>
      </c>
      <c r="F294" s="13" t="s">
        <v>6</v>
      </c>
      <c r="G294" s="13" t="s">
        <v>1273</v>
      </c>
      <c r="H294" s="13" t="s">
        <v>460</v>
      </c>
      <c r="I294" s="13" t="s">
        <v>531</v>
      </c>
      <c r="J294" s="13" cm="1">
        <f t="array" ref="J294">_xlfn.IFS(DDLI_DME[[#This Row],[DATENTYP]]="unsigned integer",2,DDLI_DME[[#This Row],[DATENTYP]]="unsigned char",1,DDLI_DME[[#This Row],[DATENTYP]]="signed integer",2)</f>
        <v>2</v>
      </c>
      <c r="K294" s="13" t="s">
        <v>460</v>
      </c>
      <c r="L294" s="14">
        <v>1</v>
      </c>
      <c r="M294" s="14">
        <v>1</v>
      </c>
      <c r="N294" s="14" t="str">
        <f>TEXT(DDLI_DME[[#This Row],[MUL]],"######/######")</f>
        <v>1/1</v>
      </c>
      <c r="O294" s="14">
        <v>0</v>
      </c>
      <c r="Q294">
        <f>HEX2DEC(DDLI_DME[[#This Row],[Hex]])</f>
        <v>0</v>
      </c>
      <c r="R294">
        <f>DDLI_DME[[#This Row],[ADD]]+DDLI_DME[[#This Row],[Dec]]*DDLI_DME[[#This Row],[MUL]]/DDLI_DME[[#This Row],[DIV]]</f>
        <v>0</v>
      </c>
    </row>
    <row r="295" spans="1:18" hidden="1" x14ac:dyDescent="0.25">
      <c r="A295" s="2" t="s">
        <v>1835</v>
      </c>
      <c r="B295" s="2" t="s">
        <v>1836</v>
      </c>
      <c r="C295" s="2" t="s">
        <v>959</v>
      </c>
      <c r="D295" s="2" t="s">
        <v>1837</v>
      </c>
      <c r="E295" s="2"/>
      <c r="F295" s="2" t="s">
        <v>876</v>
      </c>
      <c r="G295" s="2" t="s">
        <v>877</v>
      </c>
      <c r="H295" s="2" t="s">
        <v>460</v>
      </c>
      <c r="I295" s="2" t="s">
        <v>467</v>
      </c>
      <c r="J295" s="2" cm="1">
        <f t="array" ref="J295">_xlfn.IFS(DDLI_DME[[#This Row],[DATENTYP]]="unsigned integer",2,DDLI_DME[[#This Row],[DATENTYP]]="unsigned char",1,DDLI_DME[[#This Row],[DATENTYP]]="signed integer",2)</f>
        <v>2</v>
      </c>
      <c r="K295" s="2" t="s">
        <v>460</v>
      </c>
      <c r="L295">
        <v>1.5259021893143654E-3</v>
      </c>
      <c r="M295">
        <v>1</v>
      </c>
      <c r="N295" t="str">
        <f>TEXT(DDLI_DME[[#This Row],[MUL]],"######/######")</f>
        <v>20/13107</v>
      </c>
      <c r="O295">
        <v>0</v>
      </c>
      <c r="Q295">
        <f>HEX2DEC(DDLI_DME[[#This Row],[Hex]])</f>
        <v>0</v>
      </c>
      <c r="R295">
        <f>DDLI_DME[[#This Row],[ADD]]+DDLI_DME[[#This Row],[Dec]]*DDLI_DME[[#This Row],[MUL]]/DDLI_DME[[#This Row],[DIV]]</f>
        <v>0</v>
      </c>
    </row>
    <row r="296" spans="1:18" hidden="1" x14ac:dyDescent="0.25">
      <c r="A296" s="2" t="s">
        <v>1838</v>
      </c>
      <c r="B296" s="2" t="s">
        <v>1839</v>
      </c>
      <c r="C296" s="2" t="s">
        <v>1840</v>
      </c>
      <c r="D296" s="2" t="s">
        <v>1841</v>
      </c>
      <c r="E296" s="2" t="s">
        <v>2368</v>
      </c>
      <c r="F296" s="2" t="s">
        <v>458</v>
      </c>
      <c r="G296" s="2" t="s">
        <v>1842</v>
      </c>
      <c r="H296" s="2" t="s">
        <v>460</v>
      </c>
      <c r="I296" s="2" t="s">
        <v>461</v>
      </c>
      <c r="J296" s="2" cm="1">
        <f t="array" ref="J296">_xlfn.IFS(DDLI_DME[[#This Row],[DATENTYP]]="unsigned integer",2,DDLI_DME[[#This Row],[DATENTYP]]="unsigned char",1,DDLI_DME[[#This Row],[DATENTYP]]="signed integer",2)</f>
        <v>1</v>
      </c>
      <c r="K296" s="2" t="s">
        <v>460</v>
      </c>
      <c r="L296">
        <v>0.75</v>
      </c>
      <c r="M296">
        <v>1</v>
      </c>
      <c r="N296" t="str">
        <f>TEXT(DDLI_DME[[#This Row],[MUL]],"######/######")</f>
        <v>3/4</v>
      </c>
      <c r="O296">
        <v>-48</v>
      </c>
      <c r="Q296">
        <f>HEX2DEC(DDLI_DME[[#This Row],[Hex]])</f>
        <v>0</v>
      </c>
      <c r="R296">
        <f>DDLI_DME[[#This Row],[ADD]]+DDLI_DME[[#This Row],[Dec]]*DDLI_DME[[#This Row],[MUL]]/DDLI_DME[[#This Row],[DIV]]</f>
        <v>-48</v>
      </c>
    </row>
    <row r="297" spans="1:18" hidden="1" x14ac:dyDescent="0.25">
      <c r="A297" s="2" t="s">
        <v>1843</v>
      </c>
      <c r="B297" s="2" t="s">
        <v>1844</v>
      </c>
      <c r="C297" s="2" t="s">
        <v>1845</v>
      </c>
      <c r="D297" s="2" t="s">
        <v>1846</v>
      </c>
      <c r="E297" s="2" t="s">
        <v>2369</v>
      </c>
      <c r="F297" s="2" t="s">
        <v>6</v>
      </c>
      <c r="G297" s="2" t="s">
        <v>1847</v>
      </c>
      <c r="H297" s="2" t="s">
        <v>460</v>
      </c>
      <c r="I297" s="2" t="s">
        <v>467</v>
      </c>
      <c r="J297" s="2" cm="1">
        <f t="array" ref="J297">_xlfn.IFS(DDLI_DME[[#This Row],[DATENTYP]]="unsigned integer",2,DDLI_DME[[#This Row],[DATENTYP]]="unsigned char",1,DDLI_DME[[#This Row],[DATENTYP]]="signed integer",2)</f>
        <v>2</v>
      </c>
      <c r="K297" s="2" t="s">
        <v>460</v>
      </c>
      <c r="L297">
        <v>7.8125E-2</v>
      </c>
      <c r="M297">
        <v>1</v>
      </c>
      <c r="N297" t="str">
        <f>TEXT(DDLI_DME[[#This Row],[MUL]],"######/######")</f>
        <v>5/64</v>
      </c>
      <c r="O297">
        <v>0</v>
      </c>
      <c r="Q297">
        <f>HEX2DEC(DDLI_DME[[#This Row],[Hex]])</f>
        <v>0</v>
      </c>
      <c r="R297">
        <f>DDLI_DME[[#This Row],[ADD]]+DDLI_DME[[#This Row],[Dec]]*DDLI_DME[[#This Row],[MUL]]/DDLI_DME[[#This Row],[DIV]]</f>
        <v>0</v>
      </c>
    </row>
    <row r="298" spans="1:18" hidden="1" x14ac:dyDescent="0.25">
      <c r="A298" s="2" t="s">
        <v>1848</v>
      </c>
      <c r="B298" s="2" t="s">
        <v>1849</v>
      </c>
      <c r="C298" s="2" t="s">
        <v>1850</v>
      </c>
      <c r="D298" s="2" t="s">
        <v>1851</v>
      </c>
      <c r="E298" s="2"/>
      <c r="F298" s="2" t="s">
        <v>1230</v>
      </c>
      <c r="G298" s="2" t="s">
        <v>1733</v>
      </c>
      <c r="H298" s="2" t="s">
        <v>460</v>
      </c>
      <c r="I298" s="2" t="s">
        <v>467</v>
      </c>
      <c r="J298" s="2" cm="1">
        <f t="array" ref="J298">_xlfn.IFS(DDLI_DME[[#This Row],[DATENTYP]]="unsigned integer",2,DDLI_DME[[#This Row],[DATENTYP]]="unsigned char",1,DDLI_DME[[#This Row],[DATENTYP]]="signed integer",2)</f>
        <v>2</v>
      </c>
      <c r="K298" s="2" t="s">
        <v>460</v>
      </c>
      <c r="L298">
        <v>0.10000000149011612</v>
      </c>
      <c r="M298">
        <v>1</v>
      </c>
      <c r="N298" t="str">
        <f>TEXT(DDLI_DME[[#This Row],[MUL]],"######/######")</f>
        <v>1/10</v>
      </c>
      <c r="O298">
        <v>0</v>
      </c>
      <c r="Q298">
        <f>HEX2DEC(DDLI_DME[[#This Row],[Hex]])</f>
        <v>0</v>
      </c>
      <c r="R298">
        <f>DDLI_DME[[#This Row],[ADD]]+DDLI_DME[[#This Row],[Dec]]*DDLI_DME[[#This Row],[MUL]]/DDLI_DME[[#This Row],[DIV]]</f>
        <v>0</v>
      </c>
    </row>
    <row r="299" spans="1:18" hidden="1" x14ac:dyDescent="0.25">
      <c r="A299" s="2" t="s">
        <v>1852</v>
      </c>
      <c r="B299" s="2" t="s">
        <v>1853</v>
      </c>
      <c r="C299" s="2" t="s">
        <v>1721</v>
      </c>
      <c r="D299" s="2" t="s">
        <v>1854</v>
      </c>
      <c r="E299" s="2" t="s">
        <v>2370</v>
      </c>
      <c r="F299" s="2" t="s">
        <v>1077</v>
      </c>
      <c r="G299" s="2" t="s">
        <v>1718</v>
      </c>
      <c r="H299" s="2" t="s">
        <v>460</v>
      </c>
      <c r="I299" s="2" t="s">
        <v>467</v>
      </c>
      <c r="J299" s="2" cm="1">
        <f t="array" ref="J299">_xlfn.IFS(DDLI_DME[[#This Row],[DATENTYP]]="unsigned integer",2,DDLI_DME[[#This Row],[DATENTYP]]="unsigned char",1,DDLI_DME[[#This Row],[DATENTYP]]="signed integer",2)</f>
        <v>2</v>
      </c>
      <c r="K299" s="2" t="s">
        <v>460</v>
      </c>
      <c r="L299">
        <v>5.0000002374872565E-4</v>
      </c>
      <c r="M299">
        <v>1</v>
      </c>
      <c r="N299" t="str">
        <f>TEXT(DDLI_DME[[#This Row],[MUL]],"######/######")</f>
        <v>1/2000</v>
      </c>
      <c r="O299">
        <v>0</v>
      </c>
      <c r="Q299">
        <f>HEX2DEC(DDLI_DME[[#This Row],[Hex]])</f>
        <v>0</v>
      </c>
      <c r="R299">
        <f>DDLI_DME[[#This Row],[ADD]]+DDLI_DME[[#This Row],[Dec]]*DDLI_DME[[#This Row],[MUL]]/DDLI_DME[[#This Row],[DIV]]</f>
        <v>0</v>
      </c>
    </row>
    <row r="300" spans="1:18" hidden="1" x14ac:dyDescent="0.25">
      <c r="A300" s="2" t="s">
        <v>1855</v>
      </c>
      <c r="B300" s="2" t="s">
        <v>1856</v>
      </c>
      <c r="C300" s="2" t="s">
        <v>1857</v>
      </c>
      <c r="D300" s="2" t="s">
        <v>1858</v>
      </c>
      <c r="E300" s="2"/>
      <c r="F300" s="2" t="s">
        <v>1859</v>
      </c>
      <c r="G300" s="2" t="s">
        <v>1860</v>
      </c>
      <c r="H300" s="2" t="s">
        <v>460</v>
      </c>
      <c r="I300" s="2" t="s">
        <v>531</v>
      </c>
      <c r="J300" s="2" cm="1">
        <f t="array" ref="J300">_xlfn.IFS(DDLI_DME[[#This Row],[DATENTYP]]="unsigned integer",2,DDLI_DME[[#This Row],[DATENTYP]]="unsigned char",1,DDLI_DME[[#This Row],[DATENTYP]]="signed integer",2)</f>
        <v>2</v>
      </c>
      <c r="K300" s="2" t="s">
        <v>460</v>
      </c>
      <c r="L300">
        <v>7.1054273284971714E-3</v>
      </c>
      <c r="M300">
        <v>1</v>
      </c>
      <c r="N300" t="str">
        <f>TEXT(DDLI_DME[[#This Row],[MUL]],"######/######")</f>
        <v>1139/160300</v>
      </c>
      <c r="O300">
        <v>0</v>
      </c>
      <c r="Q300">
        <f>HEX2DEC(DDLI_DME[[#This Row],[Hex]])</f>
        <v>0</v>
      </c>
      <c r="R300">
        <f>DDLI_DME[[#This Row],[ADD]]+DDLI_DME[[#This Row],[Dec]]*DDLI_DME[[#This Row],[MUL]]/DDLI_DME[[#This Row],[DIV]]</f>
        <v>0</v>
      </c>
    </row>
    <row r="301" spans="1:18" hidden="1" x14ac:dyDescent="0.25">
      <c r="A301" s="2" t="s">
        <v>1861</v>
      </c>
      <c r="B301" s="2" t="s">
        <v>1862</v>
      </c>
      <c r="C301" s="2" t="s">
        <v>1863</v>
      </c>
      <c r="D301" s="2" t="s">
        <v>1864</v>
      </c>
      <c r="E301" s="2"/>
      <c r="F301" s="2" t="s">
        <v>1859</v>
      </c>
      <c r="G301" s="2" t="s">
        <v>1860</v>
      </c>
      <c r="H301" s="2" t="s">
        <v>460</v>
      </c>
      <c r="I301" s="2" t="s">
        <v>531</v>
      </c>
      <c r="J301" s="2" cm="1">
        <f t="array" ref="J301">_xlfn.IFS(DDLI_DME[[#This Row],[DATENTYP]]="unsigned integer",2,DDLI_DME[[#This Row],[DATENTYP]]="unsigned char",1,DDLI_DME[[#This Row],[DATENTYP]]="signed integer",2)</f>
        <v>2</v>
      </c>
      <c r="K301" s="2" t="s">
        <v>460</v>
      </c>
      <c r="L301">
        <v>7.1054273284971714E-3</v>
      </c>
      <c r="M301">
        <v>1</v>
      </c>
      <c r="N301" t="str">
        <f>TEXT(DDLI_DME[[#This Row],[MUL]],"######/######")</f>
        <v>1139/160300</v>
      </c>
      <c r="O301">
        <v>0</v>
      </c>
      <c r="Q301">
        <f>HEX2DEC(DDLI_DME[[#This Row],[Hex]])</f>
        <v>0</v>
      </c>
      <c r="R301">
        <f>DDLI_DME[[#This Row],[ADD]]+DDLI_DME[[#This Row],[Dec]]*DDLI_DME[[#This Row],[MUL]]/DDLI_DME[[#This Row],[DIV]]</f>
        <v>0</v>
      </c>
    </row>
    <row r="302" spans="1:18" hidden="1" x14ac:dyDescent="0.25">
      <c r="A302" s="2" t="s">
        <v>1865</v>
      </c>
      <c r="B302" s="2" t="s">
        <v>1866</v>
      </c>
      <c r="C302" s="2" t="s">
        <v>1867</v>
      </c>
      <c r="D302" s="2" t="s">
        <v>1868</v>
      </c>
      <c r="E302" s="2"/>
      <c r="F302" s="2" t="s">
        <v>1859</v>
      </c>
      <c r="G302" s="2" t="s">
        <v>1860</v>
      </c>
      <c r="H302" s="2" t="s">
        <v>460</v>
      </c>
      <c r="I302" s="2" t="s">
        <v>531</v>
      </c>
      <c r="J302" s="2" cm="1">
        <f t="array" ref="J302">_xlfn.IFS(DDLI_DME[[#This Row],[DATENTYP]]="unsigned integer",2,DDLI_DME[[#This Row],[DATENTYP]]="unsigned char",1,DDLI_DME[[#This Row],[DATENTYP]]="signed integer",2)</f>
        <v>2</v>
      </c>
      <c r="K302" s="2" t="s">
        <v>460</v>
      </c>
      <c r="L302">
        <v>7.1054273284971714E-3</v>
      </c>
      <c r="M302">
        <v>1</v>
      </c>
      <c r="N302" t="str">
        <f>TEXT(DDLI_DME[[#This Row],[MUL]],"######/######")</f>
        <v>1139/160300</v>
      </c>
      <c r="O302">
        <v>0</v>
      </c>
      <c r="Q302">
        <f>HEX2DEC(DDLI_DME[[#This Row],[Hex]])</f>
        <v>0</v>
      </c>
      <c r="R302">
        <f>DDLI_DME[[#This Row],[ADD]]+DDLI_DME[[#This Row],[Dec]]*DDLI_DME[[#This Row],[MUL]]/DDLI_DME[[#This Row],[DIV]]</f>
        <v>0</v>
      </c>
    </row>
    <row r="303" spans="1:18" hidden="1" x14ac:dyDescent="0.25">
      <c r="A303" s="2" t="s">
        <v>1869</v>
      </c>
      <c r="B303" s="2" t="s">
        <v>1870</v>
      </c>
      <c r="C303" s="2" t="s">
        <v>1871</v>
      </c>
      <c r="D303" s="2" t="s">
        <v>1872</v>
      </c>
      <c r="E303" s="2"/>
      <c r="F303" s="2" t="s">
        <v>1859</v>
      </c>
      <c r="G303" s="2" t="s">
        <v>1860</v>
      </c>
      <c r="H303" s="2" t="s">
        <v>460</v>
      </c>
      <c r="I303" s="2" t="s">
        <v>531</v>
      </c>
      <c r="J303" s="2" cm="1">
        <f t="array" ref="J303">_xlfn.IFS(DDLI_DME[[#This Row],[DATENTYP]]="unsigned integer",2,DDLI_DME[[#This Row],[DATENTYP]]="unsigned char",1,DDLI_DME[[#This Row],[DATENTYP]]="signed integer",2)</f>
        <v>2</v>
      </c>
      <c r="K303" s="2" t="s">
        <v>460</v>
      </c>
      <c r="L303">
        <v>7.1054273284971714E-3</v>
      </c>
      <c r="M303">
        <v>1</v>
      </c>
      <c r="N303" t="str">
        <f>TEXT(DDLI_DME[[#This Row],[MUL]],"######/######")</f>
        <v>1139/160300</v>
      </c>
      <c r="O303">
        <v>0</v>
      </c>
      <c r="Q303">
        <f>HEX2DEC(DDLI_DME[[#This Row],[Hex]])</f>
        <v>0</v>
      </c>
      <c r="R303">
        <f>DDLI_DME[[#This Row],[ADD]]+DDLI_DME[[#This Row],[Dec]]*DDLI_DME[[#This Row],[MUL]]/DDLI_DME[[#This Row],[DIV]]</f>
        <v>0</v>
      </c>
    </row>
    <row r="304" spans="1:18" hidden="1" x14ac:dyDescent="0.25">
      <c r="A304" s="2" t="s">
        <v>1873</v>
      </c>
      <c r="B304" s="2" t="s">
        <v>1874</v>
      </c>
      <c r="C304" s="2" t="s">
        <v>1875</v>
      </c>
      <c r="D304" s="2" t="s">
        <v>1876</v>
      </c>
      <c r="E304" s="2"/>
      <c r="F304" s="2" t="s">
        <v>460</v>
      </c>
      <c r="G304" s="2" t="s">
        <v>1877</v>
      </c>
      <c r="H304" s="2" t="s">
        <v>460</v>
      </c>
      <c r="I304" s="2" t="s">
        <v>461</v>
      </c>
      <c r="J304" s="2" cm="1">
        <f t="array" ref="J304">_xlfn.IFS(DDLI_DME[[#This Row],[DATENTYP]]="unsigned integer",2,DDLI_DME[[#This Row],[DATENTYP]]="unsigned char",1,DDLI_DME[[#This Row],[DATENTYP]]="signed integer",2)</f>
        <v>1</v>
      </c>
      <c r="K304" s="2" t="s">
        <v>460</v>
      </c>
      <c r="L304">
        <v>1</v>
      </c>
      <c r="M304">
        <v>1</v>
      </c>
      <c r="N304" t="str">
        <f>TEXT(DDLI_DME[[#This Row],[MUL]],"######/######")</f>
        <v>1/1</v>
      </c>
      <c r="O304">
        <v>0</v>
      </c>
      <c r="Q304">
        <f>HEX2DEC(DDLI_DME[[#This Row],[Hex]])</f>
        <v>0</v>
      </c>
      <c r="R304">
        <f>DDLI_DME[[#This Row],[ADD]]+DDLI_DME[[#This Row],[Dec]]*DDLI_DME[[#This Row],[MUL]]/DDLI_DME[[#This Row],[DIV]]</f>
        <v>0</v>
      </c>
    </row>
    <row r="305" spans="1:18" hidden="1" x14ac:dyDescent="0.25">
      <c r="A305" s="2" t="s">
        <v>1878</v>
      </c>
      <c r="B305" s="2" t="s">
        <v>1879</v>
      </c>
      <c r="C305" s="2" t="s">
        <v>1333</v>
      </c>
      <c r="D305" s="2" t="s">
        <v>1334</v>
      </c>
      <c r="E305" s="2"/>
      <c r="F305" s="2" t="s">
        <v>674</v>
      </c>
      <c r="G305" s="2" t="s">
        <v>1880</v>
      </c>
      <c r="H305" s="2" t="s">
        <v>460</v>
      </c>
      <c r="I305" s="2" t="s">
        <v>467</v>
      </c>
      <c r="J305" s="2" cm="1">
        <f t="array" ref="J305">_xlfn.IFS(DDLI_DME[[#This Row],[DATENTYP]]="unsigned integer",2,DDLI_DME[[#This Row],[DATENTYP]]="unsigned char",1,DDLI_DME[[#This Row],[DATENTYP]]="signed integer",2)</f>
        <v>2</v>
      </c>
      <c r="K305" s="2" t="s">
        <v>460</v>
      </c>
      <c r="L305">
        <v>4.8828125E-3</v>
      </c>
      <c r="M305">
        <v>1</v>
      </c>
      <c r="N305" t="str">
        <f>TEXT(DDLI_DME[[#This Row],[MUL]],"######/######")</f>
        <v>5/1024</v>
      </c>
      <c r="O305">
        <v>0</v>
      </c>
      <c r="Q305">
        <f>HEX2DEC(DDLI_DME[[#This Row],[Hex]])</f>
        <v>0</v>
      </c>
      <c r="R305">
        <f>DDLI_DME[[#This Row],[ADD]]+DDLI_DME[[#This Row],[Dec]]*DDLI_DME[[#This Row],[MUL]]/DDLI_DME[[#This Row],[DIV]]</f>
        <v>0</v>
      </c>
    </row>
    <row r="306" spans="1:18" hidden="1" x14ac:dyDescent="0.25">
      <c r="A306" s="2" t="s">
        <v>1881</v>
      </c>
      <c r="B306" s="2" t="s">
        <v>1882</v>
      </c>
      <c r="C306" s="2" t="s">
        <v>1883</v>
      </c>
      <c r="D306" s="2" t="s">
        <v>1884</v>
      </c>
      <c r="E306" s="2"/>
      <c r="F306" s="2" t="s">
        <v>674</v>
      </c>
      <c r="G306" s="2" t="s">
        <v>1880</v>
      </c>
      <c r="H306" s="2" t="s">
        <v>460</v>
      </c>
      <c r="I306" s="2" t="s">
        <v>467</v>
      </c>
      <c r="J306" s="2" cm="1">
        <f t="array" ref="J306">_xlfn.IFS(DDLI_DME[[#This Row],[DATENTYP]]="unsigned integer",2,DDLI_DME[[#This Row],[DATENTYP]]="unsigned char",1,DDLI_DME[[#This Row],[DATENTYP]]="signed integer",2)</f>
        <v>2</v>
      </c>
      <c r="K306" s="2" t="s">
        <v>460</v>
      </c>
      <c r="L306">
        <v>4.8828125E-3</v>
      </c>
      <c r="M306">
        <v>1</v>
      </c>
      <c r="N306" t="str">
        <f>TEXT(DDLI_DME[[#This Row],[MUL]],"######/######")</f>
        <v>5/1024</v>
      </c>
      <c r="O306">
        <v>0</v>
      </c>
      <c r="Q306">
        <f>HEX2DEC(DDLI_DME[[#This Row],[Hex]])</f>
        <v>0</v>
      </c>
      <c r="R306">
        <f>DDLI_DME[[#This Row],[ADD]]+DDLI_DME[[#This Row],[Dec]]*DDLI_DME[[#This Row],[MUL]]/DDLI_DME[[#This Row],[DIV]]</f>
        <v>0</v>
      </c>
    </row>
    <row r="307" spans="1:18" hidden="1" x14ac:dyDescent="0.25">
      <c r="A307" s="2" t="s">
        <v>1885</v>
      </c>
      <c r="B307" s="2" t="s">
        <v>1886</v>
      </c>
      <c r="C307" s="2" t="s">
        <v>1887</v>
      </c>
      <c r="D307" s="2" t="s">
        <v>1888</v>
      </c>
      <c r="E307" s="2"/>
      <c r="F307" s="2" t="s">
        <v>674</v>
      </c>
      <c r="G307" s="2" t="s">
        <v>1880</v>
      </c>
      <c r="H307" s="2" t="s">
        <v>460</v>
      </c>
      <c r="I307" s="2" t="s">
        <v>467</v>
      </c>
      <c r="J307" s="2" cm="1">
        <f t="array" ref="J307">_xlfn.IFS(DDLI_DME[[#This Row],[DATENTYP]]="unsigned integer",2,DDLI_DME[[#This Row],[DATENTYP]]="unsigned char",1,DDLI_DME[[#This Row],[DATENTYP]]="signed integer",2)</f>
        <v>2</v>
      </c>
      <c r="K307" s="2" t="s">
        <v>460</v>
      </c>
      <c r="L307">
        <v>4.8828125E-3</v>
      </c>
      <c r="M307">
        <v>1</v>
      </c>
      <c r="N307" t="str">
        <f>TEXT(DDLI_DME[[#This Row],[MUL]],"######/######")</f>
        <v>5/1024</v>
      </c>
      <c r="O307">
        <v>0</v>
      </c>
      <c r="Q307">
        <f>HEX2DEC(DDLI_DME[[#This Row],[Hex]])</f>
        <v>0</v>
      </c>
      <c r="R307">
        <f>DDLI_DME[[#This Row],[ADD]]+DDLI_DME[[#This Row],[Dec]]*DDLI_DME[[#This Row],[MUL]]/DDLI_DME[[#This Row],[DIV]]</f>
        <v>0</v>
      </c>
    </row>
    <row r="308" spans="1:18" hidden="1" x14ac:dyDescent="0.25">
      <c r="A308" s="2" t="s">
        <v>1889</v>
      </c>
      <c r="B308" s="2" t="s">
        <v>1890</v>
      </c>
      <c r="C308" s="2" t="s">
        <v>1891</v>
      </c>
      <c r="D308" s="2" t="s">
        <v>1892</v>
      </c>
      <c r="E308" s="2"/>
      <c r="F308" s="2" t="s">
        <v>674</v>
      </c>
      <c r="G308" s="2" t="s">
        <v>1880</v>
      </c>
      <c r="H308" s="2" t="s">
        <v>460</v>
      </c>
      <c r="I308" s="2" t="s">
        <v>467</v>
      </c>
      <c r="J308" s="2" cm="1">
        <f t="array" ref="J308">_xlfn.IFS(DDLI_DME[[#This Row],[DATENTYP]]="unsigned integer",2,DDLI_DME[[#This Row],[DATENTYP]]="unsigned char",1,DDLI_DME[[#This Row],[DATENTYP]]="signed integer",2)</f>
        <v>2</v>
      </c>
      <c r="K308" s="2" t="s">
        <v>460</v>
      </c>
      <c r="L308">
        <v>4.8828125E-3</v>
      </c>
      <c r="M308">
        <v>1</v>
      </c>
      <c r="N308" t="str">
        <f>TEXT(DDLI_DME[[#This Row],[MUL]],"######/######")</f>
        <v>5/1024</v>
      </c>
      <c r="O308">
        <v>0</v>
      </c>
      <c r="Q308">
        <f>HEX2DEC(DDLI_DME[[#This Row],[Hex]])</f>
        <v>0</v>
      </c>
      <c r="R308">
        <f>DDLI_DME[[#This Row],[ADD]]+DDLI_DME[[#This Row],[Dec]]*DDLI_DME[[#This Row],[MUL]]/DDLI_DME[[#This Row],[DIV]]</f>
        <v>0</v>
      </c>
    </row>
    <row r="309" spans="1:18" hidden="1" x14ac:dyDescent="0.25">
      <c r="A309" s="2" t="s">
        <v>1893</v>
      </c>
      <c r="B309" s="2" t="s">
        <v>1894</v>
      </c>
      <c r="C309" s="2" t="s">
        <v>1895</v>
      </c>
      <c r="D309" s="2" t="s">
        <v>1896</v>
      </c>
      <c r="E309" s="2"/>
      <c r="F309" s="2" t="s">
        <v>529</v>
      </c>
      <c r="G309" s="2" t="s">
        <v>1897</v>
      </c>
      <c r="H309" s="2" t="s">
        <v>460</v>
      </c>
      <c r="I309" s="2" t="s">
        <v>531</v>
      </c>
      <c r="J309" s="2" cm="1">
        <f t="array" ref="J309">_xlfn.IFS(DDLI_DME[[#This Row],[DATENTYP]]="unsigned integer",2,DDLI_DME[[#This Row],[DATENTYP]]="unsigned char",1,DDLI_DME[[#This Row],[DATENTYP]]="signed integer",2)</f>
        <v>2</v>
      </c>
      <c r="K309" s="2" t="s">
        <v>460</v>
      </c>
      <c r="L309">
        <v>0.10000000149011612</v>
      </c>
      <c r="M309">
        <v>1</v>
      </c>
      <c r="N309" t="str">
        <f>TEXT(DDLI_DME[[#This Row],[MUL]],"######/######")</f>
        <v>1/10</v>
      </c>
      <c r="O309">
        <v>0</v>
      </c>
      <c r="Q309">
        <f>HEX2DEC(DDLI_DME[[#This Row],[Hex]])</f>
        <v>0</v>
      </c>
      <c r="R309">
        <f>DDLI_DME[[#This Row],[ADD]]+DDLI_DME[[#This Row],[Dec]]*DDLI_DME[[#This Row],[MUL]]/DDLI_DME[[#This Row],[DIV]]</f>
        <v>0</v>
      </c>
    </row>
    <row r="310" spans="1:18" hidden="1" x14ac:dyDescent="0.25">
      <c r="A310" s="2" t="s">
        <v>1898</v>
      </c>
      <c r="B310" s="2" t="s">
        <v>1899</v>
      </c>
      <c r="C310" s="2" t="s">
        <v>903</v>
      </c>
      <c r="D310" s="2" t="s">
        <v>1900</v>
      </c>
      <c r="E310" s="2"/>
      <c r="F310" s="2" t="s">
        <v>668</v>
      </c>
      <c r="G310" s="2" t="s">
        <v>905</v>
      </c>
      <c r="H310" s="2" t="s">
        <v>460</v>
      </c>
      <c r="I310" s="2" t="s">
        <v>461</v>
      </c>
      <c r="J310" s="2" cm="1">
        <f t="array" ref="J310">_xlfn.IFS(DDLI_DME[[#This Row],[DATENTYP]]="unsigned integer",2,DDLI_DME[[#This Row],[DATENTYP]]="unsigned char",1,DDLI_DME[[#This Row],[DATENTYP]]="signed integer",2)</f>
        <v>1</v>
      </c>
      <c r="K310" s="2" t="s">
        <v>460</v>
      </c>
      <c r="L310">
        <v>0.390625</v>
      </c>
      <c r="M310">
        <v>1</v>
      </c>
      <c r="N310" t="str">
        <f>TEXT(DDLI_DME[[#This Row],[MUL]],"######/######")</f>
        <v>25/64</v>
      </c>
      <c r="O310">
        <v>0</v>
      </c>
      <c r="Q310">
        <f>HEX2DEC(DDLI_DME[[#This Row],[Hex]])</f>
        <v>0</v>
      </c>
      <c r="R310">
        <f>DDLI_DME[[#This Row],[ADD]]+DDLI_DME[[#This Row],[Dec]]*DDLI_DME[[#This Row],[MUL]]/DDLI_DME[[#This Row],[DIV]]</f>
        <v>0</v>
      </c>
    </row>
    <row r="311" spans="1:18" hidden="1" x14ac:dyDescent="0.25">
      <c r="A311" s="2" t="s">
        <v>1901</v>
      </c>
      <c r="B311" s="2" t="s">
        <v>1902</v>
      </c>
      <c r="C311" s="2" t="s">
        <v>1903</v>
      </c>
      <c r="D311" s="2" t="s">
        <v>1904</v>
      </c>
      <c r="E311" s="2"/>
      <c r="F311" s="2" t="s">
        <v>460</v>
      </c>
      <c r="G311" s="2" t="s">
        <v>1352</v>
      </c>
      <c r="H311" s="2" t="s">
        <v>460</v>
      </c>
      <c r="I311" s="2" t="s">
        <v>467</v>
      </c>
      <c r="J311" s="2" cm="1">
        <f t="array" ref="J311">_xlfn.IFS(DDLI_DME[[#This Row],[DATENTYP]]="unsigned integer",2,DDLI_DME[[#This Row],[DATENTYP]]="unsigned char",1,DDLI_DME[[#This Row],[DATENTYP]]="signed integer",2)</f>
        <v>2</v>
      </c>
      <c r="K311" s="2" t="s">
        <v>460</v>
      </c>
      <c r="L311">
        <v>2.44140625E-4</v>
      </c>
      <c r="M311">
        <v>1</v>
      </c>
      <c r="N311" t="str">
        <f>TEXT(DDLI_DME[[#This Row],[MUL]],"######/######")</f>
        <v>1/4096</v>
      </c>
      <c r="O311">
        <v>0</v>
      </c>
      <c r="Q311">
        <f>HEX2DEC(DDLI_DME[[#This Row],[Hex]])</f>
        <v>0</v>
      </c>
      <c r="R311">
        <f>DDLI_DME[[#This Row],[ADD]]+DDLI_DME[[#This Row],[Dec]]*DDLI_DME[[#This Row],[MUL]]/DDLI_DME[[#This Row],[DIV]]</f>
        <v>0</v>
      </c>
    </row>
    <row r="312" spans="1:18" hidden="1" x14ac:dyDescent="0.25">
      <c r="A312" s="2" t="s">
        <v>1905</v>
      </c>
      <c r="B312" s="2" t="s">
        <v>1906</v>
      </c>
      <c r="C312" s="2" t="s">
        <v>1907</v>
      </c>
      <c r="D312" s="2" t="s">
        <v>1908</v>
      </c>
      <c r="E312" s="2"/>
      <c r="F312" s="2" t="s">
        <v>460</v>
      </c>
      <c r="G312" s="2" t="s">
        <v>1909</v>
      </c>
      <c r="H312" s="2" t="s">
        <v>460</v>
      </c>
      <c r="I312" s="2" t="s">
        <v>461</v>
      </c>
      <c r="J312" s="2" cm="1">
        <f t="array" ref="J312">_xlfn.IFS(DDLI_DME[[#This Row],[DATENTYP]]="unsigned integer",2,DDLI_DME[[#This Row],[DATENTYP]]="unsigned char",1,DDLI_DME[[#This Row],[DATENTYP]]="signed integer",2)</f>
        <v>1</v>
      </c>
      <c r="K312" s="2" t="s">
        <v>460</v>
      </c>
      <c r="L312">
        <v>1</v>
      </c>
      <c r="M312">
        <v>1</v>
      </c>
      <c r="N312" t="str">
        <f>TEXT(DDLI_DME[[#This Row],[MUL]],"######/######")</f>
        <v>1/1</v>
      </c>
      <c r="O312">
        <v>0</v>
      </c>
      <c r="Q312">
        <f>HEX2DEC(DDLI_DME[[#This Row],[Hex]])</f>
        <v>0</v>
      </c>
      <c r="R312">
        <f>DDLI_DME[[#This Row],[ADD]]+DDLI_DME[[#This Row],[Dec]]*DDLI_DME[[#This Row],[MUL]]/DDLI_DME[[#This Row],[DIV]]</f>
        <v>0</v>
      </c>
    </row>
    <row r="313" spans="1:18" hidden="1" x14ac:dyDescent="0.25">
      <c r="A313" s="2" t="s">
        <v>1910</v>
      </c>
      <c r="B313" s="2" t="s">
        <v>1911</v>
      </c>
      <c r="C313" s="2" t="s">
        <v>1912</v>
      </c>
      <c r="D313" s="2" t="s">
        <v>1913</v>
      </c>
      <c r="E313" s="2"/>
      <c r="F313" s="2" t="s">
        <v>460</v>
      </c>
      <c r="G313" s="2" t="s">
        <v>1914</v>
      </c>
      <c r="H313" s="2" t="s">
        <v>460</v>
      </c>
      <c r="I313" s="2" t="s">
        <v>461</v>
      </c>
      <c r="J313" s="2" cm="1">
        <f t="array" ref="J313">_xlfn.IFS(DDLI_DME[[#This Row],[DATENTYP]]="unsigned integer",2,DDLI_DME[[#This Row],[DATENTYP]]="unsigned char",1,DDLI_DME[[#This Row],[DATENTYP]]="signed integer",2)</f>
        <v>1</v>
      </c>
      <c r="K313" s="2" t="s">
        <v>460</v>
      </c>
      <c r="L313">
        <v>1</v>
      </c>
      <c r="M313">
        <v>1</v>
      </c>
      <c r="N313" t="str">
        <f>TEXT(DDLI_DME[[#This Row],[MUL]],"######/######")</f>
        <v>1/1</v>
      </c>
      <c r="O313">
        <v>0</v>
      </c>
      <c r="Q313">
        <f>HEX2DEC(DDLI_DME[[#This Row],[Hex]])</f>
        <v>0</v>
      </c>
      <c r="R313">
        <f>DDLI_DME[[#This Row],[ADD]]+DDLI_DME[[#This Row],[Dec]]*DDLI_DME[[#This Row],[MUL]]/DDLI_DME[[#This Row],[DIV]]</f>
        <v>0</v>
      </c>
    </row>
    <row r="314" spans="1:18" hidden="1" x14ac:dyDescent="0.25">
      <c r="A314" s="2" t="s">
        <v>1915</v>
      </c>
      <c r="B314" s="2" t="s">
        <v>1916</v>
      </c>
      <c r="C314" s="2" t="s">
        <v>1917</v>
      </c>
      <c r="D314" s="2" t="s">
        <v>1918</v>
      </c>
      <c r="E314" s="2"/>
      <c r="F314" s="2" t="s">
        <v>460</v>
      </c>
      <c r="G314" s="2" t="s">
        <v>1919</v>
      </c>
      <c r="H314" s="2" t="s">
        <v>460</v>
      </c>
      <c r="I314" s="2" t="s">
        <v>461</v>
      </c>
      <c r="J314" s="2" cm="1">
        <f t="array" ref="J314">_xlfn.IFS(DDLI_DME[[#This Row],[DATENTYP]]="unsigned integer",2,DDLI_DME[[#This Row],[DATENTYP]]="unsigned char",1,DDLI_DME[[#This Row],[DATENTYP]]="signed integer",2)</f>
        <v>1</v>
      </c>
      <c r="K314" s="2" t="s">
        <v>460</v>
      </c>
      <c r="L314">
        <v>1</v>
      </c>
      <c r="M314">
        <v>1</v>
      </c>
      <c r="N314" t="str">
        <f>TEXT(DDLI_DME[[#This Row],[MUL]],"######/######")</f>
        <v>1/1</v>
      </c>
      <c r="O314">
        <v>0</v>
      </c>
      <c r="Q314">
        <f>HEX2DEC(DDLI_DME[[#This Row],[Hex]])</f>
        <v>0</v>
      </c>
      <c r="R314">
        <f>DDLI_DME[[#This Row],[ADD]]+DDLI_DME[[#This Row],[Dec]]*DDLI_DME[[#This Row],[MUL]]/DDLI_DME[[#This Row],[DIV]]</f>
        <v>0</v>
      </c>
    </row>
    <row r="315" spans="1:18" hidden="1" x14ac:dyDescent="0.25">
      <c r="A315" s="2" t="s">
        <v>1920</v>
      </c>
      <c r="B315" s="2" t="s">
        <v>1921</v>
      </c>
      <c r="C315" s="2" t="s">
        <v>1922</v>
      </c>
      <c r="D315" s="2" t="s">
        <v>1923</v>
      </c>
      <c r="E315" s="2"/>
      <c r="F315" s="2" t="s">
        <v>668</v>
      </c>
      <c r="G315" s="2" t="s">
        <v>1029</v>
      </c>
      <c r="H315" s="2" t="s">
        <v>460</v>
      </c>
      <c r="I315" s="2" t="s">
        <v>467</v>
      </c>
      <c r="J315" s="2" cm="1">
        <f t="array" ref="J315">_xlfn.IFS(DDLI_DME[[#This Row],[DATENTYP]]="unsigned integer",2,DDLI_DME[[#This Row],[DATENTYP]]="unsigned char",1,DDLI_DME[[#This Row],[DATENTYP]]="signed integer",2)</f>
        <v>2</v>
      </c>
      <c r="K315" s="2" t="s">
        <v>460</v>
      </c>
      <c r="L315">
        <v>3.0517578125E-3</v>
      </c>
      <c r="M315">
        <v>1</v>
      </c>
      <c r="N315" t="str">
        <f>TEXT(DDLI_DME[[#This Row],[MUL]],"######/######")</f>
        <v>25/8192</v>
      </c>
      <c r="O315">
        <v>0</v>
      </c>
      <c r="Q315">
        <f>HEX2DEC(DDLI_DME[[#This Row],[Hex]])</f>
        <v>0</v>
      </c>
      <c r="R315">
        <f>DDLI_DME[[#This Row],[ADD]]+DDLI_DME[[#This Row],[Dec]]*DDLI_DME[[#This Row],[MUL]]/DDLI_DME[[#This Row],[DIV]]</f>
        <v>0</v>
      </c>
    </row>
    <row r="316" spans="1:18" hidden="1" x14ac:dyDescent="0.25">
      <c r="A316" s="2" t="s">
        <v>1924</v>
      </c>
      <c r="B316" s="2" t="s">
        <v>1925</v>
      </c>
      <c r="C316" s="2" t="s">
        <v>1926</v>
      </c>
      <c r="D316" s="2" t="s">
        <v>1927</v>
      </c>
      <c r="E316" s="2"/>
      <c r="F316" s="2" t="s">
        <v>460</v>
      </c>
      <c r="G316" s="2" t="s">
        <v>1034</v>
      </c>
      <c r="H316" s="2" t="s">
        <v>460</v>
      </c>
      <c r="I316" s="2" t="s">
        <v>461</v>
      </c>
      <c r="J316" s="2" cm="1">
        <f t="array" ref="J316">_xlfn.IFS(DDLI_DME[[#This Row],[DATENTYP]]="unsigned integer",2,DDLI_DME[[#This Row],[DATENTYP]]="unsigned char",1,DDLI_DME[[#This Row],[DATENTYP]]="signed integer",2)</f>
        <v>1</v>
      </c>
      <c r="K316" s="2" t="s">
        <v>460</v>
      </c>
      <c r="L316">
        <v>9.9999997764825821E-3</v>
      </c>
      <c r="M316">
        <v>1</v>
      </c>
      <c r="N316" t="str">
        <f>TEXT(DDLI_DME[[#This Row],[MUL]],"######/######")</f>
        <v>1/100</v>
      </c>
      <c r="O316">
        <v>0</v>
      </c>
      <c r="Q316">
        <f>HEX2DEC(DDLI_DME[[#This Row],[Hex]])</f>
        <v>0</v>
      </c>
      <c r="R316">
        <f>DDLI_DME[[#This Row],[ADD]]+DDLI_DME[[#This Row],[Dec]]*DDLI_DME[[#This Row],[MUL]]/DDLI_DME[[#This Row],[DIV]]</f>
        <v>0</v>
      </c>
    </row>
    <row r="317" spans="1:18" hidden="1" x14ac:dyDescent="0.25">
      <c r="A317" s="2" t="s">
        <v>1928</v>
      </c>
      <c r="B317" s="2" t="s">
        <v>1929</v>
      </c>
      <c r="C317" s="2" t="s">
        <v>1930</v>
      </c>
      <c r="D317" s="2" t="s">
        <v>1931</v>
      </c>
      <c r="E317" s="2"/>
      <c r="F317" s="2" t="s">
        <v>460</v>
      </c>
      <c r="G317" s="2" t="s">
        <v>1932</v>
      </c>
      <c r="H317" s="2" t="s">
        <v>460</v>
      </c>
      <c r="I317" s="2" t="s">
        <v>461</v>
      </c>
      <c r="J317" s="2" cm="1">
        <f t="array" ref="J317">_xlfn.IFS(DDLI_DME[[#This Row],[DATENTYP]]="unsigned integer",2,DDLI_DME[[#This Row],[DATENTYP]]="unsigned char",1,DDLI_DME[[#This Row],[DATENTYP]]="signed integer",2)</f>
        <v>1</v>
      </c>
      <c r="K317" s="2" t="s">
        <v>460</v>
      </c>
      <c r="L317">
        <v>1</v>
      </c>
      <c r="M317">
        <v>1</v>
      </c>
      <c r="N317" t="str">
        <f>TEXT(DDLI_DME[[#This Row],[MUL]],"######/######")</f>
        <v>1/1</v>
      </c>
      <c r="O317">
        <v>0</v>
      </c>
      <c r="Q317">
        <f>HEX2DEC(DDLI_DME[[#This Row],[Hex]])</f>
        <v>0</v>
      </c>
      <c r="R317">
        <f>DDLI_DME[[#This Row],[ADD]]+DDLI_DME[[#This Row],[Dec]]*DDLI_DME[[#This Row],[MUL]]/DDLI_DME[[#This Row],[DIV]]</f>
        <v>0</v>
      </c>
    </row>
    <row r="318" spans="1:18" hidden="1" x14ac:dyDescent="0.25">
      <c r="A318" s="2" t="s">
        <v>1933</v>
      </c>
      <c r="B318" s="2" t="s">
        <v>1934</v>
      </c>
      <c r="C318" s="2" t="s">
        <v>1935</v>
      </c>
      <c r="D318" s="2" t="s">
        <v>1936</v>
      </c>
      <c r="E318" s="2"/>
      <c r="F318" s="2" t="s">
        <v>460</v>
      </c>
      <c r="G318" s="2" t="s">
        <v>1937</v>
      </c>
      <c r="H318" s="2" t="s">
        <v>460</v>
      </c>
      <c r="I318" s="2" t="s">
        <v>461</v>
      </c>
      <c r="J318" s="2" cm="1">
        <f t="array" ref="J318">_xlfn.IFS(DDLI_DME[[#This Row],[DATENTYP]]="unsigned integer",2,DDLI_DME[[#This Row],[DATENTYP]]="unsigned char",1,DDLI_DME[[#This Row],[DATENTYP]]="signed integer",2)</f>
        <v>1</v>
      </c>
      <c r="K318" s="2" t="s">
        <v>460</v>
      </c>
      <c r="L318">
        <v>1</v>
      </c>
      <c r="M318">
        <v>1</v>
      </c>
      <c r="N318" t="str">
        <f>TEXT(DDLI_DME[[#This Row],[MUL]],"######/######")</f>
        <v>1/1</v>
      </c>
      <c r="O318">
        <v>0</v>
      </c>
      <c r="Q318">
        <f>HEX2DEC(DDLI_DME[[#This Row],[Hex]])</f>
        <v>0</v>
      </c>
      <c r="R318">
        <f>DDLI_DME[[#This Row],[ADD]]+DDLI_DME[[#This Row],[Dec]]*DDLI_DME[[#This Row],[MUL]]/DDLI_DME[[#This Row],[DIV]]</f>
        <v>0</v>
      </c>
    </row>
    <row r="319" spans="1:18" hidden="1" x14ac:dyDescent="0.25">
      <c r="A319" s="2" t="s">
        <v>1938</v>
      </c>
      <c r="B319" s="2" t="s">
        <v>1939</v>
      </c>
      <c r="C319" s="2" t="s">
        <v>1940</v>
      </c>
      <c r="D319" s="2" t="s">
        <v>1941</v>
      </c>
      <c r="E319" s="2"/>
      <c r="F319" s="2" t="s">
        <v>460</v>
      </c>
      <c r="G319" s="2" t="s">
        <v>1942</v>
      </c>
      <c r="H319" s="2" t="s">
        <v>460</v>
      </c>
      <c r="I319" s="2" t="s">
        <v>461</v>
      </c>
      <c r="J319" s="2" cm="1">
        <f t="array" ref="J319">_xlfn.IFS(DDLI_DME[[#This Row],[DATENTYP]]="unsigned integer",2,DDLI_DME[[#This Row],[DATENTYP]]="unsigned char",1,DDLI_DME[[#This Row],[DATENTYP]]="signed integer",2)</f>
        <v>1</v>
      </c>
      <c r="K319" s="2" t="s">
        <v>460</v>
      </c>
      <c r="L319">
        <v>1</v>
      </c>
      <c r="M319">
        <v>1</v>
      </c>
      <c r="N319" t="str">
        <f>TEXT(DDLI_DME[[#This Row],[MUL]],"######/######")</f>
        <v>1/1</v>
      </c>
      <c r="O319">
        <v>0</v>
      </c>
      <c r="Q319">
        <f>HEX2DEC(DDLI_DME[[#This Row],[Hex]])</f>
        <v>0</v>
      </c>
      <c r="R319">
        <f>DDLI_DME[[#This Row],[ADD]]+DDLI_DME[[#This Row],[Dec]]*DDLI_DME[[#This Row],[MUL]]/DDLI_DME[[#This Row],[DIV]]</f>
        <v>0</v>
      </c>
    </row>
    <row r="320" spans="1:18" hidden="1" x14ac:dyDescent="0.25">
      <c r="A320" s="2" t="s">
        <v>1943</v>
      </c>
      <c r="B320" s="2" t="s">
        <v>1944</v>
      </c>
      <c r="C320" s="2" t="s">
        <v>1945</v>
      </c>
      <c r="D320" s="2" t="s">
        <v>1946</v>
      </c>
      <c r="E320" s="2"/>
      <c r="F320" s="2" t="s">
        <v>460</v>
      </c>
      <c r="G320" s="2" t="s">
        <v>1947</v>
      </c>
      <c r="H320" s="2" t="s">
        <v>460</v>
      </c>
      <c r="I320" s="2" t="s">
        <v>461</v>
      </c>
      <c r="J320" s="2" cm="1">
        <f t="array" ref="J320">_xlfn.IFS(DDLI_DME[[#This Row],[DATENTYP]]="unsigned integer",2,DDLI_DME[[#This Row],[DATENTYP]]="unsigned char",1,DDLI_DME[[#This Row],[DATENTYP]]="signed integer",2)</f>
        <v>1</v>
      </c>
      <c r="K320" s="2" t="s">
        <v>460</v>
      </c>
      <c r="L320">
        <v>1</v>
      </c>
      <c r="M320">
        <v>1</v>
      </c>
      <c r="N320" t="str">
        <f>TEXT(DDLI_DME[[#This Row],[MUL]],"######/######")</f>
        <v>1/1</v>
      </c>
      <c r="O320">
        <v>0</v>
      </c>
      <c r="Q320">
        <f>HEX2DEC(DDLI_DME[[#This Row],[Hex]])</f>
        <v>0</v>
      </c>
      <c r="R320">
        <f>DDLI_DME[[#This Row],[ADD]]+DDLI_DME[[#This Row],[Dec]]*DDLI_DME[[#This Row],[MUL]]/DDLI_DME[[#This Row],[DIV]]</f>
        <v>0</v>
      </c>
    </row>
    <row r="321" spans="1:18" hidden="1" x14ac:dyDescent="0.25">
      <c r="A321" s="2" t="s">
        <v>1948</v>
      </c>
      <c r="B321" s="2" t="s">
        <v>1949</v>
      </c>
      <c r="C321" s="2" t="s">
        <v>1950</v>
      </c>
      <c r="D321" s="2" t="s">
        <v>1951</v>
      </c>
      <c r="E321" s="2"/>
      <c r="F321" s="2" t="s">
        <v>460</v>
      </c>
      <c r="G321" s="2" t="s">
        <v>1952</v>
      </c>
      <c r="H321" s="2" t="s">
        <v>460</v>
      </c>
      <c r="I321" s="2" t="s">
        <v>461</v>
      </c>
      <c r="J321" s="2" cm="1">
        <f t="array" ref="J321">_xlfn.IFS(DDLI_DME[[#This Row],[DATENTYP]]="unsigned integer",2,DDLI_DME[[#This Row],[DATENTYP]]="unsigned char",1,DDLI_DME[[#This Row],[DATENTYP]]="signed integer",2)</f>
        <v>1</v>
      </c>
      <c r="K321" s="2" t="s">
        <v>460</v>
      </c>
      <c r="L321">
        <v>1</v>
      </c>
      <c r="M321">
        <v>1</v>
      </c>
      <c r="N321" t="str">
        <f>TEXT(DDLI_DME[[#This Row],[MUL]],"######/######")</f>
        <v>1/1</v>
      </c>
      <c r="O321">
        <v>0</v>
      </c>
      <c r="Q321">
        <f>HEX2DEC(DDLI_DME[[#This Row],[Hex]])</f>
        <v>0</v>
      </c>
      <c r="R321">
        <f>DDLI_DME[[#This Row],[ADD]]+DDLI_DME[[#This Row],[Dec]]*DDLI_DME[[#This Row],[MUL]]/DDLI_DME[[#This Row],[DIV]]</f>
        <v>0</v>
      </c>
    </row>
    <row r="322" spans="1:18" hidden="1" x14ac:dyDescent="0.25">
      <c r="A322" s="2" t="s">
        <v>1953</v>
      </c>
      <c r="B322" s="2" t="s">
        <v>1954</v>
      </c>
      <c r="C322" s="2" t="s">
        <v>1955</v>
      </c>
      <c r="D322" s="2" t="s">
        <v>1956</v>
      </c>
      <c r="E322" s="2"/>
      <c r="F322" s="2" t="s">
        <v>460</v>
      </c>
      <c r="G322" s="2" t="s">
        <v>1957</v>
      </c>
      <c r="H322" s="2" t="s">
        <v>460</v>
      </c>
      <c r="I322" s="2" t="s">
        <v>461</v>
      </c>
      <c r="J322" s="2" cm="1">
        <f t="array" ref="J322">_xlfn.IFS(DDLI_DME[[#This Row],[DATENTYP]]="unsigned integer",2,DDLI_DME[[#This Row],[DATENTYP]]="unsigned char",1,DDLI_DME[[#This Row],[DATENTYP]]="signed integer",2)</f>
        <v>1</v>
      </c>
      <c r="K322" s="2" t="s">
        <v>460</v>
      </c>
      <c r="L322">
        <v>1</v>
      </c>
      <c r="M322">
        <v>1</v>
      </c>
      <c r="N322" t="str">
        <f>TEXT(DDLI_DME[[#This Row],[MUL]],"######/######")</f>
        <v>1/1</v>
      </c>
      <c r="O322">
        <v>0</v>
      </c>
      <c r="Q322">
        <f>HEX2DEC(DDLI_DME[[#This Row],[Hex]])</f>
        <v>0</v>
      </c>
      <c r="R322">
        <f>DDLI_DME[[#This Row],[ADD]]+DDLI_DME[[#This Row],[Dec]]*DDLI_DME[[#This Row],[MUL]]/DDLI_DME[[#This Row],[DIV]]</f>
        <v>0</v>
      </c>
    </row>
    <row r="323" spans="1:18" hidden="1" x14ac:dyDescent="0.25">
      <c r="A323" s="2" t="s">
        <v>1958</v>
      </c>
      <c r="B323" s="2" t="s">
        <v>1959</v>
      </c>
      <c r="C323" s="2" t="s">
        <v>1960</v>
      </c>
      <c r="D323" s="2" t="s">
        <v>1961</v>
      </c>
      <c r="E323" s="2"/>
      <c r="F323" s="2" t="s">
        <v>460</v>
      </c>
      <c r="G323" s="2" t="s">
        <v>1962</v>
      </c>
      <c r="H323" s="2" t="s">
        <v>460</v>
      </c>
      <c r="I323" s="2" t="s">
        <v>461</v>
      </c>
      <c r="J323" s="2" cm="1">
        <f t="array" ref="J323">_xlfn.IFS(DDLI_DME[[#This Row],[DATENTYP]]="unsigned integer",2,DDLI_DME[[#This Row],[DATENTYP]]="unsigned char",1,DDLI_DME[[#This Row],[DATENTYP]]="signed integer",2)</f>
        <v>1</v>
      </c>
      <c r="K323" s="2" t="s">
        <v>460</v>
      </c>
      <c r="L323">
        <v>1</v>
      </c>
      <c r="M323">
        <v>1</v>
      </c>
      <c r="N323" t="str">
        <f>TEXT(DDLI_DME[[#This Row],[MUL]],"######/######")</f>
        <v>1/1</v>
      </c>
      <c r="O323">
        <v>0</v>
      </c>
      <c r="Q323">
        <f>HEX2DEC(DDLI_DME[[#This Row],[Hex]])</f>
        <v>0</v>
      </c>
      <c r="R323">
        <f>DDLI_DME[[#This Row],[ADD]]+DDLI_DME[[#This Row],[Dec]]*DDLI_DME[[#This Row],[MUL]]/DDLI_DME[[#This Row],[DIV]]</f>
        <v>0</v>
      </c>
    </row>
    <row r="324" spans="1:18" hidden="1" x14ac:dyDescent="0.25">
      <c r="A324" s="2" t="s">
        <v>1963</v>
      </c>
      <c r="B324" s="2" t="s">
        <v>1964</v>
      </c>
      <c r="C324" s="2" t="s">
        <v>1965</v>
      </c>
      <c r="D324" s="2" t="s">
        <v>1966</v>
      </c>
      <c r="E324" s="2"/>
      <c r="F324" s="2" t="s">
        <v>460</v>
      </c>
      <c r="G324" s="2" t="s">
        <v>1967</v>
      </c>
      <c r="H324" s="2" t="s">
        <v>460</v>
      </c>
      <c r="I324" s="2" t="s">
        <v>461</v>
      </c>
      <c r="J324" s="2" cm="1">
        <f t="array" ref="J324">_xlfn.IFS(DDLI_DME[[#This Row],[DATENTYP]]="unsigned integer",2,DDLI_DME[[#This Row],[DATENTYP]]="unsigned char",1,DDLI_DME[[#This Row],[DATENTYP]]="signed integer",2)</f>
        <v>1</v>
      </c>
      <c r="K324" s="2" t="s">
        <v>460</v>
      </c>
      <c r="L324">
        <v>1</v>
      </c>
      <c r="M324">
        <v>1</v>
      </c>
      <c r="N324" t="str">
        <f>TEXT(DDLI_DME[[#This Row],[MUL]],"######/######")</f>
        <v>1/1</v>
      </c>
      <c r="O324">
        <v>0</v>
      </c>
      <c r="Q324">
        <f>HEX2DEC(DDLI_DME[[#This Row],[Hex]])</f>
        <v>0</v>
      </c>
      <c r="R324">
        <f>DDLI_DME[[#This Row],[ADD]]+DDLI_DME[[#This Row],[Dec]]*DDLI_DME[[#This Row],[MUL]]/DDLI_DME[[#This Row],[DIV]]</f>
        <v>0</v>
      </c>
    </row>
    <row r="325" spans="1:18" hidden="1" x14ac:dyDescent="0.25">
      <c r="A325" s="2" t="s">
        <v>1968</v>
      </c>
      <c r="B325" s="2" t="s">
        <v>1969</v>
      </c>
      <c r="C325" s="2" t="s">
        <v>1970</v>
      </c>
      <c r="D325" s="2" t="s">
        <v>1971</v>
      </c>
      <c r="E325" s="2"/>
      <c r="F325" s="2" t="s">
        <v>668</v>
      </c>
      <c r="G325" s="2" t="s">
        <v>1972</v>
      </c>
      <c r="H325" s="2" t="s">
        <v>460</v>
      </c>
      <c r="I325" s="2" t="s">
        <v>940</v>
      </c>
      <c r="J325" s="2" t="e" cm="1">
        <f t="array" ref="J325">_xlfn.IFS(DDLI_DME[[#This Row],[DATENTYP]]="unsigned integer",2,DDLI_DME[[#This Row],[DATENTYP]]="unsigned char",1,DDLI_DME[[#This Row],[DATENTYP]]="signed integer",2)</f>
        <v>#N/A</v>
      </c>
      <c r="K325" s="2" t="s">
        <v>460</v>
      </c>
      <c r="L325">
        <v>1.0000000474974513E-3</v>
      </c>
      <c r="M325">
        <v>1</v>
      </c>
      <c r="N325" t="str">
        <f>TEXT(DDLI_DME[[#This Row],[MUL]],"######/######")</f>
        <v>1/1000</v>
      </c>
      <c r="O325">
        <v>0</v>
      </c>
      <c r="Q325">
        <f>HEX2DEC(DDLI_DME[[#This Row],[Hex]])</f>
        <v>0</v>
      </c>
      <c r="R325">
        <f>DDLI_DME[[#This Row],[ADD]]+DDLI_DME[[#This Row],[Dec]]*DDLI_DME[[#This Row],[MUL]]/DDLI_DME[[#This Row],[DIV]]</f>
        <v>0</v>
      </c>
    </row>
    <row r="326" spans="1:18" hidden="1" x14ac:dyDescent="0.25">
      <c r="A326" s="2" t="s">
        <v>1973</v>
      </c>
      <c r="B326" s="2" t="s">
        <v>1974</v>
      </c>
      <c r="C326" s="2" t="s">
        <v>1975</v>
      </c>
      <c r="D326" s="2" t="s">
        <v>1976</v>
      </c>
      <c r="E326" s="2"/>
      <c r="F326" s="2" t="s">
        <v>460</v>
      </c>
      <c r="G326" s="2" t="s">
        <v>1977</v>
      </c>
      <c r="H326" s="2" t="s">
        <v>460</v>
      </c>
      <c r="I326" s="2" t="s">
        <v>461</v>
      </c>
      <c r="J326" s="2" cm="1">
        <f t="array" ref="J326">_xlfn.IFS(DDLI_DME[[#This Row],[DATENTYP]]="unsigned integer",2,DDLI_DME[[#This Row],[DATENTYP]]="unsigned char",1,DDLI_DME[[#This Row],[DATENTYP]]="signed integer",2)</f>
        <v>1</v>
      </c>
      <c r="K326" s="2" t="s">
        <v>460</v>
      </c>
      <c r="L326">
        <v>1</v>
      </c>
      <c r="M326">
        <v>1</v>
      </c>
      <c r="N326" t="str">
        <f>TEXT(DDLI_DME[[#This Row],[MUL]],"######/######")</f>
        <v>1/1</v>
      </c>
      <c r="O326">
        <v>0</v>
      </c>
      <c r="Q326">
        <f>HEX2DEC(DDLI_DME[[#This Row],[Hex]])</f>
        <v>0</v>
      </c>
      <c r="R326">
        <f>DDLI_DME[[#This Row],[ADD]]+DDLI_DME[[#This Row],[Dec]]*DDLI_DME[[#This Row],[MUL]]/DDLI_DME[[#This Row],[DIV]]</f>
        <v>0</v>
      </c>
    </row>
    <row r="327" spans="1:18" hidden="1" x14ac:dyDescent="0.25">
      <c r="A327" s="2" t="s">
        <v>1978</v>
      </c>
      <c r="B327" s="2" t="s">
        <v>1979</v>
      </c>
      <c r="C327" s="2" t="s">
        <v>1980</v>
      </c>
      <c r="D327" s="2" t="s">
        <v>1981</v>
      </c>
      <c r="E327" s="2"/>
      <c r="F327" s="2" t="s">
        <v>460</v>
      </c>
      <c r="G327" s="2" t="s">
        <v>1982</v>
      </c>
      <c r="H327" s="2" t="s">
        <v>460</v>
      </c>
      <c r="I327" s="2" t="s">
        <v>531</v>
      </c>
      <c r="J327" s="2" cm="1">
        <f t="array" ref="J327">_xlfn.IFS(DDLI_DME[[#This Row],[DATENTYP]]="unsigned integer",2,DDLI_DME[[#This Row],[DATENTYP]]="unsigned char",1,DDLI_DME[[#This Row],[DATENTYP]]="signed integer",2)</f>
        <v>2</v>
      </c>
      <c r="K327" s="2" t="s">
        <v>460</v>
      </c>
      <c r="L327">
        <v>0.10000000149011612</v>
      </c>
      <c r="M327">
        <v>1</v>
      </c>
      <c r="N327" t="str">
        <f>TEXT(DDLI_DME[[#This Row],[MUL]],"######/######")</f>
        <v>1/10</v>
      </c>
      <c r="O327">
        <v>0</v>
      </c>
      <c r="Q327">
        <f>HEX2DEC(DDLI_DME[[#This Row],[Hex]])</f>
        <v>0</v>
      </c>
      <c r="R327">
        <f>DDLI_DME[[#This Row],[ADD]]+DDLI_DME[[#This Row],[Dec]]*DDLI_DME[[#This Row],[MUL]]/DDLI_DME[[#This Row],[DIV]]</f>
        <v>0</v>
      </c>
    </row>
    <row r="328" spans="1:18" hidden="1" x14ac:dyDescent="0.25">
      <c r="A328" s="2" t="s">
        <v>1983</v>
      </c>
      <c r="B328" s="2" t="s">
        <v>1984</v>
      </c>
      <c r="C328" s="2" t="s">
        <v>1985</v>
      </c>
      <c r="D328" s="2" t="s">
        <v>1986</v>
      </c>
      <c r="E328" s="2"/>
      <c r="F328" s="2" t="s">
        <v>668</v>
      </c>
      <c r="G328" s="2" t="s">
        <v>1987</v>
      </c>
      <c r="H328" s="2" t="s">
        <v>460</v>
      </c>
      <c r="I328" s="2" t="s">
        <v>467</v>
      </c>
      <c r="J328" s="2" cm="1">
        <f t="array" ref="J328">_xlfn.IFS(DDLI_DME[[#This Row],[DATENTYP]]="unsigned integer",2,DDLI_DME[[#This Row],[DATENTYP]]="unsigned char",1,DDLI_DME[[#This Row],[DATENTYP]]="signed integer",2)</f>
        <v>2</v>
      </c>
      <c r="K328" s="2" t="s">
        <v>460</v>
      </c>
      <c r="L328">
        <v>1.52587890625E-3</v>
      </c>
      <c r="M328">
        <v>1</v>
      </c>
      <c r="N328" t="str">
        <f>TEXT(DDLI_DME[[#This Row],[MUL]],"######/######")</f>
        <v>25/16384</v>
      </c>
      <c r="O328">
        <v>0</v>
      </c>
      <c r="Q328">
        <f>HEX2DEC(DDLI_DME[[#This Row],[Hex]])</f>
        <v>0</v>
      </c>
      <c r="R328">
        <f>DDLI_DME[[#This Row],[ADD]]+DDLI_DME[[#This Row],[Dec]]*DDLI_DME[[#This Row],[MUL]]/DDLI_DME[[#This Row],[DIV]]</f>
        <v>0</v>
      </c>
    </row>
    <row r="329" spans="1:18" hidden="1" x14ac:dyDescent="0.25">
      <c r="A329" s="2" t="s">
        <v>1988</v>
      </c>
      <c r="B329" s="2" t="s">
        <v>1989</v>
      </c>
      <c r="C329" s="2" t="s">
        <v>1990</v>
      </c>
      <c r="D329" s="2" t="s">
        <v>1991</v>
      </c>
      <c r="E329" s="2"/>
      <c r="F329" s="2" t="s">
        <v>668</v>
      </c>
      <c r="G329" s="2" t="s">
        <v>1992</v>
      </c>
      <c r="H329" s="2" t="s">
        <v>460</v>
      </c>
      <c r="I329" s="2" t="s">
        <v>467</v>
      </c>
      <c r="J329" s="2" cm="1">
        <f t="array" ref="J329">_xlfn.IFS(DDLI_DME[[#This Row],[DATENTYP]]="unsigned integer",2,DDLI_DME[[#This Row],[DATENTYP]]="unsigned char",1,DDLI_DME[[#This Row],[DATENTYP]]="signed integer",2)</f>
        <v>2</v>
      </c>
      <c r="K329" s="2" t="s">
        <v>460</v>
      </c>
      <c r="L329">
        <v>1.52587890625E-3</v>
      </c>
      <c r="M329">
        <v>1</v>
      </c>
      <c r="N329" t="str">
        <f>TEXT(DDLI_DME[[#This Row],[MUL]],"######/######")</f>
        <v>25/16384</v>
      </c>
      <c r="O329">
        <v>0</v>
      </c>
      <c r="Q329">
        <f>HEX2DEC(DDLI_DME[[#This Row],[Hex]])</f>
        <v>0</v>
      </c>
      <c r="R329">
        <f>DDLI_DME[[#This Row],[ADD]]+DDLI_DME[[#This Row],[Dec]]*DDLI_DME[[#This Row],[MUL]]/DDLI_DME[[#This Row],[DIV]]</f>
        <v>0</v>
      </c>
    </row>
    <row r="330" spans="1:18" hidden="1" x14ac:dyDescent="0.25">
      <c r="A330" s="2" t="s">
        <v>1993</v>
      </c>
      <c r="B330" s="2" t="s">
        <v>1994</v>
      </c>
      <c r="C330" s="2" t="s">
        <v>1995</v>
      </c>
      <c r="D330" s="2" t="s">
        <v>1996</v>
      </c>
      <c r="E330" s="2"/>
      <c r="F330" s="2" t="s">
        <v>668</v>
      </c>
      <c r="G330" s="2" t="s">
        <v>1997</v>
      </c>
      <c r="H330" s="2" t="s">
        <v>460</v>
      </c>
      <c r="I330" s="2" t="s">
        <v>467</v>
      </c>
      <c r="J330" s="2" cm="1">
        <f t="array" ref="J330">_xlfn.IFS(DDLI_DME[[#This Row],[DATENTYP]]="unsigned integer",2,DDLI_DME[[#This Row],[DATENTYP]]="unsigned char",1,DDLI_DME[[#This Row],[DATENTYP]]="signed integer",2)</f>
        <v>2</v>
      </c>
      <c r="K330" s="2" t="s">
        <v>460</v>
      </c>
      <c r="L330">
        <v>1.52587890625E-3</v>
      </c>
      <c r="M330">
        <v>1</v>
      </c>
      <c r="N330" t="str">
        <f>TEXT(DDLI_DME[[#This Row],[MUL]],"######/######")</f>
        <v>25/16384</v>
      </c>
      <c r="O330">
        <v>0</v>
      </c>
      <c r="Q330">
        <f>HEX2DEC(DDLI_DME[[#This Row],[Hex]])</f>
        <v>0</v>
      </c>
      <c r="R330">
        <f>DDLI_DME[[#This Row],[ADD]]+DDLI_DME[[#This Row],[Dec]]*DDLI_DME[[#This Row],[MUL]]/DDLI_DME[[#This Row],[DIV]]</f>
        <v>0</v>
      </c>
    </row>
    <row r="331" spans="1:18" hidden="1" x14ac:dyDescent="0.25">
      <c r="A331" s="2" t="s">
        <v>1998</v>
      </c>
      <c r="B331" s="2" t="s">
        <v>1999</v>
      </c>
      <c r="C331" s="2" t="s">
        <v>2000</v>
      </c>
      <c r="D331" s="2" t="s">
        <v>2001</v>
      </c>
      <c r="E331" s="2"/>
      <c r="F331" s="2" t="s">
        <v>460</v>
      </c>
      <c r="G331" s="2" t="s">
        <v>915</v>
      </c>
      <c r="H331" s="2" t="s">
        <v>460</v>
      </c>
      <c r="I331" s="2" t="s">
        <v>467</v>
      </c>
      <c r="J331" s="2" cm="1">
        <f t="array" ref="J331">_xlfn.IFS(DDLI_DME[[#This Row],[DATENTYP]]="unsigned integer",2,DDLI_DME[[#This Row],[DATENTYP]]="unsigned char",1,DDLI_DME[[#This Row],[DATENTYP]]="signed integer",2)</f>
        <v>2</v>
      </c>
      <c r="K331" s="2" t="s">
        <v>460</v>
      </c>
      <c r="L331">
        <v>3.0517578125E-5</v>
      </c>
      <c r="M331">
        <v>1</v>
      </c>
      <c r="N331" t="str">
        <f>TEXT(DDLI_DME[[#This Row],[MUL]],"######/######")</f>
        <v>1/32768</v>
      </c>
      <c r="O331">
        <v>0</v>
      </c>
      <c r="Q331">
        <f>HEX2DEC(DDLI_DME[[#This Row],[Hex]])</f>
        <v>0</v>
      </c>
      <c r="R331">
        <f>DDLI_DME[[#This Row],[ADD]]+DDLI_DME[[#This Row],[Dec]]*DDLI_DME[[#This Row],[MUL]]/DDLI_DME[[#This Row],[DIV]]</f>
        <v>0</v>
      </c>
    </row>
    <row r="332" spans="1:18" hidden="1" x14ac:dyDescent="0.25">
      <c r="A332" s="2" t="s">
        <v>2002</v>
      </c>
      <c r="B332" s="2" t="s">
        <v>2003</v>
      </c>
      <c r="C332" s="2" t="s">
        <v>2004</v>
      </c>
      <c r="D332" s="2" t="s">
        <v>2005</v>
      </c>
      <c r="E332" s="2"/>
      <c r="F332" s="2" t="s">
        <v>460</v>
      </c>
      <c r="G332" s="2" t="s">
        <v>2006</v>
      </c>
      <c r="H332" s="2" t="s">
        <v>460</v>
      </c>
      <c r="I332" s="2" t="s">
        <v>467</v>
      </c>
      <c r="J332" s="2" cm="1">
        <f t="array" ref="J332">_xlfn.IFS(DDLI_DME[[#This Row],[DATENTYP]]="unsigned integer",2,DDLI_DME[[#This Row],[DATENTYP]]="unsigned char",1,DDLI_DME[[#This Row],[DATENTYP]]="signed integer",2)</f>
        <v>2</v>
      </c>
      <c r="K332" s="2" t="s">
        <v>460</v>
      </c>
      <c r="L332">
        <v>3.0517578125E-5</v>
      </c>
      <c r="M332">
        <v>1</v>
      </c>
      <c r="N332" t="str">
        <f>TEXT(DDLI_DME[[#This Row],[MUL]],"######/######")</f>
        <v>1/32768</v>
      </c>
      <c r="O332">
        <v>0</v>
      </c>
      <c r="Q332">
        <f>HEX2DEC(DDLI_DME[[#This Row],[Hex]])</f>
        <v>0</v>
      </c>
      <c r="R332">
        <f>DDLI_DME[[#This Row],[ADD]]+DDLI_DME[[#This Row],[Dec]]*DDLI_DME[[#This Row],[MUL]]/DDLI_DME[[#This Row],[DIV]]</f>
        <v>0</v>
      </c>
    </row>
    <row r="333" spans="1:18" hidden="1" x14ac:dyDescent="0.25">
      <c r="A333" s="2" t="s">
        <v>2007</v>
      </c>
      <c r="B333" s="2" t="s">
        <v>2008</v>
      </c>
      <c r="C333" s="2" t="s">
        <v>2009</v>
      </c>
      <c r="D333" s="2" t="s">
        <v>2010</v>
      </c>
      <c r="E333" s="2"/>
      <c r="F333" s="2" t="s">
        <v>460</v>
      </c>
      <c r="G333" s="2" t="s">
        <v>2011</v>
      </c>
      <c r="H333" s="2" t="s">
        <v>460</v>
      </c>
      <c r="I333" s="2" t="s">
        <v>531</v>
      </c>
      <c r="J333" s="2" cm="1">
        <f t="array" ref="J333">_xlfn.IFS(DDLI_DME[[#This Row],[DATENTYP]]="unsigned integer",2,DDLI_DME[[#This Row],[DATENTYP]]="unsigned char",1,DDLI_DME[[#This Row],[DATENTYP]]="signed integer",2)</f>
        <v>2</v>
      </c>
      <c r="K333" s="2" t="s">
        <v>460</v>
      </c>
      <c r="L333">
        <v>3.0517578125E-5</v>
      </c>
      <c r="M333">
        <v>1</v>
      </c>
      <c r="N333" t="str">
        <f>TEXT(DDLI_DME[[#This Row],[MUL]],"######/######")</f>
        <v>1/32768</v>
      </c>
      <c r="O333">
        <v>0</v>
      </c>
      <c r="Q333">
        <f>HEX2DEC(DDLI_DME[[#This Row],[Hex]])</f>
        <v>0</v>
      </c>
      <c r="R333">
        <f>DDLI_DME[[#This Row],[ADD]]+DDLI_DME[[#This Row],[Dec]]*DDLI_DME[[#This Row],[MUL]]/DDLI_DME[[#This Row],[DIV]]</f>
        <v>0</v>
      </c>
    </row>
    <row r="334" spans="1:18" hidden="1" x14ac:dyDescent="0.25">
      <c r="A334" s="2" t="s">
        <v>2012</v>
      </c>
      <c r="B334" s="2" t="s">
        <v>2013</v>
      </c>
      <c r="C334" s="2" t="s">
        <v>2014</v>
      </c>
      <c r="D334" s="2" t="s">
        <v>2015</v>
      </c>
      <c r="E334" s="2"/>
      <c r="F334" s="2" t="s">
        <v>460</v>
      </c>
      <c r="G334" s="2" t="s">
        <v>2016</v>
      </c>
      <c r="H334" s="2" t="s">
        <v>460</v>
      </c>
      <c r="I334" s="2" t="s">
        <v>461</v>
      </c>
      <c r="J334" s="2" cm="1">
        <f t="array" ref="J334">_xlfn.IFS(DDLI_DME[[#This Row],[DATENTYP]]="unsigned integer",2,DDLI_DME[[#This Row],[DATENTYP]]="unsigned char",1,DDLI_DME[[#This Row],[DATENTYP]]="signed integer",2)</f>
        <v>1</v>
      </c>
      <c r="K334" s="2" t="s">
        <v>460</v>
      </c>
      <c r="L334">
        <v>3.90625E-3</v>
      </c>
      <c r="M334">
        <v>1</v>
      </c>
      <c r="N334" t="str">
        <f>TEXT(DDLI_DME[[#This Row],[MUL]],"######/######")</f>
        <v>1/256</v>
      </c>
      <c r="O334">
        <v>0</v>
      </c>
      <c r="Q334">
        <f>HEX2DEC(DDLI_DME[[#This Row],[Hex]])</f>
        <v>0</v>
      </c>
      <c r="R334">
        <f>DDLI_DME[[#This Row],[ADD]]+DDLI_DME[[#This Row],[Dec]]*DDLI_DME[[#This Row],[MUL]]/DDLI_DME[[#This Row],[DIV]]</f>
        <v>0</v>
      </c>
    </row>
    <row r="335" spans="1:18" hidden="1" x14ac:dyDescent="0.25">
      <c r="A335" s="2" t="s">
        <v>2017</v>
      </c>
      <c r="B335" s="2" t="s">
        <v>2018</v>
      </c>
      <c r="C335" s="2" t="s">
        <v>2019</v>
      </c>
      <c r="D335" s="2" t="s">
        <v>2020</v>
      </c>
      <c r="E335" s="2"/>
      <c r="F335" s="2" t="s">
        <v>460</v>
      </c>
      <c r="G335" s="2" t="s">
        <v>2021</v>
      </c>
      <c r="H335" s="2" t="s">
        <v>460</v>
      </c>
      <c r="I335" s="2" t="s">
        <v>461</v>
      </c>
      <c r="J335" s="2" cm="1">
        <f t="array" ref="J335">_xlfn.IFS(DDLI_DME[[#This Row],[DATENTYP]]="unsigned integer",2,DDLI_DME[[#This Row],[DATENTYP]]="unsigned char",1,DDLI_DME[[#This Row],[DATENTYP]]="signed integer",2)</f>
        <v>1</v>
      </c>
      <c r="K335" s="2" t="s">
        <v>460</v>
      </c>
      <c r="L335">
        <v>1</v>
      </c>
      <c r="M335">
        <v>1</v>
      </c>
      <c r="N335" t="str">
        <f>TEXT(DDLI_DME[[#This Row],[MUL]],"######/######")</f>
        <v>1/1</v>
      </c>
      <c r="O335">
        <v>0</v>
      </c>
      <c r="Q335">
        <f>HEX2DEC(DDLI_DME[[#This Row],[Hex]])</f>
        <v>0</v>
      </c>
      <c r="R335">
        <f>DDLI_DME[[#This Row],[ADD]]+DDLI_DME[[#This Row],[Dec]]*DDLI_DME[[#This Row],[MUL]]/DDLI_DME[[#This Row],[DIV]]</f>
        <v>0</v>
      </c>
    </row>
    <row r="336" spans="1:18" hidden="1" x14ac:dyDescent="0.25">
      <c r="A336" s="2" t="s">
        <v>2022</v>
      </c>
      <c r="B336" s="2" t="s">
        <v>2023</v>
      </c>
      <c r="C336" s="2" t="s">
        <v>999</v>
      </c>
      <c r="D336" s="2" t="s">
        <v>2024</v>
      </c>
      <c r="E336" s="2"/>
      <c r="F336" s="2" t="s">
        <v>529</v>
      </c>
      <c r="G336" s="2" t="s">
        <v>2025</v>
      </c>
      <c r="H336" s="2" t="s">
        <v>460</v>
      </c>
      <c r="I336" s="2" t="s">
        <v>531</v>
      </c>
      <c r="J336" s="2" cm="1">
        <f t="array" ref="J336">_xlfn.IFS(DDLI_DME[[#This Row],[DATENTYP]]="unsigned integer",2,DDLI_DME[[#This Row],[DATENTYP]]="unsigned char",1,DDLI_DME[[#This Row],[DATENTYP]]="signed integer",2)</f>
        <v>2</v>
      </c>
      <c r="K336" s="2" t="s">
        <v>460</v>
      </c>
      <c r="L336">
        <v>7.8125E-3</v>
      </c>
      <c r="M336">
        <v>1</v>
      </c>
      <c r="N336" t="str">
        <f>TEXT(DDLI_DME[[#This Row],[MUL]],"######/######")</f>
        <v>1/128</v>
      </c>
      <c r="O336">
        <v>0</v>
      </c>
      <c r="Q336">
        <f>HEX2DEC(DDLI_DME[[#This Row],[Hex]])</f>
        <v>0</v>
      </c>
      <c r="R336">
        <f>DDLI_DME[[#This Row],[ADD]]+DDLI_DME[[#This Row],[Dec]]*DDLI_DME[[#This Row],[MUL]]/DDLI_DME[[#This Row],[DIV]]</f>
        <v>0</v>
      </c>
    </row>
    <row r="337" spans="1:18" hidden="1" x14ac:dyDescent="0.25">
      <c r="A337" s="2" t="s">
        <v>2026</v>
      </c>
      <c r="B337" s="2" t="s">
        <v>2027</v>
      </c>
      <c r="C337" s="2" t="s">
        <v>2028</v>
      </c>
      <c r="D337" s="2" t="s">
        <v>2029</v>
      </c>
      <c r="E337" s="2"/>
      <c r="F337" s="2" t="s">
        <v>566</v>
      </c>
      <c r="G337" s="2" t="s">
        <v>610</v>
      </c>
      <c r="H337" s="2" t="s">
        <v>460</v>
      </c>
      <c r="I337" s="2" t="s">
        <v>531</v>
      </c>
      <c r="J337" s="2" cm="1">
        <f t="array" ref="J337">_xlfn.IFS(DDLI_DME[[#This Row],[DATENTYP]]="unsigned integer",2,DDLI_DME[[#This Row],[DATENTYP]]="unsigned char",1,DDLI_DME[[#This Row],[DATENTYP]]="signed integer",2)</f>
        <v>2</v>
      </c>
      <c r="K337" s="2" t="s">
        <v>460</v>
      </c>
      <c r="L337">
        <v>2.197265625E-2</v>
      </c>
      <c r="M337">
        <v>1</v>
      </c>
      <c r="N337" t="str">
        <f>TEXT(DDLI_DME[[#This Row],[MUL]],"######/######")</f>
        <v>45/2048</v>
      </c>
      <c r="O337">
        <v>0</v>
      </c>
      <c r="Q337">
        <f>HEX2DEC(DDLI_DME[[#This Row],[Hex]])</f>
        <v>0</v>
      </c>
      <c r="R337">
        <f>DDLI_DME[[#This Row],[ADD]]+DDLI_DME[[#This Row],[Dec]]*DDLI_DME[[#This Row],[MUL]]/DDLI_DME[[#This Row],[DIV]]</f>
        <v>0</v>
      </c>
    </row>
    <row r="338" spans="1:18" hidden="1" x14ac:dyDescent="0.25">
      <c r="A338" s="2" t="s">
        <v>2030</v>
      </c>
      <c r="B338" s="2" t="s">
        <v>2031</v>
      </c>
      <c r="C338" s="2" t="s">
        <v>2032</v>
      </c>
      <c r="D338" s="2" t="s">
        <v>2033</v>
      </c>
      <c r="E338" s="2"/>
      <c r="F338" s="2" t="s">
        <v>566</v>
      </c>
      <c r="G338" s="2" t="s">
        <v>645</v>
      </c>
      <c r="H338" s="2" t="s">
        <v>460</v>
      </c>
      <c r="I338" s="2" t="s">
        <v>531</v>
      </c>
      <c r="J338" s="2" cm="1">
        <f t="array" ref="J338">_xlfn.IFS(DDLI_DME[[#This Row],[DATENTYP]]="unsigned integer",2,DDLI_DME[[#This Row],[DATENTYP]]="unsigned char",1,DDLI_DME[[#This Row],[DATENTYP]]="signed integer",2)</f>
        <v>2</v>
      </c>
      <c r="K338" s="2" t="s">
        <v>460</v>
      </c>
      <c r="L338">
        <v>2.197265625E-2</v>
      </c>
      <c r="M338">
        <v>1</v>
      </c>
      <c r="N338" t="str">
        <f>TEXT(DDLI_DME[[#This Row],[MUL]],"######/######")</f>
        <v>45/2048</v>
      </c>
      <c r="O338">
        <v>0</v>
      </c>
      <c r="Q338">
        <f>HEX2DEC(DDLI_DME[[#This Row],[Hex]])</f>
        <v>0</v>
      </c>
      <c r="R338">
        <f>DDLI_DME[[#This Row],[ADD]]+DDLI_DME[[#This Row],[Dec]]*DDLI_DME[[#This Row],[MUL]]/DDLI_DME[[#This Row],[DIV]]</f>
        <v>0</v>
      </c>
    </row>
    <row r="339" spans="1:18" hidden="1" x14ac:dyDescent="0.25">
      <c r="A339" s="2" t="s">
        <v>2034</v>
      </c>
      <c r="B339" s="2" t="s">
        <v>2035</v>
      </c>
      <c r="C339" s="2" t="s">
        <v>2036</v>
      </c>
      <c r="D339" s="2" t="s">
        <v>2037</v>
      </c>
      <c r="E339" s="2"/>
      <c r="F339" s="2" t="s">
        <v>460</v>
      </c>
      <c r="G339" s="2" t="s">
        <v>2038</v>
      </c>
      <c r="H339" s="2" t="s">
        <v>460</v>
      </c>
      <c r="I339" s="2" t="s">
        <v>461</v>
      </c>
      <c r="J339" s="2" cm="1">
        <f t="array" ref="J339">_xlfn.IFS(DDLI_DME[[#This Row],[DATENTYP]]="unsigned integer",2,DDLI_DME[[#This Row],[DATENTYP]]="unsigned char",1,DDLI_DME[[#This Row],[DATENTYP]]="signed integer",2)</f>
        <v>1</v>
      </c>
      <c r="K339" s="2" t="s">
        <v>460</v>
      </c>
      <c r="L339">
        <v>1</v>
      </c>
      <c r="M339">
        <v>1</v>
      </c>
      <c r="N339" t="str">
        <f>TEXT(DDLI_DME[[#This Row],[MUL]],"######/######")</f>
        <v>1/1</v>
      </c>
      <c r="O339">
        <v>0</v>
      </c>
      <c r="Q339">
        <f>HEX2DEC(DDLI_DME[[#This Row],[Hex]])</f>
        <v>0</v>
      </c>
      <c r="R339">
        <f>DDLI_DME[[#This Row],[ADD]]+DDLI_DME[[#This Row],[Dec]]*DDLI_DME[[#This Row],[MUL]]/DDLI_DME[[#This Row],[DIV]]</f>
        <v>0</v>
      </c>
    </row>
    <row r="340" spans="1:18" hidden="1" x14ac:dyDescent="0.25">
      <c r="A340" s="2" t="s">
        <v>2039</v>
      </c>
      <c r="B340" s="2" t="s">
        <v>2040</v>
      </c>
      <c r="C340" s="2" t="s">
        <v>2041</v>
      </c>
      <c r="D340" s="2" t="s">
        <v>2042</v>
      </c>
      <c r="E340" s="2"/>
      <c r="F340" s="2" t="s">
        <v>460</v>
      </c>
      <c r="G340" s="2" t="s">
        <v>2043</v>
      </c>
      <c r="H340" s="2" t="s">
        <v>460</v>
      </c>
      <c r="I340" s="2" t="s">
        <v>461</v>
      </c>
      <c r="J340" s="2" cm="1">
        <f t="array" ref="J340">_xlfn.IFS(DDLI_DME[[#This Row],[DATENTYP]]="unsigned integer",2,DDLI_DME[[#This Row],[DATENTYP]]="unsigned char",1,DDLI_DME[[#This Row],[DATENTYP]]="signed integer",2)</f>
        <v>1</v>
      </c>
      <c r="K340" s="2" t="s">
        <v>460</v>
      </c>
      <c r="L340">
        <v>1</v>
      </c>
      <c r="M340">
        <v>1</v>
      </c>
      <c r="N340" t="str">
        <f>TEXT(DDLI_DME[[#This Row],[MUL]],"######/######")</f>
        <v>1/1</v>
      </c>
      <c r="O340">
        <v>0</v>
      </c>
      <c r="Q340">
        <f>HEX2DEC(DDLI_DME[[#This Row],[Hex]])</f>
        <v>0</v>
      </c>
      <c r="R340">
        <f>DDLI_DME[[#This Row],[ADD]]+DDLI_DME[[#This Row],[Dec]]*DDLI_DME[[#This Row],[MUL]]/DDLI_DME[[#This Row],[DIV]]</f>
        <v>0</v>
      </c>
    </row>
    <row r="341" spans="1:18" hidden="1" x14ac:dyDescent="0.25">
      <c r="A341" s="2" t="s">
        <v>2044</v>
      </c>
      <c r="B341" s="2" t="s">
        <v>2045</v>
      </c>
      <c r="C341" s="2" t="s">
        <v>2046</v>
      </c>
      <c r="D341" s="2" t="s">
        <v>2047</v>
      </c>
      <c r="E341" s="2"/>
      <c r="F341" s="2" t="s">
        <v>460</v>
      </c>
      <c r="G341" s="2" t="s">
        <v>2048</v>
      </c>
      <c r="H341" s="2" t="s">
        <v>460</v>
      </c>
      <c r="I341" s="2" t="s">
        <v>467</v>
      </c>
      <c r="J341" s="2" cm="1">
        <f t="array" ref="J341">_xlfn.IFS(DDLI_DME[[#This Row],[DATENTYP]]="unsigned integer",2,DDLI_DME[[#This Row],[DATENTYP]]="unsigned char",1,DDLI_DME[[#This Row],[DATENTYP]]="signed integer",2)</f>
        <v>2</v>
      </c>
      <c r="K341" s="2" t="s">
        <v>460</v>
      </c>
      <c r="L341">
        <v>3.0517578125E-5</v>
      </c>
      <c r="M341">
        <v>1</v>
      </c>
      <c r="N341" t="str">
        <f>TEXT(DDLI_DME[[#This Row],[MUL]],"######/######")</f>
        <v>1/32768</v>
      </c>
      <c r="O341">
        <v>0</v>
      </c>
      <c r="Q341">
        <f>HEX2DEC(DDLI_DME[[#This Row],[Hex]])</f>
        <v>0</v>
      </c>
      <c r="R341">
        <f>DDLI_DME[[#This Row],[ADD]]+DDLI_DME[[#This Row],[Dec]]*DDLI_DME[[#This Row],[MUL]]/DDLI_DME[[#This Row],[DIV]]</f>
        <v>0</v>
      </c>
    </row>
    <row r="342" spans="1:18" hidden="1" x14ac:dyDescent="0.25">
      <c r="A342" s="2" t="s">
        <v>2049</v>
      </c>
      <c r="B342" s="2" t="s">
        <v>2050</v>
      </c>
      <c r="C342" s="2" t="s">
        <v>2051</v>
      </c>
      <c r="D342" s="2" t="s">
        <v>2052</v>
      </c>
      <c r="E342" s="2"/>
      <c r="F342" s="2" t="s">
        <v>460</v>
      </c>
      <c r="G342" s="2" t="s">
        <v>2053</v>
      </c>
      <c r="H342" s="2" t="s">
        <v>460</v>
      </c>
      <c r="I342" s="2" t="s">
        <v>467</v>
      </c>
      <c r="J342" s="2" cm="1">
        <f t="array" ref="J342">_xlfn.IFS(DDLI_DME[[#This Row],[DATENTYP]]="unsigned integer",2,DDLI_DME[[#This Row],[DATENTYP]]="unsigned char",1,DDLI_DME[[#This Row],[DATENTYP]]="signed integer",2)</f>
        <v>2</v>
      </c>
      <c r="K342" s="2" t="s">
        <v>460</v>
      </c>
      <c r="L342">
        <v>3.0517578125E-5</v>
      </c>
      <c r="M342">
        <v>1</v>
      </c>
      <c r="N342" t="str">
        <f>TEXT(DDLI_DME[[#This Row],[MUL]],"######/######")</f>
        <v>1/32768</v>
      </c>
      <c r="O342">
        <v>0</v>
      </c>
      <c r="Q342">
        <f>HEX2DEC(DDLI_DME[[#This Row],[Hex]])</f>
        <v>0</v>
      </c>
      <c r="R342">
        <f>DDLI_DME[[#This Row],[ADD]]+DDLI_DME[[#This Row],[Dec]]*DDLI_DME[[#This Row],[MUL]]/DDLI_DME[[#This Row],[DIV]]</f>
        <v>0</v>
      </c>
    </row>
    <row r="343" spans="1:18" hidden="1" x14ac:dyDescent="0.25">
      <c r="A343" s="2" t="s">
        <v>2054</v>
      </c>
      <c r="B343" s="2" t="s">
        <v>2055</v>
      </c>
      <c r="C343" s="2" t="s">
        <v>2056</v>
      </c>
      <c r="D343" s="2" t="s">
        <v>2057</v>
      </c>
      <c r="E343" s="2"/>
      <c r="F343" s="2" t="s">
        <v>460</v>
      </c>
      <c r="G343" s="2" t="s">
        <v>2058</v>
      </c>
      <c r="H343" s="2" t="s">
        <v>460</v>
      </c>
      <c r="I343" s="2" t="s">
        <v>461</v>
      </c>
      <c r="J343" s="2" cm="1">
        <f t="array" ref="J343">_xlfn.IFS(DDLI_DME[[#This Row],[DATENTYP]]="unsigned integer",2,DDLI_DME[[#This Row],[DATENTYP]]="unsigned char",1,DDLI_DME[[#This Row],[DATENTYP]]="signed integer",2)</f>
        <v>1</v>
      </c>
      <c r="K343" s="2" t="s">
        <v>460</v>
      </c>
      <c r="L343">
        <v>1</v>
      </c>
      <c r="M343">
        <v>1</v>
      </c>
      <c r="N343" t="str">
        <f>TEXT(DDLI_DME[[#This Row],[MUL]],"######/######")</f>
        <v>1/1</v>
      </c>
      <c r="O343">
        <v>0</v>
      </c>
      <c r="Q343">
        <f>HEX2DEC(DDLI_DME[[#This Row],[Hex]])</f>
        <v>0</v>
      </c>
      <c r="R343">
        <f>DDLI_DME[[#This Row],[ADD]]+DDLI_DME[[#This Row],[Dec]]*DDLI_DME[[#This Row],[MUL]]/DDLI_DME[[#This Row],[DIV]]</f>
        <v>0</v>
      </c>
    </row>
    <row r="344" spans="1:18" hidden="1" x14ac:dyDescent="0.25">
      <c r="A344" s="2" t="s">
        <v>2059</v>
      </c>
      <c r="B344" s="2" t="s">
        <v>2060</v>
      </c>
      <c r="C344" s="2" t="s">
        <v>2061</v>
      </c>
      <c r="D344" s="2" t="s">
        <v>2062</v>
      </c>
      <c r="E344" s="2"/>
      <c r="F344" s="2" t="s">
        <v>460</v>
      </c>
      <c r="G344" s="2" t="s">
        <v>2063</v>
      </c>
      <c r="H344" s="2" t="s">
        <v>460</v>
      </c>
      <c r="I344" s="2" t="s">
        <v>461</v>
      </c>
      <c r="J344" s="2" cm="1">
        <f t="array" ref="J344">_xlfn.IFS(DDLI_DME[[#This Row],[DATENTYP]]="unsigned integer",2,DDLI_DME[[#This Row],[DATENTYP]]="unsigned char",1,DDLI_DME[[#This Row],[DATENTYP]]="signed integer",2)</f>
        <v>1</v>
      </c>
      <c r="K344" s="2" t="s">
        <v>460</v>
      </c>
      <c r="L344">
        <v>1</v>
      </c>
      <c r="M344">
        <v>1</v>
      </c>
      <c r="N344" t="str">
        <f>TEXT(DDLI_DME[[#This Row],[MUL]],"######/######")</f>
        <v>1/1</v>
      </c>
      <c r="O344">
        <v>0</v>
      </c>
      <c r="Q344">
        <f>HEX2DEC(DDLI_DME[[#This Row],[Hex]])</f>
        <v>0</v>
      </c>
      <c r="R344">
        <f>DDLI_DME[[#This Row],[ADD]]+DDLI_DME[[#This Row],[Dec]]*DDLI_DME[[#This Row],[MUL]]/DDLI_DME[[#This Row],[DIV]]</f>
        <v>0</v>
      </c>
    </row>
    <row r="345" spans="1:18" hidden="1" x14ac:dyDescent="0.25">
      <c r="A345" s="2" t="s">
        <v>2064</v>
      </c>
      <c r="B345" s="2" t="s">
        <v>2065</v>
      </c>
      <c r="C345" s="2" t="s">
        <v>2066</v>
      </c>
      <c r="D345" s="2" t="s">
        <v>2067</v>
      </c>
      <c r="E345" s="2"/>
      <c r="F345" s="2" t="s">
        <v>668</v>
      </c>
      <c r="G345" s="2" t="s">
        <v>2068</v>
      </c>
      <c r="H345" s="2" t="s">
        <v>460</v>
      </c>
      <c r="I345" s="2" t="s">
        <v>467</v>
      </c>
      <c r="J345" s="2" cm="1">
        <f t="array" ref="J345">_xlfn.IFS(DDLI_DME[[#This Row],[DATENTYP]]="unsigned integer",2,DDLI_DME[[#This Row],[DATENTYP]]="unsigned char",1,DDLI_DME[[#This Row],[DATENTYP]]="signed integer",2)</f>
        <v>2</v>
      </c>
      <c r="K345" s="2" t="s">
        <v>460</v>
      </c>
      <c r="L345">
        <v>1.52587890625E-3</v>
      </c>
      <c r="M345">
        <v>1</v>
      </c>
      <c r="N345" t="str">
        <f>TEXT(DDLI_DME[[#This Row],[MUL]],"######/######")</f>
        <v>25/16384</v>
      </c>
      <c r="O345">
        <v>0</v>
      </c>
      <c r="Q345">
        <f>HEX2DEC(DDLI_DME[[#This Row],[Hex]])</f>
        <v>0</v>
      </c>
      <c r="R345">
        <f>DDLI_DME[[#This Row],[ADD]]+DDLI_DME[[#This Row],[Dec]]*DDLI_DME[[#This Row],[MUL]]/DDLI_DME[[#This Row],[DIV]]</f>
        <v>0</v>
      </c>
    </row>
    <row r="346" spans="1:18" hidden="1" x14ac:dyDescent="0.25">
      <c r="A346" s="2" t="s">
        <v>2069</v>
      </c>
      <c r="B346" s="2" t="s">
        <v>2070</v>
      </c>
      <c r="C346" s="2" t="s">
        <v>2071</v>
      </c>
      <c r="D346" s="2" t="s">
        <v>2072</v>
      </c>
      <c r="E346" s="2"/>
      <c r="F346" s="2" t="s">
        <v>668</v>
      </c>
      <c r="G346" s="2" t="s">
        <v>2073</v>
      </c>
      <c r="H346" s="2" t="s">
        <v>460</v>
      </c>
      <c r="I346" s="2" t="s">
        <v>467</v>
      </c>
      <c r="J346" s="2" cm="1">
        <f t="array" ref="J346">_xlfn.IFS(DDLI_DME[[#This Row],[DATENTYP]]="unsigned integer",2,DDLI_DME[[#This Row],[DATENTYP]]="unsigned char",1,DDLI_DME[[#This Row],[DATENTYP]]="signed integer",2)</f>
        <v>2</v>
      </c>
      <c r="K346" s="2" t="s">
        <v>460</v>
      </c>
      <c r="L346">
        <v>1.52587890625E-3</v>
      </c>
      <c r="M346">
        <v>1</v>
      </c>
      <c r="N346" t="str">
        <f>TEXT(DDLI_DME[[#This Row],[MUL]],"######/######")</f>
        <v>25/16384</v>
      </c>
      <c r="O346">
        <v>0</v>
      </c>
      <c r="Q346">
        <f>HEX2DEC(DDLI_DME[[#This Row],[Hex]])</f>
        <v>0</v>
      </c>
      <c r="R346">
        <f>DDLI_DME[[#This Row],[ADD]]+DDLI_DME[[#This Row],[Dec]]*DDLI_DME[[#This Row],[MUL]]/DDLI_DME[[#This Row],[DIV]]</f>
        <v>0</v>
      </c>
    </row>
    <row r="347" spans="1:18" hidden="1" x14ac:dyDescent="0.25">
      <c r="A347" s="2" t="s">
        <v>2074</v>
      </c>
      <c r="B347" s="2" t="s">
        <v>2075</v>
      </c>
      <c r="C347" s="2" t="s">
        <v>2076</v>
      </c>
      <c r="D347" s="2" t="s">
        <v>2077</v>
      </c>
      <c r="E347" s="2" t="s">
        <v>2371</v>
      </c>
      <c r="F347" s="2" t="s">
        <v>6</v>
      </c>
      <c r="G347" s="2" t="s">
        <v>2078</v>
      </c>
      <c r="H347" s="2" t="s">
        <v>460</v>
      </c>
      <c r="I347" s="2" t="s">
        <v>467</v>
      </c>
      <c r="J347" s="2" cm="1">
        <f t="array" ref="J347">_xlfn.IFS(DDLI_DME[[#This Row],[DATENTYP]]="unsigned integer",2,DDLI_DME[[#This Row],[DATENTYP]]="unsigned char",1,DDLI_DME[[#This Row],[DATENTYP]]="signed integer",2)</f>
        <v>2</v>
      </c>
      <c r="K347" s="2" t="s">
        <v>460</v>
      </c>
      <c r="L347">
        <v>3.90625E-2</v>
      </c>
      <c r="M347">
        <v>1</v>
      </c>
      <c r="N347" t="str">
        <f>TEXT(DDLI_DME[[#This Row],[MUL]],"######/######")</f>
        <v>5/128</v>
      </c>
      <c r="O347">
        <v>0</v>
      </c>
      <c r="Q347">
        <f>HEX2DEC(DDLI_DME[[#This Row],[Hex]])</f>
        <v>0</v>
      </c>
      <c r="R347">
        <f>DDLI_DME[[#This Row],[ADD]]+DDLI_DME[[#This Row],[Dec]]*DDLI_DME[[#This Row],[MUL]]/DDLI_DME[[#This Row],[DIV]]</f>
        <v>0</v>
      </c>
    </row>
    <row r="348" spans="1:18" hidden="1" x14ac:dyDescent="0.25">
      <c r="A348" s="2" t="s">
        <v>2079</v>
      </c>
      <c r="B348" s="2" t="s">
        <v>2080</v>
      </c>
      <c r="C348" s="2" t="s">
        <v>931</v>
      </c>
      <c r="D348" s="2" t="s">
        <v>932</v>
      </c>
      <c r="E348" s="2" t="s">
        <v>11</v>
      </c>
      <c r="F348" s="2" t="s">
        <v>933</v>
      </c>
      <c r="G348" s="2" t="s">
        <v>2081</v>
      </c>
      <c r="H348" s="2" t="s">
        <v>460</v>
      </c>
      <c r="I348" s="2" t="s">
        <v>467</v>
      </c>
      <c r="J348" s="2" cm="1">
        <f t="array" ref="J348">_xlfn.IFS(DDLI_DME[[#This Row],[DATENTYP]]="unsigned integer",2,DDLI_DME[[#This Row],[DATENTYP]]="unsigned char",1,DDLI_DME[[#This Row],[DATENTYP]]="signed integer",2)</f>
        <v>2</v>
      </c>
      <c r="K348" s="2" t="s">
        <v>460</v>
      </c>
      <c r="L348">
        <v>7.8125E-3</v>
      </c>
      <c r="M348">
        <v>1</v>
      </c>
      <c r="N348" t="str">
        <f>TEXT(DDLI_DME[[#This Row],[MUL]],"######/######")</f>
        <v>1/128</v>
      </c>
      <c r="O348">
        <v>0</v>
      </c>
      <c r="Q348">
        <f>HEX2DEC(DDLI_DME[[#This Row],[Hex]])</f>
        <v>0</v>
      </c>
      <c r="R348">
        <f>DDLI_DME[[#This Row],[ADD]]+DDLI_DME[[#This Row],[Dec]]*DDLI_DME[[#This Row],[MUL]]/DDLI_DME[[#This Row],[DIV]]</f>
        <v>0</v>
      </c>
    </row>
    <row r="349" spans="1:18" hidden="1" x14ac:dyDescent="0.25">
      <c r="A349" s="2" t="s">
        <v>2082</v>
      </c>
      <c r="B349" s="2" t="s">
        <v>2083</v>
      </c>
      <c r="C349" s="2" t="s">
        <v>2084</v>
      </c>
      <c r="D349" s="2" t="s">
        <v>2085</v>
      </c>
      <c r="E349" s="2"/>
      <c r="F349" s="2" t="s">
        <v>1239</v>
      </c>
      <c r="G349" s="2" t="s">
        <v>2086</v>
      </c>
      <c r="H349" s="2" t="s">
        <v>460</v>
      </c>
      <c r="I349" s="2" t="s">
        <v>504</v>
      </c>
      <c r="J349" s="2" t="e" cm="1">
        <f t="array" ref="J349">_xlfn.IFS(DDLI_DME[[#This Row],[DATENTYP]]="unsigned integer",2,DDLI_DME[[#This Row],[DATENTYP]]="unsigned char",1,DDLI_DME[[#This Row],[DATENTYP]]="signed integer",2)</f>
        <v>#N/A</v>
      </c>
      <c r="K349" s="2" t="s">
        <v>460</v>
      </c>
      <c r="L349">
        <v>9.9999997764825821E-3</v>
      </c>
      <c r="M349">
        <v>1</v>
      </c>
      <c r="N349" t="str">
        <f>TEXT(DDLI_DME[[#This Row],[MUL]],"######/######")</f>
        <v>1/100</v>
      </c>
      <c r="O349">
        <v>0</v>
      </c>
      <c r="Q349">
        <f>HEX2DEC(DDLI_DME[[#This Row],[Hex]])</f>
        <v>0</v>
      </c>
      <c r="R349">
        <f>DDLI_DME[[#This Row],[ADD]]+DDLI_DME[[#This Row],[Dec]]*DDLI_DME[[#This Row],[MUL]]/DDLI_DME[[#This Row],[DIV]]</f>
        <v>0</v>
      </c>
    </row>
    <row r="350" spans="1:18" hidden="1" x14ac:dyDescent="0.25">
      <c r="A350" s="2" t="s">
        <v>2087</v>
      </c>
      <c r="B350" s="2" t="s">
        <v>2088</v>
      </c>
      <c r="C350" s="2" t="s">
        <v>1106</v>
      </c>
      <c r="D350" s="2" t="s">
        <v>1107</v>
      </c>
      <c r="E350" s="2"/>
      <c r="F350" s="2" t="s">
        <v>770</v>
      </c>
      <c r="G350" s="2" t="s">
        <v>2089</v>
      </c>
      <c r="H350" s="2" t="s">
        <v>460</v>
      </c>
      <c r="I350" s="2" t="s">
        <v>504</v>
      </c>
      <c r="J350" s="2" t="e" cm="1">
        <f t="array" ref="J350">_xlfn.IFS(DDLI_DME[[#This Row],[DATENTYP]]="unsigned integer",2,DDLI_DME[[#This Row],[DATENTYP]]="unsigned char",1,DDLI_DME[[#This Row],[DATENTYP]]="signed integer",2)</f>
        <v>#N/A</v>
      </c>
      <c r="K350" s="2" t="s">
        <v>460</v>
      </c>
      <c r="L350">
        <v>0.10000000149011612</v>
      </c>
      <c r="M350">
        <v>1</v>
      </c>
      <c r="N350" t="str">
        <f>TEXT(DDLI_DME[[#This Row],[MUL]],"######/######")</f>
        <v>1/10</v>
      </c>
      <c r="O350">
        <v>0</v>
      </c>
      <c r="Q350">
        <f>HEX2DEC(DDLI_DME[[#This Row],[Hex]])</f>
        <v>0</v>
      </c>
      <c r="R350">
        <f>DDLI_DME[[#This Row],[ADD]]+DDLI_DME[[#This Row],[Dec]]*DDLI_DME[[#This Row],[MUL]]/DDLI_DME[[#This Row],[DIV]]</f>
        <v>0</v>
      </c>
    </row>
    <row r="351" spans="1:18" hidden="1" x14ac:dyDescent="0.25">
      <c r="A351" s="2" t="s">
        <v>2090</v>
      </c>
      <c r="B351" s="2" t="s">
        <v>2091</v>
      </c>
      <c r="C351" s="2" t="s">
        <v>2092</v>
      </c>
      <c r="D351" s="2" t="s">
        <v>2093</v>
      </c>
      <c r="E351" s="2"/>
      <c r="F351" s="2" t="s">
        <v>458</v>
      </c>
      <c r="G351" s="2" t="s">
        <v>1005</v>
      </c>
      <c r="H351" s="2" t="s">
        <v>460</v>
      </c>
      <c r="I351" s="2" t="s">
        <v>461</v>
      </c>
      <c r="J351" s="2" cm="1">
        <f t="array" ref="J351">_xlfn.IFS(DDLI_DME[[#This Row],[DATENTYP]]="unsigned integer",2,DDLI_DME[[#This Row],[DATENTYP]]="unsigned char",1,DDLI_DME[[#This Row],[DATENTYP]]="signed integer",2)</f>
        <v>1</v>
      </c>
      <c r="K351" s="2" t="s">
        <v>460</v>
      </c>
      <c r="L351">
        <v>0.75</v>
      </c>
      <c r="M351">
        <v>1</v>
      </c>
      <c r="N351" t="str">
        <f>TEXT(DDLI_DME[[#This Row],[MUL]],"######/######")</f>
        <v>3/4</v>
      </c>
      <c r="O351">
        <v>-48</v>
      </c>
      <c r="Q351">
        <f>HEX2DEC(DDLI_DME[[#This Row],[Hex]])</f>
        <v>0</v>
      </c>
      <c r="R351">
        <f>DDLI_DME[[#This Row],[ADD]]+DDLI_DME[[#This Row],[Dec]]*DDLI_DME[[#This Row],[MUL]]/DDLI_DME[[#This Row],[DIV]]</f>
        <v>-48</v>
      </c>
    </row>
    <row r="352" spans="1:18" hidden="1" x14ac:dyDescent="0.25">
      <c r="A352" s="2" t="s">
        <v>2094</v>
      </c>
      <c r="B352" s="2" t="s">
        <v>2095</v>
      </c>
      <c r="C352" s="2" t="s">
        <v>2096</v>
      </c>
      <c r="D352" s="2" t="s">
        <v>2097</v>
      </c>
      <c r="E352" s="2"/>
      <c r="F352" s="2" t="s">
        <v>458</v>
      </c>
      <c r="G352" s="2" t="s">
        <v>910</v>
      </c>
      <c r="H352" s="2" t="s">
        <v>460</v>
      </c>
      <c r="I352" s="2" t="s">
        <v>461</v>
      </c>
      <c r="J352" s="2" cm="1">
        <f t="array" ref="J352">_xlfn.IFS(DDLI_DME[[#This Row],[DATENTYP]]="unsigned integer",2,DDLI_DME[[#This Row],[DATENTYP]]="unsigned char",1,DDLI_DME[[#This Row],[DATENTYP]]="signed integer",2)</f>
        <v>1</v>
      </c>
      <c r="K352" s="2" t="s">
        <v>460</v>
      </c>
      <c r="L352">
        <v>0.75</v>
      </c>
      <c r="M352">
        <v>1</v>
      </c>
      <c r="N352" t="str">
        <f>TEXT(DDLI_DME[[#This Row],[MUL]],"######/######")</f>
        <v>3/4</v>
      </c>
      <c r="O352">
        <v>-48</v>
      </c>
      <c r="Q352">
        <f>HEX2DEC(DDLI_DME[[#This Row],[Hex]])</f>
        <v>0</v>
      </c>
      <c r="R352">
        <f>DDLI_DME[[#This Row],[ADD]]+DDLI_DME[[#This Row],[Dec]]*DDLI_DME[[#This Row],[MUL]]/DDLI_DME[[#This Row],[DIV]]</f>
        <v>-48</v>
      </c>
    </row>
    <row r="353" spans="1:18" hidden="1" x14ac:dyDescent="0.25">
      <c r="A353" s="2" t="s">
        <v>2098</v>
      </c>
      <c r="B353" s="2" t="s">
        <v>2099</v>
      </c>
      <c r="C353" s="2" t="s">
        <v>2100</v>
      </c>
      <c r="D353" s="2" t="s">
        <v>2101</v>
      </c>
      <c r="E353" s="2"/>
      <c r="F353" s="2" t="s">
        <v>674</v>
      </c>
      <c r="G353" s="2" t="s">
        <v>2102</v>
      </c>
      <c r="H353" s="2" t="s">
        <v>460</v>
      </c>
      <c r="I353" s="2" t="s">
        <v>467</v>
      </c>
      <c r="J353" s="2" cm="1">
        <f t="array" ref="J353">_xlfn.IFS(DDLI_DME[[#This Row],[DATENTYP]]="unsigned integer",2,DDLI_DME[[#This Row],[DATENTYP]]="unsigned char",1,DDLI_DME[[#This Row],[DATENTYP]]="signed integer",2)</f>
        <v>2</v>
      </c>
      <c r="K353" s="2" t="s">
        <v>460</v>
      </c>
      <c r="L353">
        <v>4.8828125E-3</v>
      </c>
      <c r="M353">
        <v>1</v>
      </c>
      <c r="N353" t="str">
        <f>TEXT(DDLI_DME[[#This Row],[MUL]],"######/######")</f>
        <v>5/1024</v>
      </c>
      <c r="O353">
        <v>0</v>
      </c>
      <c r="Q353">
        <f>HEX2DEC(DDLI_DME[[#This Row],[Hex]])</f>
        <v>0</v>
      </c>
      <c r="R353">
        <f>DDLI_DME[[#This Row],[ADD]]+DDLI_DME[[#This Row],[Dec]]*DDLI_DME[[#This Row],[MUL]]/DDLI_DME[[#This Row],[DIV]]</f>
        <v>0</v>
      </c>
    </row>
    <row r="354" spans="1:18" x14ac:dyDescent="0.25">
      <c r="A354" s="2" t="s">
        <v>2103</v>
      </c>
      <c r="B354" s="2" t="s">
        <v>2104</v>
      </c>
      <c r="C354" s="2" t="s">
        <v>2105</v>
      </c>
      <c r="D354" s="2" t="s">
        <v>2106</v>
      </c>
      <c r="E354" s="2"/>
      <c r="F354" s="2" t="s">
        <v>477</v>
      </c>
      <c r="G354" s="2" t="s">
        <v>2107</v>
      </c>
      <c r="H354" s="2" t="s">
        <v>460</v>
      </c>
      <c r="I354" s="2" t="s">
        <v>467</v>
      </c>
      <c r="J354" s="2" cm="1">
        <f t="array" ref="J354">_xlfn.IFS(DDLI_DME[[#This Row],[DATENTYP]]="unsigned integer",2,DDLI_DME[[#This Row],[DATENTYP]]="unsigned char",1,DDLI_DME[[#This Row],[DATENTYP]]="signed integer",2)</f>
        <v>2</v>
      </c>
      <c r="K354" s="2" t="s">
        <v>460</v>
      </c>
      <c r="L354">
        <v>0.10000000149011612</v>
      </c>
      <c r="M354">
        <v>1</v>
      </c>
      <c r="N354" t="str">
        <f>TEXT(DDLI_DME[[#This Row],[MUL]],"######/######")</f>
        <v>1/10</v>
      </c>
      <c r="O354">
        <v>0</v>
      </c>
      <c r="P354" s="7" t="s">
        <v>2379</v>
      </c>
      <c r="Q354">
        <f>HEX2DEC(DDLI_DME[[#This Row],[Hex]])</f>
        <v>767</v>
      </c>
      <c r="R354">
        <f>DDLI_DME[[#This Row],[ADD]]+DDLI_DME[[#This Row],[Dec]]*DDLI_DME[[#This Row],[MUL]]/DDLI_DME[[#This Row],[DIV]]</f>
        <v>76.700001142919064</v>
      </c>
    </row>
    <row r="355" spans="1:18" hidden="1" x14ac:dyDescent="0.25">
      <c r="A355" s="2" t="s">
        <v>2108</v>
      </c>
      <c r="B355" s="2" t="s">
        <v>2109</v>
      </c>
      <c r="C355" s="2" t="s">
        <v>2110</v>
      </c>
      <c r="D355" s="2" t="s">
        <v>2111</v>
      </c>
      <c r="E355" s="2"/>
      <c r="F355" s="2" t="s">
        <v>460</v>
      </c>
      <c r="G355" s="2" t="s">
        <v>2112</v>
      </c>
      <c r="H355" s="2" t="s">
        <v>460</v>
      </c>
      <c r="I355" s="2" t="s">
        <v>461</v>
      </c>
      <c r="J355" s="2" cm="1">
        <f t="array" ref="J355">_xlfn.IFS(DDLI_DME[[#This Row],[DATENTYP]]="unsigned integer",2,DDLI_DME[[#This Row],[DATENTYP]]="unsigned char",1,DDLI_DME[[#This Row],[DATENTYP]]="signed integer",2)</f>
        <v>1</v>
      </c>
      <c r="K355" s="2" t="s">
        <v>460</v>
      </c>
      <c r="L355">
        <v>1</v>
      </c>
      <c r="M355">
        <v>1</v>
      </c>
      <c r="N355" t="str">
        <f>TEXT(DDLI_DME[[#This Row],[MUL]],"######/######")</f>
        <v>1/1</v>
      </c>
      <c r="O355">
        <v>0</v>
      </c>
      <c r="Q355">
        <f>HEX2DEC(DDLI_DME[[#This Row],[Hex]])</f>
        <v>0</v>
      </c>
      <c r="R355">
        <f>DDLI_DME[[#This Row],[ADD]]+DDLI_DME[[#This Row],[Dec]]*DDLI_DME[[#This Row],[MUL]]/DDLI_DME[[#This Row],[DIV]]</f>
        <v>0</v>
      </c>
    </row>
    <row r="356" spans="1:18" hidden="1" x14ac:dyDescent="0.25">
      <c r="A356" s="2" t="s">
        <v>2113</v>
      </c>
      <c r="B356" s="2" t="s">
        <v>2114</v>
      </c>
      <c r="C356" s="2" t="s">
        <v>2115</v>
      </c>
      <c r="D356" s="2" t="s">
        <v>2116</v>
      </c>
      <c r="E356" s="2"/>
      <c r="F356" s="2" t="s">
        <v>1491</v>
      </c>
      <c r="G356" s="2" t="s">
        <v>2117</v>
      </c>
      <c r="H356" s="2" t="s">
        <v>460</v>
      </c>
      <c r="I356" s="2" t="s">
        <v>531</v>
      </c>
      <c r="J356" s="2" cm="1">
        <f t="array" ref="J356">_xlfn.IFS(DDLI_DME[[#This Row],[DATENTYP]]="unsigned integer",2,DDLI_DME[[#This Row],[DATENTYP]]="unsigned char",1,DDLI_DME[[#This Row],[DATENTYP]]="signed integer",2)</f>
        <v>2</v>
      </c>
      <c r="K356" s="2" t="s">
        <v>460</v>
      </c>
      <c r="L356">
        <v>2.11944580078125E-2</v>
      </c>
      <c r="M356">
        <v>1</v>
      </c>
      <c r="N356" t="str">
        <f>TEXT(DDLI_DME[[#This Row],[MUL]],"######/######")</f>
        <v>1389/65536</v>
      </c>
      <c r="O356">
        <v>0</v>
      </c>
      <c r="Q356">
        <f>HEX2DEC(DDLI_DME[[#This Row],[Hex]])</f>
        <v>0</v>
      </c>
      <c r="R356">
        <f>DDLI_DME[[#This Row],[ADD]]+DDLI_DME[[#This Row],[Dec]]*DDLI_DME[[#This Row],[MUL]]/DDLI_DME[[#This Row],[DIV]]</f>
        <v>0</v>
      </c>
    </row>
    <row r="357" spans="1:18" hidden="1" x14ac:dyDescent="0.25">
      <c r="A357" s="2" t="s">
        <v>2118</v>
      </c>
      <c r="B357" s="2" t="s">
        <v>2119</v>
      </c>
      <c r="C357" s="2" t="s">
        <v>2120</v>
      </c>
      <c r="D357" s="2" t="s">
        <v>2121</v>
      </c>
      <c r="E357" s="2"/>
      <c r="F357" s="2" t="s">
        <v>2122</v>
      </c>
      <c r="G357" s="2" t="s">
        <v>2123</v>
      </c>
      <c r="H357" s="2" t="s">
        <v>460</v>
      </c>
      <c r="I357" s="2" t="s">
        <v>467</v>
      </c>
      <c r="J357" s="2" cm="1">
        <f t="array" ref="J357">_xlfn.IFS(DDLI_DME[[#This Row],[DATENTYP]]="unsigned integer",2,DDLI_DME[[#This Row],[DATENTYP]]="unsigned char",1,DDLI_DME[[#This Row],[DATENTYP]]="signed integer",2)</f>
        <v>2</v>
      </c>
      <c r="K357" s="2" t="s">
        <v>460</v>
      </c>
      <c r="L357">
        <v>3.8910505827516317E-3</v>
      </c>
      <c r="M357">
        <v>1</v>
      </c>
      <c r="N357" t="str">
        <f>TEXT(DDLI_DME[[#This Row],[MUL]],"######/######")</f>
        <v>1/257</v>
      </c>
      <c r="O357">
        <v>0</v>
      </c>
      <c r="Q357">
        <f>HEX2DEC(DDLI_DME[[#This Row],[Hex]])</f>
        <v>0</v>
      </c>
      <c r="R357">
        <f>DDLI_DME[[#This Row],[ADD]]+DDLI_DME[[#This Row],[Dec]]*DDLI_DME[[#This Row],[MUL]]/DDLI_DME[[#This Row],[DIV]]</f>
        <v>0</v>
      </c>
    </row>
    <row r="358" spans="1:18" hidden="1" x14ac:dyDescent="0.25">
      <c r="A358" s="2" t="s">
        <v>2124</v>
      </c>
      <c r="B358" s="2" t="s">
        <v>2125</v>
      </c>
      <c r="C358" s="2" t="s">
        <v>2126</v>
      </c>
      <c r="D358" s="2" t="s">
        <v>2127</v>
      </c>
      <c r="E358" s="2"/>
      <c r="F358" s="2" t="s">
        <v>2122</v>
      </c>
      <c r="G358" s="2" t="s">
        <v>2128</v>
      </c>
      <c r="H358" s="2" t="s">
        <v>460</v>
      </c>
      <c r="I358" s="2" t="s">
        <v>467</v>
      </c>
      <c r="J358" s="2" cm="1">
        <f t="array" ref="J358">_xlfn.IFS(DDLI_DME[[#This Row],[DATENTYP]]="unsigned integer",2,DDLI_DME[[#This Row],[DATENTYP]]="unsigned char",1,DDLI_DME[[#This Row],[DATENTYP]]="signed integer",2)</f>
        <v>2</v>
      </c>
      <c r="K358" s="2" t="s">
        <v>460</v>
      </c>
      <c r="L358">
        <v>3.8910505827516317E-3</v>
      </c>
      <c r="M358">
        <v>1</v>
      </c>
      <c r="N358" t="str">
        <f>TEXT(DDLI_DME[[#This Row],[MUL]],"######/######")</f>
        <v>1/257</v>
      </c>
      <c r="O358">
        <v>0</v>
      </c>
      <c r="Q358">
        <f>HEX2DEC(DDLI_DME[[#This Row],[Hex]])</f>
        <v>0</v>
      </c>
      <c r="R358">
        <f>DDLI_DME[[#This Row],[ADD]]+DDLI_DME[[#This Row],[Dec]]*DDLI_DME[[#This Row],[MUL]]/DDLI_DME[[#This Row],[DIV]]</f>
        <v>0</v>
      </c>
    </row>
    <row r="359" spans="1:18" hidden="1" x14ac:dyDescent="0.25">
      <c r="A359" s="2" t="s">
        <v>2129</v>
      </c>
      <c r="B359" s="2" t="s">
        <v>2130</v>
      </c>
      <c r="C359" s="2" t="s">
        <v>2131</v>
      </c>
      <c r="D359" s="2" t="s">
        <v>2132</v>
      </c>
      <c r="E359" s="2"/>
      <c r="F359" s="2" t="s">
        <v>460</v>
      </c>
      <c r="G359" s="2" t="s">
        <v>2133</v>
      </c>
      <c r="H359" s="2" t="s">
        <v>460</v>
      </c>
      <c r="I359" s="2" t="s">
        <v>504</v>
      </c>
      <c r="J359" s="2" t="e" cm="1">
        <f t="array" ref="J359">_xlfn.IFS(DDLI_DME[[#This Row],[DATENTYP]]="unsigned integer",2,DDLI_DME[[#This Row],[DATENTYP]]="unsigned char",1,DDLI_DME[[#This Row],[DATENTYP]]="signed integer",2)</f>
        <v>#N/A</v>
      </c>
      <c r="K359" s="2" t="s">
        <v>460</v>
      </c>
      <c r="L359">
        <v>1</v>
      </c>
      <c r="M359">
        <v>1</v>
      </c>
      <c r="N359" t="str">
        <f>TEXT(DDLI_DME[[#This Row],[MUL]],"######/######")</f>
        <v>1/1</v>
      </c>
      <c r="O359">
        <v>0</v>
      </c>
      <c r="Q359">
        <f>HEX2DEC(DDLI_DME[[#This Row],[Hex]])</f>
        <v>0</v>
      </c>
      <c r="R359">
        <f>DDLI_DME[[#This Row],[ADD]]+DDLI_DME[[#This Row],[Dec]]*DDLI_DME[[#This Row],[MUL]]/DDLI_DME[[#This Row],[DIV]]</f>
        <v>0</v>
      </c>
    </row>
    <row r="360" spans="1:18" hidden="1" x14ac:dyDescent="0.25">
      <c r="A360" s="2" t="s">
        <v>2134</v>
      </c>
      <c r="B360" s="2" t="s">
        <v>2135</v>
      </c>
      <c r="C360" s="2" t="s">
        <v>2136</v>
      </c>
      <c r="D360" s="2" t="s">
        <v>2137</v>
      </c>
      <c r="E360" s="2" t="s">
        <v>2372</v>
      </c>
      <c r="F360" s="2" t="s">
        <v>1077</v>
      </c>
      <c r="G360" s="2" t="s">
        <v>1078</v>
      </c>
      <c r="H360" s="2" t="s">
        <v>460</v>
      </c>
      <c r="I360" s="2" t="s">
        <v>467</v>
      </c>
      <c r="J360" s="2" cm="1">
        <f t="array" ref="J360">_xlfn.IFS(DDLI_DME[[#This Row],[DATENTYP]]="unsigned integer",2,DDLI_DME[[#This Row],[DATENTYP]]="unsigned char",1,DDLI_DME[[#This Row],[DATENTYP]]="signed integer",2)</f>
        <v>2</v>
      </c>
      <c r="K360" s="2" t="s">
        <v>460</v>
      </c>
      <c r="L360">
        <v>5.0000002374872565E-4</v>
      </c>
      <c r="M360">
        <v>1</v>
      </c>
      <c r="N360" t="str">
        <f>TEXT(DDLI_DME[[#This Row],[MUL]],"######/######")</f>
        <v>1/2000</v>
      </c>
      <c r="O360">
        <v>0</v>
      </c>
      <c r="Q360">
        <f>HEX2DEC(DDLI_DME[[#This Row],[Hex]])</f>
        <v>0</v>
      </c>
      <c r="R360">
        <f>DDLI_DME[[#This Row],[ADD]]+DDLI_DME[[#This Row],[Dec]]*DDLI_DME[[#This Row],[MUL]]/DDLI_DME[[#This Row],[DIV]]</f>
        <v>0</v>
      </c>
    </row>
    <row r="361" spans="1:18" hidden="1" x14ac:dyDescent="0.25">
      <c r="A361" s="2" t="s">
        <v>2138</v>
      </c>
      <c r="B361" s="2" t="s">
        <v>2139</v>
      </c>
      <c r="C361" s="2" t="s">
        <v>2140</v>
      </c>
      <c r="D361" s="2" t="s">
        <v>2141</v>
      </c>
      <c r="E361" s="2"/>
      <c r="F361" s="2" t="s">
        <v>668</v>
      </c>
      <c r="G361" s="2" t="s">
        <v>1728</v>
      </c>
      <c r="H361" s="2" t="s">
        <v>460</v>
      </c>
      <c r="I361" s="2" t="s">
        <v>467</v>
      </c>
      <c r="J361" s="2" cm="1">
        <f t="array" ref="J361">_xlfn.IFS(DDLI_DME[[#This Row],[DATENTYP]]="unsigned integer",2,DDLI_DME[[#This Row],[DATENTYP]]="unsigned char",1,DDLI_DME[[#This Row],[DATENTYP]]="signed integer",2)</f>
        <v>2</v>
      </c>
      <c r="K361" s="2" t="s">
        <v>460</v>
      </c>
      <c r="L361">
        <v>1.52587890625E-3</v>
      </c>
      <c r="M361">
        <v>1</v>
      </c>
      <c r="N361" t="str">
        <f>TEXT(DDLI_DME[[#This Row],[MUL]],"######/######")</f>
        <v>25/16384</v>
      </c>
      <c r="O361">
        <v>0</v>
      </c>
      <c r="Q361">
        <f>HEX2DEC(DDLI_DME[[#This Row],[Hex]])</f>
        <v>0</v>
      </c>
      <c r="R361">
        <f>DDLI_DME[[#This Row],[ADD]]+DDLI_DME[[#This Row],[Dec]]*DDLI_DME[[#This Row],[MUL]]/DDLI_DME[[#This Row],[DIV]]</f>
        <v>0</v>
      </c>
    </row>
    <row r="362" spans="1:18" hidden="1" x14ac:dyDescent="0.25">
      <c r="A362" s="2" t="s">
        <v>2142</v>
      </c>
      <c r="B362" s="2" t="s">
        <v>2143</v>
      </c>
      <c r="C362" s="2" t="s">
        <v>2144</v>
      </c>
      <c r="D362" s="2" t="s">
        <v>2145</v>
      </c>
      <c r="E362" s="2"/>
      <c r="F362" s="2" t="s">
        <v>2146</v>
      </c>
      <c r="G362" s="2" t="s">
        <v>2147</v>
      </c>
      <c r="H362" s="2" t="s">
        <v>460</v>
      </c>
      <c r="I362" s="2" t="s">
        <v>461</v>
      </c>
      <c r="J362" s="2" cm="1">
        <f t="array" ref="J362">_xlfn.IFS(DDLI_DME[[#This Row],[DATENTYP]]="unsigned integer",2,DDLI_DME[[#This Row],[DATENTYP]]="unsigned char",1,DDLI_DME[[#This Row],[DATENTYP]]="signed integer",2)</f>
        <v>1</v>
      </c>
      <c r="K362" s="2" t="s">
        <v>2148</v>
      </c>
      <c r="L362">
        <v>1</v>
      </c>
      <c r="M362">
        <v>1</v>
      </c>
      <c r="N362" t="str">
        <f>TEXT(DDLI_DME[[#This Row],[MUL]],"######/######")</f>
        <v>1/1</v>
      </c>
      <c r="O362">
        <v>0</v>
      </c>
      <c r="Q362">
        <f>HEX2DEC(DDLI_DME[[#This Row],[Hex]])</f>
        <v>0</v>
      </c>
      <c r="R362">
        <f>DDLI_DME[[#This Row],[ADD]]+DDLI_DME[[#This Row],[Dec]]*DDLI_DME[[#This Row],[MUL]]/DDLI_DME[[#This Row],[DIV]]</f>
        <v>0</v>
      </c>
    </row>
    <row r="363" spans="1:18" hidden="1" x14ac:dyDescent="0.25">
      <c r="A363" s="13" t="s">
        <v>2149</v>
      </c>
      <c r="B363" s="13" t="s">
        <v>2150</v>
      </c>
      <c r="C363" s="13" t="s">
        <v>2151</v>
      </c>
      <c r="D363" s="13" t="s">
        <v>2152</v>
      </c>
      <c r="E363" s="13" t="s">
        <v>2373</v>
      </c>
      <c r="F363" s="13" t="s">
        <v>458</v>
      </c>
      <c r="G363" s="13" t="s">
        <v>2153</v>
      </c>
      <c r="H363" s="13" t="s">
        <v>460</v>
      </c>
      <c r="I363" s="13" t="s">
        <v>461</v>
      </c>
      <c r="J363" s="13" cm="1">
        <f t="array" ref="J363">_xlfn.IFS(DDLI_DME[[#This Row],[DATENTYP]]="unsigned integer",2,DDLI_DME[[#This Row],[DATENTYP]]="unsigned char",1,DDLI_DME[[#This Row],[DATENTYP]]="signed integer",2)</f>
        <v>1</v>
      </c>
      <c r="K363" s="13" t="s">
        <v>460</v>
      </c>
      <c r="L363" s="14">
        <v>0.75</v>
      </c>
      <c r="M363" s="14">
        <v>1</v>
      </c>
      <c r="N363" s="14" t="str">
        <f>TEXT(DDLI_DME[[#This Row],[MUL]],"######/######")</f>
        <v>3/4</v>
      </c>
      <c r="O363" s="14">
        <v>-48</v>
      </c>
      <c r="Q363">
        <f>HEX2DEC(DDLI_DME[[#This Row],[Hex]])</f>
        <v>0</v>
      </c>
      <c r="R363">
        <f>DDLI_DME[[#This Row],[ADD]]+DDLI_DME[[#This Row],[Dec]]*DDLI_DME[[#This Row],[MUL]]/DDLI_DME[[#This Row],[DIV]]</f>
        <v>-48</v>
      </c>
    </row>
    <row r="364" spans="1:18" hidden="1" x14ac:dyDescent="0.25">
      <c r="A364" s="2" t="s">
        <v>2154</v>
      </c>
      <c r="B364" s="2" t="s">
        <v>2155</v>
      </c>
      <c r="C364" s="2" t="s">
        <v>2156</v>
      </c>
      <c r="D364" s="2" t="s">
        <v>2157</v>
      </c>
      <c r="E364" s="2"/>
      <c r="F364" s="2" t="s">
        <v>460</v>
      </c>
      <c r="G364" s="2" t="s">
        <v>2158</v>
      </c>
      <c r="H364" s="2" t="s">
        <v>460</v>
      </c>
      <c r="I364" s="2" t="s">
        <v>461</v>
      </c>
      <c r="J364" s="2" cm="1">
        <f t="array" ref="J364">_xlfn.IFS(DDLI_DME[[#This Row],[DATENTYP]]="unsigned integer",2,DDLI_DME[[#This Row],[DATENTYP]]="unsigned char",1,DDLI_DME[[#This Row],[DATENTYP]]="signed integer",2)</f>
        <v>1</v>
      </c>
      <c r="K364" s="2" t="s">
        <v>460</v>
      </c>
      <c r="L364">
        <v>1</v>
      </c>
      <c r="M364">
        <v>1</v>
      </c>
      <c r="N364" t="str">
        <f>TEXT(DDLI_DME[[#This Row],[MUL]],"######/######")</f>
        <v>1/1</v>
      </c>
      <c r="O364">
        <v>0</v>
      </c>
      <c r="Q364">
        <f>HEX2DEC(DDLI_DME[[#This Row],[Hex]])</f>
        <v>0</v>
      </c>
      <c r="R364">
        <f>DDLI_DME[[#This Row],[ADD]]+DDLI_DME[[#This Row],[Dec]]*DDLI_DME[[#This Row],[MUL]]/DDLI_DME[[#This Row],[DIV]]</f>
        <v>0</v>
      </c>
    </row>
    <row r="365" spans="1:18" hidden="1" x14ac:dyDescent="0.25">
      <c r="A365" s="2" t="s">
        <v>2159</v>
      </c>
      <c r="B365" s="2" t="s">
        <v>2160</v>
      </c>
      <c r="C365" s="2" t="s">
        <v>2161</v>
      </c>
      <c r="D365" s="2" t="s">
        <v>2162</v>
      </c>
      <c r="E365" s="2"/>
      <c r="F365" s="2" t="s">
        <v>2146</v>
      </c>
      <c r="G365" s="2" t="s">
        <v>2163</v>
      </c>
      <c r="H365" s="2" t="s">
        <v>460</v>
      </c>
      <c r="I365" s="2" t="s">
        <v>461</v>
      </c>
      <c r="J365" s="2" cm="1">
        <f t="array" ref="J365">_xlfn.IFS(DDLI_DME[[#This Row],[DATENTYP]]="unsigned integer",2,DDLI_DME[[#This Row],[DATENTYP]]="unsigned char",1,DDLI_DME[[#This Row],[DATENTYP]]="signed integer",2)</f>
        <v>1</v>
      </c>
      <c r="K365" s="2" t="s">
        <v>2164</v>
      </c>
      <c r="L365">
        <v>1</v>
      </c>
      <c r="M365">
        <v>1</v>
      </c>
      <c r="N365" t="str">
        <f>TEXT(DDLI_DME[[#This Row],[MUL]],"######/######")</f>
        <v>1/1</v>
      </c>
      <c r="O365">
        <v>0</v>
      </c>
      <c r="Q365">
        <f>HEX2DEC(DDLI_DME[[#This Row],[Hex]])</f>
        <v>0</v>
      </c>
      <c r="R365">
        <f>DDLI_DME[[#This Row],[ADD]]+DDLI_DME[[#This Row],[Dec]]*DDLI_DME[[#This Row],[MUL]]/DDLI_DME[[#This Row],[DIV]]</f>
        <v>0</v>
      </c>
    </row>
    <row r="366" spans="1:18" hidden="1" x14ac:dyDescent="0.25">
      <c r="A366" s="2" t="s">
        <v>2165</v>
      </c>
      <c r="B366" s="2" t="s">
        <v>2166</v>
      </c>
      <c r="C366" s="2" t="s">
        <v>2167</v>
      </c>
      <c r="D366" s="2" t="s">
        <v>2168</v>
      </c>
      <c r="E366" s="2"/>
      <c r="F366" s="2" t="s">
        <v>2146</v>
      </c>
      <c r="G366" s="2" t="s">
        <v>2169</v>
      </c>
      <c r="H366" s="2" t="s">
        <v>460</v>
      </c>
      <c r="I366" s="2" t="s">
        <v>467</v>
      </c>
      <c r="J366" s="2" cm="1">
        <f t="array" ref="J366">_xlfn.IFS(DDLI_DME[[#This Row],[DATENTYP]]="unsigned integer",2,DDLI_DME[[#This Row],[DATENTYP]]="unsigned char",1,DDLI_DME[[#This Row],[DATENTYP]]="signed integer",2)</f>
        <v>2</v>
      </c>
      <c r="K366" s="2" t="s">
        <v>2170</v>
      </c>
      <c r="L366">
        <v>1</v>
      </c>
      <c r="M366">
        <v>1</v>
      </c>
      <c r="N366" t="str">
        <f>TEXT(DDLI_DME[[#This Row],[MUL]],"######/######")</f>
        <v>1/1</v>
      </c>
      <c r="O366">
        <v>0</v>
      </c>
      <c r="Q366">
        <f>HEX2DEC(DDLI_DME[[#This Row],[Hex]])</f>
        <v>0</v>
      </c>
      <c r="R366">
        <f>DDLI_DME[[#This Row],[ADD]]+DDLI_DME[[#This Row],[Dec]]*DDLI_DME[[#This Row],[MUL]]/DDLI_DME[[#This Row],[DIV]]</f>
        <v>0</v>
      </c>
    </row>
    <row r="367" spans="1:18" hidden="1" x14ac:dyDescent="0.25">
      <c r="A367" s="2" t="s">
        <v>2171</v>
      </c>
      <c r="B367" s="2" t="s">
        <v>2172</v>
      </c>
      <c r="C367" s="2" t="s">
        <v>2173</v>
      </c>
      <c r="D367" s="2" t="s">
        <v>2174</v>
      </c>
      <c r="E367" s="2"/>
      <c r="F367" s="2" t="s">
        <v>460</v>
      </c>
      <c r="G367" s="2" t="s">
        <v>2175</v>
      </c>
      <c r="H367" s="2" t="s">
        <v>460</v>
      </c>
      <c r="I367" s="2" t="s">
        <v>504</v>
      </c>
      <c r="J367" s="2" t="e" cm="1">
        <f t="array" ref="J367">_xlfn.IFS(DDLI_DME[[#This Row],[DATENTYP]]="unsigned integer",2,DDLI_DME[[#This Row],[DATENTYP]]="unsigned char",1,DDLI_DME[[#This Row],[DATENTYP]]="signed integer",2)</f>
        <v>#N/A</v>
      </c>
      <c r="K367" s="2" t="s">
        <v>460</v>
      </c>
      <c r="L367">
        <v>1</v>
      </c>
      <c r="M367">
        <v>1</v>
      </c>
      <c r="N367" t="str">
        <f>TEXT(DDLI_DME[[#This Row],[MUL]],"######/######")</f>
        <v>1/1</v>
      </c>
      <c r="O367">
        <v>0</v>
      </c>
      <c r="Q367">
        <f>HEX2DEC(DDLI_DME[[#This Row],[Hex]])</f>
        <v>0</v>
      </c>
      <c r="R367">
        <f>DDLI_DME[[#This Row],[ADD]]+DDLI_DME[[#This Row],[Dec]]*DDLI_DME[[#This Row],[MUL]]/DDLI_DME[[#This Row],[DIV]]</f>
        <v>0</v>
      </c>
    </row>
    <row r="368" spans="1:18" hidden="1" x14ac:dyDescent="0.25">
      <c r="A368" s="2" t="s">
        <v>2176</v>
      </c>
      <c r="B368" s="2" t="s">
        <v>2177</v>
      </c>
      <c r="C368" s="2" t="s">
        <v>2178</v>
      </c>
      <c r="D368" s="2" t="s">
        <v>2179</v>
      </c>
      <c r="E368" s="2"/>
      <c r="F368" s="2" t="s">
        <v>630</v>
      </c>
      <c r="G368" s="2" t="s">
        <v>2180</v>
      </c>
      <c r="H368" s="2" t="s">
        <v>460</v>
      </c>
      <c r="I368" s="2" t="s">
        <v>531</v>
      </c>
      <c r="J368" s="2" cm="1">
        <f t="array" ref="J368">_xlfn.IFS(DDLI_DME[[#This Row],[DATENTYP]]="unsigned integer",2,DDLI_DME[[#This Row],[DATENTYP]]="unsigned char",1,DDLI_DME[[#This Row],[DATENTYP]]="signed integer",2)</f>
        <v>2</v>
      </c>
      <c r="K368" s="2" t="s">
        <v>460</v>
      </c>
      <c r="L368">
        <v>1.0000000474974513E-3</v>
      </c>
      <c r="M368">
        <v>1</v>
      </c>
      <c r="N368" t="str">
        <f>TEXT(DDLI_DME[[#This Row],[MUL]],"######/######")</f>
        <v>1/1000</v>
      </c>
      <c r="O368">
        <v>0</v>
      </c>
      <c r="Q368">
        <f>HEX2DEC(DDLI_DME[[#This Row],[Hex]])</f>
        <v>0</v>
      </c>
      <c r="R368">
        <f>DDLI_DME[[#This Row],[ADD]]+DDLI_DME[[#This Row],[Dec]]*DDLI_DME[[#This Row],[MUL]]/DDLI_DME[[#This Row],[DIV]]</f>
        <v>0</v>
      </c>
    </row>
    <row r="369" spans="1:18" hidden="1" x14ac:dyDescent="0.25">
      <c r="A369" s="2" t="s">
        <v>2181</v>
      </c>
      <c r="B369" s="2" t="s">
        <v>2182</v>
      </c>
      <c r="C369" s="2" t="s">
        <v>2183</v>
      </c>
      <c r="D369" s="2" t="s">
        <v>2184</v>
      </c>
      <c r="E369" s="2"/>
      <c r="F369" s="2" t="s">
        <v>460</v>
      </c>
      <c r="G369" s="2" t="s">
        <v>2185</v>
      </c>
      <c r="H369" s="2" t="s">
        <v>460</v>
      </c>
      <c r="I369" s="2" t="s">
        <v>531</v>
      </c>
      <c r="J369" s="2" cm="1">
        <f t="array" ref="J369">_xlfn.IFS(DDLI_DME[[#This Row],[DATENTYP]]="unsigned integer",2,DDLI_DME[[#This Row],[DATENTYP]]="unsigned char",1,DDLI_DME[[#This Row],[DATENTYP]]="signed integer",2)</f>
        <v>2</v>
      </c>
      <c r="K369" s="2" t="s">
        <v>460</v>
      </c>
      <c r="L369">
        <v>6.103515625E-5</v>
      </c>
      <c r="M369">
        <v>1</v>
      </c>
      <c r="N369" t="str">
        <f>TEXT(DDLI_DME[[#This Row],[MUL]],"######/######")</f>
        <v>1/16384</v>
      </c>
      <c r="O369">
        <v>0</v>
      </c>
      <c r="Q369">
        <f>HEX2DEC(DDLI_DME[[#This Row],[Hex]])</f>
        <v>0</v>
      </c>
      <c r="R369">
        <f>DDLI_DME[[#This Row],[ADD]]+DDLI_DME[[#This Row],[Dec]]*DDLI_DME[[#This Row],[MUL]]/DDLI_DME[[#This Row],[DIV]]</f>
        <v>0</v>
      </c>
    </row>
    <row r="370" spans="1:18" hidden="1" x14ac:dyDescent="0.25">
      <c r="A370" s="2" t="s">
        <v>2186</v>
      </c>
      <c r="B370" s="2" t="s">
        <v>2187</v>
      </c>
      <c r="C370" s="2" t="s">
        <v>2188</v>
      </c>
      <c r="D370" s="2" t="s">
        <v>2189</v>
      </c>
      <c r="E370" s="2"/>
      <c r="F370" s="2" t="s">
        <v>2122</v>
      </c>
      <c r="G370" s="2" t="s">
        <v>2190</v>
      </c>
      <c r="H370" s="2" t="s">
        <v>460</v>
      </c>
      <c r="I370" s="2" t="s">
        <v>467</v>
      </c>
      <c r="J370" s="2" cm="1">
        <f t="array" ref="J370">_xlfn.IFS(DDLI_DME[[#This Row],[DATENTYP]]="unsigned integer",2,DDLI_DME[[#This Row],[DATENTYP]]="unsigned char",1,DDLI_DME[[#This Row],[DATENTYP]]="signed integer",2)</f>
        <v>2</v>
      </c>
      <c r="K370" s="2" t="s">
        <v>460</v>
      </c>
      <c r="L370">
        <v>3.8910505827516317E-3</v>
      </c>
      <c r="M370">
        <v>1</v>
      </c>
      <c r="N370" t="str">
        <f>TEXT(DDLI_DME[[#This Row],[MUL]],"######/######")</f>
        <v>1/257</v>
      </c>
      <c r="O370">
        <v>0</v>
      </c>
      <c r="Q370">
        <f>HEX2DEC(DDLI_DME[[#This Row],[Hex]])</f>
        <v>0</v>
      </c>
      <c r="R370">
        <f>DDLI_DME[[#This Row],[ADD]]+DDLI_DME[[#This Row],[Dec]]*DDLI_DME[[#This Row],[MUL]]/DDLI_DME[[#This Row],[DIV]]</f>
        <v>0</v>
      </c>
    </row>
    <row r="371" spans="1:18" hidden="1" x14ac:dyDescent="0.25">
      <c r="A371" s="2" t="s">
        <v>2191</v>
      </c>
      <c r="B371" s="2" t="s">
        <v>2192</v>
      </c>
      <c r="C371" s="2" t="s">
        <v>2193</v>
      </c>
      <c r="D371" s="2" t="s">
        <v>2194</v>
      </c>
      <c r="E371" s="2"/>
      <c r="F371" s="2" t="s">
        <v>630</v>
      </c>
      <c r="G371" s="2" t="s">
        <v>2195</v>
      </c>
      <c r="H371" s="2" t="s">
        <v>460</v>
      </c>
      <c r="I371" s="2" t="s">
        <v>531</v>
      </c>
      <c r="J371" s="2" cm="1">
        <f t="array" ref="J371">_xlfn.IFS(DDLI_DME[[#This Row],[DATENTYP]]="unsigned integer",2,DDLI_DME[[#This Row],[DATENTYP]]="unsigned char",1,DDLI_DME[[#This Row],[DATENTYP]]="signed integer",2)</f>
        <v>2</v>
      </c>
      <c r="K371" s="2" t="s">
        <v>460</v>
      </c>
      <c r="L371">
        <v>1.0000000474974513E-3</v>
      </c>
      <c r="M371">
        <v>1</v>
      </c>
      <c r="N371" t="str">
        <f>TEXT(DDLI_DME[[#This Row],[MUL]],"######/######")</f>
        <v>1/1000</v>
      </c>
      <c r="O371">
        <v>0</v>
      </c>
      <c r="Q371">
        <f>HEX2DEC(DDLI_DME[[#This Row],[Hex]])</f>
        <v>0</v>
      </c>
      <c r="R371">
        <f>DDLI_DME[[#This Row],[ADD]]+DDLI_DME[[#This Row],[Dec]]*DDLI_DME[[#This Row],[MUL]]/DDLI_DME[[#This Row],[DIV]]</f>
        <v>0</v>
      </c>
    </row>
    <row r="372" spans="1:18" hidden="1" x14ac:dyDescent="0.25">
      <c r="A372" s="2" t="s">
        <v>2196</v>
      </c>
      <c r="B372" s="2" t="s">
        <v>2197</v>
      </c>
      <c r="C372" s="2" t="s">
        <v>2198</v>
      </c>
      <c r="D372" s="2" t="s">
        <v>2199</v>
      </c>
      <c r="E372" s="2"/>
      <c r="F372" s="2" t="s">
        <v>460</v>
      </c>
      <c r="G372" s="2" t="s">
        <v>2200</v>
      </c>
      <c r="H372" s="2" t="s">
        <v>460</v>
      </c>
      <c r="I372" s="2" t="s">
        <v>531</v>
      </c>
      <c r="J372" s="2" cm="1">
        <f t="array" ref="J372">_xlfn.IFS(DDLI_DME[[#This Row],[DATENTYP]]="unsigned integer",2,DDLI_DME[[#This Row],[DATENTYP]]="unsigned char",1,DDLI_DME[[#This Row],[DATENTYP]]="signed integer",2)</f>
        <v>2</v>
      </c>
      <c r="K372" s="2" t="s">
        <v>460</v>
      </c>
      <c r="L372">
        <v>6.103515625E-5</v>
      </c>
      <c r="M372">
        <v>1</v>
      </c>
      <c r="N372" t="str">
        <f>TEXT(DDLI_DME[[#This Row],[MUL]],"######/######")</f>
        <v>1/16384</v>
      </c>
      <c r="O372">
        <v>0</v>
      </c>
      <c r="Q372">
        <f>HEX2DEC(DDLI_DME[[#This Row],[Hex]])</f>
        <v>0</v>
      </c>
      <c r="R372">
        <f>DDLI_DME[[#This Row],[ADD]]+DDLI_DME[[#This Row],[Dec]]*DDLI_DME[[#This Row],[MUL]]/DDLI_DME[[#This Row],[DIV]]</f>
        <v>0</v>
      </c>
    </row>
    <row r="373" spans="1:18" hidden="1" x14ac:dyDescent="0.25">
      <c r="A373" s="2" t="s">
        <v>2201</v>
      </c>
      <c r="B373" s="2" t="s">
        <v>2202</v>
      </c>
      <c r="C373" s="2" t="s">
        <v>2203</v>
      </c>
      <c r="D373" s="2" t="s">
        <v>2204</v>
      </c>
      <c r="E373" s="2"/>
      <c r="F373" s="2" t="s">
        <v>460</v>
      </c>
      <c r="G373" s="2" t="s">
        <v>2205</v>
      </c>
      <c r="H373" s="2" t="s">
        <v>460</v>
      </c>
      <c r="I373" s="2" t="s">
        <v>467</v>
      </c>
      <c r="J373" s="2" cm="1">
        <f t="array" ref="J373">_xlfn.IFS(DDLI_DME[[#This Row],[DATENTYP]]="unsigned integer",2,DDLI_DME[[#This Row],[DATENTYP]]="unsigned char",1,DDLI_DME[[#This Row],[DATENTYP]]="signed integer",2)</f>
        <v>2</v>
      </c>
      <c r="K373" s="2" t="s">
        <v>460</v>
      </c>
      <c r="L373">
        <v>1</v>
      </c>
      <c r="M373">
        <v>1</v>
      </c>
      <c r="N373" t="str">
        <f>TEXT(DDLI_DME[[#This Row],[MUL]],"######/######")</f>
        <v>1/1</v>
      </c>
      <c r="O373">
        <v>0</v>
      </c>
      <c r="Q373">
        <f>HEX2DEC(DDLI_DME[[#This Row],[Hex]])</f>
        <v>0</v>
      </c>
      <c r="R373">
        <f>DDLI_DME[[#This Row],[ADD]]+DDLI_DME[[#This Row],[Dec]]*DDLI_DME[[#This Row],[MUL]]/DDLI_DME[[#This Row],[DIV]]</f>
        <v>0</v>
      </c>
    </row>
    <row r="374" spans="1:18" hidden="1" x14ac:dyDescent="0.25">
      <c r="A374" s="2" t="s">
        <v>2206</v>
      </c>
      <c r="B374" s="2" t="s">
        <v>2207</v>
      </c>
      <c r="C374" s="2" t="s">
        <v>2203</v>
      </c>
      <c r="D374" s="2" t="s">
        <v>2204</v>
      </c>
      <c r="E374" s="2"/>
      <c r="F374" s="2" t="s">
        <v>460</v>
      </c>
      <c r="G374" s="2" t="s">
        <v>2208</v>
      </c>
      <c r="H374" s="2" t="s">
        <v>460</v>
      </c>
      <c r="I374" s="2" t="s">
        <v>467</v>
      </c>
      <c r="J374" s="2" cm="1">
        <f t="array" ref="J374">_xlfn.IFS(DDLI_DME[[#This Row],[DATENTYP]]="unsigned integer",2,DDLI_DME[[#This Row],[DATENTYP]]="unsigned char",1,DDLI_DME[[#This Row],[DATENTYP]]="signed integer",2)</f>
        <v>2</v>
      </c>
      <c r="K374" s="2" t="s">
        <v>460</v>
      </c>
      <c r="L374">
        <v>1</v>
      </c>
      <c r="M374">
        <v>1</v>
      </c>
      <c r="N374" t="str">
        <f>TEXT(DDLI_DME[[#This Row],[MUL]],"######/######")</f>
        <v>1/1</v>
      </c>
      <c r="O374">
        <v>0</v>
      </c>
      <c r="Q374">
        <f>HEX2DEC(DDLI_DME[[#This Row],[Hex]])</f>
        <v>0</v>
      </c>
      <c r="R374">
        <f>DDLI_DME[[#This Row],[ADD]]+DDLI_DME[[#This Row],[Dec]]*DDLI_DME[[#This Row],[MUL]]/DDLI_DME[[#This Row],[DIV]]</f>
        <v>0</v>
      </c>
    </row>
    <row r="375" spans="1:18" hidden="1" x14ac:dyDescent="0.25">
      <c r="A375" s="2" t="s">
        <v>2209</v>
      </c>
      <c r="B375" s="2" t="s">
        <v>2210</v>
      </c>
      <c r="C375" s="2" t="s">
        <v>2203</v>
      </c>
      <c r="D375" s="2" t="s">
        <v>2204</v>
      </c>
      <c r="E375" s="2"/>
      <c r="F375" s="2" t="s">
        <v>460</v>
      </c>
      <c r="G375" s="2" t="s">
        <v>2211</v>
      </c>
      <c r="H375" s="2" t="s">
        <v>460</v>
      </c>
      <c r="I375" s="2" t="s">
        <v>467</v>
      </c>
      <c r="J375" s="2" cm="1">
        <f t="array" ref="J375">_xlfn.IFS(DDLI_DME[[#This Row],[DATENTYP]]="unsigned integer",2,DDLI_DME[[#This Row],[DATENTYP]]="unsigned char",1,DDLI_DME[[#This Row],[DATENTYP]]="signed integer",2)</f>
        <v>2</v>
      </c>
      <c r="K375" s="2" t="s">
        <v>460</v>
      </c>
      <c r="L375">
        <v>1</v>
      </c>
      <c r="M375">
        <v>1</v>
      </c>
      <c r="N375" t="str">
        <f>TEXT(DDLI_DME[[#This Row],[MUL]],"######/######")</f>
        <v>1/1</v>
      </c>
      <c r="O375">
        <v>0</v>
      </c>
      <c r="Q375">
        <f>HEX2DEC(DDLI_DME[[#This Row],[Hex]])</f>
        <v>0</v>
      </c>
      <c r="R375">
        <f>DDLI_DME[[#This Row],[ADD]]+DDLI_DME[[#This Row],[Dec]]*DDLI_DME[[#This Row],[MUL]]/DDLI_DME[[#This Row],[DIV]]</f>
        <v>0</v>
      </c>
    </row>
    <row r="376" spans="1:18" hidden="1" x14ac:dyDescent="0.25">
      <c r="A376" s="2" t="s">
        <v>2212</v>
      </c>
      <c r="B376" s="2" t="s">
        <v>2213</v>
      </c>
      <c r="C376" s="2" t="s">
        <v>2203</v>
      </c>
      <c r="D376" s="2" t="s">
        <v>2204</v>
      </c>
      <c r="E376" s="2"/>
      <c r="F376" s="2" t="s">
        <v>460</v>
      </c>
      <c r="G376" s="2" t="s">
        <v>2214</v>
      </c>
      <c r="H376" s="2" t="s">
        <v>460</v>
      </c>
      <c r="I376" s="2" t="s">
        <v>467</v>
      </c>
      <c r="J376" s="2" cm="1">
        <f t="array" ref="J376">_xlfn.IFS(DDLI_DME[[#This Row],[DATENTYP]]="unsigned integer",2,DDLI_DME[[#This Row],[DATENTYP]]="unsigned char",1,DDLI_DME[[#This Row],[DATENTYP]]="signed integer",2)</f>
        <v>2</v>
      </c>
      <c r="K376" s="2" t="s">
        <v>460</v>
      </c>
      <c r="L376">
        <v>1</v>
      </c>
      <c r="M376">
        <v>1</v>
      </c>
      <c r="N376" t="str">
        <f>TEXT(DDLI_DME[[#This Row],[MUL]],"######/######")</f>
        <v>1/1</v>
      </c>
      <c r="O376">
        <v>0</v>
      </c>
      <c r="Q376">
        <f>HEX2DEC(DDLI_DME[[#This Row],[Hex]])</f>
        <v>0</v>
      </c>
      <c r="R376">
        <f>DDLI_DME[[#This Row],[ADD]]+DDLI_DME[[#This Row],[Dec]]*DDLI_DME[[#This Row],[MUL]]/DDLI_DME[[#This Row],[DIV]]</f>
        <v>0</v>
      </c>
    </row>
    <row r="377" spans="1:18" hidden="1" x14ac:dyDescent="0.25">
      <c r="A377" s="2" t="s">
        <v>2215</v>
      </c>
      <c r="B377" s="2" t="s">
        <v>2216</v>
      </c>
      <c r="C377" s="2" t="s">
        <v>2203</v>
      </c>
      <c r="D377" s="2" t="s">
        <v>2204</v>
      </c>
      <c r="E377" s="2"/>
      <c r="F377" s="2" t="s">
        <v>460</v>
      </c>
      <c r="G377" s="2" t="s">
        <v>2217</v>
      </c>
      <c r="H377" s="2" t="s">
        <v>460</v>
      </c>
      <c r="I377" s="2" t="s">
        <v>467</v>
      </c>
      <c r="J377" s="2" cm="1">
        <f t="array" ref="J377">_xlfn.IFS(DDLI_DME[[#This Row],[DATENTYP]]="unsigned integer",2,DDLI_DME[[#This Row],[DATENTYP]]="unsigned char",1,DDLI_DME[[#This Row],[DATENTYP]]="signed integer",2)</f>
        <v>2</v>
      </c>
      <c r="K377" s="2" t="s">
        <v>460</v>
      </c>
      <c r="L377">
        <v>1</v>
      </c>
      <c r="M377">
        <v>1</v>
      </c>
      <c r="N377" t="str">
        <f>TEXT(DDLI_DME[[#This Row],[MUL]],"######/######")</f>
        <v>1/1</v>
      </c>
      <c r="O377">
        <v>0</v>
      </c>
      <c r="Q377">
        <f>HEX2DEC(DDLI_DME[[#This Row],[Hex]])</f>
        <v>0</v>
      </c>
      <c r="R377">
        <f>DDLI_DME[[#This Row],[ADD]]+DDLI_DME[[#This Row],[Dec]]*DDLI_DME[[#This Row],[MUL]]/DDLI_DME[[#This Row],[DIV]]</f>
        <v>0</v>
      </c>
    </row>
    <row r="378" spans="1:18" hidden="1" x14ac:dyDescent="0.25">
      <c r="A378" s="2" t="s">
        <v>2218</v>
      </c>
      <c r="B378" s="2" t="s">
        <v>2219</v>
      </c>
      <c r="C378" s="2" t="s">
        <v>2203</v>
      </c>
      <c r="D378" s="2" t="s">
        <v>2204</v>
      </c>
      <c r="E378" s="2"/>
      <c r="F378" s="2" t="s">
        <v>460</v>
      </c>
      <c r="G378" s="2" t="s">
        <v>2220</v>
      </c>
      <c r="H378" s="2" t="s">
        <v>460</v>
      </c>
      <c r="I378" s="2" t="s">
        <v>467</v>
      </c>
      <c r="J378" s="2" cm="1">
        <f t="array" ref="J378">_xlfn.IFS(DDLI_DME[[#This Row],[DATENTYP]]="unsigned integer",2,DDLI_DME[[#This Row],[DATENTYP]]="unsigned char",1,DDLI_DME[[#This Row],[DATENTYP]]="signed integer",2)</f>
        <v>2</v>
      </c>
      <c r="K378" s="2" t="s">
        <v>460</v>
      </c>
      <c r="L378">
        <v>1</v>
      </c>
      <c r="M378">
        <v>1</v>
      </c>
      <c r="N378" t="str">
        <f>TEXT(DDLI_DME[[#This Row],[MUL]],"######/######")</f>
        <v>1/1</v>
      </c>
      <c r="O378">
        <v>0</v>
      </c>
      <c r="Q378">
        <f>HEX2DEC(DDLI_DME[[#This Row],[Hex]])</f>
        <v>0</v>
      </c>
      <c r="R378">
        <f>DDLI_DME[[#This Row],[ADD]]+DDLI_DME[[#This Row],[Dec]]*DDLI_DME[[#This Row],[MUL]]/DDLI_DME[[#This Row],[DIV]]</f>
        <v>0</v>
      </c>
    </row>
    <row r="379" spans="1:18" hidden="1" x14ac:dyDescent="0.25">
      <c r="A379" s="2" t="s">
        <v>2221</v>
      </c>
      <c r="B379" s="2" t="s">
        <v>2222</v>
      </c>
      <c r="C379" s="2" t="s">
        <v>2203</v>
      </c>
      <c r="D379" s="2" t="s">
        <v>2204</v>
      </c>
      <c r="E379" s="2"/>
      <c r="F379" s="2" t="s">
        <v>460</v>
      </c>
      <c r="G379" s="2" t="s">
        <v>2223</v>
      </c>
      <c r="H379" s="2" t="s">
        <v>460</v>
      </c>
      <c r="I379" s="2" t="s">
        <v>467</v>
      </c>
      <c r="J379" s="2" cm="1">
        <f t="array" ref="J379">_xlfn.IFS(DDLI_DME[[#This Row],[DATENTYP]]="unsigned integer",2,DDLI_DME[[#This Row],[DATENTYP]]="unsigned char",1,DDLI_DME[[#This Row],[DATENTYP]]="signed integer",2)</f>
        <v>2</v>
      </c>
      <c r="K379" s="2" t="s">
        <v>460</v>
      </c>
      <c r="L379">
        <v>1</v>
      </c>
      <c r="M379">
        <v>1</v>
      </c>
      <c r="N379" t="str">
        <f>TEXT(DDLI_DME[[#This Row],[MUL]],"######/######")</f>
        <v>1/1</v>
      </c>
      <c r="O379">
        <v>0</v>
      </c>
      <c r="Q379">
        <f>HEX2DEC(DDLI_DME[[#This Row],[Hex]])</f>
        <v>0</v>
      </c>
      <c r="R379">
        <f>DDLI_DME[[#This Row],[ADD]]+DDLI_DME[[#This Row],[Dec]]*DDLI_DME[[#This Row],[MUL]]/DDLI_DME[[#This Row],[DIV]]</f>
        <v>0</v>
      </c>
    </row>
    <row r="380" spans="1:18" hidden="1" x14ac:dyDescent="0.25">
      <c r="A380" s="2" t="s">
        <v>2224</v>
      </c>
      <c r="B380" s="2" t="s">
        <v>2225</v>
      </c>
      <c r="C380" s="2" t="s">
        <v>2203</v>
      </c>
      <c r="D380" s="2" t="s">
        <v>2204</v>
      </c>
      <c r="E380" s="2"/>
      <c r="F380" s="2" t="s">
        <v>460</v>
      </c>
      <c r="G380" s="2" t="s">
        <v>2226</v>
      </c>
      <c r="H380" s="2" t="s">
        <v>460</v>
      </c>
      <c r="I380" s="2" t="s">
        <v>467</v>
      </c>
      <c r="J380" s="2" cm="1">
        <f t="array" ref="J380">_xlfn.IFS(DDLI_DME[[#This Row],[DATENTYP]]="unsigned integer",2,DDLI_DME[[#This Row],[DATENTYP]]="unsigned char",1,DDLI_DME[[#This Row],[DATENTYP]]="signed integer",2)</f>
        <v>2</v>
      </c>
      <c r="K380" s="2" t="s">
        <v>460</v>
      </c>
      <c r="L380">
        <v>1</v>
      </c>
      <c r="M380">
        <v>1</v>
      </c>
      <c r="N380" t="str">
        <f>TEXT(DDLI_DME[[#This Row],[MUL]],"######/######")</f>
        <v>1/1</v>
      </c>
      <c r="O380">
        <v>0</v>
      </c>
      <c r="Q380">
        <f>HEX2DEC(DDLI_DME[[#This Row],[Hex]])</f>
        <v>0</v>
      </c>
      <c r="R380">
        <f>DDLI_DME[[#This Row],[ADD]]+DDLI_DME[[#This Row],[Dec]]*DDLI_DME[[#This Row],[MUL]]/DDLI_DME[[#This Row],[DIV]]</f>
        <v>0</v>
      </c>
    </row>
    <row r="381" spans="1:18" hidden="1" x14ac:dyDescent="0.25">
      <c r="A381" s="2" t="s">
        <v>2227</v>
      </c>
      <c r="B381" s="2" t="s">
        <v>2228</v>
      </c>
      <c r="C381" s="2" t="s">
        <v>2203</v>
      </c>
      <c r="D381" s="2" t="s">
        <v>2204</v>
      </c>
      <c r="E381" s="2"/>
      <c r="F381" s="2" t="s">
        <v>460</v>
      </c>
      <c r="G381" s="2" t="s">
        <v>2229</v>
      </c>
      <c r="H381" s="2" t="s">
        <v>460</v>
      </c>
      <c r="I381" s="2" t="s">
        <v>467</v>
      </c>
      <c r="J381" s="2" cm="1">
        <f t="array" ref="J381">_xlfn.IFS(DDLI_DME[[#This Row],[DATENTYP]]="unsigned integer",2,DDLI_DME[[#This Row],[DATENTYP]]="unsigned char",1,DDLI_DME[[#This Row],[DATENTYP]]="signed integer",2)</f>
        <v>2</v>
      </c>
      <c r="K381" s="2" t="s">
        <v>460</v>
      </c>
      <c r="L381">
        <v>1</v>
      </c>
      <c r="M381">
        <v>1</v>
      </c>
      <c r="N381" t="str">
        <f>TEXT(DDLI_DME[[#This Row],[MUL]],"######/######")</f>
        <v>1/1</v>
      </c>
      <c r="O381">
        <v>0</v>
      </c>
      <c r="Q381">
        <f>HEX2DEC(DDLI_DME[[#This Row],[Hex]])</f>
        <v>0</v>
      </c>
      <c r="R381">
        <f>DDLI_DME[[#This Row],[ADD]]+DDLI_DME[[#This Row],[Dec]]*DDLI_DME[[#This Row],[MUL]]/DDLI_DME[[#This Row],[DIV]]</f>
        <v>0</v>
      </c>
    </row>
    <row r="382" spans="1:18" hidden="1" x14ac:dyDescent="0.25">
      <c r="A382" s="2" t="s">
        <v>2230</v>
      </c>
      <c r="B382" s="2" t="s">
        <v>2231</v>
      </c>
      <c r="C382" s="2" t="s">
        <v>2232</v>
      </c>
      <c r="D382" s="2" t="s">
        <v>2233</v>
      </c>
      <c r="E382" s="2"/>
      <c r="F382" s="2" t="s">
        <v>460</v>
      </c>
      <c r="G382" s="2" t="s">
        <v>2234</v>
      </c>
      <c r="H382" s="2" t="s">
        <v>460</v>
      </c>
      <c r="I382" s="2" t="s">
        <v>467</v>
      </c>
      <c r="J382" s="2" cm="1">
        <f t="array" ref="J382">_xlfn.IFS(DDLI_DME[[#This Row],[DATENTYP]]="unsigned integer",2,DDLI_DME[[#This Row],[DATENTYP]]="unsigned char",1,DDLI_DME[[#This Row],[DATENTYP]]="signed integer",2)</f>
        <v>2</v>
      </c>
      <c r="K382" s="2" t="s">
        <v>460</v>
      </c>
      <c r="L382">
        <v>1</v>
      </c>
      <c r="M382">
        <v>1</v>
      </c>
      <c r="N382" t="str">
        <f>TEXT(DDLI_DME[[#This Row],[MUL]],"######/######")</f>
        <v>1/1</v>
      </c>
      <c r="O382">
        <v>0</v>
      </c>
      <c r="Q382">
        <f>HEX2DEC(DDLI_DME[[#This Row],[Hex]])</f>
        <v>0</v>
      </c>
      <c r="R382">
        <f>DDLI_DME[[#This Row],[ADD]]+DDLI_DME[[#This Row],[Dec]]*DDLI_DME[[#This Row],[MUL]]/DDLI_DME[[#This Row],[DIV]]</f>
        <v>0</v>
      </c>
    </row>
    <row r="383" spans="1:18" hidden="1" x14ac:dyDescent="0.25">
      <c r="A383" s="2" t="s">
        <v>2235</v>
      </c>
      <c r="B383" s="2" t="s">
        <v>2236</v>
      </c>
      <c r="C383" s="2" t="s">
        <v>2237</v>
      </c>
      <c r="D383" s="2" t="s">
        <v>2238</v>
      </c>
      <c r="E383" s="2"/>
      <c r="F383" s="2" t="s">
        <v>460</v>
      </c>
      <c r="G383" s="2" t="s">
        <v>2234</v>
      </c>
      <c r="H383" s="2" t="s">
        <v>460</v>
      </c>
      <c r="I383" s="2" t="s">
        <v>467</v>
      </c>
      <c r="J383" s="2" cm="1">
        <f t="array" ref="J383">_xlfn.IFS(DDLI_DME[[#This Row],[DATENTYP]]="unsigned integer",2,DDLI_DME[[#This Row],[DATENTYP]]="unsigned char",1,DDLI_DME[[#This Row],[DATENTYP]]="signed integer",2)</f>
        <v>2</v>
      </c>
      <c r="K383" s="2" t="s">
        <v>460</v>
      </c>
      <c r="L383">
        <v>1</v>
      </c>
      <c r="M383">
        <v>1</v>
      </c>
      <c r="N383" t="str">
        <f>TEXT(DDLI_DME[[#This Row],[MUL]],"######/######")</f>
        <v>1/1</v>
      </c>
      <c r="O383">
        <v>0</v>
      </c>
      <c r="Q383">
        <f>HEX2DEC(DDLI_DME[[#This Row],[Hex]])</f>
        <v>0</v>
      </c>
      <c r="R383">
        <f>DDLI_DME[[#This Row],[ADD]]+DDLI_DME[[#This Row],[Dec]]*DDLI_DME[[#This Row],[MUL]]/DDLI_DME[[#This Row],[DIV]]</f>
        <v>0</v>
      </c>
    </row>
    <row r="384" spans="1:18" hidden="1" x14ac:dyDescent="0.25">
      <c r="A384" s="2" t="s">
        <v>2239</v>
      </c>
      <c r="B384" s="2" t="s">
        <v>2240</v>
      </c>
      <c r="C384" s="2" t="s">
        <v>2241</v>
      </c>
      <c r="D384" s="2" t="s">
        <v>2242</v>
      </c>
      <c r="E384" s="2"/>
      <c r="F384" s="2" t="s">
        <v>460</v>
      </c>
      <c r="G384" s="2" t="s">
        <v>2234</v>
      </c>
      <c r="H384" s="2" t="s">
        <v>460</v>
      </c>
      <c r="I384" s="2" t="s">
        <v>467</v>
      </c>
      <c r="J384" s="2" cm="1">
        <f t="array" ref="J384">_xlfn.IFS(DDLI_DME[[#This Row],[DATENTYP]]="unsigned integer",2,DDLI_DME[[#This Row],[DATENTYP]]="unsigned char",1,DDLI_DME[[#This Row],[DATENTYP]]="signed integer",2)</f>
        <v>2</v>
      </c>
      <c r="K384" s="2" t="s">
        <v>460</v>
      </c>
      <c r="L384">
        <v>1</v>
      </c>
      <c r="M384">
        <v>1</v>
      </c>
      <c r="N384" t="str">
        <f>TEXT(DDLI_DME[[#This Row],[MUL]],"######/######")</f>
        <v>1/1</v>
      </c>
      <c r="O384">
        <v>0</v>
      </c>
      <c r="Q384">
        <f>HEX2DEC(DDLI_DME[[#This Row],[Hex]])</f>
        <v>0</v>
      </c>
      <c r="R384">
        <f>DDLI_DME[[#This Row],[ADD]]+DDLI_DME[[#This Row],[Dec]]*DDLI_DME[[#This Row],[MUL]]/DDLI_DME[[#This Row],[DIV]]</f>
        <v>0</v>
      </c>
    </row>
    <row r="385" spans="1:18" hidden="1" x14ac:dyDescent="0.25">
      <c r="A385" s="2" t="s">
        <v>2243</v>
      </c>
      <c r="B385" s="2" t="s">
        <v>2244</v>
      </c>
      <c r="C385" s="2" t="s">
        <v>2245</v>
      </c>
      <c r="D385" s="2" t="s">
        <v>2246</v>
      </c>
      <c r="E385" s="2"/>
      <c r="F385" s="2" t="s">
        <v>460</v>
      </c>
      <c r="G385" s="2" t="s">
        <v>2234</v>
      </c>
      <c r="H385" s="2" t="s">
        <v>460</v>
      </c>
      <c r="I385" s="2" t="s">
        <v>467</v>
      </c>
      <c r="J385" s="2" cm="1">
        <f t="array" ref="J385">_xlfn.IFS(DDLI_DME[[#This Row],[DATENTYP]]="unsigned integer",2,DDLI_DME[[#This Row],[DATENTYP]]="unsigned char",1,DDLI_DME[[#This Row],[DATENTYP]]="signed integer",2)</f>
        <v>2</v>
      </c>
      <c r="K385" s="2" t="s">
        <v>460</v>
      </c>
      <c r="L385">
        <v>1</v>
      </c>
      <c r="M385">
        <v>1</v>
      </c>
      <c r="N385" t="str">
        <f>TEXT(DDLI_DME[[#This Row],[MUL]],"######/######")</f>
        <v>1/1</v>
      </c>
      <c r="O385">
        <v>0</v>
      </c>
      <c r="Q385">
        <f>HEX2DEC(DDLI_DME[[#This Row],[Hex]])</f>
        <v>0</v>
      </c>
      <c r="R385">
        <f>DDLI_DME[[#This Row],[ADD]]+DDLI_DME[[#This Row],[Dec]]*DDLI_DME[[#This Row],[MUL]]/DDLI_DME[[#This Row],[DIV]]</f>
        <v>0</v>
      </c>
    </row>
    <row r="386" spans="1:18" hidden="1" x14ac:dyDescent="0.25">
      <c r="A386" s="2" t="s">
        <v>2247</v>
      </c>
      <c r="B386" s="2" t="s">
        <v>2248</v>
      </c>
      <c r="C386" s="2" t="s">
        <v>2249</v>
      </c>
      <c r="D386" s="2" t="s">
        <v>2250</v>
      </c>
      <c r="E386" s="2"/>
      <c r="F386" s="2" t="s">
        <v>668</v>
      </c>
      <c r="G386" s="2" t="s">
        <v>2251</v>
      </c>
      <c r="H386" s="2" t="s">
        <v>460</v>
      </c>
      <c r="I386" s="2" t="s">
        <v>531</v>
      </c>
      <c r="J386" s="2" cm="1">
        <f t="array" ref="J386">_xlfn.IFS(DDLI_DME[[#This Row],[DATENTYP]]="unsigned integer",2,DDLI_DME[[#This Row],[DATENTYP]]="unsigned char",1,DDLI_DME[[#This Row],[DATENTYP]]="signed integer",2)</f>
        <v>2</v>
      </c>
      <c r="K386" s="2" t="s">
        <v>460</v>
      </c>
      <c r="L386">
        <v>3.0517578125E-3</v>
      </c>
      <c r="M386">
        <v>1</v>
      </c>
      <c r="N386" t="str">
        <f>TEXT(DDLI_DME[[#This Row],[MUL]],"######/######")</f>
        <v>25/8192</v>
      </c>
      <c r="O386">
        <v>0</v>
      </c>
      <c r="Q386">
        <f>HEX2DEC(DDLI_DME[[#This Row],[Hex]])</f>
        <v>0</v>
      </c>
      <c r="R386">
        <f>DDLI_DME[[#This Row],[ADD]]+DDLI_DME[[#This Row],[Dec]]*DDLI_DME[[#This Row],[MUL]]/DDLI_DME[[#This Row],[DIV]]</f>
        <v>0</v>
      </c>
    </row>
    <row r="387" spans="1:18" hidden="1" x14ac:dyDescent="0.25">
      <c r="A387" s="2" t="s">
        <v>2252</v>
      </c>
      <c r="B387" s="2" t="s">
        <v>2253</v>
      </c>
      <c r="C387" s="2" t="s">
        <v>2254</v>
      </c>
      <c r="D387" s="2" t="s">
        <v>2255</v>
      </c>
      <c r="E387" s="2"/>
      <c r="F387" s="2" t="s">
        <v>668</v>
      </c>
      <c r="G387" s="2" t="s">
        <v>2256</v>
      </c>
      <c r="H387" s="2" t="s">
        <v>460</v>
      </c>
      <c r="I387" s="2" t="s">
        <v>531</v>
      </c>
      <c r="J387" s="2" cm="1">
        <f t="array" ref="J387">_xlfn.IFS(DDLI_DME[[#This Row],[DATENTYP]]="unsigned integer",2,DDLI_DME[[#This Row],[DATENTYP]]="unsigned char",1,DDLI_DME[[#This Row],[DATENTYP]]="signed integer",2)</f>
        <v>2</v>
      </c>
      <c r="K387" s="2" t="s">
        <v>460</v>
      </c>
      <c r="L387">
        <v>3.0517578125E-3</v>
      </c>
      <c r="M387">
        <v>1</v>
      </c>
      <c r="N387" t="str">
        <f>TEXT(DDLI_DME[[#This Row],[MUL]],"######/######")</f>
        <v>25/8192</v>
      </c>
      <c r="O387">
        <v>0</v>
      </c>
      <c r="Q387">
        <f>HEX2DEC(DDLI_DME[[#This Row],[Hex]])</f>
        <v>0</v>
      </c>
      <c r="R387">
        <f>DDLI_DME[[#This Row],[ADD]]+DDLI_DME[[#This Row],[Dec]]*DDLI_DME[[#This Row],[MUL]]/DDLI_DME[[#This Row],[DIV]]</f>
        <v>0</v>
      </c>
    </row>
    <row r="388" spans="1:18" hidden="1" x14ac:dyDescent="0.25">
      <c r="A388" s="2" t="s">
        <v>2257</v>
      </c>
      <c r="B388" s="2" t="s">
        <v>2258</v>
      </c>
      <c r="C388" s="2" t="s">
        <v>2259</v>
      </c>
      <c r="D388" s="2" t="s">
        <v>2260</v>
      </c>
      <c r="E388" s="2"/>
      <c r="F388" s="2" t="s">
        <v>668</v>
      </c>
      <c r="G388" s="2" t="s">
        <v>2261</v>
      </c>
      <c r="H388" s="2" t="s">
        <v>460</v>
      </c>
      <c r="I388" s="2" t="s">
        <v>531</v>
      </c>
      <c r="J388" s="2" cm="1">
        <f t="array" ref="J388">_xlfn.IFS(DDLI_DME[[#This Row],[DATENTYP]]="unsigned integer",2,DDLI_DME[[#This Row],[DATENTYP]]="unsigned char",1,DDLI_DME[[#This Row],[DATENTYP]]="signed integer",2)</f>
        <v>2</v>
      </c>
      <c r="K388" s="2" t="s">
        <v>460</v>
      </c>
      <c r="L388">
        <v>3.0517578125E-3</v>
      </c>
      <c r="M388">
        <v>1</v>
      </c>
      <c r="N388" t="str">
        <f>TEXT(DDLI_DME[[#This Row],[MUL]],"######/######")</f>
        <v>25/8192</v>
      </c>
      <c r="O388">
        <v>0</v>
      </c>
      <c r="Q388">
        <f>HEX2DEC(DDLI_DME[[#This Row],[Hex]])</f>
        <v>0</v>
      </c>
      <c r="R388">
        <f>DDLI_DME[[#This Row],[ADD]]+DDLI_DME[[#This Row],[Dec]]*DDLI_DME[[#This Row],[MUL]]/DDLI_DME[[#This Row],[DIV]]</f>
        <v>0</v>
      </c>
    </row>
    <row r="389" spans="1:18" hidden="1" x14ac:dyDescent="0.25">
      <c r="A389" s="2" t="s">
        <v>2262</v>
      </c>
      <c r="B389" s="2" t="s">
        <v>2263</v>
      </c>
      <c r="C389" s="2" t="s">
        <v>2264</v>
      </c>
      <c r="D389" s="2" t="s">
        <v>2265</v>
      </c>
      <c r="E389" s="2"/>
      <c r="F389" s="2" t="s">
        <v>668</v>
      </c>
      <c r="G389" s="2" t="s">
        <v>2266</v>
      </c>
      <c r="H389" s="2" t="s">
        <v>460</v>
      </c>
      <c r="I389" s="2" t="s">
        <v>531</v>
      </c>
      <c r="J389" s="2" cm="1">
        <f t="array" ref="J389">_xlfn.IFS(DDLI_DME[[#This Row],[DATENTYP]]="unsigned integer",2,DDLI_DME[[#This Row],[DATENTYP]]="unsigned char",1,DDLI_DME[[#This Row],[DATENTYP]]="signed integer",2)</f>
        <v>2</v>
      </c>
      <c r="K389" s="2" t="s">
        <v>460</v>
      </c>
      <c r="L389">
        <v>3.0517578125E-3</v>
      </c>
      <c r="M389">
        <v>1</v>
      </c>
      <c r="N389" t="str">
        <f>TEXT(DDLI_DME[[#This Row],[MUL]],"######/######")</f>
        <v>25/8192</v>
      </c>
      <c r="O389">
        <v>0</v>
      </c>
      <c r="Q389">
        <f>HEX2DEC(DDLI_DME[[#This Row],[Hex]])</f>
        <v>0</v>
      </c>
      <c r="R389">
        <f>DDLI_DME[[#This Row],[ADD]]+DDLI_DME[[#This Row],[Dec]]*DDLI_DME[[#This Row],[MUL]]/DDLI_DME[[#This Row],[DIV]]</f>
        <v>0</v>
      </c>
    </row>
    <row r="390" spans="1:18" hidden="1" x14ac:dyDescent="0.25">
      <c r="A390" s="2" t="s">
        <v>2267</v>
      </c>
      <c r="B390" s="2" t="s">
        <v>2268</v>
      </c>
      <c r="C390" s="2" t="s">
        <v>2269</v>
      </c>
      <c r="D390" s="2" t="s">
        <v>2270</v>
      </c>
      <c r="E390" s="2"/>
      <c r="F390" s="2" t="s">
        <v>668</v>
      </c>
      <c r="G390" s="2" t="s">
        <v>2271</v>
      </c>
      <c r="H390" s="2" t="s">
        <v>460</v>
      </c>
      <c r="I390" s="2" t="s">
        <v>531</v>
      </c>
      <c r="J390" s="2" cm="1">
        <f t="array" ref="J390">_xlfn.IFS(DDLI_DME[[#This Row],[DATENTYP]]="unsigned integer",2,DDLI_DME[[#This Row],[DATENTYP]]="unsigned char",1,DDLI_DME[[#This Row],[DATENTYP]]="signed integer",2)</f>
        <v>2</v>
      </c>
      <c r="K390" s="2" t="s">
        <v>460</v>
      </c>
      <c r="L390">
        <v>3.0517578125E-3</v>
      </c>
      <c r="M390">
        <v>1</v>
      </c>
      <c r="N390" t="str">
        <f>TEXT(DDLI_DME[[#This Row],[MUL]],"######/######")</f>
        <v>25/8192</v>
      </c>
      <c r="O390">
        <v>0</v>
      </c>
      <c r="Q390">
        <f>HEX2DEC(DDLI_DME[[#This Row],[Hex]])</f>
        <v>0</v>
      </c>
      <c r="R390">
        <f>DDLI_DME[[#This Row],[ADD]]+DDLI_DME[[#This Row],[Dec]]*DDLI_DME[[#This Row],[MUL]]/DDLI_DME[[#This Row],[DIV]]</f>
        <v>0</v>
      </c>
    </row>
    <row r="391" spans="1:18" hidden="1" x14ac:dyDescent="0.25">
      <c r="A391" s="2" t="s">
        <v>2272</v>
      </c>
      <c r="B391" s="2" t="s">
        <v>2273</v>
      </c>
      <c r="C391" s="2" t="s">
        <v>2274</v>
      </c>
      <c r="D391" s="2" t="s">
        <v>2275</v>
      </c>
      <c r="E391" s="2"/>
      <c r="F391" s="2" t="s">
        <v>668</v>
      </c>
      <c r="G391" s="2" t="s">
        <v>2276</v>
      </c>
      <c r="H391" s="2" t="s">
        <v>460</v>
      </c>
      <c r="I391" s="2" t="s">
        <v>531</v>
      </c>
      <c r="J391" s="2" cm="1">
        <f t="array" ref="J391">_xlfn.IFS(DDLI_DME[[#This Row],[DATENTYP]]="unsigned integer",2,DDLI_DME[[#This Row],[DATENTYP]]="unsigned char",1,DDLI_DME[[#This Row],[DATENTYP]]="signed integer",2)</f>
        <v>2</v>
      </c>
      <c r="K391" s="2" t="s">
        <v>460</v>
      </c>
      <c r="L391">
        <v>3.0517578125E-3</v>
      </c>
      <c r="M391">
        <v>1</v>
      </c>
      <c r="N391" t="str">
        <f>TEXT(DDLI_DME[[#This Row],[MUL]],"######/######")</f>
        <v>25/8192</v>
      </c>
      <c r="O391">
        <v>0</v>
      </c>
      <c r="Q391">
        <f>HEX2DEC(DDLI_DME[[#This Row],[Hex]])</f>
        <v>0</v>
      </c>
      <c r="R391">
        <f>DDLI_DME[[#This Row],[ADD]]+DDLI_DME[[#This Row],[Dec]]*DDLI_DME[[#This Row],[MUL]]/DDLI_DME[[#This Row],[DIV]]</f>
        <v>0</v>
      </c>
    </row>
    <row r="392" spans="1:18" hidden="1" x14ac:dyDescent="0.25">
      <c r="A392" s="2" t="s">
        <v>2277</v>
      </c>
      <c r="B392" s="2" t="s">
        <v>2278</v>
      </c>
      <c r="C392" s="2" t="s">
        <v>2279</v>
      </c>
      <c r="D392" s="2" t="s">
        <v>2280</v>
      </c>
      <c r="E392" s="2"/>
      <c r="F392" s="2" t="s">
        <v>668</v>
      </c>
      <c r="G392" s="2" t="s">
        <v>2281</v>
      </c>
      <c r="H392" s="2" t="s">
        <v>460</v>
      </c>
      <c r="I392" s="2" t="s">
        <v>531</v>
      </c>
      <c r="J392" s="2" cm="1">
        <f t="array" ref="J392">_xlfn.IFS(DDLI_DME[[#This Row],[DATENTYP]]="unsigned integer",2,DDLI_DME[[#This Row],[DATENTYP]]="unsigned char",1,DDLI_DME[[#This Row],[DATENTYP]]="signed integer",2)</f>
        <v>2</v>
      </c>
      <c r="K392" s="2" t="s">
        <v>460</v>
      </c>
      <c r="L392">
        <v>3.0517578125E-3</v>
      </c>
      <c r="M392">
        <v>1</v>
      </c>
      <c r="N392" t="str">
        <f>TEXT(DDLI_DME[[#This Row],[MUL]],"######/######")</f>
        <v>25/8192</v>
      </c>
      <c r="O392">
        <v>0</v>
      </c>
      <c r="Q392">
        <f>HEX2DEC(DDLI_DME[[#This Row],[Hex]])</f>
        <v>0</v>
      </c>
      <c r="R392">
        <f>DDLI_DME[[#This Row],[ADD]]+DDLI_DME[[#This Row],[Dec]]*DDLI_DME[[#This Row],[MUL]]/DDLI_DME[[#This Row],[DIV]]</f>
        <v>0</v>
      </c>
    </row>
    <row r="393" spans="1:18" hidden="1" x14ac:dyDescent="0.25">
      <c r="A393" s="2" t="s">
        <v>2282</v>
      </c>
      <c r="B393" s="2" t="s">
        <v>2283</v>
      </c>
      <c r="C393" s="2" t="s">
        <v>2284</v>
      </c>
      <c r="D393" s="2" t="s">
        <v>2285</v>
      </c>
      <c r="E393" s="2"/>
      <c r="F393" s="2" t="s">
        <v>460</v>
      </c>
      <c r="G393" s="2" t="s">
        <v>2286</v>
      </c>
      <c r="H393" s="2" t="s">
        <v>460</v>
      </c>
      <c r="I393" s="2" t="s">
        <v>467</v>
      </c>
      <c r="J393" s="2" cm="1">
        <f t="array" ref="J393">_xlfn.IFS(DDLI_DME[[#This Row],[DATENTYP]]="unsigned integer",2,DDLI_DME[[#This Row],[DATENTYP]]="unsigned char",1,DDLI_DME[[#This Row],[DATENTYP]]="signed integer",2)</f>
        <v>2</v>
      </c>
      <c r="K393" s="2" t="s">
        <v>460</v>
      </c>
      <c r="L393">
        <v>3.0517578125E-5</v>
      </c>
      <c r="M393">
        <v>1</v>
      </c>
      <c r="N393" t="str">
        <f>TEXT(DDLI_DME[[#This Row],[MUL]],"######/######")</f>
        <v>1/32768</v>
      </c>
      <c r="O393">
        <v>0</v>
      </c>
      <c r="Q393">
        <f>HEX2DEC(DDLI_DME[[#This Row],[Hex]])</f>
        <v>0</v>
      </c>
      <c r="R393">
        <f>DDLI_DME[[#This Row],[ADD]]+DDLI_DME[[#This Row],[Dec]]*DDLI_DME[[#This Row],[MUL]]/DDLI_DME[[#This Row],[DIV]]</f>
        <v>0</v>
      </c>
    </row>
    <row r="394" spans="1:18" hidden="1" x14ac:dyDescent="0.25">
      <c r="A394" s="2" t="s">
        <v>2287</v>
      </c>
      <c r="B394" s="2" t="s">
        <v>2288</v>
      </c>
      <c r="C394" s="2" t="s">
        <v>2289</v>
      </c>
      <c r="D394" s="2" t="s">
        <v>2285</v>
      </c>
      <c r="E394" s="2"/>
      <c r="F394" s="2" t="s">
        <v>460</v>
      </c>
      <c r="G394" s="2" t="s">
        <v>2286</v>
      </c>
      <c r="H394" s="2" t="s">
        <v>460</v>
      </c>
      <c r="I394" s="2" t="s">
        <v>467</v>
      </c>
      <c r="J394" s="2" cm="1">
        <f t="array" ref="J394">_xlfn.IFS(DDLI_DME[[#This Row],[DATENTYP]]="unsigned integer",2,DDLI_DME[[#This Row],[DATENTYP]]="unsigned char",1,DDLI_DME[[#This Row],[DATENTYP]]="signed integer",2)</f>
        <v>2</v>
      </c>
      <c r="K394" s="2" t="s">
        <v>460</v>
      </c>
      <c r="L394">
        <v>3.0517578125E-5</v>
      </c>
      <c r="M394">
        <v>1</v>
      </c>
      <c r="N394" t="str">
        <f>TEXT(DDLI_DME[[#This Row],[MUL]],"######/######")</f>
        <v>1/32768</v>
      </c>
      <c r="O394">
        <v>0</v>
      </c>
      <c r="Q394">
        <f>HEX2DEC(DDLI_DME[[#This Row],[Hex]])</f>
        <v>0</v>
      </c>
      <c r="R394">
        <f>DDLI_DME[[#This Row],[ADD]]+DDLI_DME[[#This Row],[Dec]]*DDLI_DME[[#This Row],[MUL]]/DDLI_DME[[#This Row],[DIV]]</f>
        <v>0</v>
      </c>
    </row>
    <row r="395" spans="1:18" hidden="1" x14ac:dyDescent="0.25">
      <c r="A395" s="2" t="s">
        <v>2290</v>
      </c>
      <c r="B395" s="2" t="s">
        <v>2291</v>
      </c>
      <c r="C395" s="2" t="s">
        <v>2292</v>
      </c>
      <c r="D395" s="2" t="s">
        <v>2285</v>
      </c>
      <c r="E395" s="2"/>
      <c r="F395" s="2" t="s">
        <v>460</v>
      </c>
      <c r="G395" s="2" t="s">
        <v>2286</v>
      </c>
      <c r="H395" s="2" t="s">
        <v>460</v>
      </c>
      <c r="I395" s="2" t="s">
        <v>467</v>
      </c>
      <c r="J395" s="2" cm="1">
        <f t="array" ref="J395">_xlfn.IFS(DDLI_DME[[#This Row],[DATENTYP]]="unsigned integer",2,DDLI_DME[[#This Row],[DATENTYP]]="unsigned char",1,DDLI_DME[[#This Row],[DATENTYP]]="signed integer",2)</f>
        <v>2</v>
      </c>
      <c r="K395" s="2" t="s">
        <v>460</v>
      </c>
      <c r="L395">
        <v>3.0517578125E-5</v>
      </c>
      <c r="M395">
        <v>1</v>
      </c>
      <c r="N395" t="str">
        <f>TEXT(DDLI_DME[[#This Row],[MUL]],"######/######")</f>
        <v>1/32768</v>
      </c>
      <c r="O395">
        <v>0</v>
      </c>
      <c r="Q395">
        <f>HEX2DEC(DDLI_DME[[#This Row],[Hex]])</f>
        <v>0</v>
      </c>
      <c r="R395">
        <f>DDLI_DME[[#This Row],[ADD]]+DDLI_DME[[#This Row],[Dec]]*DDLI_DME[[#This Row],[MUL]]/DDLI_DME[[#This Row],[DIV]]</f>
        <v>0</v>
      </c>
    </row>
    <row r="396" spans="1:18" hidden="1" x14ac:dyDescent="0.25">
      <c r="A396" s="2" t="s">
        <v>2293</v>
      </c>
      <c r="B396" s="2" t="s">
        <v>2294</v>
      </c>
      <c r="C396" s="2" t="s">
        <v>2295</v>
      </c>
      <c r="D396" s="2" t="s">
        <v>2285</v>
      </c>
      <c r="E396" s="2"/>
      <c r="F396" s="2" t="s">
        <v>460</v>
      </c>
      <c r="G396" s="2" t="s">
        <v>2286</v>
      </c>
      <c r="H396" s="2" t="s">
        <v>460</v>
      </c>
      <c r="I396" s="2" t="s">
        <v>467</v>
      </c>
      <c r="J396" s="2" cm="1">
        <f t="array" ref="J396">_xlfn.IFS(DDLI_DME[[#This Row],[DATENTYP]]="unsigned integer",2,DDLI_DME[[#This Row],[DATENTYP]]="unsigned char",1,DDLI_DME[[#This Row],[DATENTYP]]="signed integer",2)</f>
        <v>2</v>
      </c>
      <c r="K396" s="2" t="s">
        <v>460</v>
      </c>
      <c r="L396">
        <v>3.0517578125E-5</v>
      </c>
      <c r="M396">
        <v>1</v>
      </c>
      <c r="N396" t="str">
        <f>TEXT(DDLI_DME[[#This Row],[MUL]],"######/######")</f>
        <v>1/32768</v>
      </c>
      <c r="O396">
        <v>0</v>
      </c>
      <c r="Q396">
        <f>HEX2DEC(DDLI_DME[[#This Row],[Hex]])</f>
        <v>0</v>
      </c>
      <c r="R396">
        <f>DDLI_DME[[#This Row],[ADD]]+DDLI_DME[[#This Row],[Dec]]*DDLI_DME[[#This Row],[MUL]]/DDLI_DME[[#This Row],[DIV]]</f>
        <v>0</v>
      </c>
    </row>
    <row r="397" spans="1:18" hidden="1" x14ac:dyDescent="0.25">
      <c r="A397" s="2" t="s">
        <v>2296</v>
      </c>
      <c r="B397" s="2" t="s">
        <v>2297</v>
      </c>
      <c r="C397" s="2" t="s">
        <v>2298</v>
      </c>
      <c r="D397" s="2" t="s">
        <v>2285</v>
      </c>
      <c r="E397" s="2"/>
      <c r="F397" s="2" t="s">
        <v>460</v>
      </c>
      <c r="G397" s="2" t="s">
        <v>2286</v>
      </c>
      <c r="H397" s="2" t="s">
        <v>460</v>
      </c>
      <c r="I397" s="2" t="s">
        <v>467</v>
      </c>
      <c r="J397" s="2" cm="1">
        <f t="array" ref="J397">_xlfn.IFS(DDLI_DME[[#This Row],[DATENTYP]]="unsigned integer",2,DDLI_DME[[#This Row],[DATENTYP]]="unsigned char",1,DDLI_DME[[#This Row],[DATENTYP]]="signed integer",2)</f>
        <v>2</v>
      </c>
      <c r="K397" s="2" t="s">
        <v>460</v>
      </c>
      <c r="L397">
        <v>3.0517578125E-5</v>
      </c>
      <c r="M397">
        <v>1</v>
      </c>
      <c r="N397" t="str">
        <f>TEXT(DDLI_DME[[#This Row],[MUL]],"######/######")</f>
        <v>1/32768</v>
      </c>
      <c r="O397">
        <v>0</v>
      </c>
      <c r="Q397">
        <f>HEX2DEC(DDLI_DME[[#This Row],[Hex]])</f>
        <v>0</v>
      </c>
      <c r="R397">
        <f>DDLI_DME[[#This Row],[ADD]]+DDLI_DME[[#This Row],[Dec]]*DDLI_DME[[#This Row],[MUL]]/DDLI_DME[[#This Row],[DIV]]</f>
        <v>0</v>
      </c>
    </row>
    <row r="398" spans="1:18" hidden="1" x14ac:dyDescent="0.25">
      <c r="A398" s="2" t="s">
        <v>2299</v>
      </c>
      <c r="B398" s="2" t="s">
        <v>2300</v>
      </c>
      <c r="C398" s="2" t="s">
        <v>2301</v>
      </c>
      <c r="D398" s="2" t="s">
        <v>2285</v>
      </c>
      <c r="E398" s="2"/>
      <c r="F398" s="2" t="s">
        <v>460</v>
      </c>
      <c r="G398" s="2" t="s">
        <v>2286</v>
      </c>
      <c r="H398" s="2" t="s">
        <v>460</v>
      </c>
      <c r="I398" s="2" t="s">
        <v>467</v>
      </c>
      <c r="J398" s="2" cm="1">
        <f t="array" ref="J398">_xlfn.IFS(DDLI_DME[[#This Row],[DATENTYP]]="unsigned integer",2,DDLI_DME[[#This Row],[DATENTYP]]="unsigned char",1,DDLI_DME[[#This Row],[DATENTYP]]="signed integer",2)</f>
        <v>2</v>
      </c>
      <c r="K398" s="2" t="s">
        <v>460</v>
      </c>
      <c r="L398">
        <v>3.0517578125E-5</v>
      </c>
      <c r="M398">
        <v>1</v>
      </c>
      <c r="N398" t="str">
        <f>TEXT(DDLI_DME[[#This Row],[MUL]],"######/######")</f>
        <v>1/32768</v>
      </c>
      <c r="O398">
        <v>0</v>
      </c>
      <c r="Q398">
        <f>HEX2DEC(DDLI_DME[[#This Row],[Hex]])</f>
        <v>0</v>
      </c>
      <c r="R398">
        <f>DDLI_DME[[#This Row],[ADD]]+DDLI_DME[[#This Row],[Dec]]*DDLI_DME[[#This Row],[MUL]]/DDLI_DME[[#This Row],[DIV]]</f>
        <v>0</v>
      </c>
    </row>
    <row r="399" spans="1:18" hidden="1" x14ac:dyDescent="0.25">
      <c r="A399" s="2" t="s">
        <v>2302</v>
      </c>
      <c r="B399" s="2" t="s">
        <v>2303</v>
      </c>
      <c r="C399" s="2" t="s">
        <v>2304</v>
      </c>
      <c r="D399" s="2" t="s">
        <v>2305</v>
      </c>
      <c r="E399" s="2"/>
      <c r="F399" s="2" t="s">
        <v>460</v>
      </c>
      <c r="G399" s="2" t="s">
        <v>2306</v>
      </c>
      <c r="H399" s="2" t="s">
        <v>460</v>
      </c>
      <c r="I399" s="2" t="s">
        <v>461</v>
      </c>
      <c r="J399" s="2" cm="1">
        <f t="array" ref="J399">_xlfn.IFS(DDLI_DME[[#This Row],[DATENTYP]]="unsigned integer",2,DDLI_DME[[#This Row],[DATENTYP]]="unsigned char",1,DDLI_DME[[#This Row],[DATENTYP]]="signed integer",2)</f>
        <v>1</v>
      </c>
      <c r="K399" s="2" t="s">
        <v>460</v>
      </c>
      <c r="L399">
        <v>1</v>
      </c>
      <c r="M399">
        <v>1</v>
      </c>
      <c r="N399" t="str">
        <f>TEXT(DDLI_DME[[#This Row],[MUL]],"######/######")</f>
        <v>1/1</v>
      </c>
      <c r="O399">
        <v>0</v>
      </c>
      <c r="Q399">
        <f>HEX2DEC(DDLI_DME[[#This Row],[Hex]])</f>
        <v>0</v>
      </c>
      <c r="R399">
        <f>DDLI_DME[[#This Row],[ADD]]+DDLI_DME[[#This Row],[Dec]]*DDLI_DME[[#This Row],[MUL]]/DDLI_DME[[#This Row],[DIV]]</f>
        <v>0</v>
      </c>
    </row>
    <row r="400" spans="1:18" hidden="1" x14ac:dyDescent="0.25">
      <c r="A400" s="2" t="s">
        <v>460</v>
      </c>
      <c r="B400" s="2" t="s">
        <v>2307</v>
      </c>
      <c r="C400" s="2" t="s">
        <v>460</v>
      </c>
      <c r="D400" s="2" t="s">
        <v>2308</v>
      </c>
      <c r="E400" s="2"/>
      <c r="F400" s="2" t="s">
        <v>460</v>
      </c>
      <c r="G400" s="2" t="s">
        <v>460</v>
      </c>
      <c r="H400" s="2" t="s">
        <v>460</v>
      </c>
      <c r="I400" s="2" t="s">
        <v>461</v>
      </c>
      <c r="J400" s="2" cm="1">
        <f t="array" ref="J400">_xlfn.IFS(DDLI_DME[[#This Row],[DATENTYP]]="unsigned integer",2,DDLI_DME[[#This Row],[DATENTYP]]="unsigned char",1,DDLI_DME[[#This Row],[DATENTYP]]="signed integer",2)</f>
        <v>1</v>
      </c>
      <c r="K400" s="2" t="s">
        <v>460</v>
      </c>
      <c r="L400">
        <v>1</v>
      </c>
      <c r="M400">
        <v>1</v>
      </c>
      <c r="N400" t="str">
        <f>TEXT(DDLI_DME[[#This Row],[MUL]],"######/######")</f>
        <v>1/1</v>
      </c>
      <c r="O400">
        <v>0</v>
      </c>
      <c r="Q400">
        <f>HEX2DEC(DDLI_DME[[#This Row],[Hex]])</f>
        <v>0</v>
      </c>
      <c r="R400">
        <f>DDLI_DME[[#This Row],[ADD]]+DDLI_DME[[#This Row],[Dec]]*DDLI_DME[[#This Row],[MUL]]/DDLI_DME[[#This Row],[DIV]]</f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28415-6327-47B2-A382-E0A267FFEA8C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97476FB-F969-4D1A-BE11-E69EFEA361E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0811_173439</vt:lpstr>
      <vt:lpstr>CommonIdentifierList</vt:lpstr>
      <vt:lpstr>MVD1722</vt:lpstr>
      <vt:lpstr>DDLI DME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ROGER</dc:creator>
  <cp:lastModifiedBy>Martin ROGER</cp:lastModifiedBy>
  <dcterms:created xsi:type="dcterms:W3CDTF">2024-08-13T19:35:50Z</dcterms:created>
  <dcterms:modified xsi:type="dcterms:W3CDTF">2024-10-26T15:38:00Z</dcterms:modified>
</cp:coreProperties>
</file>